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hona\Desktop\projeto Monitoramento\"/>
    </mc:Choice>
  </mc:AlternateContent>
  <xr:revisionPtr revIDLastSave="0" documentId="13_ncr:1_{27AD4B7C-1F21-47E7-83A5-B7B937D28506}" xr6:coauthVersionLast="47" xr6:coauthVersionMax="47" xr10:uidLastSave="{00000000-0000-0000-0000-000000000000}"/>
  <bookViews>
    <workbookView xWindow="-120" yWindow="-120" windowWidth="20730" windowHeight="11040" xr2:uid="{00000000-000D-0000-FFFF-FFFF00000000}"/>
  </bookViews>
  <sheets>
    <sheet name="dados_solicitacoes" sheetId="2" r:id="rId1"/>
    <sheet name="PROCESSOS CONCLUIDOS" sheetId="5" state="hidden" r:id="rId2"/>
    <sheet name="TODOS OS PROCESSOS ATUALIZADOS " sheetId="6" r:id="rId3"/>
    <sheet name="ENCAMINHADA PARA ORÇAMENTO" sheetId="7" state="hidden" r:id="rId4"/>
  </sheets>
  <definedNames>
    <definedName name="_xlnm._FilterDatabase" localSheetId="1" hidden="1">'PROCESSOS CONCLUIDOS'!$A$1:$L$509</definedName>
    <definedName name="_xlnm._FilterDatabase" localSheetId="2" hidden="1">'TODOS OS PROCESSOS ATUALIZADOS '!$A$1:$N$2056</definedName>
    <definedName name="Z_12654057_9D07_4749_98A0_4D000F13A075_.wvu.FilterData" localSheetId="0" hidden="1">dados_solicitacoes!$A$1:$Q$1249</definedName>
    <definedName name="Z_146AB4FE_80FB_4EAF_9ABE_506C2384DA52_.wvu.FilterData" localSheetId="0" hidden="1">dados_solicitacoes!$A$1:$Q$1249</definedName>
    <definedName name="Z_1A9E918E_712B_493C_8EE3_B789EC58F5D8_.wvu.FilterData" localSheetId="0" hidden="1">dados_solicitacoes!$A$1:$Q$1249</definedName>
    <definedName name="Z_2A9E3C8E_8A45_458A_9A7C_A7DAF968B235_.wvu.FilterData" localSheetId="0" hidden="1">dados_solicitacoes!$A$1:$Q$1249</definedName>
    <definedName name="Z_33E64502_5908_4515_BE8E_B4111BE2B34E_.wvu.FilterData" localSheetId="0" hidden="1">dados_solicitacoes!$A$1:$Q$1249</definedName>
    <definedName name="Z_40111B97_C0F4_496D_8D53_BD7E138CCAFA_.wvu.FilterData" localSheetId="0" hidden="1">dados_solicitacoes!$A$1:$Q$1249</definedName>
    <definedName name="Z_4A64DBAE_555B_4EC0_A751_C0A11245BC9F_.wvu.FilterData" localSheetId="0" hidden="1">dados_solicitacoes!$A$1:$Q$1249</definedName>
    <definedName name="Z_4D92148C_75E4_4E79_B6E9_123A94DC89D7_.wvu.FilterData" localSheetId="0" hidden="1">dados_solicitacoes!$A$1:$Q$1249</definedName>
    <definedName name="Z_5F9F140B_A705_4DA5_B4D0_722418368589_.wvu.FilterData" localSheetId="0" hidden="1">dados_solicitacoes!$A$1:$Q$1249</definedName>
    <definedName name="Z_ABB9FE62_DD12_4A9D_B3D1_4D5352F026D9_.wvu.FilterData" localSheetId="0" hidden="1">dados_solicitacoes!$A$1:$Q$1249</definedName>
    <definedName name="Z_C40F310E_19C8_4B9C_B8A2_6B5ABFC5085D_.wvu.FilterData" localSheetId="0" hidden="1">dados_solicitacoes!$A$1:$Q$1249</definedName>
    <definedName name="Z_CAD58AD8_D5E4_48E8_A789_FCE21B59A2A7_.wvu.FilterData" localSheetId="0" hidden="1">dados_solicitacoes!$A$1:$Q$1249</definedName>
    <definedName name="Z_CF7C5161_4612_4E64_AF44_9613669C62C2_.wvu.FilterData" localSheetId="0" hidden="1">dados_solicitacoes!$A$1:$Q$1249</definedName>
    <definedName name="Z_D1EDD1A1_7A92_4A92_A9D4_6C8C7840450D_.wvu.FilterData" localSheetId="0" hidden="1">dados_solicitacoes!$A$1:$Q$1249</definedName>
    <definedName name="Z_E5DFFFD0_A2EE_457C_8E3D_667602733F3D_.wvu.FilterData" localSheetId="0" hidden="1">dados_solicitacoes!$A$1:$Q$1249</definedName>
    <definedName name="Z_F8AC759F_2840_4421_A2F5_DFC8437B8139_.wvu.FilterData" localSheetId="0" hidden="1">dados_solicitacoes!$A$1:$Q$1249</definedName>
  </definedNames>
  <calcPr calcId="191029"/>
  <customWorkbookViews>
    <customWorkbookView name="Mylla" guid="{2A9E3C8E-8A45-458A-9A7C-A7DAF968B235}" maximized="1" windowWidth="0" windowHeight="0" activeSheetId="0"/>
    <customWorkbookView name="Renata" guid="{D1EDD1A1-7A92-4A92-A9D4-6C8C7840450D}" maximized="1" windowWidth="0" windowHeight="0" activeSheetId="0"/>
    <customWorkbookView name="Hannah" guid="{5F9F140B-A705-4DA5-B4D0-722418368589}" maximized="1" windowWidth="0" windowHeight="0" activeSheetId="0"/>
    <customWorkbookView name="Nataly" guid="{33E64502-5908-4515-BE8E-B4111BE2B34E}" maximized="1" windowWidth="0" windowHeight="0" activeSheetId="0"/>
    <customWorkbookView name="Daniele" guid="{4A64DBAE-555B-4EC0-A751-C0A11245BC9F}" maximized="1" windowWidth="0" windowHeight="0" activeSheetId="0"/>
    <customWorkbookView name="Maísa" guid="{C40F310E-19C8-4B9C-B8A2-6B5ABFC5085D}" maximized="1" windowWidth="0" windowHeight="0" activeSheetId="0"/>
    <customWorkbookView name="Jean" guid="{F8AC759F-2840-4421-A2F5-DFC8437B8139}" maximized="1" windowWidth="0" windowHeight="0" activeSheetId="0"/>
    <customWorkbookView name="Marcia" guid="{CF7C5161-4612-4E64-AF44-9613669C62C2}" maximized="1" windowWidth="0" windowHeight="0" activeSheetId="0"/>
    <customWorkbookView name="Marília" guid="{12654057-9D07-4749-98A0-4D000F13A075}" maximized="1" windowWidth="0" windowHeight="0" activeSheetId="0"/>
    <customWorkbookView name="Victória" guid="{CAD58AD8-D5E4-48E8-A789-FCE21B59A2A7}" maximized="1" windowWidth="0" windowHeight="0" activeSheetId="0"/>
    <customWorkbookView name="Rayane" guid="{1A9E918E-712B-493C-8EE3-B789EC58F5D8}" maximized="1" windowWidth="0" windowHeight="0" activeSheetId="0"/>
    <customWorkbookView name="Albiele" guid="{E5DFFFD0-A2EE-457C-8E3D-667602733F3D}" maximized="1" windowWidth="0" windowHeight="0" activeSheetId="0"/>
    <customWorkbookView name="Laís " guid="{146AB4FE-80FB-4EAF-9ABE-506C2384DA52}" maximized="1" windowWidth="0" windowHeight="0" activeSheetId="0"/>
    <customWorkbookView name="Elsia" guid="{40111B97-C0F4-496D-8D53-BD7E138CCAFA}" maximized="1" windowWidth="0" windowHeight="0" activeSheetId="0"/>
    <customWorkbookView name="Visualização - Lucas" guid="{ABB9FE62-DD12-4A9D-B3D1-4D5352F026D9}" maximized="1" windowWidth="0" windowHeight="0" activeSheetId="0"/>
    <customWorkbookView name="Pollyana" guid="{4D92148C-75E4-4E79-B6E9-123A94DC89D7}" maximized="1" windowWidth="0" windowHeight="0" activeSheetId="0"/>
  </customWorkbookViews>
  <pivotCaches>
    <pivotCache cacheId="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94" i="6" l="1"/>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J1249" i="2"/>
  <c r="L1249" i="2" s="1"/>
  <c r="E1249" i="2"/>
  <c r="B1249" i="2"/>
  <c r="J1248" i="2"/>
  <c r="L1248" i="2" s="1"/>
  <c r="E1248" i="2"/>
  <c r="B1248" i="2"/>
  <c r="J1247" i="2"/>
  <c r="L1247" i="2" s="1"/>
  <c r="E1247" i="2"/>
  <c r="B1247" i="2"/>
  <c r="J1246" i="2"/>
  <c r="L1246" i="2" s="1"/>
  <c r="E1246" i="2"/>
  <c r="B1246" i="2"/>
  <c r="J1245" i="2"/>
  <c r="L1245" i="2" s="1"/>
  <c r="E1245" i="2"/>
  <c r="B1245" i="2"/>
  <c r="J1244" i="2"/>
  <c r="L1244" i="2" s="1"/>
  <c r="E1244" i="2"/>
  <c r="B1244" i="2"/>
  <c r="J1243" i="2"/>
  <c r="L1243" i="2" s="1"/>
  <c r="E1243" i="2"/>
  <c r="B1243" i="2"/>
  <c r="J1242" i="2"/>
  <c r="L1242" i="2" s="1"/>
  <c r="E1242" i="2"/>
  <c r="B1242" i="2"/>
  <c r="J1241" i="2"/>
  <c r="L1241" i="2" s="1"/>
  <c r="E1241" i="2"/>
  <c r="B1241" i="2"/>
  <c r="J1240" i="2"/>
  <c r="L1240" i="2" s="1"/>
  <c r="E1240" i="2"/>
  <c r="B1240" i="2"/>
  <c r="J1239" i="2"/>
  <c r="L1239" i="2" s="1"/>
  <c r="E1239" i="2"/>
  <c r="B1239" i="2"/>
  <c r="J1238" i="2"/>
  <c r="L1238" i="2" s="1"/>
  <c r="E1238" i="2"/>
  <c r="B1238" i="2"/>
  <c r="J1237" i="2"/>
  <c r="L1237" i="2" s="1"/>
  <c r="E1237" i="2"/>
  <c r="B1237" i="2"/>
  <c r="J1236" i="2"/>
  <c r="L1236" i="2" s="1"/>
  <c r="E1236" i="2"/>
  <c r="B1236" i="2"/>
  <c r="J1235" i="2"/>
  <c r="L1235" i="2" s="1"/>
  <c r="E1235" i="2"/>
  <c r="B1235" i="2"/>
  <c r="J1234" i="2"/>
  <c r="L1234" i="2" s="1"/>
  <c r="E1234" i="2"/>
  <c r="B1234" i="2"/>
  <c r="J1233" i="2"/>
  <c r="L1233" i="2" s="1"/>
  <c r="B1233" i="2"/>
  <c r="J1232" i="2"/>
  <c r="L1232" i="2" s="1"/>
  <c r="E1232" i="2"/>
  <c r="B1232" i="2"/>
  <c r="J1231" i="2"/>
  <c r="L1231" i="2" s="1"/>
  <c r="E1231" i="2"/>
  <c r="B1231" i="2"/>
  <c r="J1230" i="2"/>
  <c r="L1230" i="2" s="1"/>
  <c r="E1230" i="2"/>
  <c r="B1230" i="2"/>
  <c r="J1229" i="2"/>
  <c r="L1229" i="2" s="1"/>
  <c r="E1229" i="2"/>
  <c r="B1229" i="2"/>
  <c r="J1228" i="2"/>
  <c r="L1228" i="2" s="1"/>
  <c r="E1228" i="2"/>
  <c r="B1228" i="2"/>
  <c r="J1227" i="2"/>
  <c r="L1227" i="2" s="1"/>
  <c r="E1227" i="2"/>
  <c r="B1227" i="2"/>
  <c r="J1226" i="2"/>
  <c r="L1226" i="2" s="1"/>
  <c r="E1226" i="2"/>
  <c r="B1226" i="2"/>
  <c r="J1225" i="2"/>
  <c r="L1225" i="2" s="1"/>
  <c r="E1225" i="2"/>
  <c r="B1225" i="2"/>
  <c r="J1224" i="2"/>
  <c r="L1224" i="2" s="1"/>
  <c r="E1224" i="2"/>
  <c r="B1224" i="2"/>
  <c r="J1223" i="2"/>
  <c r="L1223" i="2" s="1"/>
  <c r="E1223" i="2"/>
  <c r="B1223" i="2"/>
  <c r="J1222" i="2"/>
  <c r="L1222" i="2" s="1"/>
  <c r="E1222" i="2"/>
  <c r="B1222" i="2"/>
  <c r="J1221" i="2"/>
  <c r="L1221" i="2" s="1"/>
  <c r="E1221" i="2"/>
  <c r="B1221" i="2"/>
  <c r="J1220" i="2"/>
  <c r="L1220" i="2" s="1"/>
  <c r="E1220" i="2"/>
  <c r="B1220" i="2"/>
  <c r="J1219" i="2"/>
  <c r="L1219" i="2" s="1"/>
  <c r="E1219" i="2"/>
  <c r="B1219" i="2"/>
  <c r="J1218" i="2"/>
  <c r="L1218" i="2" s="1"/>
  <c r="E1218" i="2"/>
  <c r="B1218" i="2"/>
  <c r="J1217" i="2"/>
  <c r="L1217" i="2" s="1"/>
  <c r="E1217" i="2"/>
  <c r="B1217" i="2"/>
  <c r="J1216" i="2"/>
  <c r="L1216" i="2" s="1"/>
  <c r="E1216" i="2"/>
  <c r="B1216" i="2"/>
  <c r="J1215" i="2"/>
  <c r="L1215" i="2" s="1"/>
  <c r="E1215" i="2"/>
  <c r="B1215" i="2"/>
  <c r="J1214" i="2"/>
  <c r="L1214" i="2" s="1"/>
  <c r="E1214" i="2"/>
  <c r="B1214" i="2"/>
  <c r="J1213" i="2"/>
  <c r="L1213" i="2" s="1"/>
  <c r="E1213" i="2"/>
  <c r="B1213" i="2"/>
  <c r="J1212" i="2"/>
  <c r="L1212" i="2" s="1"/>
  <c r="E1212" i="2"/>
  <c r="B1212" i="2"/>
  <c r="J1211" i="2"/>
  <c r="L1211" i="2" s="1"/>
  <c r="E1211" i="2"/>
  <c r="B1211" i="2"/>
  <c r="J1210" i="2"/>
  <c r="L1210" i="2" s="1"/>
  <c r="E1210" i="2"/>
  <c r="B1210" i="2"/>
  <c r="J1209" i="2"/>
  <c r="L1209" i="2" s="1"/>
  <c r="E1209" i="2"/>
  <c r="B1209" i="2"/>
  <c r="J1208" i="2"/>
  <c r="L1208" i="2" s="1"/>
  <c r="E1208" i="2"/>
  <c r="B1208" i="2"/>
  <c r="J1207" i="2"/>
  <c r="L1207" i="2" s="1"/>
  <c r="E1207" i="2"/>
  <c r="B1207" i="2"/>
  <c r="J1206" i="2"/>
  <c r="L1206" i="2" s="1"/>
  <c r="E1206" i="2"/>
  <c r="B1206" i="2"/>
  <c r="J1205" i="2"/>
  <c r="L1205" i="2" s="1"/>
  <c r="E1205" i="2"/>
  <c r="B1205" i="2"/>
  <c r="J1204" i="2"/>
  <c r="L1204" i="2" s="1"/>
  <c r="E1204" i="2"/>
  <c r="B1204" i="2"/>
  <c r="J1203" i="2"/>
  <c r="L1203" i="2" s="1"/>
  <c r="E1203" i="2"/>
  <c r="B1203" i="2"/>
  <c r="J1202" i="2"/>
  <c r="L1202" i="2" s="1"/>
  <c r="E1202" i="2"/>
  <c r="B1202" i="2"/>
  <c r="J1201" i="2"/>
  <c r="L1201" i="2" s="1"/>
  <c r="E1201" i="2"/>
  <c r="B1201" i="2"/>
  <c r="J1200" i="2"/>
  <c r="L1200" i="2" s="1"/>
  <c r="E1200" i="2"/>
  <c r="B1200" i="2"/>
  <c r="J1199" i="2"/>
  <c r="L1199" i="2" s="1"/>
  <c r="E1199" i="2"/>
  <c r="B1199" i="2"/>
  <c r="J1198" i="2"/>
  <c r="L1198" i="2" s="1"/>
  <c r="E1198" i="2"/>
  <c r="B1198" i="2"/>
  <c r="J1197" i="2"/>
  <c r="L1197" i="2" s="1"/>
  <c r="E1197" i="2"/>
  <c r="B1197" i="2"/>
  <c r="J1196" i="2"/>
  <c r="L1196" i="2" s="1"/>
  <c r="E1196" i="2"/>
  <c r="B1196" i="2"/>
  <c r="J1195" i="2"/>
  <c r="L1195" i="2" s="1"/>
  <c r="E1195" i="2"/>
  <c r="B1195" i="2"/>
  <c r="J1194" i="2"/>
  <c r="L1194" i="2" s="1"/>
  <c r="E1194" i="2"/>
  <c r="B1194" i="2"/>
  <c r="J1193" i="2"/>
  <c r="L1193" i="2" s="1"/>
  <c r="E1193" i="2"/>
  <c r="B1193" i="2"/>
  <c r="J1192" i="2"/>
  <c r="L1192" i="2" s="1"/>
  <c r="E1192" i="2"/>
  <c r="B1192" i="2"/>
  <c r="J1191" i="2"/>
  <c r="L1191" i="2" s="1"/>
  <c r="E1191" i="2"/>
  <c r="B1191" i="2"/>
  <c r="J1190" i="2"/>
  <c r="L1190" i="2" s="1"/>
  <c r="E1190" i="2"/>
  <c r="B1190" i="2"/>
  <c r="J1189" i="2"/>
  <c r="L1189" i="2" s="1"/>
  <c r="E1189" i="2"/>
  <c r="B1189" i="2"/>
  <c r="J1188" i="2"/>
  <c r="L1188" i="2" s="1"/>
  <c r="E1188" i="2"/>
  <c r="B1188" i="2"/>
  <c r="J1187" i="2"/>
  <c r="L1187" i="2" s="1"/>
  <c r="E1187" i="2"/>
  <c r="B1187" i="2"/>
  <c r="J1186" i="2"/>
  <c r="L1186" i="2" s="1"/>
  <c r="E1186" i="2"/>
  <c r="B1186" i="2"/>
  <c r="J1185" i="2"/>
  <c r="L1185" i="2" s="1"/>
  <c r="E1185" i="2"/>
  <c r="B1185" i="2"/>
  <c r="J1184" i="2"/>
  <c r="L1184" i="2" s="1"/>
  <c r="E1184" i="2"/>
  <c r="B1184" i="2"/>
  <c r="J1183" i="2"/>
  <c r="L1183" i="2" s="1"/>
  <c r="E1183" i="2"/>
  <c r="B1183" i="2"/>
  <c r="J1182" i="2"/>
  <c r="L1182" i="2" s="1"/>
  <c r="E1182" i="2"/>
  <c r="B1182" i="2"/>
  <c r="J1181" i="2"/>
  <c r="L1181" i="2" s="1"/>
  <c r="E1181" i="2"/>
  <c r="B1181" i="2"/>
  <c r="J1180" i="2"/>
  <c r="L1180" i="2" s="1"/>
  <c r="E1180" i="2"/>
  <c r="B1180" i="2"/>
  <c r="J1179" i="2"/>
  <c r="L1179" i="2" s="1"/>
  <c r="E1179" i="2"/>
  <c r="B1179" i="2"/>
  <c r="J1178" i="2"/>
  <c r="L1178" i="2" s="1"/>
  <c r="E1178" i="2"/>
  <c r="B1178" i="2"/>
  <c r="J1177" i="2"/>
  <c r="L1177" i="2" s="1"/>
  <c r="E1177" i="2"/>
  <c r="B1177" i="2"/>
  <c r="J1176" i="2"/>
  <c r="L1176" i="2" s="1"/>
  <c r="E1176" i="2"/>
  <c r="B1176" i="2"/>
  <c r="J1175" i="2"/>
  <c r="L1175" i="2" s="1"/>
  <c r="E1175" i="2"/>
  <c r="B1175" i="2"/>
  <c r="J1174" i="2"/>
  <c r="L1174" i="2" s="1"/>
  <c r="E1174" i="2"/>
  <c r="B1174" i="2"/>
  <c r="J1173" i="2"/>
  <c r="L1173" i="2" s="1"/>
  <c r="E1173" i="2"/>
  <c r="B1173" i="2"/>
  <c r="J1172" i="2"/>
  <c r="L1172" i="2" s="1"/>
  <c r="E1172" i="2"/>
  <c r="B1172" i="2"/>
  <c r="J1171" i="2"/>
  <c r="L1171" i="2" s="1"/>
  <c r="E1171" i="2"/>
  <c r="B1171" i="2"/>
  <c r="J1170" i="2"/>
  <c r="L1170" i="2" s="1"/>
  <c r="E1170" i="2"/>
  <c r="B1170" i="2"/>
  <c r="J1169" i="2"/>
  <c r="L1169" i="2" s="1"/>
  <c r="E1169" i="2"/>
  <c r="B1169" i="2"/>
  <c r="J1168" i="2"/>
  <c r="L1168" i="2" s="1"/>
  <c r="E1168" i="2"/>
  <c r="B1168" i="2"/>
  <c r="J1167" i="2"/>
  <c r="L1167" i="2" s="1"/>
  <c r="E1167" i="2"/>
  <c r="B1167" i="2"/>
  <c r="J1166" i="2"/>
  <c r="L1166" i="2" s="1"/>
  <c r="E1166" i="2"/>
  <c r="B1166" i="2"/>
  <c r="J1165" i="2"/>
  <c r="L1165" i="2" s="1"/>
  <c r="E1165" i="2"/>
  <c r="B1165" i="2"/>
  <c r="J1164" i="2"/>
  <c r="L1164" i="2" s="1"/>
  <c r="E1164" i="2"/>
  <c r="B1164" i="2"/>
  <c r="J1163" i="2"/>
  <c r="L1163" i="2" s="1"/>
  <c r="E1163" i="2"/>
  <c r="B1163" i="2"/>
  <c r="J1162" i="2"/>
  <c r="L1162" i="2" s="1"/>
  <c r="E1162" i="2"/>
  <c r="B1162" i="2"/>
  <c r="J1161" i="2"/>
  <c r="L1161" i="2" s="1"/>
  <c r="E1161" i="2"/>
  <c r="B1161" i="2"/>
  <c r="J1160" i="2"/>
  <c r="L1160" i="2" s="1"/>
  <c r="E1160" i="2"/>
  <c r="B1160" i="2"/>
  <c r="J1159" i="2"/>
  <c r="L1159" i="2" s="1"/>
  <c r="E1159" i="2"/>
  <c r="B1159" i="2"/>
  <c r="J1158" i="2"/>
  <c r="L1158" i="2" s="1"/>
  <c r="E1158" i="2"/>
  <c r="B1158" i="2"/>
  <c r="J1157" i="2"/>
  <c r="L1157" i="2" s="1"/>
  <c r="E1157" i="2"/>
  <c r="B1157" i="2"/>
  <c r="J1156" i="2"/>
  <c r="L1156" i="2" s="1"/>
  <c r="E1156" i="2"/>
  <c r="B1156" i="2"/>
  <c r="J1155" i="2"/>
  <c r="L1155" i="2" s="1"/>
  <c r="E1155" i="2"/>
  <c r="B1155" i="2"/>
  <c r="J1154" i="2"/>
  <c r="L1154" i="2" s="1"/>
  <c r="E1154" i="2"/>
  <c r="B1154" i="2"/>
  <c r="J1153" i="2"/>
  <c r="L1153" i="2" s="1"/>
  <c r="E1153" i="2"/>
  <c r="B1153" i="2"/>
  <c r="J1152" i="2"/>
  <c r="L1152" i="2" s="1"/>
  <c r="E1152" i="2"/>
  <c r="B1152" i="2"/>
  <c r="J1151" i="2"/>
  <c r="L1151" i="2" s="1"/>
  <c r="E1151" i="2"/>
  <c r="B1151" i="2"/>
  <c r="J1150" i="2"/>
  <c r="L1150" i="2" s="1"/>
  <c r="E1150" i="2"/>
  <c r="B1150" i="2"/>
  <c r="J1149" i="2"/>
  <c r="L1149" i="2" s="1"/>
  <c r="E1149" i="2"/>
  <c r="B1149" i="2"/>
  <c r="J1148" i="2"/>
  <c r="L1148" i="2" s="1"/>
  <c r="E1148" i="2"/>
  <c r="B1148" i="2"/>
  <c r="J1147" i="2"/>
  <c r="L1147" i="2" s="1"/>
  <c r="E1147" i="2"/>
  <c r="B1147" i="2"/>
  <c r="J1146" i="2"/>
  <c r="L1146" i="2" s="1"/>
  <c r="E1146" i="2"/>
  <c r="B1146" i="2"/>
  <c r="J1145" i="2"/>
  <c r="L1145" i="2" s="1"/>
  <c r="E1145" i="2"/>
  <c r="B1145" i="2"/>
  <c r="J1144" i="2"/>
  <c r="L1144" i="2" s="1"/>
  <c r="E1144" i="2"/>
  <c r="B1144" i="2"/>
  <c r="J1143" i="2"/>
  <c r="L1143" i="2" s="1"/>
  <c r="E1143" i="2"/>
  <c r="B1143" i="2"/>
  <c r="J1142" i="2"/>
  <c r="L1142" i="2" s="1"/>
  <c r="E1142" i="2"/>
  <c r="B1142" i="2"/>
  <c r="J1141" i="2"/>
  <c r="L1141" i="2" s="1"/>
  <c r="E1141" i="2"/>
  <c r="B1141" i="2"/>
  <c r="J1140" i="2"/>
  <c r="L1140" i="2" s="1"/>
  <c r="E1140" i="2"/>
  <c r="B1140" i="2"/>
  <c r="J1139" i="2"/>
  <c r="L1139" i="2" s="1"/>
  <c r="E1139" i="2"/>
  <c r="B1139" i="2"/>
  <c r="J1138" i="2"/>
  <c r="L1138" i="2" s="1"/>
  <c r="E1138" i="2"/>
  <c r="B1138" i="2"/>
  <c r="J1137" i="2"/>
  <c r="L1137" i="2" s="1"/>
  <c r="E1137" i="2"/>
  <c r="B1137" i="2"/>
  <c r="J1136" i="2"/>
  <c r="L1136" i="2" s="1"/>
  <c r="E1136" i="2"/>
  <c r="B1136" i="2"/>
  <c r="J1135" i="2"/>
  <c r="L1135" i="2" s="1"/>
  <c r="E1135" i="2"/>
  <c r="B1135" i="2"/>
  <c r="J1134" i="2"/>
  <c r="L1134" i="2" s="1"/>
  <c r="E1134" i="2"/>
  <c r="B1134" i="2"/>
  <c r="J1133" i="2"/>
  <c r="L1133" i="2" s="1"/>
  <c r="E1133" i="2"/>
  <c r="B1133" i="2"/>
  <c r="J1132" i="2"/>
  <c r="L1132" i="2" s="1"/>
  <c r="E1132" i="2"/>
  <c r="B1132" i="2"/>
  <c r="J1131" i="2"/>
  <c r="L1131" i="2" s="1"/>
  <c r="E1131" i="2"/>
  <c r="B1131" i="2"/>
  <c r="J1130" i="2"/>
  <c r="L1130" i="2" s="1"/>
  <c r="E1130" i="2"/>
  <c r="B1130" i="2"/>
  <c r="J1129" i="2"/>
  <c r="L1129" i="2" s="1"/>
  <c r="E1129" i="2"/>
  <c r="B1129" i="2"/>
  <c r="J1128" i="2"/>
  <c r="L1128" i="2" s="1"/>
  <c r="E1128" i="2"/>
  <c r="B1128" i="2"/>
  <c r="J1127" i="2"/>
  <c r="L1127" i="2" s="1"/>
  <c r="E1127" i="2"/>
  <c r="B1127" i="2"/>
  <c r="J1126" i="2"/>
  <c r="L1126" i="2" s="1"/>
  <c r="E1126" i="2"/>
  <c r="B1126" i="2"/>
  <c r="J1125" i="2"/>
  <c r="L1125" i="2" s="1"/>
  <c r="E1125" i="2"/>
  <c r="B1125" i="2"/>
  <c r="J1124" i="2"/>
  <c r="L1124" i="2" s="1"/>
  <c r="E1124" i="2"/>
  <c r="B1124" i="2"/>
  <c r="J1123" i="2"/>
  <c r="L1123" i="2" s="1"/>
  <c r="E1123" i="2"/>
  <c r="B1123" i="2"/>
  <c r="J1122" i="2"/>
  <c r="L1122" i="2" s="1"/>
  <c r="E1122" i="2"/>
  <c r="B1122" i="2"/>
  <c r="J1121" i="2"/>
  <c r="L1121" i="2" s="1"/>
  <c r="E1121" i="2"/>
  <c r="B1121" i="2"/>
  <c r="J1120" i="2"/>
  <c r="L1120" i="2" s="1"/>
  <c r="E1120" i="2"/>
  <c r="B1120" i="2"/>
  <c r="J1119" i="2"/>
  <c r="L1119" i="2" s="1"/>
  <c r="E1119" i="2"/>
  <c r="B1119" i="2"/>
  <c r="J1118" i="2"/>
  <c r="L1118" i="2" s="1"/>
  <c r="E1118" i="2"/>
  <c r="B1118" i="2"/>
  <c r="J1117" i="2"/>
  <c r="L1117" i="2" s="1"/>
  <c r="E1117" i="2"/>
  <c r="B1117" i="2"/>
  <c r="J1116" i="2"/>
  <c r="L1116" i="2" s="1"/>
  <c r="E1116" i="2"/>
  <c r="B1116" i="2"/>
  <c r="J1115" i="2"/>
  <c r="L1115" i="2" s="1"/>
  <c r="E1115" i="2"/>
  <c r="B1115" i="2"/>
  <c r="J1114" i="2"/>
  <c r="L1114" i="2" s="1"/>
  <c r="E1114" i="2"/>
  <c r="B1114" i="2"/>
  <c r="J1113" i="2"/>
  <c r="L1113" i="2" s="1"/>
  <c r="E1113" i="2"/>
  <c r="B1113" i="2"/>
  <c r="J1112" i="2"/>
  <c r="L1112" i="2" s="1"/>
  <c r="E1112" i="2"/>
  <c r="B1112" i="2"/>
  <c r="J1111" i="2"/>
  <c r="L1111" i="2" s="1"/>
  <c r="E1111" i="2"/>
  <c r="B1111" i="2"/>
  <c r="J1110" i="2"/>
  <c r="L1110" i="2" s="1"/>
  <c r="E1110" i="2"/>
  <c r="B1110" i="2"/>
  <c r="J1109" i="2"/>
  <c r="L1109" i="2" s="1"/>
  <c r="E1109" i="2"/>
  <c r="B1109" i="2"/>
  <c r="J1108" i="2"/>
  <c r="L1108" i="2" s="1"/>
  <c r="E1108" i="2"/>
  <c r="B1108" i="2"/>
  <c r="J1107" i="2"/>
  <c r="L1107" i="2" s="1"/>
  <c r="E1107" i="2"/>
  <c r="B1107" i="2"/>
  <c r="J1106" i="2"/>
  <c r="L1106" i="2" s="1"/>
  <c r="E1106" i="2"/>
  <c r="B1106" i="2"/>
  <c r="J1105" i="2"/>
  <c r="L1105" i="2" s="1"/>
  <c r="E1105" i="2"/>
  <c r="B1105" i="2"/>
  <c r="J1104" i="2"/>
  <c r="L1104" i="2" s="1"/>
  <c r="E1104" i="2"/>
  <c r="B1104" i="2"/>
  <c r="J1103" i="2"/>
  <c r="L1103" i="2" s="1"/>
  <c r="E1103" i="2"/>
  <c r="B1103" i="2"/>
  <c r="J1102" i="2"/>
  <c r="L1102" i="2" s="1"/>
  <c r="E1102" i="2"/>
  <c r="B1102" i="2"/>
  <c r="J1101" i="2"/>
  <c r="L1101" i="2" s="1"/>
  <c r="E1101" i="2"/>
  <c r="B1101" i="2"/>
  <c r="J1100" i="2"/>
  <c r="L1100" i="2" s="1"/>
  <c r="E1100" i="2"/>
  <c r="B1100" i="2"/>
  <c r="J1099" i="2"/>
  <c r="L1099" i="2" s="1"/>
  <c r="E1099" i="2"/>
  <c r="B1099" i="2"/>
  <c r="J1098" i="2"/>
  <c r="L1098" i="2" s="1"/>
  <c r="E1098" i="2"/>
  <c r="B1098" i="2"/>
  <c r="J1097" i="2"/>
  <c r="L1097" i="2" s="1"/>
  <c r="E1097" i="2"/>
  <c r="B1097" i="2"/>
  <c r="J1096" i="2"/>
  <c r="L1096" i="2" s="1"/>
  <c r="E1096" i="2"/>
  <c r="B1096" i="2"/>
  <c r="J1095" i="2"/>
  <c r="L1095" i="2" s="1"/>
  <c r="E1095" i="2"/>
  <c r="B1095" i="2"/>
  <c r="J1094" i="2"/>
  <c r="L1094" i="2" s="1"/>
  <c r="E1094" i="2"/>
  <c r="B1094" i="2"/>
  <c r="J1093" i="2"/>
  <c r="L1093" i="2" s="1"/>
  <c r="E1093" i="2"/>
  <c r="B1093" i="2"/>
  <c r="J1092" i="2"/>
  <c r="L1092" i="2" s="1"/>
  <c r="E1092" i="2"/>
  <c r="B1092" i="2"/>
  <c r="J1091" i="2"/>
  <c r="L1091" i="2" s="1"/>
  <c r="E1091" i="2"/>
  <c r="B1091" i="2"/>
  <c r="J1090" i="2"/>
  <c r="L1090" i="2" s="1"/>
  <c r="E1090" i="2"/>
  <c r="B1090" i="2"/>
  <c r="J1089" i="2"/>
  <c r="L1089" i="2" s="1"/>
  <c r="E1089" i="2"/>
  <c r="B1089" i="2"/>
  <c r="J1088" i="2"/>
  <c r="L1088" i="2" s="1"/>
  <c r="E1088" i="2"/>
  <c r="B1088" i="2"/>
  <c r="J1087" i="2"/>
  <c r="L1087" i="2" s="1"/>
  <c r="E1087" i="2"/>
  <c r="B1087" i="2"/>
  <c r="J1086" i="2"/>
  <c r="L1086" i="2" s="1"/>
  <c r="E1086" i="2"/>
  <c r="B1086" i="2"/>
  <c r="J1085" i="2"/>
  <c r="L1085" i="2" s="1"/>
  <c r="E1085" i="2"/>
  <c r="B1085" i="2"/>
  <c r="J1084" i="2"/>
  <c r="L1084" i="2" s="1"/>
  <c r="E1084" i="2"/>
  <c r="B1084" i="2"/>
  <c r="J1083" i="2"/>
  <c r="L1083" i="2" s="1"/>
  <c r="E1083" i="2"/>
  <c r="B1083" i="2"/>
  <c r="J1082" i="2"/>
  <c r="L1082" i="2" s="1"/>
  <c r="E1082" i="2"/>
  <c r="B1082" i="2"/>
  <c r="J1081" i="2"/>
  <c r="L1081" i="2" s="1"/>
  <c r="E1081" i="2"/>
  <c r="B1081" i="2"/>
  <c r="J1080" i="2"/>
  <c r="L1080" i="2" s="1"/>
  <c r="E1080" i="2"/>
  <c r="B1080" i="2"/>
  <c r="J1079" i="2"/>
  <c r="L1079" i="2" s="1"/>
  <c r="E1079" i="2"/>
  <c r="B1079" i="2"/>
  <c r="J1078" i="2"/>
  <c r="L1078" i="2" s="1"/>
  <c r="E1078" i="2"/>
  <c r="B1078" i="2"/>
  <c r="J1077" i="2"/>
  <c r="L1077" i="2" s="1"/>
  <c r="E1077" i="2"/>
  <c r="B1077" i="2"/>
  <c r="J1076" i="2"/>
  <c r="L1076" i="2" s="1"/>
  <c r="E1076" i="2"/>
  <c r="B1076" i="2"/>
  <c r="J1075" i="2"/>
  <c r="L1075" i="2" s="1"/>
  <c r="E1075" i="2"/>
  <c r="B1075" i="2"/>
  <c r="J1074" i="2"/>
  <c r="L1074" i="2" s="1"/>
  <c r="E1074" i="2"/>
  <c r="B1074" i="2"/>
  <c r="J1073" i="2"/>
  <c r="L1073" i="2" s="1"/>
  <c r="E1073" i="2"/>
  <c r="B1073" i="2"/>
  <c r="J1072" i="2"/>
  <c r="L1072" i="2" s="1"/>
  <c r="E1072" i="2"/>
  <c r="B1072" i="2"/>
  <c r="J1071" i="2"/>
  <c r="L1071" i="2" s="1"/>
  <c r="E1071" i="2"/>
  <c r="B1071" i="2"/>
  <c r="J1070" i="2"/>
  <c r="L1070" i="2" s="1"/>
  <c r="E1070" i="2"/>
  <c r="B1070" i="2"/>
  <c r="J1069" i="2"/>
  <c r="L1069" i="2" s="1"/>
  <c r="E1069" i="2"/>
  <c r="B1069" i="2"/>
  <c r="J1068" i="2"/>
  <c r="L1068" i="2" s="1"/>
  <c r="E1068" i="2"/>
  <c r="B1068" i="2"/>
  <c r="J1067" i="2"/>
  <c r="L1067" i="2" s="1"/>
  <c r="E1067" i="2"/>
  <c r="B1067" i="2"/>
  <c r="J1066" i="2"/>
  <c r="L1066" i="2" s="1"/>
  <c r="E1066" i="2"/>
  <c r="B1066" i="2"/>
  <c r="J1065" i="2"/>
  <c r="L1065" i="2" s="1"/>
  <c r="E1065" i="2"/>
  <c r="B1065" i="2"/>
  <c r="J1064" i="2"/>
  <c r="L1064" i="2" s="1"/>
  <c r="E1064" i="2"/>
  <c r="B1064" i="2"/>
  <c r="J1063" i="2"/>
  <c r="L1063" i="2" s="1"/>
  <c r="E1063" i="2"/>
  <c r="B1063" i="2"/>
  <c r="J1062" i="2"/>
  <c r="L1062" i="2" s="1"/>
  <c r="E1062" i="2"/>
  <c r="B1062" i="2"/>
  <c r="J1061" i="2"/>
  <c r="L1061" i="2" s="1"/>
  <c r="E1061" i="2"/>
  <c r="B1061" i="2"/>
  <c r="J1060" i="2"/>
  <c r="L1060" i="2" s="1"/>
  <c r="E1060" i="2"/>
  <c r="B1060" i="2"/>
  <c r="J1059" i="2"/>
  <c r="L1059" i="2" s="1"/>
  <c r="E1059" i="2"/>
  <c r="B1059" i="2"/>
  <c r="J1058" i="2"/>
  <c r="L1058" i="2" s="1"/>
  <c r="E1058" i="2"/>
  <c r="B1058" i="2"/>
  <c r="J1057" i="2"/>
  <c r="L1057" i="2" s="1"/>
  <c r="E1057" i="2"/>
  <c r="B1057" i="2"/>
  <c r="J1056" i="2"/>
  <c r="L1056" i="2" s="1"/>
  <c r="E1056" i="2"/>
  <c r="B1056" i="2"/>
  <c r="J1055" i="2"/>
  <c r="L1055" i="2" s="1"/>
  <c r="E1055" i="2"/>
  <c r="B1055" i="2"/>
  <c r="J1054" i="2"/>
  <c r="L1054" i="2" s="1"/>
  <c r="E1054" i="2"/>
  <c r="B1054" i="2"/>
  <c r="J1053" i="2"/>
  <c r="L1053" i="2" s="1"/>
  <c r="E1053" i="2"/>
  <c r="B1053" i="2"/>
  <c r="J1052" i="2"/>
  <c r="L1052" i="2" s="1"/>
  <c r="E1052" i="2"/>
  <c r="B1052" i="2"/>
  <c r="J1051" i="2"/>
  <c r="L1051" i="2" s="1"/>
  <c r="E1051" i="2"/>
  <c r="B1051" i="2"/>
  <c r="J1050" i="2"/>
  <c r="L1050" i="2" s="1"/>
  <c r="E1050" i="2"/>
  <c r="B1050" i="2"/>
  <c r="J1049" i="2"/>
  <c r="L1049" i="2" s="1"/>
  <c r="E1049" i="2"/>
  <c r="B1049" i="2"/>
  <c r="J1048" i="2"/>
  <c r="L1048" i="2" s="1"/>
  <c r="E1048" i="2"/>
  <c r="B1048" i="2"/>
  <c r="J1047" i="2"/>
  <c r="L1047" i="2" s="1"/>
  <c r="E1047" i="2"/>
  <c r="B1047" i="2"/>
  <c r="J1046" i="2"/>
  <c r="L1046" i="2" s="1"/>
  <c r="E1046" i="2"/>
  <c r="B1046" i="2"/>
  <c r="J1045" i="2"/>
  <c r="L1045" i="2" s="1"/>
  <c r="E1045" i="2"/>
  <c r="B1045" i="2"/>
  <c r="J1044" i="2"/>
  <c r="L1044" i="2" s="1"/>
  <c r="E1044" i="2"/>
  <c r="B1044" i="2"/>
  <c r="J1043" i="2"/>
  <c r="L1043" i="2" s="1"/>
  <c r="E1043" i="2"/>
  <c r="B1043" i="2"/>
  <c r="J1042" i="2"/>
  <c r="L1042" i="2" s="1"/>
  <c r="E1042" i="2"/>
  <c r="B1042" i="2"/>
  <c r="J1041" i="2"/>
  <c r="L1041" i="2" s="1"/>
  <c r="E1041" i="2"/>
  <c r="B1041" i="2"/>
  <c r="J1040" i="2"/>
  <c r="L1040" i="2" s="1"/>
  <c r="E1040" i="2"/>
  <c r="B1040" i="2"/>
  <c r="J1039" i="2"/>
  <c r="L1039" i="2" s="1"/>
  <c r="E1039" i="2"/>
  <c r="B1039" i="2"/>
  <c r="J1038" i="2"/>
  <c r="L1038" i="2" s="1"/>
  <c r="E1038" i="2"/>
  <c r="B1038" i="2"/>
  <c r="J1037" i="2"/>
  <c r="L1037" i="2" s="1"/>
  <c r="E1037" i="2"/>
  <c r="B1037" i="2"/>
  <c r="J1036" i="2"/>
  <c r="L1036" i="2" s="1"/>
  <c r="E1036" i="2"/>
  <c r="B1036" i="2"/>
  <c r="J1035" i="2"/>
  <c r="L1035" i="2" s="1"/>
  <c r="E1035" i="2"/>
  <c r="B1035" i="2"/>
  <c r="J1034" i="2"/>
  <c r="L1034" i="2" s="1"/>
  <c r="E1034" i="2"/>
  <c r="B1034" i="2"/>
  <c r="J1033" i="2"/>
  <c r="L1033" i="2" s="1"/>
  <c r="E1033" i="2"/>
  <c r="B1033" i="2"/>
  <c r="J1032" i="2"/>
  <c r="L1032" i="2" s="1"/>
  <c r="E1032" i="2"/>
  <c r="B1032" i="2"/>
  <c r="J1031" i="2"/>
  <c r="L1031" i="2" s="1"/>
  <c r="E1031" i="2"/>
  <c r="B1031" i="2"/>
  <c r="J1030" i="2"/>
  <c r="L1030" i="2" s="1"/>
  <c r="E1030" i="2"/>
  <c r="B1030" i="2"/>
  <c r="J1029" i="2"/>
  <c r="L1029" i="2" s="1"/>
  <c r="E1029" i="2"/>
  <c r="B1029" i="2"/>
  <c r="J1028" i="2"/>
  <c r="L1028" i="2" s="1"/>
  <c r="E1028" i="2"/>
  <c r="B1028" i="2"/>
  <c r="J1027" i="2"/>
  <c r="L1027" i="2" s="1"/>
  <c r="E1027" i="2"/>
  <c r="B1027" i="2"/>
  <c r="J1026" i="2"/>
  <c r="L1026" i="2" s="1"/>
  <c r="E1026" i="2"/>
  <c r="B1026" i="2"/>
  <c r="J1025" i="2"/>
  <c r="L1025" i="2" s="1"/>
  <c r="E1025" i="2"/>
  <c r="B1025" i="2"/>
  <c r="J1024" i="2"/>
  <c r="L1024" i="2" s="1"/>
  <c r="E1024" i="2"/>
  <c r="B1024" i="2"/>
  <c r="J1023" i="2"/>
  <c r="L1023" i="2" s="1"/>
  <c r="E1023" i="2"/>
  <c r="B1023" i="2"/>
  <c r="J1022" i="2"/>
  <c r="L1022" i="2" s="1"/>
  <c r="E1022" i="2"/>
  <c r="B1022" i="2"/>
  <c r="J1021" i="2"/>
  <c r="L1021" i="2" s="1"/>
  <c r="E1021" i="2"/>
  <c r="B1021" i="2"/>
  <c r="J1020" i="2"/>
  <c r="L1020" i="2" s="1"/>
  <c r="E1020" i="2"/>
  <c r="B1020" i="2"/>
  <c r="J1019" i="2"/>
  <c r="L1019" i="2" s="1"/>
  <c r="E1019" i="2"/>
  <c r="B1019" i="2"/>
  <c r="J1018" i="2"/>
  <c r="L1018" i="2" s="1"/>
  <c r="E1018" i="2"/>
  <c r="B1018" i="2"/>
  <c r="J1017" i="2"/>
  <c r="L1017" i="2" s="1"/>
  <c r="E1017" i="2"/>
  <c r="B1017" i="2"/>
  <c r="J1016" i="2"/>
  <c r="L1016" i="2" s="1"/>
  <c r="E1016" i="2"/>
  <c r="B1016" i="2"/>
  <c r="J1015" i="2"/>
  <c r="L1015" i="2" s="1"/>
  <c r="E1015" i="2"/>
  <c r="B1015" i="2"/>
  <c r="J1014" i="2"/>
  <c r="L1014" i="2" s="1"/>
  <c r="E1014" i="2"/>
  <c r="B1014" i="2"/>
  <c r="J1013" i="2"/>
  <c r="L1013" i="2" s="1"/>
  <c r="E1013" i="2"/>
  <c r="B1013" i="2"/>
  <c r="J1012" i="2"/>
  <c r="L1012" i="2" s="1"/>
  <c r="E1012" i="2"/>
  <c r="B1012" i="2"/>
  <c r="J1011" i="2"/>
  <c r="L1011" i="2" s="1"/>
  <c r="E1011" i="2"/>
  <c r="B1011" i="2"/>
  <c r="J1010" i="2"/>
  <c r="L1010" i="2" s="1"/>
  <c r="E1010" i="2"/>
  <c r="B1010" i="2"/>
  <c r="J1009" i="2"/>
  <c r="L1009" i="2" s="1"/>
  <c r="E1009" i="2"/>
  <c r="B1009" i="2"/>
  <c r="J1008" i="2"/>
  <c r="L1008" i="2" s="1"/>
  <c r="E1008" i="2"/>
  <c r="B1008" i="2"/>
  <c r="J1007" i="2"/>
  <c r="L1007" i="2" s="1"/>
  <c r="E1007" i="2"/>
  <c r="B1007" i="2"/>
  <c r="J1006" i="2"/>
  <c r="L1006" i="2" s="1"/>
  <c r="E1006" i="2"/>
  <c r="B1006" i="2"/>
  <c r="J1005" i="2"/>
  <c r="L1005" i="2" s="1"/>
  <c r="E1005" i="2"/>
  <c r="B1005" i="2"/>
  <c r="J1004" i="2"/>
  <c r="L1004" i="2" s="1"/>
  <c r="E1004" i="2"/>
  <c r="B1004" i="2"/>
  <c r="J1003" i="2"/>
  <c r="L1003" i="2" s="1"/>
  <c r="E1003" i="2"/>
  <c r="B1003" i="2"/>
  <c r="J1002" i="2"/>
  <c r="L1002" i="2" s="1"/>
  <c r="E1002" i="2"/>
  <c r="B1002" i="2"/>
  <c r="J1001" i="2"/>
  <c r="L1001" i="2" s="1"/>
  <c r="E1001" i="2"/>
  <c r="B1001" i="2"/>
  <c r="J1000" i="2"/>
  <c r="L1000" i="2" s="1"/>
  <c r="E1000" i="2"/>
  <c r="B1000" i="2"/>
  <c r="J999" i="2"/>
  <c r="L999" i="2" s="1"/>
  <c r="E999" i="2"/>
  <c r="B999" i="2"/>
  <c r="J998" i="2"/>
  <c r="L998" i="2" s="1"/>
  <c r="E998" i="2"/>
  <c r="B998" i="2"/>
  <c r="J997" i="2"/>
  <c r="L997" i="2" s="1"/>
  <c r="E997" i="2"/>
  <c r="B997" i="2"/>
  <c r="J996" i="2"/>
  <c r="L996" i="2" s="1"/>
  <c r="E996" i="2"/>
  <c r="B996" i="2"/>
  <c r="J995" i="2"/>
  <c r="L995" i="2" s="1"/>
  <c r="E995" i="2"/>
  <c r="B995" i="2"/>
  <c r="J994" i="2"/>
  <c r="L994" i="2" s="1"/>
  <c r="E994" i="2"/>
  <c r="B994" i="2"/>
  <c r="J993" i="2"/>
  <c r="L993" i="2" s="1"/>
  <c r="E993" i="2"/>
  <c r="B993" i="2"/>
  <c r="J992" i="2"/>
  <c r="L992" i="2" s="1"/>
  <c r="E992" i="2"/>
  <c r="B992" i="2"/>
  <c r="J991" i="2"/>
  <c r="L991" i="2" s="1"/>
  <c r="E991" i="2"/>
  <c r="B991" i="2"/>
  <c r="J990" i="2"/>
  <c r="L990" i="2" s="1"/>
  <c r="E990" i="2"/>
  <c r="B990" i="2"/>
  <c r="J989" i="2"/>
  <c r="L989" i="2" s="1"/>
  <c r="E989" i="2"/>
  <c r="B989" i="2"/>
  <c r="J988" i="2"/>
  <c r="L988" i="2" s="1"/>
  <c r="E988" i="2"/>
  <c r="B988" i="2"/>
  <c r="J987" i="2"/>
  <c r="L987" i="2" s="1"/>
  <c r="E987" i="2"/>
  <c r="B987" i="2"/>
  <c r="J986" i="2"/>
  <c r="L986" i="2" s="1"/>
  <c r="E986" i="2"/>
  <c r="B986" i="2"/>
  <c r="J985" i="2"/>
  <c r="L985" i="2" s="1"/>
  <c r="E985" i="2"/>
  <c r="B985" i="2"/>
  <c r="J984" i="2"/>
  <c r="L984" i="2" s="1"/>
  <c r="E984" i="2"/>
  <c r="B984" i="2"/>
  <c r="J983" i="2"/>
  <c r="L983" i="2" s="1"/>
  <c r="E983" i="2"/>
  <c r="B983" i="2"/>
  <c r="J982" i="2"/>
  <c r="L982" i="2" s="1"/>
  <c r="E982" i="2"/>
  <c r="B982" i="2"/>
  <c r="J981" i="2"/>
  <c r="L981" i="2" s="1"/>
  <c r="E981" i="2"/>
  <c r="B981" i="2"/>
  <c r="J980" i="2"/>
  <c r="L980" i="2" s="1"/>
  <c r="E980" i="2"/>
  <c r="B980" i="2"/>
  <c r="J979" i="2"/>
  <c r="L979" i="2" s="1"/>
  <c r="E979" i="2"/>
  <c r="B979" i="2"/>
  <c r="J978" i="2"/>
  <c r="L978" i="2" s="1"/>
  <c r="E978" i="2"/>
  <c r="B978" i="2"/>
  <c r="J977" i="2"/>
  <c r="L977" i="2" s="1"/>
  <c r="E977" i="2"/>
  <c r="B977" i="2"/>
  <c r="J976" i="2"/>
  <c r="L976" i="2" s="1"/>
  <c r="E976" i="2"/>
  <c r="B976" i="2"/>
  <c r="J975" i="2"/>
  <c r="L975" i="2" s="1"/>
  <c r="E975" i="2"/>
  <c r="B975" i="2"/>
  <c r="J974" i="2"/>
  <c r="L974" i="2" s="1"/>
  <c r="E974" i="2"/>
  <c r="B974" i="2"/>
  <c r="J973" i="2"/>
  <c r="L973" i="2" s="1"/>
  <c r="E973" i="2"/>
  <c r="B973" i="2"/>
  <c r="J972" i="2"/>
  <c r="L972" i="2" s="1"/>
  <c r="E972" i="2"/>
  <c r="B972" i="2"/>
  <c r="J971" i="2"/>
  <c r="L971" i="2" s="1"/>
  <c r="E971" i="2"/>
  <c r="B971" i="2"/>
  <c r="J970" i="2"/>
  <c r="L970" i="2" s="1"/>
  <c r="E970" i="2"/>
  <c r="B970" i="2"/>
  <c r="J969" i="2"/>
  <c r="L969" i="2" s="1"/>
  <c r="E969" i="2"/>
  <c r="B969" i="2"/>
  <c r="J968" i="2"/>
  <c r="L968" i="2" s="1"/>
  <c r="E968" i="2"/>
  <c r="B968" i="2"/>
  <c r="J967" i="2"/>
  <c r="L967" i="2" s="1"/>
  <c r="E967" i="2"/>
  <c r="B967" i="2"/>
  <c r="J966" i="2"/>
  <c r="L966" i="2" s="1"/>
  <c r="E966" i="2"/>
  <c r="B966" i="2"/>
  <c r="J965" i="2"/>
  <c r="L965" i="2" s="1"/>
  <c r="E965" i="2"/>
  <c r="B965" i="2"/>
  <c r="J964" i="2"/>
  <c r="L964" i="2" s="1"/>
  <c r="E964" i="2"/>
  <c r="B964" i="2"/>
  <c r="J963" i="2"/>
  <c r="L963" i="2" s="1"/>
  <c r="E963" i="2"/>
  <c r="B963" i="2"/>
  <c r="J962" i="2"/>
  <c r="L962" i="2" s="1"/>
  <c r="E962" i="2"/>
  <c r="B962" i="2"/>
  <c r="J961" i="2"/>
  <c r="L961" i="2" s="1"/>
  <c r="E961" i="2"/>
  <c r="B961" i="2"/>
  <c r="J960" i="2"/>
  <c r="L960" i="2" s="1"/>
  <c r="E960" i="2"/>
  <c r="B960" i="2"/>
  <c r="J959" i="2"/>
  <c r="L959" i="2" s="1"/>
  <c r="E959" i="2"/>
  <c r="B959" i="2"/>
  <c r="J958" i="2"/>
  <c r="L958" i="2" s="1"/>
  <c r="E958" i="2"/>
  <c r="B958" i="2"/>
  <c r="J957" i="2"/>
  <c r="L957" i="2" s="1"/>
  <c r="E957" i="2"/>
  <c r="B957" i="2"/>
  <c r="J956" i="2"/>
  <c r="L956" i="2" s="1"/>
  <c r="E956" i="2"/>
  <c r="B956" i="2"/>
  <c r="J955" i="2"/>
  <c r="L955" i="2" s="1"/>
  <c r="E955" i="2"/>
  <c r="B955" i="2"/>
  <c r="J954" i="2"/>
  <c r="L954" i="2" s="1"/>
  <c r="E954" i="2"/>
  <c r="B954" i="2"/>
  <c r="J953" i="2"/>
  <c r="L953" i="2" s="1"/>
  <c r="E953" i="2"/>
  <c r="B953" i="2"/>
  <c r="J952" i="2"/>
  <c r="L952" i="2" s="1"/>
  <c r="E952" i="2"/>
  <c r="B952" i="2"/>
  <c r="J951" i="2"/>
  <c r="L951" i="2" s="1"/>
  <c r="E951" i="2"/>
  <c r="B951" i="2"/>
  <c r="J950" i="2"/>
  <c r="L950" i="2" s="1"/>
  <c r="E950" i="2"/>
  <c r="B950" i="2"/>
  <c r="J949" i="2"/>
  <c r="L949" i="2" s="1"/>
  <c r="E949" i="2"/>
  <c r="B949" i="2"/>
  <c r="J948" i="2"/>
  <c r="L948" i="2" s="1"/>
  <c r="E948" i="2"/>
  <c r="B948" i="2"/>
  <c r="J947" i="2"/>
  <c r="L947" i="2" s="1"/>
  <c r="E947" i="2"/>
  <c r="B947" i="2"/>
  <c r="J946" i="2"/>
  <c r="L946" i="2" s="1"/>
  <c r="E946" i="2"/>
  <c r="B946" i="2"/>
  <c r="J945" i="2"/>
  <c r="L945" i="2" s="1"/>
  <c r="E945" i="2"/>
  <c r="B945" i="2"/>
  <c r="J944" i="2"/>
  <c r="L944" i="2" s="1"/>
  <c r="E944" i="2"/>
  <c r="B944" i="2"/>
  <c r="J943" i="2"/>
  <c r="L943" i="2" s="1"/>
  <c r="E943" i="2"/>
  <c r="B943" i="2"/>
  <c r="J942" i="2"/>
  <c r="L942" i="2" s="1"/>
  <c r="E942" i="2"/>
  <c r="B942" i="2"/>
  <c r="J941" i="2"/>
  <c r="L941" i="2" s="1"/>
  <c r="E941" i="2"/>
  <c r="B941" i="2"/>
  <c r="J940" i="2"/>
  <c r="L940" i="2" s="1"/>
  <c r="E940" i="2"/>
  <c r="B940" i="2"/>
  <c r="J939" i="2"/>
  <c r="L939" i="2" s="1"/>
  <c r="E939" i="2"/>
  <c r="B939" i="2"/>
  <c r="J938" i="2"/>
  <c r="L938" i="2" s="1"/>
  <c r="E938" i="2"/>
  <c r="B938" i="2"/>
  <c r="J937" i="2"/>
  <c r="L937" i="2" s="1"/>
  <c r="E937" i="2"/>
  <c r="B937" i="2"/>
  <c r="J936" i="2"/>
  <c r="L936" i="2" s="1"/>
  <c r="E936" i="2"/>
  <c r="B936" i="2"/>
  <c r="J935" i="2"/>
  <c r="L935" i="2" s="1"/>
  <c r="E935" i="2"/>
  <c r="B935" i="2"/>
  <c r="J934" i="2"/>
  <c r="L934" i="2" s="1"/>
  <c r="E934" i="2"/>
  <c r="B934" i="2"/>
  <c r="J933" i="2"/>
  <c r="L933" i="2" s="1"/>
  <c r="E933" i="2"/>
  <c r="B933" i="2"/>
  <c r="J932" i="2"/>
  <c r="L932" i="2" s="1"/>
  <c r="E932" i="2"/>
  <c r="B932" i="2"/>
  <c r="J931" i="2"/>
  <c r="L931" i="2" s="1"/>
  <c r="E931" i="2"/>
  <c r="B931" i="2"/>
  <c r="J930" i="2"/>
  <c r="L930" i="2" s="1"/>
  <c r="E930" i="2"/>
  <c r="B930" i="2"/>
  <c r="J929" i="2"/>
  <c r="L929" i="2" s="1"/>
  <c r="E929" i="2"/>
  <c r="B929" i="2"/>
  <c r="J928" i="2"/>
  <c r="L928" i="2" s="1"/>
  <c r="E928" i="2"/>
  <c r="B928" i="2"/>
  <c r="J927" i="2"/>
  <c r="L927" i="2" s="1"/>
  <c r="E927" i="2"/>
  <c r="B927" i="2"/>
  <c r="J926" i="2"/>
  <c r="L926" i="2" s="1"/>
  <c r="E926" i="2"/>
  <c r="B926" i="2"/>
  <c r="J925" i="2"/>
  <c r="L925" i="2" s="1"/>
  <c r="E925" i="2"/>
  <c r="B925" i="2"/>
  <c r="J924" i="2"/>
  <c r="L924" i="2" s="1"/>
  <c r="E924" i="2"/>
  <c r="B924" i="2"/>
  <c r="J923" i="2"/>
  <c r="L923" i="2" s="1"/>
  <c r="E923" i="2"/>
  <c r="B923" i="2"/>
  <c r="J922" i="2"/>
  <c r="L922" i="2" s="1"/>
  <c r="E922" i="2"/>
  <c r="B922" i="2"/>
  <c r="J921" i="2"/>
  <c r="L921" i="2" s="1"/>
  <c r="E921" i="2"/>
  <c r="B921" i="2"/>
  <c r="J920" i="2"/>
  <c r="L920" i="2" s="1"/>
  <c r="E920" i="2"/>
  <c r="B920" i="2"/>
  <c r="J919" i="2"/>
  <c r="L919" i="2" s="1"/>
  <c r="E919" i="2"/>
  <c r="B919" i="2"/>
  <c r="J918" i="2"/>
  <c r="L918" i="2" s="1"/>
  <c r="E918" i="2"/>
  <c r="B918" i="2"/>
  <c r="J917" i="2"/>
  <c r="L917" i="2" s="1"/>
  <c r="E917" i="2"/>
  <c r="B917" i="2"/>
  <c r="J916" i="2"/>
  <c r="L916" i="2" s="1"/>
  <c r="E916" i="2"/>
  <c r="B916" i="2"/>
  <c r="J915" i="2"/>
  <c r="L915" i="2" s="1"/>
  <c r="E915" i="2"/>
  <c r="B915" i="2"/>
  <c r="J914" i="2"/>
  <c r="L914" i="2" s="1"/>
  <c r="E914" i="2"/>
  <c r="B914" i="2"/>
  <c r="J913" i="2"/>
  <c r="L913" i="2" s="1"/>
  <c r="E913" i="2"/>
  <c r="B913" i="2"/>
  <c r="J912" i="2"/>
  <c r="L912" i="2" s="1"/>
  <c r="E912" i="2"/>
  <c r="B912" i="2"/>
  <c r="J911" i="2"/>
  <c r="L911" i="2" s="1"/>
  <c r="E911" i="2"/>
  <c r="B911" i="2"/>
  <c r="J910" i="2"/>
  <c r="L910" i="2" s="1"/>
  <c r="E910" i="2"/>
  <c r="B910" i="2"/>
  <c r="J909" i="2"/>
  <c r="L909" i="2" s="1"/>
  <c r="E909" i="2"/>
  <c r="B909" i="2"/>
  <c r="J908" i="2"/>
  <c r="L908" i="2" s="1"/>
  <c r="E908" i="2"/>
  <c r="B908" i="2"/>
  <c r="J907" i="2"/>
  <c r="L907" i="2" s="1"/>
  <c r="E907" i="2"/>
  <c r="B907" i="2"/>
  <c r="J906" i="2"/>
  <c r="L906" i="2" s="1"/>
  <c r="E906" i="2"/>
  <c r="B906" i="2"/>
  <c r="J905" i="2"/>
  <c r="L905" i="2" s="1"/>
  <c r="E905" i="2"/>
  <c r="B905" i="2"/>
  <c r="J904" i="2"/>
  <c r="L904" i="2" s="1"/>
  <c r="E904" i="2"/>
  <c r="B904" i="2"/>
  <c r="J903" i="2"/>
  <c r="L903" i="2" s="1"/>
  <c r="E903" i="2"/>
  <c r="B903" i="2"/>
  <c r="J902" i="2"/>
  <c r="L902" i="2" s="1"/>
  <c r="E902" i="2"/>
  <c r="B902" i="2"/>
  <c r="J901" i="2"/>
  <c r="L901" i="2" s="1"/>
  <c r="E901" i="2"/>
  <c r="B901" i="2"/>
  <c r="J900" i="2"/>
  <c r="L900" i="2" s="1"/>
  <c r="E900" i="2"/>
  <c r="B900" i="2"/>
  <c r="J899" i="2"/>
  <c r="L899" i="2" s="1"/>
  <c r="E899" i="2"/>
  <c r="B899" i="2"/>
  <c r="J898" i="2"/>
  <c r="L898" i="2" s="1"/>
  <c r="E898" i="2"/>
  <c r="B898" i="2"/>
  <c r="J897" i="2"/>
  <c r="L897" i="2" s="1"/>
  <c r="E897" i="2"/>
  <c r="B897" i="2"/>
  <c r="J896" i="2"/>
  <c r="L896" i="2" s="1"/>
  <c r="E896" i="2"/>
  <c r="B896" i="2"/>
  <c r="J895" i="2"/>
  <c r="L895" i="2" s="1"/>
  <c r="E895" i="2"/>
  <c r="B895" i="2"/>
  <c r="J894" i="2"/>
  <c r="L894" i="2" s="1"/>
  <c r="E894" i="2"/>
  <c r="B894" i="2"/>
  <c r="J893" i="2"/>
  <c r="L893" i="2" s="1"/>
  <c r="E893" i="2"/>
  <c r="B893" i="2"/>
  <c r="J892" i="2"/>
  <c r="L892" i="2" s="1"/>
  <c r="E892" i="2"/>
  <c r="B892" i="2"/>
  <c r="J891" i="2"/>
  <c r="L891" i="2" s="1"/>
  <c r="E891" i="2"/>
  <c r="B891" i="2"/>
  <c r="J890" i="2"/>
  <c r="L890" i="2" s="1"/>
  <c r="E890" i="2"/>
  <c r="B890" i="2"/>
  <c r="J889" i="2"/>
  <c r="L889" i="2" s="1"/>
  <c r="E889" i="2"/>
  <c r="B889" i="2"/>
  <c r="J888" i="2"/>
  <c r="L888" i="2" s="1"/>
  <c r="E888" i="2"/>
  <c r="B888" i="2"/>
  <c r="J887" i="2"/>
  <c r="L887" i="2" s="1"/>
  <c r="E887" i="2"/>
  <c r="B887" i="2"/>
  <c r="J886" i="2"/>
  <c r="L886" i="2" s="1"/>
  <c r="E886" i="2"/>
  <c r="B886" i="2"/>
  <c r="J885" i="2"/>
  <c r="L885" i="2" s="1"/>
  <c r="E885" i="2"/>
  <c r="B885" i="2"/>
  <c r="J884" i="2"/>
  <c r="L884" i="2" s="1"/>
  <c r="E884" i="2"/>
  <c r="B884" i="2"/>
  <c r="J883" i="2"/>
  <c r="L883" i="2" s="1"/>
  <c r="E883" i="2"/>
  <c r="B883" i="2"/>
  <c r="J882" i="2"/>
  <c r="L882" i="2" s="1"/>
  <c r="E882" i="2"/>
  <c r="B882" i="2"/>
  <c r="J881" i="2"/>
  <c r="L881" i="2" s="1"/>
  <c r="E881" i="2"/>
  <c r="B881" i="2"/>
  <c r="J880" i="2"/>
  <c r="L880" i="2" s="1"/>
  <c r="E880" i="2"/>
  <c r="B880" i="2"/>
  <c r="J879" i="2"/>
  <c r="L879" i="2" s="1"/>
  <c r="E879" i="2"/>
  <c r="B879" i="2"/>
  <c r="J878" i="2"/>
  <c r="L878" i="2" s="1"/>
  <c r="E878" i="2"/>
  <c r="B878" i="2"/>
  <c r="J877" i="2"/>
  <c r="L877" i="2" s="1"/>
  <c r="E877" i="2"/>
  <c r="B877" i="2"/>
  <c r="J876" i="2"/>
  <c r="L876" i="2" s="1"/>
  <c r="E876" i="2"/>
  <c r="B876" i="2"/>
  <c r="J875" i="2"/>
  <c r="L875" i="2" s="1"/>
  <c r="E875" i="2"/>
  <c r="B875" i="2"/>
  <c r="J874" i="2"/>
  <c r="L874" i="2" s="1"/>
  <c r="E874" i="2"/>
  <c r="B874" i="2"/>
  <c r="J873" i="2"/>
  <c r="L873" i="2" s="1"/>
  <c r="E873" i="2"/>
  <c r="B873" i="2"/>
  <c r="J872" i="2"/>
  <c r="L872" i="2" s="1"/>
  <c r="E872" i="2"/>
  <c r="B872" i="2"/>
  <c r="J871" i="2"/>
  <c r="L871" i="2" s="1"/>
  <c r="E871" i="2"/>
  <c r="B871" i="2"/>
  <c r="J870" i="2"/>
  <c r="L870" i="2" s="1"/>
  <c r="E870" i="2"/>
  <c r="B870" i="2"/>
  <c r="J869" i="2"/>
  <c r="L869" i="2" s="1"/>
  <c r="E869" i="2"/>
  <c r="B869" i="2"/>
  <c r="J868" i="2"/>
  <c r="L868" i="2" s="1"/>
  <c r="E868" i="2"/>
  <c r="B868" i="2"/>
  <c r="J867" i="2"/>
  <c r="L867" i="2" s="1"/>
  <c r="E867" i="2"/>
  <c r="B867" i="2"/>
  <c r="J866" i="2"/>
  <c r="L866" i="2" s="1"/>
  <c r="E866" i="2"/>
  <c r="B866" i="2"/>
  <c r="J865" i="2"/>
  <c r="L865" i="2" s="1"/>
  <c r="E865" i="2"/>
  <c r="B865" i="2"/>
  <c r="J864" i="2"/>
  <c r="L864" i="2" s="1"/>
  <c r="E864" i="2"/>
  <c r="B864" i="2"/>
  <c r="J863" i="2"/>
  <c r="L863" i="2" s="1"/>
  <c r="E863" i="2"/>
  <c r="B863" i="2"/>
  <c r="J862" i="2"/>
  <c r="L862" i="2" s="1"/>
  <c r="E862" i="2"/>
  <c r="B862" i="2"/>
  <c r="J861" i="2"/>
  <c r="L861" i="2" s="1"/>
  <c r="E861" i="2"/>
  <c r="B861" i="2"/>
  <c r="J860" i="2"/>
  <c r="L860" i="2" s="1"/>
  <c r="E860" i="2"/>
  <c r="B860" i="2"/>
  <c r="J859" i="2"/>
  <c r="L859" i="2" s="1"/>
  <c r="E859" i="2"/>
  <c r="B859" i="2"/>
  <c r="J858" i="2"/>
  <c r="L858" i="2" s="1"/>
  <c r="E858" i="2"/>
  <c r="B858" i="2"/>
  <c r="J857" i="2"/>
  <c r="L857" i="2" s="1"/>
  <c r="E857" i="2"/>
  <c r="B857" i="2"/>
  <c r="J856" i="2"/>
  <c r="L856" i="2" s="1"/>
  <c r="E856" i="2"/>
  <c r="B856" i="2"/>
  <c r="J855" i="2"/>
  <c r="L855" i="2" s="1"/>
  <c r="E855" i="2"/>
  <c r="B855" i="2"/>
  <c r="J854" i="2"/>
  <c r="L854" i="2" s="1"/>
  <c r="E854" i="2"/>
  <c r="B854" i="2"/>
  <c r="J853" i="2"/>
  <c r="L853" i="2" s="1"/>
  <c r="E853" i="2"/>
  <c r="B853" i="2"/>
  <c r="J852" i="2"/>
  <c r="L852" i="2" s="1"/>
  <c r="E852" i="2"/>
  <c r="B852" i="2"/>
  <c r="J851" i="2"/>
  <c r="L851" i="2" s="1"/>
  <c r="E851" i="2"/>
  <c r="B851" i="2"/>
  <c r="J850" i="2"/>
  <c r="L850" i="2" s="1"/>
  <c r="E850" i="2"/>
  <c r="B850" i="2"/>
  <c r="J849" i="2"/>
  <c r="L849" i="2" s="1"/>
  <c r="E849" i="2"/>
  <c r="B849" i="2"/>
  <c r="J848" i="2"/>
  <c r="L848" i="2" s="1"/>
  <c r="E848" i="2"/>
  <c r="B848" i="2"/>
  <c r="J847" i="2"/>
  <c r="L847" i="2" s="1"/>
  <c r="E847" i="2"/>
  <c r="B847" i="2"/>
  <c r="J846" i="2"/>
  <c r="L846" i="2" s="1"/>
  <c r="E846" i="2"/>
  <c r="B846" i="2"/>
  <c r="J845" i="2"/>
  <c r="L845" i="2" s="1"/>
  <c r="E845" i="2"/>
  <c r="B845" i="2"/>
  <c r="J844" i="2"/>
  <c r="L844" i="2" s="1"/>
  <c r="E844" i="2"/>
  <c r="B844" i="2"/>
  <c r="J843" i="2"/>
  <c r="L843" i="2" s="1"/>
  <c r="E843" i="2"/>
  <c r="B843" i="2"/>
  <c r="J842" i="2"/>
  <c r="L842" i="2" s="1"/>
  <c r="E842" i="2"/>
  <c r="B842" i="2"/>
  <c r="J841" i="2"/>
  <c r="L841" i="2" s="1"/>
  <c r="E841" i="2"/>
  <c r="B841" i="2"/>
  <c r="J840" i="2"/>
  <c r="L840" i="2" s="1"/>
  <c r="E840" i="2"/>
  <c r="B840" i="2"/>
  <c r="J839" i="2"/>
  <c r="L839" i="2" s="1"/>
  <c r="E839" i="2"/>
  <c r="B839" i="2"/>
  <c r="J838" i="2"/>
  <c r="L838" i="2" s="1"/>
  <c r="E838" i="2"/>
  <c r="B838" i="2"/>
  <c r="J837" i="2"/>
  <c r="L837" i="2" s="1"/>
  <c r="E837" i="2"/>
  <c r="B837" i="2"/>
  <c r="J836" i="2"/>
  <c r="L836" i="2" s="1"/>
  <c r="E836" i="2"/>
  <c r="B836" i="2"/>
  <c r="J835" i="2"/>
  <c r="L835" i="2" s="1"/>
  <c r="E835" i="2"/>
  <c r="B835" i="2"/>
  <c r="J834" i="2"/>
  <c r="L834" i="2" s="1"/>
  <c r="E834" i="2"/>
  <c r="B834" i="2"/>
  <c r="J833" i="2"/>
  <c r="L833" i="2" s="1"/>
  <c r="E833" i="2"/>
  <c r="B833" i="2"/>
  <c r="J832" i="2"/>
  <c r="L832" i="2" s="1"/>
  <c r="E832" i="2"/>
  <c r="B832" i="2"/>
  <c r="J831" i="2"/>
  <c r="L831" i="2" s="1"/>
  <c r="E831" i="2"/>
  <c r="B831" i="2"/>
  <c r="J830" i="2"/>
  <c r="L830" i="2" s="1"/>
  <c r="E830" i="2"/>
  <c r="B830" i="2"/>
  <c r="J829" i="2"/>
  <c r="L829" i="2" s="1"/>
  <c r="E829" i="2"/>
  <c r="B829" i="2"/>
  <c r="J828" i="2"/>
  <c r="L828" i="2" s="1"/>
  <c r="E828" i="2"/>
  <c r="B828" i="2"/>
  <c r="J827" i="2"/>
  <c r="L827" i="2" s="1"/>
  <c r="E827" i="2"/>
  <c r="B827" i="2"/>
  <c r="J826" i="2"/>
  <c r="L826" i="2" s="1"/>
  <c r="E826" i="2"/>
  <c r="B826" i="2"/>
  <c r="J825" i="2"/>
  <c r="L825" i="2" s="1"/>
  <c r="E825" i="2"/>
  <c r="B825" i="2"/>
  <c r="J824" i="2"/>
  <c r="L824" i="2" s="1"/>
  <c r="E824" i="2"/>
  <c r="B824" i="2"/>
  <c r="J823" i="2"/>
  <c r="L823" i="2" s="1"/>
  <c r="E823" i="2"/>
  <c r="B823" i="2"/>
  <c r="J822" i="2"/>
  <c r="L822" i="2" s="1"/>
  <c r="E822" i="2"/>
  <c r="B822" i="2"/>
  <c r="J821" i="2"/>
  <c r="L821" i="2" s="1"/>
  <c r="E821" i="2"/>
  <c r="B821" i="2"/>
  <c r="J820" i="2"/>
  <c r="L820" i="2" s="1"/>
  <c r="E820" i="2"/>
  <c r="B820" i="2"/>
  <c r="J819" i="2"/>
  <c r="L819" i="2" s="1"/>
  <c r="E819" i="2"/>
  <c r="B819" i="2"/>
  <c r="J818" i="2"/>
  <c r="L818" i="2" s="1"/>
  <c r="E818" i="2"/>
  <c r="B818" i="2"/>
  <c r="J817" i="2"/>
  <c r="L817" i="2" s="1"/>
  <c r="E817" i="2"/>
  <c r="B817" i="2"/>
  <c r="J816" i="2"/>
  <c r="L816" i="2" s="1"/>
  <c r="E816" i="2"/>
  <c r="B816" i="2"/>
  <c r="J815" i="2"/>
  <c r="L815" i="2" s="1"/>
  <c r="E815" i="2"/>
  <c r="B815" i="2"/>
  <c r="J814" i="2"/>
  <c r="L814" i="2" s="1"/>
  <c r="E814" i="2"/>
  <c r="B814" i="2"/>
  <c r="J813" i="2"/>
  <c r="L813" i="2" s="1"/>
  <c r="E813" i="2"/>
  <c r="B813" i="2"/>
  <c r="J812" i="2"/>
  <c r="L812" i="2" s="1"/>
  <c r="E812" i="2"/>
  <c r="B812" i="2"/>
  <c r="J811" i="2"/>
  <c r="L811" i="2" s="1"/>
  <c r="E811" i="2"/>
  <c r="B811" i="2"/>
  <c r="J810" i="2"/>
  <c r="L810" i="2" s="1"/>
  <c r="E810" i="2"/>
  <c r="B810" i="2"/>
  <c r="J809" i="2"/>
  <c r="L809" i="2" s="1"/>
  <c r="E809" i="2"/>
  <c r="B809" i="2"/>
  <c r="J808" i="2"/>
  <c r="L808" i="2" s="1"/>
  <c r="E808" i="2"/>
  <c r="B808" i="2"/>
  <c r="J807" i="2"/>
  <c r="L807" i="2" s="1"/>
  <c r="E807" i="2"/>
  <c r="B807" i="2"/>
  <c r="J806" i="2"/>
  <c r="L806" i="2" s="1"/>
  <c r="E806" i="2"/>
  <c r="B806" i="2"/>
  <c r="J805" i="2"/>
  <c r="L805" i="2" s="1"/>
  <c r="E805" i="2"/>
  <c r="B805" i="2"/>
  <c r="J804" i="2"/>
  <c r="L804" i="2" s="1"/>
  <c r="E804" i="2"/>
  <c r="B804" i="2"/>
  <c r="J803" i="2"/>
  <c r="L803" i="2" s="1"/>
  <c r="E803" i="2"/>
  <c r="B803" i="2"/>
  <c r="J802" i="2"/>
  <c r="L802" i="2" s="1"/>
  <c r="E802" i="2"/>
  <c r="B802" i="2"/>
  <c r="J801" i="2"/>
  <c r="L801" i="2" s="1"/>
  <c r="E801" i="2"/>
  <c r="B801" i="2"/>
  <c r="J800" i="2"/>
  <c r="L800" i="2" s="1"/>
  <c r="E800" i="2"/>
  <c r="B800" i="2"/>
  <c r="J799" i="2"/>
  <c r="L799" i="2" s="1"/>
  <c r="E799" i="2"/>
  <c r="B799" i="2"/>
  <c r="J798" i="2"/>
  <c r="L798" i="2" s="1"/>
  <c r="E798" i="2"/>
  <c r="B798" i="2"/>
  <c r="J797" i="2"/>
  <c r="L797" i="2" s="1"/>
  <c r="E797" i="2"/>
  <c r="B797" i="2"/>
  <c r="J796" i="2"/>
  <c r="L796" i="2" s="1"/>
  <c r="E796" i="2"/>
  <c r="B796" i="2"/>
  <c r="J795" i="2"/>
  <c r="L795" i="2" s="1"/>
  <c r="E795" i="2"/>
  <c r="B795" i="2"/>
  <c r="J794" i="2"/>
  <c r="L794" i="2" s="1"/>
  <c r="E794" i="2"/>
  <c r="B794" i="2"/>
  <c r="J793" i="2"/>
  <c r="L793" i="2" s="1"/>
  <c r="E793" i="2"/>
  <c r="B793" i="2"/>
  <c r="J792" i="2"/>
  <c r="L792" i="2" s="1"/>
  <c r="E792" i="2"/>
  <c r="B792" i="2"/>
  <c r="J791" i="2"/>
  <c r="L791" i="2" s="1"/>
  <c r="E791" i="2"/>
  <c r="B791" i="2"/>
  <c r="J790" i="2"/>
  <c r="L790" i="2" s="1"/>
  <c r="E790" i="2"/>
  <c r="B790" i="2"/>
  <c r="J789" i="2"/>
  <c r="L789" i="2" s="1"/>
  <c r="E789" i="2"/>
  <c r="B789" i="2"/>
  <c r="J788" i="2"/>
  <c r="L788" i="2" s="1"/>
  <c r="E788" i="2"/>
  <c r="B788" i="2"/>
  <c r="J787" i="2"/>
  <c r="L787" i="2" s="1"/>
  <c r="E787" i="2"/>
  <c r="B787" i="2"/>
  <c r="J786" i="2"/>
  <c r="L786" i="2" s="1"/>
  <c r="E786" i="2"/>
  <c r="B786" i="2"/>
  <c r="J785" i="2"/>
  <c r="L785" i="2" s="1"/>
  <c r="E785" i="2"/>
  <c r="B785" i="2"/>
  <c r="J784" i="2"/>
  <c r="L784" i="2" s="1"/>
  <c r="E784" i="2"/>
  <c r="B784" i="2"/>
  <c r="J783" i="2"/>
  <c r="L783" i="2" s="1"/>
  <c r="E783" i="2"/>
  <c r="B783" i="2"/>
  <c r="J782" i="2"/>
  <c r="L782" i="2" s="1"/>
  <c r="E782" i="2"/>
  <c r="B782" i="2"/>
  <c r="J781" i="2"/>
  <c r="L781" i="2" s="1"/>
  <c r="E781" i="2"/>
  <c r="B781" i="2"/>
  <c r="J780" i="2"/>
  <c r="L780" i="2" s="1"/>
  <c r="E780" i="2"/>
  <c r="B780" i="2"/>
  <c r="J779" i="2"/>
  <c r="L779" i="2" s="1"/>
  <c r="E779" i="2"/>
  <c r="B779" i="2"/>
  <c r="J778" i="2"/>
  <c r="L778" i="2" s="1"/>
  <c r="E778" i="2"/>
  <c r="B778" i="2"/>
  <c r="J777" i="2"/>
  <c r="L777" i="2" s="1"/>
  <c r="E777" i="2"/>
  <c r="B777" i="2"/>
  <c r="J776" i="2"/>
  <c r="L776" i="2" s="1"/>
  <c r="E776" i="2"/>
  <c r="B776" i="2"/>
  <c r="J775" i="2"/>
  <c r="L775" i="2" s="1"/>
  <c r="E775" i="2"/>
  <c r="B775" i="2"/>
  <c r="J774" i="2"/>
  <c r="L774" i="2" s="1"/>
  <c r="E774" i="2"/>
  <c r="B774" i="2"/>
  <c r="J773" i="2"/>
  <c r="L773" i="2" s="1"/>
  <c r="E773" i="2"/>
  <c r="B773" i="2"/>
  <c r="J772" i="2"/>
  <c r="L772" i="2" s="1"/>
  <c r="E772" i="2"/>
  <c r="B772" i="2"/>
  <c r="J771" i="2"/>
  <c r="L771" i="2" s="1"/>
  <c r="E771" i="2"/>
  <c r="B771" i="2"/>
  <c r="J770" i="2"/>
  <c r="L770" i="2" s="1"/>
  <c r="E770" i="2"/>
  <c r="B770" i="2"/>
  <c r="J769" i="2"/>
  <c r="L769" i="2" s="1"/>
  <c r="E769" i="2"/>
  <c r="B769" i="2"/>
  <c r="J768" i="2"/>
  <c r="L768" i="2" s="1"/>
  <c r="E768" i="2"/>
  <c r="B768" i="2"/>
  <c r="J767" i="2"/>
  <c r="L767" i="2" s="1"/>
  <c r="E767" i="2"/>
  <c r="B767" i="2"/>
  <c r="J766" i="2"/>
  <c r="L766" i="2" s="1"/>
  <c r="E766" i="2"/>
  <c r="B766" i="2"/>
  <c r="J765" i="2"/>
  <c r="L765" i="2" s="1"/>
  <c r="E765" i="2"/>
  <c r="B765" i="2"/>
  <c r="J764" i="2"/>
  <c r="L764" i="2" s="1"/>
  <c r="E764" i="2"/>
  <c r="B764" i="2"/>
  <c r="J763" i="2"/>
  <c r="L763" i="2" s="1"/>
  <c r="E763" i="2"/>
  <c r="B763" i="2"/>
  <c r="J762" i="2"/>
  <c r="L762" i="2" s="1"/>
  <c r="E762" i="2"/>
  <c r="B762" i="2"/>
  <c r="J761" i="2"/>
  <c r="L761" i="2" s="1"/>
  <c r="E761" i="2"/>
  <c r="B761" i="2"/>
  <c r="J760" i="2"/>
  <c r="L760" i="2" s="1"/>
  <c r="E760" i="2"/>
  <c r="B760" i="2"/>
  <c r="J759" i="2"/>
  <c r="L759" i="2" s="1"/>
  <c r="E759" i="2"/>
  <c r="B759" i="2"/>
  <c r="J758" i="2"/>
  <c r="L758" i="2" s="1"/>
  <c r="E758" i="2"/>
  <c r="B758" i="2"/>
  <c r="J757" i="2"/>
  <c r="L757" i="2" s="1"/>
  <c r="E757" i="2"/>
  <c r="B757" i="2"/>
  <c r="J756" i="2"/>
  <c r="L756" i="2" s="1"/>
  <c r="E756" i="2"/>
  <c r="B756" i="2"/>
  <c r="J755" i="2"/>
  <c r="L755" i="2" s="1"/>
  <c r="E755" i="2"/>
  <c r="B755" i="2"/>
  <c r="J754" i="2"/>
  <c r="L754" i="2" s="1"/>
  <c r="E754" i="2"/>
  <c r="B754" i="2"/>
  <c r="J753" i="2"/>
  <c r="L753" i="2" s="1"/>
  <c r="E753" i="2"/>
  <c r="B753" i="2"/>
  <c r="J752" i="2"/>
  <c r="L752" i="2" s="1"/>
  <c r="E752" i="2"/>
  <c r="B752" i="2"/>
  <c r="J751" i="2"/>
  <c r="L751" i="2" s="1"/>
  <c r="E751" i="2"/>
  <c r="B751" i="2"/>
  <c r="J750" i="2"/>
  <c r="L750" i="2" s="1"/>
  <c r="E750" i="2"/>
  <c r="B750" i="2"/>
  <c r="J749" i="2"/>
  <c r="L749" i="2" s="1"/>
  <c r="E749" i="2"/>
  <c r="B749" i="2"/>
  <c r="J748" i="2"/>
  <c r="L748" i="2" s="1"/>
  <c r="E748" i="2"/>
  <c r="B748" i="2"/>
  <c r="J747" i="2"/>
  <c r="L747" i="2" s="1"/>
  <c r="E747" i="2"/>
  <c r="B747" i="2"/>
  <c r="J746" i="2"/>
  <c r="L746" i="2" s="1"/>
  <c r="E746" i="2"/>
  <c r="B746" i="2"/>
  <c r="J745" i="2"/>
  <c r="L745" i="2" s="1"/>
  <c r="E745" i="2"/>
  <c r="B745" i="2"/>
  <c r="J744" i="2"/>
  <c r="L744" i="2" s="1"/>
  <c r="E744" i="2"/>
  <c r="B744" i="2"/>
  <c r="J743" i="2"/>
  <c r="L743" i="2" s="1"/>
  <c r="E743" i="2"/>
  <c r="B743" i="2"/>
  <c r="J742" i="2"/>
  <c r="L742" i="2" s="1"/>
  <c r="E742" i="2"/>
  <c r="B742" i="2"/>
  <c r="J741" i="2"/>
  <c r="L741" i="2" s="1"/>
  <c r="E741" i="2"/>
  <c r="B741" i="2"/>
  <c r="J740" i="2"/>
  <c r="L740" i="2" s="1"/>
  <c r="E740" i="2"/>
  <c r="B740" i="2"/>
  <c r="J739" i="2"/>
  <c r="L739" i="2" s="1"/>
  <c r="E739" i="2"/>
  <c r="B739" i="2"/>
  <c r="J738" i="2"/>
  <c r="L738" i="2" s="1"/>
  <c r="E738" i="2"/>
  <c r="B738" i="2"/>
  <c r="J737" i="2"/>
  <c r="L737" i="2" s="1"/>
  <c r="E737" i="2"/>
  <c r="B737" i="2"/>
  <c r="J736" i="2"/>
  <c r="L736" i="2" s="1"/>
  <c r="E736" i="2"/>
  <c r="B736" i="2"/>
  <c r="J735" i="2"/>
  <c r="L735" i="2" s="1"/>
  <c r="E735" i="2"/>
  <c r="B735" i="2"/>
  <c r="J734" i="2"/>
  <c r="L734" i="2" s="1"/>
  <c r="E734" i="2"/>
  <c r="B734" i="2"/>
  <c r="J733" i="2"/>
  <c r="L733" i="2" s="1"/>
  <c r="E733" i="2"/>
  <c r="B733" i="2"/>
  <c r="J732" i="2"/>
  <c r="L732" i="2" s="1"/>
  <c r="E732" i="2"/>
  <c r="B732" i="2"/>
  <c r="J731" i="2"/>
  <c r="L731" i="2" s="1"/>
  <c r="E731" i="2"/>
  <c r="B731" i="2"/>
  <c r="J730" i="2"/>
  <c r="L730" i="2" s="1"/>
  <c r="E730" i="2"/>
  <c r="B730" i="2"/>
  <c r="J729" i="2"/>
  <c r="L729" i="2" s="1"/>
  <c r="E729" i="2"/>
  <c r="B729" i="2"/>
  <c r="J728" i="2"/>
  <c r="L728" i="2" s="1"/>
  <c r="E728" i="2"/>
  <c r="B728" i="2"/>
  <c r="J727" i="2"/>
  <c r="L727" i="2" s="1"/>
  <c r="E727" i="2"/>
  <c r="B727" i="2"/>
  <c r="J726" i="2"/>
  <c r="L726" i="2" s="1"/>
  <c r="E726" i="2"/>
  <c r="B726" i="2"/>
  <c r="J725" i="2"/>
  <c r="L725" i="2" s="1"/>
  <c r="E725" i="2"/>
  <c r="B725" i="2"/>
  <c r="J724" i="2"/>
  <c r="L724" i="2" s="1"/>
  <c r="E724" i="2"/>
  <c r="B724" i="2"/>
  <c r="J723" i="2"/>
  <c r="L723" i="2" s="1"/>
  <c r="E723" i="2"/>
  <c r="B723" i="2"/>
  <c r="J722" i="2"/>
  <c r="L722" i="2" s="1"/>
  <c r="E722" i="2"/>
  <c r="B722" i="2"/>
  <c r="J721" i="2"/>
  <c r="L721" i="2" s="1"/>
  <c r="E721" i="2"/>
  <c r="B721" i="2"/>
  <c r="J720" i="2"/>
  <c r="L720" i="2" s="1"/>
  <c r="E720" i="2"/>
  <c r="B720" i="2"/>
  <c r="J719" i="2"/>
  <c r="L719" i="2" s="1"/>
  <c r="E719" i="2"/>
  <c r="B719" i="2"/>
  <c r="J718" i="2"/>
  <c r="L718" i="2" s="1"/>
  <c r="E718" i="2"/>
  <c r="B718" i="2"/>
  <c r="J717" i="2"/>
  <c r="L717" i="2" s="1"/>
  <c r="E717" i="2"/>
  <c r="B717" i="2"/>
  <c r="J716" i="2"/>
  <c r="L716" i="2" s="1"/>
  <c r="E716" i="2"/>
  <c r="B716" i="2"/>
  <c r="J715" i="2"/>
  <c r="L715" i="2" s="1"/>
  <c r="E715" i="2"/>
  <c r="B715" i="2"/>
  <c r="J714" i="2"/>
  <c r="L714" i="2" s="1"/>
  <c r="E714" i="2"/>
  <c r="B714" i="2"/>
  <c r="J713" i="2"/>
  <c r="L713" i="2" s="1"/>
  <c r="E713" i="2"/>
  <c r="B713" i="2"/>
  <c r="J712" i="2"/>
  <c r="L712" i="2" s="1"/>
  <c r="E712" i="2"/>
  <c r="B712" i="2"/>
  <c r="J711" i="2"/>
  <c r="L711" i="2" s="1"/>
  <c r="E711" i="2"/>
  <c r="B711" i="2"/>
  <c r="J710" i="2"/>
  <c r="L710" i="2" s="1"/>
  <c r="E710" i="2"/>
  <c r="B710" i="2"/>
  <c r="J709" i="2"/>
  <c r="L709" i="2" s="1"/>
  <c r="E709" i="2"/>
  <c r="B709" i="2"/>
  <c r="J708" i="2"/>
  <c r="L708" i="2" s="1"/>
  <c r="E708" i="2"/>
  <c r="B708" i="2"/>
  <c r="J707" i="2"/>
  <c r="L707" i="2" s="1"/>
  <c r="E707" i="2"/>
  <c r="B707" i="2"/>
  <c r="J706" i="2"/>
  <c r="L706" i="2" s="1"/>
  <c r="E706" i="2"/>
  <c r="B706" i="2"/>
  <c r="J705" i="2"/>
  <c r="L705" i="2" s="1"/>
  <c r="E705" i="2"/>
  <c r="B705" i="2"/>
  <c r="J704" i="2"/>
  <c r="L704" i="2" s="1"/>
  <c r="E704" i="2"/>
  <c r="B704" i="2"/>
  <c r="J703" i="2"/>
  <c r="L703" i="2" s="1"/>
  <c r="E703" i="2"/>
  <c r="B703" i="2"/>
  <c r="J702" i="2"/>
  <c r="L702" i="2" s="1"/>
  <c r="E702" i="2"/>
  <c r="B702" i="2"/>
  <c r="J701" i="2"/>
  <c r="L701" i="2" s="1"/>
  <c r="E701" i="2"/>
  <c r="B701" i="2"/>
  <c r="J700" i="2"/>
  <c r="L700" i="2" s="1"/>
  <c r="E700" i="2"/>
  <c r="B700" i="2"/>
  <c r="J699" i="2"/>
  <c r="L699" i="2" s="1"/>
  <c r="E699" i="2"/>
  <c r="B699" i="2"/>
  <c r="J698" i="2"/>
  <c r="L698" i="2" s="1"/>
  <c r="E698" i="2"/>
  <c r="B698" i="2"/>
  <c r="J697" i="2"/>
  <c r="L697" i="2" s="1"/>
  <c r="E697" i="2"/>
  <c r="B697" i="2"/>
  <c r="J696" i="2"/>
  <c r="L696" i="2" s="1"/>
  <c r="E696" i="2"/>
  <c r="B696" i="2"/>
  <c r="J695" i="2"/>
  <c r="L695" i="2" s="1"/>
  <c r="E695" i="2"/>
  <c r="B695" i="2"/>
  <c r="J694" i="2"/>
  <c r="L694" i="2" s="1"/>
  <c r="E694" i="2"/>
  <c r="B694" i="2"/>
  <c r="J693" i="2"/>
  <c r="L693" i="2" s="1"/>
  <c r="E693" i="2"/>
  <c r="B693" i="2"/>
  <c r="J692" i="2"/>
  <c r="L692" i="2" s="1"/>
  <c r="E692" i="2"/>
  <c r="B692" i="2"/>
  <c r="J691" i="2"/>
  <c r="L691" i="2" s="1"/>
  <c r="E691" i="2"/>
  <c r="B691" i="2"/>
  <c r="J690" i="2"/>
  <c r="L690" i="2" s="1"/>
  <c r="E690" i="2"/>
  <c r="B690" i="2"/>
  <c r="J689" i="2"/>
  <c r="L689" i="2" s="1"/>
  <c r="E689" i="2"/>
  <c r="B689" i="2"/>
  <c r="J688" i="2"/>
  <c r="L688" i="2" s="1"/>
  <c r="E688" i="2"/>
  <c r="B688" i="2"/>
  <c r="J687" i="2"/>
  <c r="L687" i="2" s="1"/>
  <c r="E687" i="2"/>
  <c r="B687" i="2"/>
  <c r="J686" i="2"/>
  <c r="L686" i="2" s="1"/>
  <c r="E686" i="2"/>
  <c r="B686" i="2"/>
  <c r="J685" i="2"/>
  <c r="L685" i="2" s="1"/>
  <c r="E685" i="2"/>
  <c r="B685" i="2"/>
  <c r="J684" i="2"/>
  <c r="L684" i="2" s="1"/>
  <c r="E684" i="2"/>
  <c r="B684" i="2"/>
  <c r="J683" i="2"/>
  <c r="L683" i="2" s="1"/>
  <c r="E683" i="2"/>
  <c r="B683" i="2"/>
  <c r="J682" i="2"/>
  <c r="L682" i="2" s="1"/>
  <c r="E682" i="2"/>
  <c r="B682" i="2"/>
  <c r="J681" i="2"/>
  <c r="L681" i="2" s="1"/>
  <c r="E681" i="2"/>
  <c r="B681" i="2"/>
  <c r="J680" i="2"/>
  <c r="L680" i="2" s="1"/>
  <c r="E680" i="2"/>
  <c r="B680" i="2"/>
  <c r="J679" i="2"/>
  <c r="L679" i="2" s="1"/>
  <c r="E679" i="2"/>
  <c r="B679" i="2"/>
  <c r="J678" i="2"/>
  <c r="L678" i="2" s="1"/>
  <c r="E678" i="2"/>
  <c r="B678" i="2"/>
  <c r="J677" i="2"/>
  <c r="L677" i="2" s="1"/>
  <c r="E677" i="2"/>
  <c r="B677" i="2"/>
  <c r="J676" i="2"/>
  <c r="L676" i="2" s="1"/>
  <c r="E676" i="2"/>
  <c r="B676" i="2"/>
  <c r="J675" i="2"/>
  <c r="L675" i="2" s="1"/>
  <c r="E675" i="2"/>
  <c r="B675" i="2"/>
  <c r="J674" i="2"/>
  <c r="L674" i="2" s="1"/>
  <c r="E674" i="2"/>
  <c r="B674" i="2"/>
  <c r="J673" i="2"/>
  <c r="L673" i="2" s="1"/>
  <c r="E673" i="2"/>
  <c r="B673" i="2"/>
  <c r="J672" i="2"/>
  <c r="L672" i="2" s="1"/>
  <c r="E672" i="2"/>
  <c r="B672" i="2"/>
  <c r="J671" i="2"/>
  <c r="L671" i="2" s="1"/>
  <c r="E671" i="2"/>
  <c r="B671" i="2"/>
  <c r="J670" i="2"/>
  <c r="L670" i="2" s="1"/>
  <c r="E670" i="2"/>
  <c r="B670" i="2"/>
  <c r="J669" i="2"/>
  <c r="L669" i="2" s="1"/>
  <c r="E669" i="2"/>
  <c r="B669" i="2"/>
  <c r="J668" i="2"/>
  <c r="L668" i="2" s="1"/>
  <c r="E668" i="2"/>
  <c r="B668" i="2"/>
  <c r="J667" i="2"/>
  <c r="L667" i="2" s="1"/>
  <c r="E667" i="2"/>
  <c r="B667" i="2"/>
  <c r="J666" i="2"/>
  <c r="L666" i="2" s="1"/>
  <c r="E666" i="2"/>
  <c r="B666" i="2"/>
  <c r="J665" i="2"/>
  <c r="L665" i="2" s="1"/>
  <c r="E665" i="2"/>
  <c r="B665" i="2"/>
  <c r="J664" i="2"/>
  <c r="L664" i="2" s="1"/>
  <c r="E664" i="2"/>
  <c r="B664" i="2"/>
  <c r="J663" i="2"/>
  <c r="L663" i="2" s="1"/>
  <c r="E663" i="2"/>
  <c r="B663" i="2"/>
  <c r="J662" i="2"/>
  <c r="L662" i="2" s="1"/>
  <c r="E662" i="2"/>
  <c r="B662" i="2"/>
  <c r="J661" i="2"/>
  <c r="L661" i="2" s="1"/>
  <c r="E661" i="2"/>
  <c r="B661" i="2"/>
  <c r="J660" i="2"/>
  <c r="L660" i="2" s="1"/>
  <c r="E660" i="2"/>
  <c r="B660" i="2"/>
  <c r="J659" i="2"/>
  <c r="L659" i="2" s="1"/>
  <c r="E659" i="2"/>
  <c r="B659" i="2"/>
  <c r="J658" i="2"/>
  <c r="L658" i="2" s="1"/>
  <c r="E658" i="2"/>
  <c r="B658" i="2"/>
  <c r="J657" i="2"/>
  <c r="L657" i="2" s="1"/>
  <c r="E657" i="2"/>
  <c r="B657" i="2"/>
  <c r="J656" i="2"/>
  <c r="L656" i="2" s="1"/>
  <c r="E656" i="2"/>
  <c r="B656" i="2"/>
  <c r="J655" i="2"/>
  <c r="L655" i="2" s="1"/>
  <c r="E655" i="2"/>
  <c r="B655" i="2"/>
  <c r="J654" i="2"/>
  <c r="L654" i="2" s="1"/>
  <c r="E654" i="2"/>
  <c r="B654" i="2"/>
  <c r="J653" i="2"/>
  <c r="L653" i="2" s="1"/>
  <c r="E653" i="2"/>
  <c r="B653" i="2"/>
  <c r="J652" i="2"/>
  <c r="L652" i="2" s="1"/>
  <c r="E652" i="2"/>
  <c r="B652" i="2"/>
  <c r="J651" i="2"/>
  <c r="L651" i="2" s="1"/>
  <c r="E651" i="2"/>
  <c r="B651" i="2"/>
  <c r="J650" i="2"/>
  <c r="L650" i="2" s="1"/>
  <c r="E650" i="2"/>
  <c r="B650" i="2"/>
  <c r="J649" i="2"/>
  <c r="L649" i="2" s="1"/>
  <c r="E649" i="2"/>
  <c r="B649" i="2"/>
  <c r="J648" i="2"/>
  <c r="L648" i="2" s="1"/>
  <c r="E648" i="2"/>
  <c r="B648" i="2"/>
  <c r="J647" i="2"/>
  <c r="L647" i="2" s="1"/>
  <c r="E647" i="2"/>
  <c r="B647" i="2"/>
  <c r="J646" i="2"/>
  <c r="L646" i="2" s="1"/>
  <c r="E646" i="2"/>
  <c r="B646" i="2"/>
  <c r="J645" i="2"/>
  <c r="L645" i="2" s="1"/>
  <c r="E645" i="2"/>
  <c r="B645" i="2"/>
  <c r="J644" i="2"/>
  <c r="L644" i="2" s="1"/>
  <c r="E644" i="2"/>
  <c r="B644" i="2"/>
  <c r="J643" i="2"/>
  <c r="L643" i="2" s="1"/>
  <c r="E643" i="2"/>
  <c r="B643" i="2"/>
  <c r="J642" i="2"/>
  <c r="L642" i="2" s="1"/>
  <c r="E642" i="2"/>
  <c r="B642" i="2"/>
  <c r="J641" i="2"/>
  <c r="L641" i="2" s="1"/>
  <c r="E641" i="2"/>
  <c r="B641" i="2"/>
  <c r="J640" i="2"/>
  <c r="L640" i="2" s="1"/>
  <c r="E640" i="2"/>
  <c r="B640" i="2"/>
  <c r="J639" i="2"/>
  <c r="L639" i="2" s="1"/>
  <c r="E639" i="2"/>
  <c r="B639" i="2"/>
  <c r="J638" i="2"/>
  <c r="L638" i="2" s="1"/>
  <c r="E638" i="2"/>
  <c r="B638" i="2"/>
  <c r="J637" i="2"/>
  <c r="L637" i="2" s="1"/>
  <c r="E637" i="2"/>
  <c r="B637" i="2"/>
  <c r="J636" i="2"/>
  <c r="L636" i="2" s="1"/>
  <c r="E636" i="2"/>
  <c r="B636" i="2"/>
  <c r="J635" i="2"/>
  <c r="L635" i="2" s="1"/>
  <c r="E635" i="2"/>
  <c r="B635" i="2"/>
  <c r="J634" i="2"/>
  <c r="L634" i="2" s="1"/>
  <c r="E634" i="2"/>
  <c r="B634" i="2"/>
  <c r="J633" i="2"/>
  <c r="L633" i="2" s="1"/>
  <c r="E633" i="2"/>
  <c r="B633" i="2"/>
  <c r="J632" i="2"/>
  <c r="L632" i="2" s="1"/>
  <c r="E632" i="2"/>
  <c r="B632" i="2"/>
  <c r="J631" i="2"/>
  <c r="L631" i="2" s="1"/>
  <c r="E631" i="2"/>
  <c r="B631" i="2"/>
  <c r="J630" i="2"/>
  <c r="L630" i="2" s="1"/>
  <c r="E630" i="2"/>
  <c r="B630" i="2"/>
  <c r="J629" i="2"/>
  <c r="L629" i="2" s="1"/>
  <c r="E629" i="2"/>
  <c r="B629" i="2"/>
  <c r="J628" i="2"/>
  <c r="L628" i="2" s="1"/>
  <c r="E628" i="2"/>
  <c r="B628" i="2"/>
  <c r="J627" i="2"/>
  <c r="L627" i="2" s="1"/>
  <c r="E627" i="2"/>
  <c r="B627" i="2"/>
  <c r="J626" i="2"/>
  <c r="L626" i="2" s="1"/>
  <c r="E626" i="2"/>
  <c r="B626" i="2"/>
  <c r="J625" i="2"/>
  <c r="L625" i="2" s="1"/>
  <c r="E625" i="2"/>
  <c r="B625" i="2"/>
  <c r="J624" i="2"/>
  <c r="L624" i="2" s="1"/>
  <c r="E624" i="2"/>
  <c r="B624" i="2"/>
  <c r="J623" i="2"/>
  <c r="L623" i="2" s="1"/>
  <c r="E623" i="2"/>
  <c r="B623" i="2"/>
  <c r="J622" i="2"/>
  <c r="L622" i="2" s="1"/>
  <c r="E622" i="2"/>
  <c r="B622" i="2"/>
  <c r="J621" i="2"/>
  <c r="L621" i="2" s="1"/>
  <c r="E621" i="2"/>
  <c r="B621" i="2"/>
  <c r="J620" i="2"/>
  <c r="L620" i="2" s="1"/>
  <c r="E620" i="2"/>
  <c r="B620" i="2"/>
  <c r="J619" i="2"/>
  <c r="L619" i="2" s="1"/>
  <c r="E619" i="2"/>
  <c r="B619" i="2"/>
  <c r="J618" i="2"/>
  <c r="L618" i="2" s="1"/>
  <c r="E618" i="2"/>
  <c r="B618" i="2"/>
  <c r="J617" i="2"/>
  <c r="L617" i="2" s="1"/>
  <c r="E617" i="2"/>
  <c r="B617" i="2"/>
  <c r="P616" i="2"/>
  <c r="J616" i="2"/>
  <c r="L616" i="2" s="1"/>
  <c r="E616" i="2"/>
  <c r="B616" i="2"/>
  <c r="J615" i="2"/>
  <c r="L615" i="2" s="1"/>
  <c r="E615" i="2"/>
  <c r="B615" i="2"/>
  <c r="J614" i="2"/>
  <c r="L614" i="2" s="1"/>
  <c r="E614" i="2"/>
  <c r="B614" i="2"/>
  <c r="J613" i="2"/>
  <c r="L613" i="2" s="1"/>
  <c r="E613" i="2"/>
  <c r="B613" i="2"/>
  <c r="J612" i="2"/>
  <c r="L612" i="2" s="1"/>
  <c r="E612" i="2"/>
  <c r="B612" i="2"/>
  <c r="J611" i="2"/>
  <c r="L611" i="2" s="1"/>
  <c r="E611" i="2"/>
  <c r="B611" i="2"/>
  <c r="J610" i="2"/>
  <c r="L610" i="2" s="1"/>
  <c r="E610" i="2"/>
  <c r="B610" i="2"/>
  <c r="J609" i="2"/>
  <c r="L609" i="2" s="1"/>
  <c r="E609" i="2"/>
  <c r="B609" i="2"/>
  <c r="J608" i="2"/>
  <c r="L608" i="2" s="1"/>
  <c r="E608" i="2"/>
  <c r="B608" i="2"/>
  <c r="J607" i="2"/>
  <c r="L607" i="2" s="1"/>
  <c r="E607" i="2"/>
  <c r="B607" i="2"/>
  <c r="J606" i="2"/>
  <c r="L606" i="2" s="1"/>
  <c r="E606" i="2"/>
  <c r="B606" i="2"/>
  <c r="J605" i="2"/>
  <c r="L605" i="2" s="1"/>
  <c r="E605" i="2"/>
  <c r="B605" i="2"/>
  <c r="J604" i="2"/>
  <c r="L604" i="2" s="1"/>
  <c r="E604" i="2"/>
  <c r="B604" i="2"/>
  <c r="J603" i="2"/>
  <c r="L603" i="2" s="1"/>
  <c r="E603" i="2"/>
  <c r="B603" i="2"/>
  <c r="J602" i="2"/>
  <c r="L602" i="2" s="1"/>
  <c r="E602" i="2"/>
  <c r="B602" i="2"/>
  <c r="J601" i="2"/>
  <c r="L601" i="2" s="1"/>
  <c r="E601" i="2"/>
  <c r="B601" i="2"/>
  <c r="J600" i="2"/>
  <c r="L600" i="2" s="1"/>
  <c r="E600" i="2"/>
  <c r="B600" i="2"/>
  <c r="J599" i="2"/>
  <c r="L599" i="2" s="1"/>
  <c r="E599" i="2"/>
  <c r="B599" i="2"/>
  <c r="J598" i="2"/>
  <c r="L598" i="2" s="1"/>
  <c r="E598" i="2"/>
  <c r="B598" i="2"/>
  <c r="J597" i="2"/>
  <c r="L597" i="2" s="1"/>
  <c r="E597" i="2"/>
  <c r="B597" i="2"/>
  <c r="J596" i="2"/>
  <c r="L596" i="2" s="1"/>
  <c r="E596" i="2"/>
  <c r="B596" i="2"/>
  <c r="L595" i="2"/>
  <c r="J595" i="2"/>
  <c r="E595" i="2"/>
  <c r="B595" i="2"/>
  <c r="J594" i="2"/>
  <c r="L594" i="2" s="1"/>
  <c r="E594" i="2"/>
  <c r="B594" i="2"/>
  <c r="J593" i="2"/>
  <c r="L593" i="2" s="1"/>
  <c r="E593" i="2"/>
  <c r="B593" i="2"/>
  <c r="J592" i="2"/>
  <c r="L592" i="2" s="1"/>
  <c r="E592" i="2"/>
  <c r="B592" i="2"/>
  <c r="J591" i="2"/>
  <c r="L591" i="2" s="1"/>
  <c r="E591" i="2"/>
  <c r="B591" i="2"/>
  <c r="J590" i="2"/>
  <c r="L590" i="2" s="1"/>
  <c r="E590" i="2"/>
  <c r="B590" i="2"/>
  <c r="J589" i="2"/>
  <c r="L589" i="2" s="1"/>
  <c r="E589" i="2"/>
  <c r="B589" i="2"/>
  <c r="J588" i="2"/>
  <c r="L588" i="2" s="1"/>
  <c r="E588" i="2"/>
  <c r="B588" i="2"/>
  <c r="J587" i="2"/>
  <c r="L587" i="2" s="1"/>
  <c r="E587" i="2"/>
  <c r="B587" i="2"/>
  <c r="J586" i="2"/>
  <c r="L586" i="2" s="1"/>
  <c r="E586" i="2"/>
  <c r="B586" i="2"/>
  <c r="J585" i="2"/>
  <c r="L585" i="2" s="1"/>
  <c r="E585" i="2"/>
  <c r="B585" i="2"/>
  <c r="J584" i="2"/>
  <c r="L584" i="2" s="1"/>
  <c r="E584" i="2"/>
  <c r="B584" i="2"/>
  <c r="J583" i="2"/>
  <c r="L583" i="2" s="1"/>
  <c r="E583" i="2"/>
  <c r="B583" i="2"/>
  <c r="J582" i="2"/>
  <c r="L582" i="2" s="1"/>
  <c r="E582" i="2"/>
  <c r="B582" i="2"/>
  <c r="J581" i="2"/>
  <c r="L581" i="2" s="1"/>
  <c r="E581" i="2"/>
  <c r="B581" i="2"/>
  <c r="J580" i="2"/>
  <c r="L580" i="2" s="1"/>
  <c r="E580" i="2"/>
  <c r="B580" i="2"/>
  <c r="J579" i="2"/>
  <c r="L579" i="2" s="1"/>
  <c r="E579" i="2"/>
  <c r="B579" i="2"/>
  <c r="J578" i="2"/>
  <c r="L578" i="2" s="1"/>
  <c r="E578" i="2"/>
  <c r="B578" i="2"/>
  <c r="J577" i="2"/>
  <c r="L577" i="2" s="1"/>
  <c r="E577" i="2"/>
  <c r="B577" i="2"/>
  <c r="J576" i="2"/>
  <c r="L576" i="2" s="1"/>
  <c r="E576" i="2"/>
  <c r="B576" i="2"/>
  <c r="J575" i="2"/>
  <c r="L575" i="2" s="1"/>
  <c r="E575" i="2"/>
  <c r="B575" i="2"/>
  <c r="J574" i="2"/>
  <c r="L574" i="2" s="1"/>
  <c r="E574" i="2"/>
  <c r="B574" i="2"/>
  <c r="J573" i="2"/>
  <c r="L573" i="2" s="1"/>
  <c r="E573" i="2"/>
  <c r="B573" i="2"/>
  <c r="J572" i="2"/>
  <c r="L572" i="2" s="1"/>
  <c r="E572" i="2"/>
  <c r="B572" i="2"/>
  <c r="J571" i="2"/>
  <c r="L571" i="2" s="1"/>
  <c r="E571" i="2"/>
  <c r="B571" i="2"/>
  <c r="J570" i="2"/>
  <c r="L570" i="2" s="1"/>
  <c r="E570" i="2"/>
  <c r="B570" i="2"/>
  <c r="J569" i="2"/>
  <c r="L569" i="2" s="1"/>
  <c r="E569" i="2"/>
  <c r="B569" i="2"/>
  <c r="J568" i="2"/>
  <c r="L568" i="2" s="1"/>
  <c r="E568" i="2"/>
  <c r="B568" i="2"/>
  <c r="J567" i="2"/>
  <c r="L567" i="2" s="1"/>
  <c r="E567" i="2"/>
  <c r="B567" i="2"/>
  <c r="J566" i="2"/>
  <c r="L566" i="2" s="1"/>
  <c r="E566" i="2"/>
  <c r="B566" i="2"/>
  <c r="J565" i="2"/>
  <c r="L565" i="2" s="1"/>
  <c r="E565" i="2"/>
  <c r="B565" i="2"/>
  <c r="J564" i="2"/>
  <c r="L564" i="2" s="1"/>
  <c r="E564" i="2"/>
  <c r="B564" i="2"/>
  <c r="J563" i="2"/>
  <c r="L563" i="2" s="1"/>
  <c r="E563" i="2"/>
  <c r="B563" i="2"/>
  <c r="J562" i="2"/>
  <c r="L562" i="2" s="1"/>
  <c r="E562" i="2"/>
  <c r="B562" i="2"/>
  <c r="J561" i="2"/>
  <c r="L561" i="2" s="1"/>
  <c r="E561" i="2"/>
  <c r="B561" i="2"/>
  <c r="J560" i="2"/>
  <c r="L560" i="2" s="1"/>
  <c r="E560" i="2"/>
  <c r="B560" i="2"/>
  <c r="J559" i="2"/>
  <c r="L559" i="2" s="1"/>
  <c r="E559" i="2"/>
  <c r="B559" i="2"/>
  <c r="J558" i="2"/>
  <c r="L558" i="2" s="1"/>
  <c r="E558" i="2"/>
  <c r="B558" i="2"/>
  <c r="J557" i="2"/>
  <c r="L557" i="2" s="1"/>
  <c r="E557" i="2"/>
  <c r="B557" i="2"/>
  <c r="J556" i="2"/>
  <c r="L556" i="2" s="1"/>
  <c r="E556" i="2"/>
  <c r="B556" i="2"/>
  <c r="J555" i="2"/>
  <c r="L555" i="2" s="1"/>
  <c r="E555" i="2"/>
  <c r="B555" i="2"/>
  <c r="J554" i="2"/>
  <c r="L554" i="2" s="1"/>
  <c r="E554" i="2"/>
  <c r="B554" i="2"/>
  <c r="J553" i="2"/>
  <c r="L553" i="2" s="1"/>
  <c r="E553" i="2"/>
  <c r="B553" i="2"/>
  <c r="J552" i="2"/>
  <c r="L552" i="2" s="1"/>
  <c r="E552" i="2"/>
  <c r="B552" i="2"/>
  <c r="J551" i="2"/>
  <c r="L551" i="2" s="1"/>
  <c r="E551" i="2"/>
  <c r="B551" i="2"/>
  <c r="J550" i="2"/>
  <c r="L550" i="2" s="1"/>
  <c r="E550" i="2"/>
  <c r="B550" i="2"/>
  <c r="J549" i="2"/>
  <c r="L549" i="2" s="1"/>
  <c r="E549" i="2"/>
  <c r="B549" i="2"/>
  <c r="J548" i="2"/>
  <c r="L548" i="2" s="1"/>
  <c r="E548" i="2"/>
  <c r="B548" i="2"/>
  <c r="J547" i="2"/>
  <c r="L547" i="2" s="1"/>
  <c r="E547" i="2"/>
  <c r="B547" i="2"/>
  <c r="J546" i="2"/>
  <c r="L546" i="2" s="1"/>
  <c r="E546" i="2"/>
  <c r="B546" i="2"/>
  <c r="J545" i="2"/>
  <c r="L545" i="2" s="1"/>
  <c r="E545" i="2"/>
  <c r="B545" i="2"/>
  <c r="J544" i="2"/>
  <c r="L544" i="2" s="1"/>
  <c r="E544" i="2"/>
  <c r="B544" i="2"/>
  <c r="J543" i="2"/>
  <c r="L543" i="2" s="1"/>
  <c r="E543" i="2"/>
  <c r="B543" i="2"/>
  <c r="J542" i="2"/>
  <c r="L542" i="2" s="1"/>
  <c r="E542" i="2"/>
  <c r="B542" i="2"/>
  <c r="J541" i="2"/>
  <c r="L541" i="2" s="1"/>
  <c r="E541" i="2"/>
  <c r="B541" i="2"/>
  <c r="J540" i="2"/>
  <c r="L540" i="2" s="1"/>
  <c r="E540" i="2"/>
  <c r="B540" i="2"/>
  <c r="J539" i="2"/>
  <c r="L539" i="2" s="1"/>
  <c r="E539" i="2"/>
  <c r="B539" i="2"/>
  <c r="J538" i="2"/>
  <c r="L538" i="2" s="1"/>
  <c r="E538" i="2"/>
  <c r="B538" i="2"/>
  <c r="J537" i="2"/>
  <c r="L537" i="2" s="1"/>
  <c r="E537" i="2"/>
  <c r="B537" i="2"/>
  <c r="J536" i="2"/>
  <c r="L536" i="2" s="1"/>
  <c r="E536" i="2"/>
  <c r="B536" i="2"/>
  <c r="J535" i="2"/>
  <c r="L535" i="2" s="1"/>
  <c r="E535" i="2"/>
  <c r="B535" i="2"/>
  <c r="J534" i="2"/>
  <c r="L534" i="2" s="1"/>
  <c r="E534" i="2"/>
  <c r="B534" i="2"/>
  <c r="J533" i="2"/>
  <c r="L533" i="2" s="1"/>
  <c r="E533" i="2"/>
  <c r="B533" i="2"/>
  <c r="J532" i="2"/>
  <c r="L532" i="2" s="1"/>
  <c r="E532" i="2"/>
  <c r="B532" i="2"/>
  <c r="J531" i="2"/>
  <c r="L531" i="2" s="1"/>
  <c r="E531" i="2"/>
  <c r="B531" i="2"/>
  <c r="J530" i="2"/>
  <c r="L530" i="2" s="1"/>
  <c r="E530" i="2"/>
  <c r="B530" i="2"/>
  <c r="J529" i="2"/>
  <c r="L529" i="2" s="1"/>
  <c r="E529" i="2"/>
  <c r="B529" i="2"/>
  <c r="J528" i="2"/>
  <c r="L528" i="2" s="1"/>
  <c r="E528" i="2"/>
  <c r="B528" i="2"/>
  <c r="J527" i="2"/>
  <c r="L527" i="2" s="1"/>
  <c r="E527" i="2"/>
  <c r="B527" i="2"/>
  <c r="J526" i="2"/>
  <c r="L526" i="2" s="1"/>
  <c r="E526" i="2"/>
  <c r="B526" i="2"/>
  <c r="J525" i="2"/>
  <c r="L525" i="2" s="1"/>
  <c r="E525" i="2"/>
  <c r="B525" i="2"/>
  <c r="J524" i="2"/>
  <c r="L524" i="2" s="1"/>
  <c r="E524" i="2"/>
  <c r="B524" i="2"/>
  <c r="J523" i="2"/>
  <c r="L523" i="2" s="1"/>
  <c r="E523" i="2"/>
  <c r="B523" i="2"/>
  <c r="J522" i="2"/>
  <c r="L522" i="2" s="1"/>
  <c r="E522" i="2"/>
  <c r="B522" i="2"/>
  <c r="J521" i="2"/>
  <c r="L521" i="2" s="1"/>
  <c r="E521" i="2"/>
  <c r="B521" i="2"/>
  <c r="J520" i="2"/>
  <c r="L520" i="2" s="1"/>
  <c r="E520" i="2"/>
  <c r="B520" i="2"/>
  <c r="J519" i="2"/>
  <c r="L519" i="2" s="1"/>
  <c r="E519" i="2"/>
  <c r="B519" i="2"/>
  <c r="J518" i="2"/>
  <c r="L518" i="2" s="1"/>
  <c r="E518" i="2"/>
  <c r="B518" i="2"/>
  <c r="J517" i="2"/>
  <c r="L517" i="2" s="1"/>
  <c r="E517" i="2"/>
  <c r="B517" i="2"/>
  <c r="J516" i="2"/>
  <c r="L516" i="2" s="1"/>
  <c r="E516" i="2"/>
  <c r="B516" i="2"/>
  <c r="J515" i="2"/>
  <c r="L515" i="2" s="1"/>
  <c r="E515" i="2"/>
  <c r="B515" i="2"/>
  <c r="J514" i="2"/>
  <c r="L514" i="2" s="1"/>
  <c r="E514" i="2"/>
  <c r="B514" i="2"/>
  <c r="J513" i="2"/>
  <c r="L513" i="2" s="1"/>
  <c r="E513" i="2"/>
  <c r="B513" i="2"/>
  <c r="J512" i="2"/>
  <c r="L512" i="2" s="1"/>
  <c r="E512" i="2"/>
  <c r="B512" i="2"/>
  <c r="J511" i="2"/>
  <c r="L511" i="2" s="1"/>
  <c r="E511" i="2"/>
  <c r="B511" i="2"/>
  <c r="J510" i="2"/>
  <c r="L510" i="2" s="1"/>
  <c r="E510" i="2"/>
  <c r="B510" i="2"/>
  <c r="J509" i="2"/>
  <c r="L509" i="2" s="1"/>
  <c r="E509" i="2"/>
  <c r="B509" i="2"/>
  <c r="J508" i="2"/>
  <c r="L508" i="2" s="1"/>
  <c r="E508" i="2"/>
  <c r="B508" i="2"/>
  <c r="J507" i="2"/>
  <c r="L507" i="2" s="1"/>
  <c r="E507" i="2"/>
  <c r="B507" i="2"/>
  <c r="J506" i="2"/>
  <c r="L506" i="2" s="1"/>
  <c r="E506" i="2"/>
  <c r="B506" i="2"/>
  <c r="J505" i="2"/>
  <c r="L505" i="2" s="1"/>
  <c r="E505" i="2"/>
  <c r="B505" i="2"/>
  <c r="J504" i="2"/>
  <c r="L504" i="2" s="1"/>
  <c r="E504" i="2"/>
  <c r="B504" i="2"/>
  <c r="J503" i="2"/>
  <c r="L503" i="2" s="1"/>
  <c r="E503" i="2"/>
  <c r="B503" i="2"/>
  <c r="J502" i="2"/>
  <c r="L502" i="2" s="1"/>
  <c r="E502" i="2"/>
  <c r="B502" i="2"/>
  <c r="J501" i="2"/>
  <c r="L501" i="2" s="1"/>
  <c r="E501" i="2"/>
  <c r="B501" i="2"/>
  <c r="J500" i="2"/>
  <c r="L500" i="2" s="1"/>
  <c r="E500" i="2"/>
  <c r="B500" i="2"/>
  <c r="J499" i="2"/>
  <c r="L499" i="2" s="1"/>
  <c r="E499" i="2"/>
  <c r="B499" i="2"/>
  <c r="J498" i="2"/>
  <c r="L498" i="2" s="1"/>
  <c r="E498" i="2"/>
  <c r="B498" i="2"/>
  <c r="J497" i="2"/>
  <c r="L497" i="2" s="1"/>
  <c r="E497" i="2"/>
  <c r="B497" i="2"/>
  <c r="J496" i="2"/>
  <c r="L496" i="2" s="1"/>
  <c r="E496" i="2"/>
  <c r="B496" i="2"/>
  <c r="J495" i="2"/>
  <c r="L495" i="2" s="1"/>
  <c r="E495" i="2"/>
  <c r="B495" i="2"/>
  <c r="J494" i="2"/>
  <c r="L494" i="2" s="1"/>
  <c r="E494" i="2"/>
  <c r="B494" i="2"/>
  <c r="J493" i="2"/>
  <c r="L493" i="2" s="1"/>
  <c r="E493" i="2"/>
  <c r="B493" i="2"/>
  <c r="J492" i="2"/>
  <c r="L492" i="2" s="1"/>
  <c r="E492" i="2"/>
  <c r="B492" i="2"/>
  <c r="J491" i="2"/>
  <c r="L491" i="2" s="1"/>
  <c r="E491" i="2"/>
  <c r="B491" i="2"/>
  <c r="J490" i="2"/>
  <c r="L490" i="2" s="1"/>
  <c r="E490" i="2"/>
  <c r="B490" i="2"/>
  <c r="J489" i="2"/>
  <c r="L489" i="2" s="1"/>
  <c r="E489" i="2"/>
  <c r="B489" i="2"/>
  <c r="J488" i="2"/>
  <c r="L488" i="2" s="1"/>
  <c r="E488" i="2"/>
  <c r="B488" i="2"/>
  <c r="J487" i="2"/>
  <c r="L487" i="2" s="1"/>
  <c r="E487" i="2"/>
  <c r="B487" i="2"/>
  <c r="J486" i="2"/>
  <c r="L486" i="2" s="1"/>
  <c r="E486" i="2"/>
  <c r="B486" i="2"/>
  <c r="J485" i="2"/>
  <c r="L485" i="2" s="1"/>
  <c r="E485" i="2"/>
  <c r="B485" i="2"/>
  <c r="J484" i="2"/>
  <c r="L484" i="2" s="1"/>
  <c r="E484" i="2"/>
  <c r="B484" i="2"/>
  <c r="J483" i="2"/>
  <c r="L483" i="2" s="1"/>
  <c r="E483" i="2"/>
  <c r="B483" i="2"/>
  <c r="J482" i="2"/>
  <c r="L482" i="2" s="1"/>
  <c r="E482" i="2"/>
  <c r="B482" i="2"/>
  <c r="J481" i="2"/>
  <c r="L481" i="2" s="1"/>
  <c r="E481" i="2"/>
  <c r="B481" i="2"/>
  <c r="J480" i="2"/>
  <c r="L480" i="2" s="1"/>
  <c r="E480" i="2"/>
  <c r="B480" i="2"/>
  <c r="J479" i="2"/>
  <c r="L479" i="2" s="1"/>
  <c r="E479" i="2"/>
  <c r="B479" i="2"/>
  <c r="J478" i="2"/>
  <c r="L478" i="2" s="1"/>
  <c r="E478" i="2"/>
  <c r="B478" i="2"/>
  <c r="J477" i="2"/>
  <c r="L477" i="2" s="1"/>
  <c r="E477" i="2"/>
  <c r="B477" i="2"/>
  <c r="J476" i="2"/>
  <c r="L476" i="2" s="1"/>
  <c r="E476" i="2"/>
  <c r="B476" i="2"/>
  <c r="J475" i="2"/>
  <c r="L475" i="2" s="1"/>
  <c r="E475" i="2"/>
  <c r="B475" i="2"/>
  <c r="J474" i="2"/>
  <c r="L474" i="2" s="1"/>
  <c r="E474" i="2"/>
  <c r="B474" i="2"/>
  <c r="J473" i="2"/>
  <c r="L473" i="2" s="1"/>
  <c r="E473" i="2"/>
  <c r="B473" i="2"/>
  <c r="J472" i="2"/>
  <c r="L472" i="2" s="1"/>
  <c r="E472" i="2"/>
  <c r="B472" i="2"/>
  <c r="J471" i="2"/>
  <c r="L471" i="2" s="1"/>
  <c r="E471" i="2"/>
  <c r="B471" i="2"/>
  <c r="J470" i="2"/>
  <c r="L470" i="2" s="1"/>
  <c r="E470" i="2"/>
  <c r="B470" i="2"/>
  <c r="J469" i="2"/>
  <c r="L469" i="2" s="1"/>
  <c r="E469" i="2"/>
  <c r="B469" i="2"/>
  <c r="J468" i="2"/>
  <c r="L468" i="2" s="1"/>
  <c r="E468" i="2"/>
  <c r="B468" i="2"/>
  <c r="J467" i="2"/>
  <c r="L467" i="2" s="1"/>
  <c r="E467" i="2"/>
  <c r="B467" i="2"/>
  <c r="J466" i="2"/>
  <c r="L466" i="2" s="1"/>
  <c r="E466" i="2"/>
  <c r="B466" i="2"/>
  <c r="J465" i="2"/>
  <c r="L465" i="2" s="1"/>
  <c r="E465" i="2"/>
  <c r="B465" i="2"/>
  <c r="J464" i="2"/>
  <c r="L464" i="2" s="1"/>
  <c r="E464" i="2"/>
  <c r="B464" i="2"/>
  <c r="J463" i="2"/>
  <c r="L463" i="2" s="1"/>
  <c r="E463" i="2"/>
  <c r="B463" i="2"/>
  <c r="J462" i="2"/>
  <c r="L462" i="2" s="1"/>
  <c r="E462" i="2"/>
  <c r="B462" i="2"/>
  <c r="J461" i="2"/>
  <c r="L461" i="2" s="1"/>
  <c r="E461" i="2"/>
  <c r="B461" i="2"/>
  <c r="J460" i="2"/>
  <c r="L460" i="2" s="1"/>
  <c r="E460" i="2"/>
  <c r="B460" i="2"/>
  <c r="J459" i="2"/>
  <c r="L459" i="2" s="1"/>
  <c r="E459" i="2"/>
  <c r="B459" i="2"/>
  <c r="J458" i="2"/>
  <c r="L458" i="2" s="1"/>
  <c r="E458" i="2"/>
  <c r="B458" i="2"/>
  <c r="J457" i="2"/>
  <c r="L457" i="2" s="1"/>
  <c r="E457" i="2"/>
  <c r="B457" i="2"/>
  <c r="J456" i="2"/>
  <c r="L456" i="2" s="1"/>
  <c r="E456" i="2"/>
  <c r="B456" i="2"/>
  <c r="J455" i="2"/>
  <c r="L455" i="2" s="1"/>
  <c r="E455" i="2"/>
  <c r="B455" i="2"/>
  <c r="J454" i="2"/>
  <c r="L454" i="2" s="1"/>
  <c r="E454" i="2"/>
  <c r="B454" i="2"/>
  <c r="J453" i="2"/>
  <c r="L453" i="2" s="1"/>
  <c r="E453" i="2"/>
  <c r="B453" i="2"/>
  <c r="J452" i="2"/>
  <c r="L452" i="2" s="1"/>
  <c r="E452" i="2"/>
  <c r="B452" i="2"/>
  <c r="J451" i="2"/>
  <c r="L451" i="2" s="1"/>
  <c r="E451" i="2"/>
  <c r="B451" i="2"/>
  <c r="J450" i="2"/>
  <c r="L450" i="2" s="1"/>
  <c r="E450" i="2"/>
  <c r="B450" i="2"/>
  <c r="J449" i="2"/>
  <c r="L449" i="2" s="1"/>
  <c r="E449" i="2"/>
  <c r="B449" i="2"/>
  <c r="J448" i="2"/>
  <c r="L448" i="2" s="1"/>
  <c r="E448" i="2"/>
  <c r="B448" i="2"/>
  <c r="J447" i="2"/>
  <c r="L447" i="2" s="1"/>
  <c r="E447" i="2"/>
  <c r="B447" i="2"/>
  <c r="J446" i="2"/>
  <c r="L446" i="2" s="1"/>
  <c r="E446" i="2"/>
  <c r="B446" i="2"/>
  <c r="J445" i="2"/>
  <c r="L445" i="2" s="1"/>
  <c r="E445" i="2"/>
  <c r="B445" i="2"/>
  <c r="J444" i="2"/>
  <c r="L444" i="2" s="1"/>
  <c r="E444" i="2"/>
  <c r="B444" i="2"/>
  <c r="J443" i="2"/>
  <c r="L443" i="2" s="1"/>
  <c r="E443" i="2"/>
  <c r="B443" i="2"/>
  <c r="J442" i="2"/>
  <c r="L442" i="2" s="1"/>
  <c r="E442" i="2"/>
  <c r="B442" i="2"/>
  <c r="J441" i="2"/>
  <c r="L441" i="2" s="1"/>
  <c r="E441" i="2"/>
  <c r="B441" i="2"/>
  <c r="J440" i="2"/>
  <c r="L440" i="2" s="1"/>
  <c r="E440" i="2"/>
  <c r="B440" i="2"/>
  <c r="J439" i="2"/>
  <c r="L439" i="2" s="1"/>
  <c r="E439" i="2"/>
  <c r="B439" i="2"/>
  <c r="J438" i="2"/>
  <c r="L438" i="2" s="1"/>
  <c r="E438" i="2"/>
  <c r="B438" i="2"/>
  <c r="J437" i="2"/>
  <c r="L437" i="2" s="1"/>
  <c r="E437" i="2"/>
  <c r="B437" i="2"/>
  <c r="J436" i="2"/>
  <c r="L436" i="2" s="1"/>
  <c r="E436" i="2"/>
  <c r="B436" i="2"/>
  <c r="J435" i="2"/>
  <c r="L435" i="2" s="1"/>
  <c r="E435" i="2"/>
  <c r="B435" i="2"/>
  <c r="J434" i="2"/>
  <c r="L434" i="2" s="1"/>
  <c r="E434" i="2"/>
  <c r="B434" i="2"/>
  <c r="J433" i="2"/>
  <c r="L433" i="2" s="1"/>
  <c r="E433" i="2"/>
  <c r="B433" i="2"/>
  <c r="J432" i="2"/>
  <c r="L432" i="2" s="1"/>
  <c r="E432" i="2"/>
  <c r="B432" i="2"/>
  <c r="J431" i="2"/>
  <c r="L431" i="2" s="1"/>
  <c r="E431" i="2"/>
  <c r="B431" i="2"/>
  <c r="J430" i="2"/>
  <c r="L430" i="2" s="1"/>
  <c r="E430" i="2"/>
  <c r="B430" i="2"/>
  <c r="J429" i="2"/>
  <c r="L429" i="2" s="1"/>
  <c r="E429" i="2"/>
  <c r="B429" i="2"/>
  <c r="J428" i="2"/>
  <c r="L428" i="2" s="1"/>
  <c r="E428" i="2"/>
  <c r="B428" i="2"/>
  <c r="J427" i="2"/>
  <c r="L427" i="2" s="1"/>
  <c r="E427" i="2"/>
  <c r="B427" i="2"/>
  <c r="J426" i="2"/>
  <c r="L426" i="2" s="1"/>
  <c r="E426" i="2"/>
  <c r="B426" i="2"/>
  <c r="J425" i="2"/>
  <c r="L425" i="2" s="1"/>
  <c r="E425" i="2"/>
  <c r="B425" i="2"/>
  <c r="J424" i="2"/>
  <c r="L424" i="2" s="1"/>
  <c r="E424" i="2"/>
  <c r="B424" i="2"/>
  <c r="J423" i="2"/>
  <c r="L423" i="2" s="1"/>
  <c r="E423" i="2"/>
  <c r="B423" i="2"/>
  <c r="J422" i="2"/>
  <c r="L422" i="2" s="1"/>
  <c r="E422" i="2"/>
  <c r="B422" i="2"/>
  <c r="J421" i="2"/>
  <c r="L421" i="2" s="1"/>
  <c r="E421" i="2"/>
  <c r="B421" i="2"/>
  <c r="J420" i="2"/>
  <c r="L420" i="2" s="1"/>
  <c r="E420" i="2"/>
  <c r="B420" i="2"/>
  <c r="J419" i="2"/>
  <c r="L419" i="2" s="1"/>
  <c r="E419" i="2"/>
  <c r="B419" i="2"/>
  <c r="J418" i="2"/>
  <c r="L418" i="2" s="1"/>
  <c r="E418" i="2"/>
  <c r="B418" i="2"/>
  <c r="J417" i="2"/>
  <c r="L417" i="2" s="1"/>
  <c r="E417" i="2"/>
  <c r="B417" i="2"/>
  <c r="J416" i="2"/>
  <c r="L416" i="2" s="1"/>
  <c r="E416" i="2"/>
  <c r="B416" i="2"/>
  <c r="J415" i="2"/>
  <c r="L415" i="2" s="1"/>
  <c r="E415" i="2"/>
  <c r="B415" i="2"/>
  <c r="J414" i="2"/>
  <c r="L414" i="2" s="1"/>
  <c r="E414" i="2"/>
  <c r="B414" i="2"/>
  <c r="J413" i="2"/>
  <c r="L413" i="2" s="1"/>
  <c r="E413" i="2"/>
  <c r="B413" i="2"/>
  <c r="J412" i="2"/>
  <c r="L412" i="2" s="1"/>
  <c r="E412" i="2"/>
  <c r="B412" i="2"/>
  <c r="J411" i="2"/>
  <c r="L411" i="2" s="1"/>
  <c r="E411" i="2"/>
  <c r="B411" i="2"/>
  <c r="J410" i="2"/>
  <c r="L410" i="2" s="1"/>
  <c r="E410" i="2"/>
  <c r="B410" i="2"/>
  <c r="J409" i="2"/>
  <c r="L409" i="2" s="1"/>
  <c r="E409" i="2"/>
  <c r="B409" i="2"/>
  <c r="J408" i="2"/>
  <c r="L408" i="2" s="1"/>
  <c r="E408" i="2"/>
  <c r="B408" i="2"/>
  <c r="J407" i="2"/>
  <c r="L407" i="2" s="1"/>
  <c r="E407" i="2"/>
  <c r="B407" i="2"/>
  <c r="J406" i="2"/>
  <c r="L406" i="2" s="1"/>
  <c r="E406" i="2"/>
  <c r="B406" i="2"/>
  <c r="J405" i="2"/>
  <c r="L405" i="2" s="1"/>
  <c r="E405" i="2"/>
  <c r="B405" i="2"/>
  <c r="J404" i="2"/>
  <c r="L404" i="2" s="1"/>
  <c r="E404" i="2"/>
  <c r="B404" i="2"/>
  <c r="J403" i="2"/>
  <c r="L403" i="2" s="1"/>
  <c r="E403" i="2"/>
  <c r="B403" i="2"/>
  <c r="J402" i="2"/>
  <c r="L402" i="2" s="1"/>
  <c r="E402" i="2"/>
  <c r="B402" i="2"/>
  <c r="J401" i="2"/>
  <c r="L401" i="2" s="1"/>
  <c r="E401" i="2"/>
  <c r="B401" i="2"/>
  <c r="J400" i="2"/>
  <c r="L400" i="2" s="1"/>
  <c r="E400" i="2"/>
  <c r="B400" i="2"/>
  <c r="J399" i="2"/>
  <c r="L399" i="2" s="1"/>
  <c r="E399" i="2"/>
  <c r="B399" i="2"/>
  <c r="J398" i="2"/>
  <c r="L398" i="2" s="1"/>
  <c r="E398" i="2"/>
  <c r="B398" i="2"/>
  <c r="J397" i="2"/>
  <c r="L397" i="2" s="1"/>
  <c r="E397" i="2"/>
  <c r="B397" i="2"/>
  <c r="J396" i="2"/>
  <c r="L396" i="2" s="1"/>
  <c r="E396" i="2"/>
  <c r="B396" i="2"/>
  <c r="J395" i="2"/>
  <c r="L395" i="2" s="1"/>
  <c r="E395" i="2"/>
  <c r="B395" i="2"/>
  <c r="J394" i="2"/>
  <c r="L394" i="2" s="1"/>
  <c r="E394" i="2"/>
  <c r="B394" i="2"/>
  <c r="J393" i="2"/>
  <c r="L393" i="2" s="1"/>
  <c r="E393" i="2"/>
  <c r="B393" i="2"/>
  <c r="J392" i="2"/>
  <c r="L392" i="2" s="1"/>
  <c r="E392" i="2"/>
  <c r="B392" i="2"/>
  <c r="J391" i="2"/>
  <c r="L391" i="2" s="1"/>
  <c r="E391" i="2"/>
  <c r="B391" i="2"/>
  <c r="J390" i="2"/>
  <c r="L390" i="2" s="1"/>
  <c r="E390" i="2"/>
  <c r="B390" i="2"/>
  <c r="J389" i="2"/>
  <c r="L389" i="2" s="1"/>
  <c r="E389" i="2"/>
  <c r="B389" i="2"/>
  <c r="J388" i="2"/>
  <c r="L388" i="2" s="1"/>
  <c r="E388" i="2"/>
  <c r="B388" i="2"/>
  <c r="J387" i="2"/>
  <c r="L387" i="2" s="1"/>
  <c r="E387" i="2"/>
  <c r="B387" i="2"/>
  <c r="J386" i="2"/>
  <c r="L386" i="2" s="1"/>
  <c r="E386" i="2"/>
  <c r="B386" i="2"/>
  <c r="J385" i="2"/>
  <c r="L385" i="2" s="1"/>
  <c r="E385" i="2"/>
  <c r="B385" i="2"/>
  <c r="J384" i="2"/>
  <c r="L384" i="2" s="1"/>
  <c r="E384" i="2"/>
  <c r="B384" i="2"/>
  <c r="J383" i="2"/>
  <c r="L383" i="2" s="1"/>
  <c r="E383" i="2"/>
  <c r="B383" i="2"/>
  <c r="J382" i="2"/>
  <c r="L382" i="2" s="1"/>
  <c r="E382" i="2"/>
  <c r="B382" i="2"/>
  <c r="J381" i="2"/>
  <c r="L381" i="2" s="1"/>
  <c r="E381" i="2"/>
  <c r="B381" i="2"/>
  <c r="J380" i="2"/>
  <c r="L380" i="2" s="1"/>
  <c r="E380" i="2"/>
  <c r="B380" i="2"/>
  <c r="J379" i="2"/>
  <c r="L379" i="2" s="1"/>
  <c r="E379" i="2"/>
  <c r="B379" i="2"/>
  <c r="J378" i="2"/>
  <c r="L378" i="2" s="1"/>
  <c r="E378" i="2"/>
  <c r="B378" i="2"/>
  <c r="J377" i="2"/>
  <c r="L377" i="2" s="1"/>
  <c r="E377" i="2"/>
  <c r="B377" i="2"/>
  <c r="J376" i="2"/>
  <c r="L376" i="2" s="1"/>
  <c r="E376" i="2"/>
  <c r="B376" i="2"/>
  <c r="J375" i="2"/>
  <c r="L375" i="2" s="1"/>
  <c r="E375" i="2"/>
  <c r="B375" i="2"/>
  <c r="J374" i="2"/>
  <c r="L374" i="2" s="1"/>
  <c r="E374" i="2"/>
  <c r="B374" i="2"/>
  <c r="J373" i="2"/>
  <c r="L373" i="2" s="1"/>
  <c r="E373" i="2"/>
  <c r="B373" i="2"/>
  <c r="J372" i="2"/>
  <c r="L372" i="2" s="1"/>
  <c r="E372" i="2"/>
  <c r="B372" i="2"/>
  <c r="J371" i="2"/>
  <c r="L371" i="2" s="1"/>
  <c r="E371" i="2"/>
  <c r="B371" i="2"/>
  <c r="J370" i="2"/>
  <c r="L370" i="2" s="1"/>
  <c r="E370" i="2"/>
  <c r="B370" i="2"/>
  <c r="J369" i="2"/>
  <c r="L369" i="2" s="1"/>
  <c r="E369" i="2"/>
  <c r="B369" i="2"/>
  <c r="J368" i="2"/>
  <c r="L368" i="2" s="1"/>
  <c r="E368" i="2"/>
  <c r="B368" i="2"/>
  <c r="J367" i="2"/>
  <c r="L367" i="2" s="1"/>
  <c r="E367" i="2"/>
  <c r="B367" i="2"/>
  <c r="J366" i="2"/>
  <c r="L366" i="2" s="1"/>
  <c r="E366" i="2"/>
  <c r="B366" i="2"/>
  <c r="J365" i="2"/>
  <c r="L365" i="2" s="1"/>
  <c r="E365" i="2"/>
  <c r="B365" i="2"/>
  <c r="J364" i="2"/>
  <c r="L364" i="2" s="1"/>
  <c r="E364" i="2"/>
  <c r="B364" i="2"/>
  <c r="J363" i="2"/>
  <c r="L363" i="2" s="1"/>
  <c r="E363" i="2"/>
  <c r="B363" i="2"/>
  <c r="J362" i="2"/>
  <c r="L362" i="2" s="1"/>
  <c r="E362" i="2"/>
  <c r="B362" i="2"/>
  <c r="J361" i="2"/>
  <c r="L361" i="2" s="1"/>
  <c r="E361" i="2"/>
  <c r="B361" i="2"/>
  <c r="J360" i="2"/>
  <c r="L360" i="2" s="1"/>
  <c r="E360" i="2"/>
  <c r="B360" i="2"/>
  <c r="J359" i="2"/>
  <c r="L359" i="2" s="1"/>
  <c r="E359" i="2"/>
  <c r="B359" i="2"/>
  <c r="J358" i="2"/>
  <c r="L358" i="2" s="1"/>
  <c r="E358" i="2"/>
  <c r="B358" i="2"/>
  <c r="J357" i="2"/>
  <c r="L357" i="2" s="1"/>
  <c r="E357" i="2"/>
  <c r="B357" i="2"/>
  <c r="J356" i="2"/>
  <c r="L356" i="2" s="1"/>
  <c r="E356" i="2"/>
  <c r="B356" i="2"/>
  <c r="J355" i="2"/>
  <c r="L355" i="2" s="1"/>
  <c r="E355" i="2"/>
  <c r="B355" i="2"/>
  <c r="J354" i="2"/>
  <c r="L354" i="2" s="1"/>
  <c r="E354" i="2"/>
  <c r="B354" i="2"/>
  <c r="J353" i="2"/>
  <c r="L353" i="2" s="1"/>
  <c r="E353" i="2"/>
  <c r="B353" i="2"/>
  <c r="J352" i="2"/>
  <c r="L352" i="2" s="1"/>
  <c r="E352" i="2"/>
  <c r="B352" i="2"/>
  <c r="J351" i="2"/>
  <c r="L351" i="2" s="1"/>
  <c r="E351" i="2"/>
  <c r="B351" i="2"/>
  <c r="J350" i="2"/>
  <c r="L350" i="2" s="1"/>
  <c r="E350" i="2"/>
  <c r="B350" i="2"/>
  <c r="J349" i="2"/>
  <c r="L349" i="2" s="1"/>
  <c r="E349" i="2"/>
  <c r="B349" i="2"/>
  <c r="J348" i="2"/>
  <c r="L348" i="2" s="1"/>
  <c r="E348" i="2"/>
  <c r="B348" i="2"/>
  <c r="J347" i="2"/>
  <c r="L347" i="2" s="1"/>
  <c r="E347" i="2"/>
  <c r="B347" i="2"/>
  <c r="J346" i="2"/>
  <c r="L346" i="2" s="1"/>
  <c r="E346" i="2"/>
  <c r="B346" i="2"/>
  <c r="J345" i="2"/>
  <c r="L345" i="2" s="1"/>
  <c r="E345" i="2"/>
  <c r="B345" i="2"/>
  <c r="J344" i="2"/>
  <c r="L344" i="2" s="1"/>
  <c r="E344" i="2"/>
  <c r="B344" i="2"/>
  <c r="J343" i="2"/>
  <c r="L343" i="2" s="1"/>
  <c r="E343" i="2"/>
  <c r="B343" i="2"/>
  <c r="J342" i="2"/>
  <c r="L342" i="2" s="1"/>
  <c r="E342" i="2"/>
  <c r="B342" i="2"/>
  <c r="J341" i="2"/>
  <c r="L341" i="2" s="1"/>
  <c r="E341" i="2"/>
  <c r="B341" i="2"/>
  <c r="J340" i="2"/>
  <c r="L340" i="2" s="1"/>
  <c r="E340" i="2"/>
  <c r="B340" i="2"/>
  <c r="J339" i="2"/>
  <c r="L339" i="2" s="1"/>
  <c r="E339" i="2"/>
  <c r="B339" i="2"/>
  <c r="J338" i="2"/>
  <c r="L338" i="2" s="1"/>
  <c r="E338" i="2"/>
  <c r="B338" i="2"/>
  <c r="J337" i="2"/>
  <c r="L337" i="2" s="1"/>
  <c r="E337" i="2"/>
  <c r="B337" i="2"/>
  <c r="J336" i="2"/>
  <c r="L336" i="2" s="1"/>
  <c r="E336" i="2"/>
  <c r="B336" i="2"/>
  <c r="J335" i="2"/>
  <c r="L335" i="2" s="1"/>
  <c r="E335" i="2"/>
  <c r="B335" i="2"/>
  <c r="J334" i="2"/>
  <c r="L334" i="2" s="1"/>
  <c r="E334" i="2"/>
  <c r="B334" i="2"/>
  <c r="J333" i="2"/>
  <c r="L333" i="2" s="1"/>
  <c r="E333" i="2"/>
  <c r="B333" i="2"/>
  <c r="J332" i="2"/>
  <c r="L332" i="2" s="1"/>
  <c r="E332" i="2"/>
  <c r="B332" i="2"/>
  <c r="J331" i="2"/>
  <c r="L331" i="2" s="1"/>
  <c r="E331" i="2"/>
  <c r="B331" i="2"/>
  <c r="J330" i="2"/>
  <c r="L330" i="2" s="1"/>
  <c r="E330" i="2"/>
  <c r="B330" i="2"/>
  <c r="J329" i="2"/>
  <c r="L329" i="2" s="1"/>
  <c r="E329" i="2"/>
  <c r="B329" i="2"/>
  <c r="J328" i="2"/>
  <c r="L328" i="2" s="1"/>
  <c r="E328" i="2"/>
  <c r="B328" i="2"/>
  <c r="J327" i="2"/>
  <c r="L327" i="2" s="1"/>
  <c r="E327" i="2"/>
  <c r="B327" i="2"/>
  <c r="J326" i="2"/>
  <c r="L326" i="2" s="1"/>
  <c r="E326" i="2"/>
  <c r="B326" i="2"/>
  <c r="J325" i="2"/>
  <c r="L325" i="2" s="1"/>
  <c r="E325" i="2"/>
  <c r="B325" i="2"/>
  <c r="J324" i="2"/>
  <c r="L324" i="2" s="1"/>
  <c r="E324" i="2"/>
  <c r="B324" i="2"/>
  <c r="J323" i="2"/>
  <c r="L323" i="2" s="1"/>
  <c r="E323" i="2"/>
  <c r="B323" i="2"/>
  <c r="J322" i="2"/>
  <c r="L322" i="2" s="1"/>
  <c r="E322" i="2"/>
  <c r="B322" i="2"/>
  <c r="J321" i="2"/>
  <c r="L321" i="2" s="1"/>
  <c r="E321" i="2"/>
  <c r="B321" i="2"/>
  <c r="J320" i="2"/>
  <c r="L320" i="2" s="1"/>
  <c r="E320" i="2"/>
  <c r="B320" i="2"/>
  <c r="J319" i="2"/>
  <c r="L319" i="2" s="1"/>
  <c r="E319" i="2"/>
  <c r="B319" i="2"/>
  <c r="J318" i="2"/>
  <c r="L318" i="2" s="1"/>
  <c r="E318" i="2"/>
  <c r="B318" i="2"/>
  <c r="J317" i="2"/>
  <c r="L317" i="2" s="1"/>
  <c r="E317" i="2"/>
  <c r="B317" i="2"/>
  <c r="J316" i="2"/>
  <c r="L316" i="2" s="1"/>
  <c r="E316" i="2"/>
  <c r="B316" i="2"/>
  <c r="J315" i="2"/>
  <c r="L315" i="2" s="1"/>
  <c r="E315" i="2"/>
  <c r="B315" i="2"/>
  <c r="J314" i="2"/>
  <c r="L314" i="2" s="1"/>
  <c r="E314" i="2"/>
  <c r="B314" i="2"/>
  <c r="J313" i="2"/>
  <c r="L313" i="2" s="1"/>
  <c r="E313" i="2"/>
  <c r="B313" i="2"/>
  <c r="J312" i="2"/>
  <c r="L312" i="2" s="1"/>
  <c r="E312" i="2"/>
  <c r="B312" i="2"/>
  <c r="J311" i="2"/>
  <c r="L311" i="2" s="1"/>
  <c r="E311" i="2"/>
  <c r="B311" i="2"/>
  <c r="J310" i="2"/>
  <c r="L310" i="2" s="1"/>
  <c r="E310" i="2"/>
  <c r="B310" i="2"/>
  <c r="J309" i="2"/>
  <c r="L309" i="2" s="1"/>
  <c r="E309" i="2"/>
  <c r="B309" i="2"/>
  <c r="L308" i="2"/>
  <c r="E308" i="2"/>
  <c r="B308" i="2"/>
  <c r="J307" i="2"/>
  <c r="L307" i="2" s="1"/>
  <c r="E307" i="2"/>
  <c r="B307" i="2"/>
  <c r="J306" i="2"/>
  <c r="L306" i="2" s="1"/>
  <c r="E306" i="2"/>
  <c r="B306" i="2"/>
  <c r="J305" i="2"/>
  <c r="L305" i="2" s="1"/>
  <c r="E305" i="2"/>
  <c r="B305" i="2"/>
  <c r="J304" i="2"/>
  <c r="L304" i="2" s="1"/>
  <c r="E304" i="2"/>
  <c r="B304" i="2"/>
  <c r="J303" i="2"/>
  <c r="L303" i="2" s="1"/>
  <c r="E303" i="2"/>
  <c r="B303" i="2"/>
  <c r="J302" i="2"/>
  <c r="L302" i="2" s="1"/>
  <c r="E302" i="2"/>
  <c r="B302" i="2"/>
  <c r="J301" i="2"/>
  <c r="L301" i="2" s="1"/>
  <c r="E301" i="2"/>
  <c r="B301" i="2"/>
  <c r="J300" i="2"/>
  <c r="L300" i="2" s="1"/>
  <c r="E300" i="2"/>
  <c r="B300" i="2"/>
  <c r="J299" i="2"/>
  <c r="L299" i="2" s="1"/>
  <c r="E299" i="2"/>
  <c r="B299" i="2"/>
  <c r="J298" i="2"/>
  <c r="L298" i="2" s="1"/>
  <c r="E298" i="2"/>
  <c r="B298" i="2"/>
  <c r="J297" i="2"/>
  <c r="L297" i="2" s="1"/>
  <c r="E297" i="2"/>
  <c r="B297" i="2"/>
  <c r="J296" i="2"/>
  <c r="L296" i="2" s="1"/>
  <c r="E296" i="2"/>
  <c r="B296" i="2"/>
  <c r="J295" i="2"/>
  <c r="L295" i="2" s="1"/>
  <c r="E295" i="2"/>
  <c r="B295" i="2"/>
  <c r="J294" i="2"/>
  <c r="L294" i="2" s="1"/>
  <c r="E294" i="2"/>
  <c r="B294" i="2"/>
  <c r="J293" i="2"/>
  <c r="L293" i="2" s="1"/>
  <c r="E293" i="2"/>
  <c r="B293" i="2"/>
  <c r="J292" i="2"/>
  <c r="L292" i="2" s="1"/>
  <c r="E292" i="2"/>
  <c r="B292" i="2"/>
  <c r="J291" i="2"/>
  <c r="L291" i="2" s="1"/>
  <c r="E291" i="2"/>
  <c r="B291" i="2"/>
  <c r="J290" i="2"/>
  <c r="L290" i="2" s="1"/>
  <c r="E290" i="2"/>
  <c r="B290" i="2"/>
  <c r="J289" i="2"/>
  <c r="L289" i="2" s="1"/>
  <c r="E289" i="2"/>
  <c r="B289" i="2"/>
  <c r="J288" i="2"/>
  <c r="L288" i="2" s="1"/>
  <c r="E288" i="2"/>
  <c r="B288" i="2"/>
  <c r="J287" i="2"/>
  <c r="L287" i="2" s="1"/>
  <c r="E287" i="2"/>
  <c r="B287" i="2"/>
  <c r="J286" i="2"/>
  <c r="L286" i="2" s="1"/>
  <c r="E286" i="2"/>
  <c r="B286" i="2"/>
  <c r="J285" i="2"/>
  <c r="L285" i="2" s="1"/>
  <c r="E285" i="2"/>
  <c r="B285" i="2"/>
  <c r="J284" i="2"/>
  <c r="L284" i="2" s="1"/>
  <c r="E284" i="2"/>
  <c r="B284" i="2"/>
  <c r="J283" i="2"/>
  <c r="L283" i="2" s="1"/>
  <c r="E283" i="2"/>
  <c r="B283" i="2"/>
  <c r="J282" i="2"/>
  <c r="L282" i="2" s="1"/>
  <c r="E282" i="2"/>
  <c r="B282" i="2"/>
  <c r="J281" i="2"/>
  <c r="L281" i="2" s="1"/>
  <c r="E281" i="2"/>
  <c r="B281" i="2"/>
  <c r="J280" i="2"/>
  <c r="L280" i="2" s="1"/>
  <c r="E280" i="2"/>
  <c r="B280" i="2"/>
  <c r="J279" i="2"/>
  <c r="L279" i="2" s="1"/>
  <c r="E279" i="2"/>
  <c r="B279" i="2"/>
  <c r="J278" i="2"/>
  <c r="L278" i="2" s="1"/>
  <c r="E278" i="2"/>
  <c r="B278" i="2"/>
  <c r="J277" i="2"/>
  <c r="L277" i="2" s="1"/>
  <c r="E277" i="2"/>
  <c r="B277" i="2"/>
  <c r="J276" i="2"/>
  <c r="L276" i="2" s="1"/>
  <c r="E276" i="2"/>
  <c r="B276" i="2"/>
  <c r="J275" i="2"/>
  <c r="L275" i="2" s="1"/>
  <c r="E275" i="2"/>
  <c r="B275" i="2"/>
  <c r="J274" i="2"/>
  <c r="L274" i="2" s="1"/>
  <c r="E274" i="2"/>
  <c r="B274" i="2"/>
  <c r="J273" i="2"/>
  <c r="L273" i="2" s="1"/>
  <c r="E273" i="2"/>
  <c r="B273" i="2"/>
  <c r="J272" i="2"/>
  <c r="L272" i="2" s="1"/>
  <c r="E272" i="2"/>
  <c r="B272" i="2"/>
  <c r="J271" i="2"/>
  <c r="L271" i="2" s="1"/>
  <c r="E271" i="2"/>
  <c r="B271" i="2"/>
  <c r="J270" i="2"/>
  <c r="L270" i="2" s="1"/>
  <c r="E270" i="2"/>
  <c r="B270" i="2"/>
  <c r="J269" i="2"/>
  <c r="L269" i="2" s="1"/>
  <c r="E269" i="2"/>
  <c r="B269" i="2"/>
  <c r="J268" i="2"/>
  <c r="L268" i="2" s="1"/>
  <c r="E268" i="2"/>
  <c r="B268" i="2"/>
  <c r="J267" i="2"/>
  <c r="L267" i="2" s="1"/>
  <c r="E267" i="2"/>
  <c r="B267" i="2"/>
  <c r="J266" i="2"/>
  <c r="L266" i="2" s="1"/>
  <c r="E266" i="2"/>
  <c r="B266" i="2"/>
  <c r="J265" i="2"/>
  <c r="L265" i="2" s="1"/>
  <c r="E265" i="2"/>
  <c r="B265" i="2"/>
  <c r="J264" i="2"/>
  <c r="L264" i="2" s="1"/>
  <c r="E264" i="2"/>
  <c r="B264" i="2"/>
  <c r="J263" i="2"/>
  <c r="L263" i="2" s="1"/>
  <c r="E263" i="2"/>
  <c r="B263" i="2"/>
  <c r="J262" i="2"/>
  <c r="L262" i="2" s="1"/>
  <c r="E262" i="2"/>
  <c r="B262" i="2"/>
  <c r="J261" i="2"/>
  <c r="L261" i="2" s="1"/>
  <c r="E261" i="2"/>
  <c r="B261" i="2"/>
  <c r="J260" i="2"/>
  <c r="L260" i="2" s="1"/>
  <c r="E260" i="2"/>
  <c r="B260" i="2"/>
  <c r="J259" i="2"/>
  <c r="L259" i="2" s="1"/>
  <c r="E259" i="2"/>
  <c r="B259" i="2"/>
  <c r="J258" i="2"/>
  <c r="L258" i="2" s="1"/>
  <c r="E258" i="2"/>
  <c r="B258" i="2"/>
  <c r="J257" i="2"/>
  <c r="L257" i="2" s="1"/>
  <c r="E257" i="2"/>
  <c r="B257" i="2"/>
  <c r="J256" i="2"/>
  <c r="L256" i="2" s="1"/>
  <c r="E256" i="2"/>
  <c r="B256" i="2"/>
  <c r="J255" i="2"/>
  <c r="L255" i="2" s="1"/>
  <c r="E255" i="2"/>
  <c r="B255" i="2"/>
  <c r="J254" i="2"/>
  <c r="L254" i="2" s="1"/>
  <c r="E254" i="2"/>
  <c r="B254" i="2"/>
  <c r="J253" i="2"/>
  <c r="L253" i="2" s="1"/>
  <c r="E253" i="2"/>
  <c r="B253" i="2"/>
  <c r="J252" i="2"/>
  <c r="L252" i="2" s="1"/>
  <c r="E252" i="2"/>
  <c r="B252" i="2"/>
  <c r="J251" i="2"/>
  <c r="L251" i="2" s="1"/>
  <c r="E251" i="2"/>
  <c r="B251" i="2"/>
  <c r="J250" i="2"/>
  <c r="L250" i="2" s="1"/>
  <c r="E250" i="2"/>
  <c r="B250" i="2"/>
  <c r="J249" i="2"/>
  <c r="L249" i="2" s="1"/>
  <c r="E249" i="2"/>
  <c r="B249" i="2"/>
  <c r="J248" i="2"/>
  <c r="L248" i="2" s="1"/>
  <c r="E248" i="2"/>
  <c r="B248" i="2"/>
  <c r="J247" i="2"/>
  <c r="L247" i="2" s="1"/>
  <c r="E247" i="2"/>
  <c r="B247" i="2"/>
  <c r="J246" i="2"/>
  <c r="L246" i="2" s="1"/>
  <c r="E246" i="2"/>
  <c r="B246" i="2"/>
  <c r="J245" i="2"/>
  <c r="L245" i="2" s="1"/>
  <c r="E245" i="2"/>
  <c r="B245" i="2"/>
  <c r="J244" i="2"/>
  <c r="L244" i="2" s="1"/>
  <c r="E244" i="2"/>
  <c r="B244" i="2"/>
  <c r="J243" i="2"/>
  <c r="L243" i="2" s="1"/>
  <c r="E243" i="2"/>
  <c r="B243" i="2"/>
  <c r="J242" i="2"/>
  <c r="L242" i="2" s="1"/>
  <c r="E242" i="2"/>
  <c r="B242" i="2"/>
  <c r="J241" i="2"/>
  <c r="L241" i="2" s="1"/>
  <c r="E241" i="2"/>
  <c r="B241" i="2"/>
  <c r="J240" i="2"/>
  <c r="L240" i="2" s="1"/>
  <c r="E240" i="2"/>
  <c r="B240" i="2"/>
  <c r="J239" i="2"/>
  <c r="L239" i="2" s="1"/>
  <c r="E239" i="2"/>
  <c r="B239" i="2"/>
  <c r="J238" i="2"/>
  <c r="L238" i="2" s="1"/>
  <c r="E238" i="2"/>
  <c r="B238" i="2"/>
  <c r="J237" i="2"/>
  <c r="L237" i="2" s="1"/>
  <c r="E237" i="2"/>
  <c r="B237" i="2"/>
  <c r="J236" i="2"/>
  <c r="L236" i="2" s="1"/>
  <c r="E236" i="2"/>
  <c r="B236" i="2"/>
  <c r="J235" i="2"/>
  <c r="L235" i="2" s="1"/>
  <c r="E235" i="2"/>
  <c r="B235" i="2"/>
  <c r="J234" i="2"/>
  <c r="L234" i="2" s="1"/>
  <c r="E234" i="2"/>
  <c r="B234" i="2"/>
  <c r="J233" i="2"/>
  <c r="L233" i="2" s="1"/>
  <c r="E233" i="2"/>
  <c r="B233" i="2"/>
  <c r="J232" i="2"/>
  <c r="L232" i="2" s="1"/>
  <c r="E232" i="2"/>
  <c r="B232" i="2"/>
  <c r="J231" i="2"/>
  <c r="L231" i="2" s="1"/>
  <c r="E231" i="2"/>
  <c r="B231" i="2"/>
  <c r="J230" i="2"/>
  <c r="L230" i="2" s="1"/>
  <c r="E230" i="2"/>
  <c r="B230" i="2"/>
  <c r="J229" i="2"/>
  <c r="L229" i="2" s="1"/>
  <c r="E229" i="2"/>
  <c r="B229" i="2"/>
  <c r="J228" i="2"/>
  <c r="L228" i="2" s="1"/>
  <c r="E228" i="2"/>
  <c r="B228" i="2"/>
  <c r="J227" i="2"/>
  <c r="L227" i="2" s="1"/>
  <c r="E227" i="2"/>
  <c r="B227" i="2"/>
  <c r="J226" i="2"/>
  <c r="L226" i="2" s="1"/>
  <c r="E226" i="2"/>
  <c r="B226" i="2"/>
  <c r="J225" i="2"/>
  <c r="L225" i="2" s="1"/>
  <c r="E225" i="2"/>
  <c r="B225" i="2"/>
  <c r="J224" i="2"/>
  <c r="L224" i="2" s="1"/>
  <c r="E224" i="2"/>
  <c r="B224" i="2"/>
  <c r="J223" i="2"/>
  <c r="L223" i="2" s="1"/>
  <c r="E223" i="2"/>
  <c r="B223" i="2"/>
  <c r="J222" i="2"/>
  <c r="L222" i="2" s="1"/>
  <c r="E222" i="2"/>
  <c r="B222" i="2"/>
  <c r="J221" i="2"/>
  <c r="L221" i="2" s="1"/>
  <c r="E221" i="2"/>
  <c r="B221" i="2"/>
  <c r="J220" i="2"/>
  <c r="L220" i="2" s="1"/>
  <c r="E220" i="2"/>
  <c r="B220" i="2"/>
  <c r="J219" i="2"/>
  <c r="L219" i="2" s="1"/>
  <c r="E219" i="2"/>
  <c r="B219" i="2"/>
  <c r="J218" i="2"/>
  <c r="L218" i="2" s="1"/>
  <c r="E218" i="2"/>
  <c r="B218" i="2"/>
  <c r="J217" i="2"/>
  <c r="L217" i="2" s="1"/>
  <c r="E217" i="2"/>
  <c r="B217" i="2"/>
  <c r="J216" i="2"/>
  <c r="L216" i="2" s="1"/>
  <c r="E216" i="2"/>
  <c r="B216" i="2"/>
  <c r="J215" i="2"/>
  <c r="L215" i="2" s="1"/>
  <c r="E215" i="2"/>
  <c r="B215" i="2"/>
  <c r="J214" i="2"/>
  <c r="L214" i="2" s="1"/>
  <c r="E214" i="2"/>
  <c r="B214" i="2"/>
  <c r="J213" i="2"/>
  <c r="L213" i="2" s="1"/>
  <c r="E213" i="2"/>
  <c r="B213" i="2"/>
  <c r="J212" i="2"/>
  <c r="L212" i="2" s="1"/>
  <c r="E212" i="2"/>
  <c r="B212" i="2"/>
  <c r="J211" i="2"/>
  <c r="L211" i="2" s="1"/>
  <c r="E211" i="2"/>
  <c r="B211" i="2"/>
  <c r="J210" i="2"/>
  <c r="L210" i="2" s="1"/>
  <c r="E210" i="2"/>
  <c r="B210" i="2"/>
  <c r="J209" i="2"/>
  <c r="L209" i="2" s="1"/>
  <c r="E209" i="2"/>
  <c r="B209" i="2"/>
  <c r="J208" i="2"/>
  <c r="L208" i="2" s="1"/>
  <c r="E208" i="2"/>
  <c r="B208" i="2"/>
  <c r="J207" i="2"/>
  <c r="L207" i="2" s="1"/>
  <c r="E207" i="2"/>
  <c r="B207" i="2"/>
  <c r="J206" i="2"/>
  <c r="L206" i="2" s="1"/>
  <c r="E206" i="2"/>
  <c r="B206" i="2"/>
  <c r="J205" i="2"/>
  <c r="L205" i="2" s="1"/>
  <c r="E205" i="2"/>
  <c r="B205" i="2"/>
  <c r="J204" i="2"/>
  <c r="L204" i="2" s="1"/>
  <c r="E204" i="2"/>
  <c r="B204" i="2"/>
  <c r="J203" i="2"/>
  <c r="L203" i="2" s="1"/>
  <c r="E203" i="2"/>
  <c r="B203" i="2"/>
  <c r="J202" i="2"/>
  <c r="L202" i="2" s="1"/>
  <c r="E202" i="2"/>
  <c r="B202" i="2"/>
  <c r="J201" i="2"/>
  <c r="L201" i="2" s="1"/>
  <c r="E201" i="2"/>
  <c r="B201" i="2"/>
  <c r="J200" i="2"/>
  <c r="L200" i="2" s="1"/>
  <c r="E200" i="2"/>
  <c r="B200" i="2"/>
  <c r="J199" i="2"/>
  <c r="L199" i="2" s="1"/>
  <c r="E199" i="2"/>
  <c r="B199" i="2"/>
  <c r="J198" i="2"/>
  <c r="L198" i="2" s="1"/>
  <c r="E198" i="2"/>
  <c r="B198" i="2"/>
  <c r="J197" i="2"/>
  <c r="L197" i="2" s="1"/>
  <c r="E197" i="2"/>
  <c r="B197" i="2"/>
  <c r="J196" i="2"/>
  <c r="L196" i="2" s="1"/>
  <c r="E196" i="2"/>
  <c r="B196" i="2"/>
  <c r="J195" i="2"/>
  <c r="L195" i="2" s="1"/>
  <c r="E195" i="2"/>
  <c r="B195" i="2"/>
  <c r="J194" i="2"/>
  <c r="L194" i="2" s="1"/>
  <c r="E194" i="2"/>
  <c r="B194" i="2"/>
  <c r="J193" i="2"/>
  <c r="L193" i="2" s="1"/>
  <c r="E193" i="2"/>
  <c r="B193" i="2"/>
  <c r="J192" i="2"/>
  <c r="L192" i="2" s="1"/>
  <c r="E192" i="2"/>
  <c r="B192" i="2"/>
  <c r="J191" i="2"/>
  <c r="L191" i="2" s="1"/>
  <c r="E191" i="2"/>
  <c r="B191" i="2"/>
  <c r="J190" i="2"/>
  <c r="L190" i="2" s="1"/>
  <c r="E190" i="2"/>
  <c r="B190" i="2"/>
  <c r="J189" i="2"/>
  <c r="L189" i="2" s="1"/>
  <c r="E189" i="2"/>
  <c r="B189" i="2"/>
  <c r="J188" i="2"/>
  <c r="L188" i="2" s="1"/>
  <c r="E188" i="2"/>
  <c r="B188" i="2"/>
  <c r="J187" i="2"/>
  <c r="L187" i="2" s="1"/>
  <c r="E187" i="2"/>
  <c r="B187" i="2"/>
  <c r="J186" i="2"/>
  <c r="L186" i="2" s="1"/>
  <c r="E186" i="2"/>
  <c r="B186" i="2"/>
  <c r="J185" i="2"/>
  <c r="L185" i="2" s="1"/>
  <c r="E185" i="2"/>
  <c r="B185" i="2"/>
  <c r="J184" i="2"/>
  <c r="L184" i="2" s="1"/>
  <c r="E184" i="2"/>
  <c r="B184" i="2"/>
  <c r="J183" i="2"/>
  <c r="L183" i="2" s="1"/>
  <c r="E183" i="2"/>
  <c r="B183" i="2"/>
  <c r="J182" i="2"/>
  <c r="L182" i="2" s="1"/>
  <c r="E182" i="2"/>
  <c r="B182" i="2"/>
  <c r="J181" i="2"/>
  <c r="L181" i="2" s="1"/>
  <c r="E181" i="2"/>
  <c r="B181" i="2"/>
  <c r="J180" i="2"/>
  <c r="L180" i="2" s="1"/>
  <c r="E180" i="2"/>
  <c r="B180" i="2"/>
  <c r="J179" i="2"/>
  <c r="L179" i="2" s="1"/>
  <c r="E179" i="2"/>
  <c r="B179" i="2"/>
  <c r="J178" i="2"/>
  <c r="L178" i="2" s="1"/>
  <c r="E178" i="2"/>
  <c r="B178" i="2"/>
  <c r="J177" i="2"/>
  <c r="L177" i="2" s="1"/>
  <c r="E177" i="2"/>
  <c r="B177" i="2"/>
  <c r="J176" i="2"/>
  <c r="L176" i="2" s="1"/>
  <c r="E176" i="2"/>
  <c r="B176" i="2"/>
  <c r="J175" i="2"/>
  <c r="L175" i="2" s="1"/>
  <c r="E175" i="2"/>
  <c r="B175" i="2"/>
  <c r="J174" i="2"/>
  <c r="L174" i="2" s="1"/>
  <c r="E174" i="2"/>
  <c r="B174" i="2"/>
  <c r="J173" i="2"/>
  <c r="L173" i="2" s="1"/>
  <c r="E173" i="2"/>
  <c r="B173" i="2"/>
  <c r="J172" i="2"/>
  <c r="L172" i="2" s="1"/>
  <c r="E172" i="2"/>
  <c r="B172" i="2"/>
  <c r="J171" i="2"/>
  <c r="L171" i="2" s="1"/>
  <c r="E171" i="2"/>
  <c r="B171" i="2"/>
  <c r="J170" i="2"/>
  <c r="L170" i="2" s="1"/>
  <c r="E170" i="2"/>
  <c r="B170" i="2"/>
  <c r="J169" i="2"/>
  <c r="L169" i="2" s="1"/>
  <c r="E169" i="2"/>
  <c r="B169" i="2"/>
  <c r="J168" i="2"/>
  <c r="L168" i="2" s="1"/>
  <c r="E168" i="2"/>
  <c r="B168" i="2"/>
  <c r="J167" i="2"/>
  <c r="L167" i="2" s="1"/>
  <c r="E167" i="2"/>
  <c r="B167" i="2"/>
  <c r="J166" i="2"/>
  <c r="L166" i="2" s="1"/>
  <c r="E166" i="2"/>
  <c r="B166" i="2"/>
  <c r="J165" i="2"/>
  <c r="L165" i="2" s="1"/>
  <c r="E165" i="2"/>
  <c r="B165" i="2"/>
  <c r="J164" i="2"/>
  <c r="L164" i="2" s="1"/>
  <c r="E164" i="2"/>
  <c r="B164" i="2"/>
  <c r="J163" i="2"/>
  <c r="L163" i="2" s="1"/>
  <c r="E163" i="2"/>
  <c r="B163" i="2"/>
  <c r="J162" i="2"/>
  <c r="L162" i="2" s="1"/>
  <c r="E162" i="2"/>
  <c r="B162" i="2"/>
  <c r="J161" i="2"/>
  <c r="L161" i="2" s="1"/>
  <c r="E161" i="2"/>
  <c r="B161" i="2"/>
  <c r="J160" i="2"/>
  <c r="L160" i="2" s="1"/>
  <c r="E160" i="2"/>
  <c r="B160" i="2"/>
  <c r="J159" i="2"/>
  <c r="L159" i="2" s="1"/>
  <c r="E159" i="2"/>
  <c r="B159" i="2"/>
  <c r="J158" i="2"/>
  <c r="L158" i="2" s="1"/>
  <c r="E158" i="2"/>
  <c r="B158" i="2"/>
  <c r="J157" i="2"/>
  <c r="L157" i="2" s="1"/>
  <c r="E157" i="2"/>
  <c r="B157" i="2"/>
  <c r="J156" i="2"/>
  <c r="L156" i="2" s="1"/>
  <c r="E156" i="2"/>
  <c r="B156" i="2"/>
  <c r="J155" i="2"/>
  <c r="L155" i="2" s="1"/>
  <c r="E155" i="2"/>
  <c r="B155" i="2"/>
  <c r="J154" i="2"/>
  <c r="L154" i="2" s="1"/>
  <c r="E154" i="2"/>
  <c r="B154" i="2"/>
  <c r="J153" i="2"/>
  <c r="L153" i="2" s="1"/>
  <c r="E153" i="2"/>
  <c r="B153" i="2"/>
  <c r="J152" i="2"/>
  <c r="L152" i="2" s="1"/>
  <c r="E152" i="2"/>
  <c r="B152" i="2"/>
  <c r="J151" i="2"/>
  <c r="L151" i="2" s="1"/>
  <c r="E151" i="2"/>
  <c r="B151" i="2"/>
  <c r="J150" i="2"/>
  <c r="L150" i="2" s="1"/>
  <c r="E150" i="2"/>
  <c r="B150" i="2"/>
  <c r="J149" i="2"/>
  <c r="L149" i="2" s="1"/>
  <c r="E149" i="2"/>
  <c r="B149" i="2"/>
  <c r="J148" i="2"/>
  <c r="L148" i="2" s="1"/>
  <c r="E148" i="2"/>
  <c r="B148" i="2"/>
  <c r="J147" i="2"/>
  <c r="L147" i="2" s="1"/>
  <c r="E147" i="2"/>
  <c r="B147" i="2"/>
  <c r="J146" i="2"/>
  <c r="L146" i="2" s="1"/>
  <c r="E146" i="2"/>
  <c r="B146" i="2"/>
  <c r="J145" i="2"/>
  <c r="L145" i="2" s="1"/>
  <c r="E145" i="2"/>
  <c r="B145" i="2"/>
  <c r="J144" i="2"/>
  <c r="L144" i="2" s="1"/>
  <c r="E144" i="2"/>
  <c r="B144" i="2"/>
  <c r="J143" i="2"/>
  <c r="L143" i="2" s="1"/>
  <c r="E143" i="2"/>
  <c r="B143" i="2"/>
  <c r="J142" i="2"/>
  <c r="L142" i="2" s="1"/>
  <c r="E142" i="2"/>
  <c r="B142" i="2"/>
  <c r="J141" i="2"/>
  <c r="L141" i="2" s="1"/>
  <c r="E141" i="2"/>
  <c r="B141" i="2"/>
  <c r="J140" i="2"/>
  <c r="L140" i="2" s="1"/>
  <c r="E140" i="2"/>
  <c r="B140" i="2"/>
  <c r="J139" i="2"/>
  <c r="L139" i="2" s="1"/>
  <c r="E139" i="2"/>
  <c r="B139" i="2"/>
  <c r="J138" i="2"/>
  <c r="L138" i="2" s="1"/>
  <c r="E138" i="2"/>
  <c r="B138" i="2"/>
  <c r="L137" i="2"/>
  <c r="E137" i="2"/>
  <c r="B137" i="2"/>
  <c r="J136" i="2"/>
  <c r="L136" i="2" s="1"/>
  <c r="E136" i="2"/>
  <c r="B136" i="2"/>
  <c r="J135" i="2"/>
  <c r="L135" i="2" s="1"/>
  <c r="E135" i="2"/>
  <c r="B135" i="2"/>
  <c r="J134" i="2"/>
  <c r="L134" i="2" s="1"/>
  <c r="E134" i="2"/>
  <c r="B134" i="2"/>
  <c r="J133" i="2"/>
  <c r="L133" i="2" s="1"/>
  <c r="E133" i="2"/>
  <c r="B133" i="2"/>
  <c r="J132" i="2"/>
  <c r="L132" i="2" s="1"/>
  <c r="E132" i="2"/>
  <c r="B132" i="2"/>
  <c r="J131" i="2"/>
  <c r="L131" i="2" s="1"/>
  <c r="E131" i="2"/>
  <c r="B131" i="2"/>
  <c r="J130" i="2"/>
  <c r="L130" i="2" s="1"/>
  <c r="E130" i="2"/>
  <c r="B130" i="2"/>
  <c r="J129" i="2"/>
  <c r="L129" i="2" s="1"/>
  <c r="E129" i="2"/>
  <c r="B129" i="2"/>
  <c r="J128" i="2"/>
  <c r="L128" i="2" s="1"/>
  <c r="E128" i="2"/>
  <c r="B128" i="2"/>
  <c r="J127" i="2"/>
  <c r="L127" i="2" s="1"/>
  <c r="E127" i="2"/>
  <c r="B127" i="2"/>
  <c r="J126" i="2"/>
  <c r="L126" i="2" s="1"/>
  <c r="E126" i="2"/>
  <c r="B126" i="2"/>
  <c r="J125" i="2"/>
  <c r="L125" i="2" s="1"/>
  <c r="E125" i="2"/>
  <c r="B125" i="2"/>
  <c r="J124" i="2"/>
  <c r="L124" i="2" s="1"/>
  <c r="E124" i="2"/>
  <c r="B124" i="2"/>
  <c r="J123" i="2"/>
  <c r="L123" i="2" s="1"/>
  <c r="E123" i="2"/>
  <c r="B123" i="2"/>
  <c r="J122" i="2"/>
  <c r="L122" i="2" s="1"/>
  <c r="E122" i="2"/>
  <c r="B122" i="2"/>
  <c r="J121" i="2"/>
  <c r="L121" i="2" s="1"/>
  <c r="E121" i="2"/>
  <c r="B121" i="2"/>
  <c r="J120" i="2"/>
  <c r="L120" i="2" s="1"/>
  <c r="E120" i="2"/>
  <c r="B120" i="2"/>
  <c r="J119" i="2"/>
  <c r="L119" i="2" s="1"/>
  <c r="E119" i="2"/>
  <c r="B119" i="2"/>
  <c r="J118" i="2"/>
  <c r="L118" i="2" s="1"/>
  <c r="E118" i="2"/>
  <c r="B118" i="2"/>
  <c r="J117" i="2"/>
  <c r="L117" i="2" s="1"/>
  <c r="E117" i="2"/>
  <c r="B117" i="2"/>
  <c r="J116" i="2"/>
  <c r="L116" i="2" s="1"/>
  <c r="E116" i="2"/>
  <c r="B116" i="2"/>
  <c r="J115" i="2"/>
  <c r="L115" i="2" s="1"/>
  <c r="E115" i="2"/>
  <c r="B115" i="2"/>
  <c r="J114" i="2"/>
  <c r="L114" i="2" s="1"/>
  <c r="E114" i="2"/>
  <c r="B114" i="2"/>
  <c r="J113" i="2"/>
  <c r="L113" i="2" s="1"/>
  <c r="E113" i="2"/>
  <c r="B113" i="2"/>
  <c r="J112" i="2"/>
  <c r="L112" i="2" s="1"/>
  <c r="E112" i="2"/>
  <c r="B112" i="2"/>
  <c r="J111" i="2"/>
  <c r="L111" i="2" s="1"/>
  <c r="E111" i="2"/>
  <c r="B111" i="2"/>
  <c r="J110" i="2"/>
  <c r="L110" i="2" s="1"/>
  <c r="E110" i="2"/>
  <c r="B110" i="2"/>
  <c r="J109" i="2"/>
  <c r="L109" i="2" s="1"/>
  <c r="E109" i="2"/>
  <c r="B109" i="2"/>
  <c r="J108" i="2"/>
  <c r="L108" i="2" s="1"/>
  <c r="E108" i="2"/>
  <c r="B108" i="2"/>
  <c r="J107" i="2"/>
  <c r="L107" i="2" s="1"/>
  <c r="E107" i="2"/>
  <c r="B107" i="2"/>
  <c r="J106" i="2"/>
  <c r="L106" i="2" s="1"/>
  <c r="E106" i="2"/>
  <c r="B106" i="2"/>
  <c r="J105" i="2"/>
  <c r="L105" i="2" s="1"/>
  <c r="E105" i="2"/>
  <c r="B105" i="2"/>
  <c r="J104" i="2"/>
  <c r="L104" i="2" s="1"/>
  <c r="E104" i="2"/>
  <c r="B104" i="2"/>
  <c r="J103" i="2"/>
  <c r="L103" i="2" s="1"/>
  <c r="E103" i="2"/>
  <c r="B103" i="2"/>
  <c r="J102" i="2"/>
  <c r="L102" i="2" s="1"/>
  <c r="E102" i="2"/>
  <c r="B102" i="2"/>
  <c r="J101" i="2"/>
  <c r="L101" i="2" s="1"/>
  <c r="E101" i="2"/>
  <c r="B101" i="2"/>
  <c r="J100" i="2"/>
  <c r="L100" i="2" s="1"/>
  <c r="E100" i="2"/>
  <c r="B100" i="2"/>
  <c r="J99" i="2"/>
  <c r="L99" i="2" s="1"/>
  <c r="E99" i="2"/>
  <c r="B99" i="2"/>
  <c r="J98" i="2"/>
  <c r="L98" i="2" s="1"/>
  <c r="E98" i="2"/>
  <c r="B98" i="2"/>
  <c r="J97" i="2"/>
  <c r="L97" i="2" s="1"/>
  <c r="E97" i="2"/>
  <c r="B97" i="2"/>
  <c r="J96" i="2"/>
  <c r="L96" i="2" s="1"/>
  <c r="E96" i="2"/>
  <c r="B96" i="2"/>
  <c r="J95" i="2"/>
  <c r="L95" i="2" s="1"/>
  <c r="E95" i="2"/>
  <c r="B95" i="2"/>
  <c r="J94" i="2"/>
  <c r="L94" i="2" s="1"/>
  <c r="E94" i="2"/>
  <c r="B94" i="2"/>
  <c r="J93" i="2"/>
  <c r="L93" i="2" s="1"/>
  <c r="E93" i="2"/>
  <c r="B93" i="2"/>
  <c r="J92" i="2"/>
  <c r="L92" i="2" s="1"/>
  <c r="E92" i="2"/>
  <c r="B92" i="2"/>
  <c r="J91" i="2"/>
  <c r="L91" i="2" s="1"/>
  <c r="E91" i="2"/>
  <c r="B91" i="2"/>
  <c r="J90" i="2"/>
  <c r="L90" i="2" s="1"/>
  <c r="E90" i="2"/>
  <c r="B90" i="2"/>
  <c r="J89" i="2"/>
  <c r="L89" i="2" s="1"/>
  <c r="E89" i="2"/>
  <c r="B89" i="2"/>
  <c r="J88" i="2"/>
  <c r="L88" i="2" s="1"/>
  <c r="E88" i="2"/>
  <c r="B88" i="2"/>
  <c r="J87" i="2"/>
  <c r="L87" i="2" s="1"/>
  <c r="E87" i="2"/>
  <c r="B87" i="2"/>
  <c r="J86" i="2"/>
  <c r="L86" i="2" s="1"/>
  <c r="E86" i="2"/>
  <c r="B86" i="2"/>
  <c r="J85" i="2"/>
  <c r="L85" i="2" s="1"/>
  <c r="E85" i="2"/>
  <c r="B85" i="2"/>
  <c r="J84" i="2"/>
  <c r="L84" i="2" s="1"/>
  <c r="E84" i="2"/>
  <c r="B84" i="2"/>
  <c r="J83" i="2"/>
  <c r="L83" i="2" s="1"/>
  <c r="E83" i="2"/>
  <c r="B83" i="2"/>
  <c r="J82" i="2"/>
  <c r="L82" i="2" s="1"/>
  <c r="E82" i="2"/>
  <c r="B82" i="2"/>
  <c r="J81" i="2"/>
  <c r="L81" i="2" s="1"/>
  <c r="E81" i="2"/>
  <c r="B81" i="2"/>
  <c r="J80" i="2"/>
  <c r="L80" i="2" s="1"/>
  <c r="E80" i="2"/>
  <c r="B80" i="2"/>
  <c r="J79" i="2"/>
  <c r="L79" i="2" s="1"/>
  <c r="E79" i="2"/>
  <c r="B79" i="2"/>
  <c r="J78" i="2"/>
  <c r="L78" i="2" s="1"/>
  <c r="E78" i="2"/>
  <c r="B78" i="2"/>
  <c r="J77" i="2"/>
  <c r="L77" i="2" s="1"/>
  <c r="E77" i="2"/>
  <c r="B77" i="2"/>
  <c r="J76" i="2"/>
  <c r="L76" i="2" s="1"/>
  <c r="E76" i="2"/>
  <c r="B76" i="2"/>
  <c r="J75" i="2"/>
  <c r="L75" i="2" s="1"/>
  <c r="E75" i="2"/>
  <c r="B75" i="2"/>
  <c r="J74" i="2"/>
  <c r="L74" i="2" s="1"/>
  <c r="E74" i="2"/>
  <c r="B74" i="2"/>
  <c r="J73" i="2"/>
  <c r="L73" i="2" s="1"/>
  <c r="E73" i="2"/>
  <c r="B73" i="2"/>
  <c r="J72" i="2"/>
  <c r="L72" i="2" s="1"/>
  <c r="E72" i="2"/>
  <c r="B72" i="2"/>
  <c r="J71" i="2"/>
  <c r="L71" i="2" s="1"/>
  <c r="E71" i="2"/>
  <c r="B71" i="2"/>
  <c r="J70" i="2"/>
  <c r="L70" i="2" s="1"/>
  <c r="E70" i="2"/>
  <c r="B70" i="2"/>
  <c r="J69" i="2"/>
  <c r="L69" i="2" s="1"/>
  <c r="E69" i="2"/>
  <c r="B69" i="2"/>
  <c r="J68" i="2"/>
  <c r="L68" i="2" s="1"/>
  <c r="E68" i="2"/>
  <c r="B68" i="2"/>
  <c r="J67" i="2"/>
  <c r="L67" i="2" s="1"/>
  <c r="E67" i="2"/>
  <c r="B67" i="2"/>
  <c r="J66" i="2"/>
  <c r="L66" i="2" s="1"/>
  <c r="E66" i="2"/>
  <c r="B66" i="2"/>
  <c r="J65" i="2"/>
  <c r="L65" i="2" s="1"/>
  <c r="E65" i="2"/>
  <c r="B65" i="2"/>
  <c r="J64" i="2"/>
  <c r="L64" i="2" s="1"/>
  <c r="E64" i="2"/>
  <c r="B64" i="2"/>
  <c r="J63" i="2"/>
  <c r="L63" i="2" s="1"/>
  <c r="E63" i="2"/>
  <c r="B63" i="2"/>
  <c r="J62" i="2"/>
  <c r="L62" i="2" s="1"/>
  <c r="E62" i="2"/>
  <c r="B62" i="2"/>
  <c r="J61" i="2"/>
  <c r="L61" i="2" s="1"/>
  <c r="E61" i="2"/>
  <c r="B61" i="2"/>
  <c r="J60" i="2"/>
  <c r="L60" i="2" s="1"/>
  <c r="E60" i="2"/>
  <c r="B60" i="2"/>
  <c r="J59" i="2"/>
  <c r="L59" i="2" s="1"/>
  <c r="E59" i="2"/>
  <c r="B59" i="2"/>
  <c r="J58" i="2"/>
  <c r="L58" i="2" s="1"/>
  <c r="E58" i="2"/>
  <c r="B58" i="2"/>
  <c r="J57" i="2"/>
  <c r="L57" i="2" s="1"/>
  <c r="E57" i="2"/>
  <c r="B57" i="2"/>
  <c r="J56" i="2"/>
  <c r="L56" i="2" s="1"/>
  <c r="E56" i="2"/>
  <c r="B56" i="2"/>
  <c r="J55" i="2"/>
  <c r="L55" i="2" s="1"/>
  <c r="E55" i="2"/>
  <c r="B55" i="2"/>
  <c r="J54" i="2"/>
  <c r="L54" i="2" s="1"/>
  <c r="E54" i="2"/>
  <c r="B54" i="2"/>
  <c r="J53" i="2"/>
  <c r="L53" i="2" s="1"/>
  <c r="E53" i="2"/>
  <c r="B53" i="2"/>
  <c r="J52" i="2"/>
  <c r="L52" i="2" s="1"/>
  <c r="E52" i="2"/>
  <c r="B52" i="2"/>
  <c r="J51" i="2"/>
  <c r="L51" i="2" s="1"/>
  <c r="E51" i="2"/>
  <c r="B51" i="2"/>
  <c r="J50" i="2"/>
  <c r="L50" i="2" s="1"/>
  <c r="E50" i="2"/>
  <c r="B50" i="2"/>
  <c r="J49" i="2"/>
  <c r="L49" i="2" s="1"/>
  <c r="E49" i="2"/>
  <c r="B49" i="2"/>
  <c r="J48" i="2"/>
  <c r="L48" i="2" s="1"/>
  <c r="E48" i="2"/>
  <c r="B48" i="2"/>
  <c r="J47" i="2"/>
  <c r="L47" i="2" s="1"/>
  <c r="E47" i="2"/>
  <c r="B47" i="2"/>
  <c r="J46" i="2"/>
  <c r="L46" i="2" s="1"/>
  <c r="E46" i="2"/>
  <c r="B46" i="2"/>
  <c r="J45" i="2"/>
  <c r="L45" i="2" s="1"/>
  <c r="E45" i="2"/>
  <c r="B45" i="2"/>
  <c r="J44" i="2"/>
  <c r="L44" i="2" s="1"/>
  <c r="E44" i="2"/>
  <c r="B44" i="2"/>
  <c r="J43" i="2"/>
  <c r="L43" i="2" s="1"/>
  <c r="E43" i="2"/>
  <c r="B43" i="2"/>
  <c r="J42" i="2"/>
  <c r="L42" i="2" s="1"/>
  <c r="E42" i="2"/>
  <c r="B42" i="2"/>
  <c r="J41" i="2"/>
  <c r="L41" i="2" s="1"/>
  <c r="E41" i="2"/>
  <c r="B41" i="2"/>
  <c r="J40" i="2"/>
  <c r="L40" i="2" s="1"/>
  <c r="E40" i="2"/>
  <c r="B40" i="2"/>
  <c r="J39" i="2"/>
  <c r="L39" i="2" s="1"/>
  <c r="E39" i="2"/>
  <c r="B39" i="2"/>
  <c r="J38" i="2"/>
  <c r="L38" i="2" s="1"/>
  <c r="E38" i="2"/>
  <c r="B38" i="2"/>
  <c r="J37" i="2"/>
  <c r="L37" i="2" s="1"/>
  <c r="E37" i="2"/>
  <c r="B37" i="2"/>
  <c r="J36" i="2"/>
  <c r="L36" i="2" s="1"/>
  <c r="E36" i="2"/>
  <c r="B36" i="2"/>
  <c r="J35" i="2"/>
  <c r="L35" i="2" s="1"/>
  <c r="E35" i="2"/>
  <c r="B35" i="2"/>
  <c r="J34" i="2"/>
  <c r="L34" i="2" s="1"/>
  <c r="E34" i="2"/>
  <c r="B34" i="2"/>
  <c r="J33" i="2"/>
  <c r="L33" i="2" s="1"/>
  <c r="E33" i="2"/>
  <c r="B33" i="2"/>
  <c r="J32" i="2"/>
  <c r="L32" i="2" s="1"/>
  <c r="E32" i="2"/>
  <c r="B32" i="2"/>
  <c r="J31" i="2"/>
  <c r="L31" i="2" s="1"/>
  <c r="E31" i="2"/>
  <c r="B31" i="2"/>
  <c r="J30" i="2"/>
  <c r="L30" i="2" s="1"/>
  <c r="E30" i="2"/>
  <c r="B30" i="2"/>
  <c r="J29" i="2"/>
  <c r="L29" i="2" s="1"/>
  <c r="E29" i="2"/>
  <c r="B29" i="2"/>
  <c r="J28" i="2"/>
  <c r="L28" i="2" s="1"/>
  <c r="E28" i="2"/>
  <c r="B28" i="2"/>
  <c r="J27" i="2"/>
  <c r="L27" i="2" s="1"/>
  <c r="E27" i="2"/>
  <c r="B27" i="2"/>
  <c r="J26" i="2"/>
  <c r="L26" i="2" s="1"/>
  <c r="E26" i="2"/>
  <c r="B26" i="2"/>
  <c r="J25" i="2"/>
  <c r="L25" i="2" s="1"/>
  <c r="E25" i="2"/>
  <c r="B25" i="2"/>
  <c r="J24" i="2"/>
  <c r="L24" i="2" s="1"/>
  <c r="E24" i="2"/>
  <c r="B24" i="2"/>
  <c r="J23" i="2"/>
  <c r="L23" i="2" s="1"/>
  <c r="E23" i="2"/>
  <c r="B23" i="2"/>
  <c r="J22" i="2"/>
  <c r="L22" i="2" s="1"/>
  <c r="E22" i="2"/>
  <c r="B22" i="2"/>
  <c r="J21" i="2"/>
  <c r="L21" i="2" s="1"/>
  <c r="E21" i="2"/>
  <c r="B21" i="2"/>
  <c r="J20" i="2"/>
  <c r="L20" i="2" s="1"/>
  <c r="E20" i="2"/>
  <c r="B20" i="2"/>
  <c r="J19" i="2"/>
  <c r="L19" i="2" s="1"/>
  <c r="E19" i="2"/>
  <c r="B19" i="2"/>
  <c r="J18" i="2"/>
  <c r="L18" i="2" s="1"/>
  <c r="E18" i="2"/>
  <c r="B18" i="2"/>
  <c r="J17" i="2"/>
  <c r="L17" i="2" s="1"/>
  <c r="E17" i="2"/>
  <c r="B17" i="2"/>
  <c r="J16" i="2"/>
  <c r="L16" i="2" s="1"/>
  <c r="E16" i="2"/>
  <c r="B16" i="2"/>
  <c r="J15" i="2"/>
  <c r="L15" i="2" s="1"/>
  <c r="E15" i="2"/>
  <c r="B15" i="2"/>
  <c r="J14" i="2"/>
  <c r="L14" i="2" s="1"/>
  <c r="E14" i="2"/>
  <c r="B14" i="2"/>
  <c r="J13" i="2"/>
  <c r="L13" i="2" s="1"/>
  <c r="E13" i="2"/>
  <c r="B13" i="2"/>
  <c r="J12" i="2"/>
  <c r="L12" i="2" s="1"/>
  <c r="E12" i="2"/>
  <c r="B12" i="2"/>
  <c r="J11" i="2"/>
  <c r="L11" i="2" s="1"/>
  <c r="E11" i="2"/>
  <c r="B11" i="2"/>
  <c r="J10" i="2"/>
  <c r="L10" i="2" s="1"/>
  <c r="E10" i="2"/>
  <c r="B10" i="2"/>
  <c r="J9" i="2"/>
  <c r="L9" i="2" s="1"/>
  <c r="E9" i="2"/>
  <c r="B9" i="2"/>
  <c r="J8" i="2"/>
  <c r="L8" i="2" s="1"/>
  <c r="E8" i="2"/>
  <c r="B8" i="2"/>
  <c r="J7" i="2"/>
  <c r="L7" i="2" s="1"/>
  <c r="E7" i="2"/>
  <c r="B7" i="2"/>
  <c r="J6" i="2"/>
  <c r="L6" i="2" s="1"/>
  <c r="E6" i="2"/>
  <c r="B6" i="2"/>
  <c r="J5" i="2"/>
  <c r="L5" i="2" s="1"/>
  <c r="E5" i="2"/>
  <c r="B5" i="2"/>
  <c r="J4" i="2"/>
  <c r="L4" i="2" s="1"/>
  <c r="E4" i="2"/>
  <c r="B4" i="2"/>
  <c r="J3" i="2"/>
  <c r="L3" i="2" s="1"/>
  <c r="E3" i="2"/>
  <c r="B3" i="2"/>
  <c r="J2" i="2"/>
  <c r="L2" i="2" s="1"/>
  <c r="E2" i="2"/>
  <c r="B2" i="2"/>
</calcChain>
</file>

<file path=xl/sharedStrings.xml><?xml version="1.0" encoding="utf-8"?>
<sst xmlns="http://schemas.openxmlformats.org/spreadsheetml/2006/main" count="21936" uniqueCount="3223">
  <si>
    <t>Responsável</t>
  </si>
  <si>
    <t>NAEN</t>
  </si>
  <si>
    <t>NAMP</t>
  </si>
  <si>
    <t>NFOCPO</t>
  </si>
  <si>
    <t>NSADRE</t>
  </si>
  <si>
    <t>Daniele</t>
  </si>
  <si>
    <t>Elisangela</t>
  </si>
  <si>
    <t xml:space="preserve">Elsia </t>
  </si>
  <si>
    <t>Hannah</t>
  </si>
  <si>
    <t>Jean</t>
  </si>
  <si>
    <t>Laís</t>
  </si>
  <si>
    <t>Marcia</t>
  </si>
  <si>
    <t>Maria Júlia</t>
  </si>
  <si>
    <t>Marília</t>
  </si>
  <si>
    <t>Mylla</t>
  </si>
  <si>
    <t>Polyana</t>
  </si>
  <si>
    <t>Raquel</t>
  </si>
  <si>
    <t>Número da Solicitação</t>
  </si>
  <si>
    <t>Orgão</t>
  </si>
  <si>
    <t>Unidade gestora</t>
  </si>
  <si>
    <t>Tipo da solicitação</t>
  </si>
  <si>
    <t>Número da ata</t>
  </si>
  <si>
    <t>Objeto</t>
  </si>
  <si>
    <t>Núcleo Pertencente</t>
  </si>
  <si>
    <t>Data da solicitação</t>
  </si>
  <si>
    <t>Situação  do Processo</t>
  </si>
  <si>
    <t>Situação Atual</t>
  </si>
  <si>
    <t>Andamento no PE Integrado</t>
  </si>
  <si>
    <t>Comparação</t>
  </si>
  <si>
    <t>Andamento SEI</t>
  </si>
  <si>
    <t>Encaminhado / Setor</t>
  </si>
  <si>
    <t>SEI</t>
  </si>
  <si>
    <t>Status da Coluna M</t>
  </si>
  <si>
    <t>C.002-ARP.0080.00.2025.GOV.FES-PE.PE</t>
  </si>
  <si>
    <t>HOSPITAL REGIONAL DO AGRESTE DR.WALDEMIRO FERREIRA</t>
  </si>
  <si>
    <t>Adesão</t>
  </si>
  <si>
    <t>Formação de Registro de Preços para o fornecimento eventual de MEDICAMENTOS INJETÁVEIS VOL. 1 visando atender as necessidades do Hospital Jaboatão Prazeres.</t>
  </si>
  <si>
    <t>Cancelada</t>
  </si>
  <si>
    <t>Cancelado</t>
  </si>
  <si>
    <t>SEI não localizado</t>
  </si>
  <si>
    <t>A.031-ARP.0001.01.2025.GOV.HUOC.PE</t>
  </si>
  <si>
    <t>Registro de Preços para o fornecimento eventual de MEDICAMENTOS CONTROLADOS, CLÍNICOS RESPIRATÓRIOS E MANIPULADOS (SEI Nº 0040609437.000157/2024-48)</t>
  </si>
  <si>
    <t>Cancelar Com o Suporte</t>
  </si>
  <si>
    <t>A.029-ARP.0001.01.2025.GOV.HUOC.PE</t>
  </si>
  <si>
    <t>Concluído</t>
  </si>
  <si>
    <t>Em andamento</t>
  </si>
  <si>
    <t>Enviado ao JURIDICO</t>
  </si>
  <si>
    <t>2300001213.000370/2025-49</t>
  </si>
  <si>
    <t>A.027-ARP.0089.01.2024.GOV.HUOC.PE</t>
  </si>
  <si>
    <t>Registro de Preços para o fornecimento eventual de MEDICAMENTOS ANTIMICROBIANOS (SEI Nº 0040609437.000129/2024-21)</t>
  </si>
  <si>
    <t>A.024-ARP.0119.01.2024.GOV.HUOC.PE</t>
  </si>
  <si>
    <t>Registro de Preços para a eventual aquisição de Medicamentos Clínicos Gerais 4 (SEI Nº 0040609437.000172/2024-96)</t>
  </si>
  <si>
    <t>Enviado ao NOF</t>
  </si>
  <si>
    <t>2300001213.000405/2025-40</t>
  </si>
  <si>
    <t>A.019-ARP.0013.00.2025.GOV.FUNDARPE.PE</t>
  </si>
  <si>
    <t>Formação de Registro de Preços para contratação eventual de prestação de serviços de Alimentação Pronta (marmitex e lanche) e Buffet (coffee break, coquetel volante e self-service), sem a locação de espaço para atender as demandas dos projetos, eventos, ciclos tradicionais, feiras, festivais e demais ações e/ou eventos culturais, promovidos e/ou apoiados pelo Governo de Pernambuco</t>
  </si>
  <si>
    <t>Enviado a GCONTRATOS</t>
  </si>
  <si>
    <t>2300002942.000003/2025-73</t>
  </si>
  <si>
    <t>A.015-ARP.0017.00.2025.EXT.131763.PB</t>
  </si>
  <si>
    <t>A presente Ata tem por objetivo o registro de preços PARA REGISTRO DE PREÇO PARA AQUISIÇÃO DE MEDICAMENTOS ANTIBACTERIANOS INJETÁVEIS especificado, no item 1.1 do Termo de Referência, anexo no edital de Pregão 173/2024 que é parte integrante desta Ata, assim como as propostas cujos preços tenham sido registrados, independentemente da transcrição.</t>
  </si>
  <si>
    <t>Enviado a NFOCPO</t>
  </si>
  <si>
    <t>2300001213.000259/2025-52</t>
  </si>
  <si>
    <t>A.014-ARP.0017.00.2025.EXT.131763.PB</t>
  </si>
  <si>
    <t>2300001213.000190/2025-67</t>
  </si>
  <si>
    <t>solicitação em duplicidade com A.014-ARP.0017.00.2025.EXT.131763.PB - sem efeito para conlcusão da compra</t>
  </si>
  <si>
    <t>A.013-ARP.0084.05.2024.GOV.CISAM.PE</t>
  </si>
  <si>
    <t>REGISTRO DE PREÇOS PARA FORNECIMENTO EVENTUAL DE MOBILIARIOS MEDICO-HOSPITALAR PARA O CENTRO DE PARTO NORMAL E CASA DA GESTANTE BEBE E PUERPERA PARA RECÉM NASCIDOS, VISANDO ATENDER AS NECESSIDADES DO CISAM/UPE E DEMAIS ÓRGÃO PARTICIPANTES.</t>
  </si>
  <si>
    <t>2300002544.000075/2025-11</t>
  </si>
  <si>
    <t>A.012-ARP.0013.02.2025.GOV.HOF.PE</t>
  </si>
  <si>
    <t>REGISTRO DE PREÇOS PARA O FORNECIMENTO DE DISPOSITIVOS MÉDICOS DO TIPO INSUMOS PARA OXIGENOTERAPIA, VISANDO ATENDER AS NECESSIDADES DO HOSPITAL OTÁVIO DE FREITAS.</t>
  </si>
  <si>
    <t>Em configuração</t>
  </si>
  <si>
    <t>Revisar com Papa</t>
  </si>
  <si>
    <t>Finalizar com o nucleo</t>
  </si>
  <si>
    <t>A.012-ARP.0009.02.2025.GOV.FES-PE.PE</t>
  </si>
  <si>
    <t>Registro de Preços para aquisição de Material Médico Hospitalar - Luvas (Unificado)</t>
  </si>
  <si>
    <t>2300001213.000385/2025-15</t>
  </si>
  <si>
    <t>A.011-ARP.0080.00.2025.GOV.FES-PE.PE</t>
  </si>
  <si>
    <t>2300001213.000402/2025-14</t>
  </si>
  <si>
    <t>A.010-ARP.0051.04.2025.GOV.PROCAPE.PE</t>
  </si>
  <si>
    <t>REGISTRO DE PREÇOS PARA EVENTUAL FORNECIMENTO DE MATERIAL DE CONSUMO HOSPITALAR (MATERIAL PENSO)</t>
  </si>
  <si>
    <t>2300001213.000360/2025-11</t>
  </si>
  <si>
    <t>A.008-ARP.0072.07.2025.GOV.HUOC.PE</t>
  </si>
  <si>
    <t>Registro de Preços para o eventual fornecimento de MEDICAMENTOS CLÍNICOS GERAIS 6 - 18 ITENS - SEI: 0040609437.000009/2025-12</t>
  </si>
  <si>
    <t>j</t>
  </si>
  <si>
    <t>A.008-ARP.0008.05.2025.GOV.HGV.PE</t>
  </si>
  <si>
    <t>Registro de Preços para o fornecimento eventual de MATERIAIS ESPECIAIS PARA ENDOSCOPIA</t>
  </si>
  <si>
    <t>Registro de Preços para o eventual fornecimento de ÓRTESES, PRÓTESES E MATERIAIS ESPECIAIS - OPME’S (TRAUMATO I), visando atender as necessidades do Hospital da Restauração.</t>
  </si>
  <si>
    <t>Enviado ao GFIN</t>
  </si>
  <si>
    <t>A.007-ARP.0072.07.2025.GOV.HUOC.PE</t>
  </si>
  <si>
    <t>2300001213.000376/2025-16</t>
  </si>
  <si>
    <t>A.007-ARP.0057.00.2025.GOV.HUOC.PE</t>
  </si>
  <si>
    <t>Registro de Preços para o fornecimento eventual de MATERIAIS MÉDICOS HOSPITALARES - SONDA FOLEYS E CATETER INTRAVENOSO (SEI: 0040609912.000190/2024-15)</t>
  </si>
  <si>
    <t>A.007-ARP.0013.06.2025.GOV.HOF.PE</t>
  </si>
  <si>
    <t>A.007-ARP.0008.05.2025.GOV.HGV.PE</t>
  </si>
  <si>
    <t>A.007-ARP.0005.00.2025.GOV.FEAS.PE</t>
  </si>
  <si>
    <t>Formação de Registro de Preços para o fornecimento eventual de MATERIAL DE LIMPEZA e MATERIAL HIGIENE PESSOAL visando atender as necessidades dos municípios que possam vir a ser afetados por desastre, e acolhida pela Secretária de Assistência Social, Combate à Fome e Políticas sobre Drogas por meio da Secretaria Executiva de Assistência Social, nos termos da legislação vigente e conforme as condições, especificações, quantidades e exigências contidas neste Termo de Referência</t>
  </si>
  <si>
    <t>2300001213.000381/2025-29</t>
  </si>
  <si>
    <t>A.007-ARP.0001.00.2025.GOV.HR.PE</t>
  </si>
  <si>
    <t>2300002944.000002/2025-17</t>
  </si>
  <si>
    <t>A.006-ARP.0008.05.2025.GOV.HGV.PE</t>
  </si>
  <si>
    <t>A.006-ARP.0005.00.2025.GOV.FEAS.PE</t>
  </si>
  <si>
    <t>A.005-ARP.0011.00.2025.GOV.HAM.PE</t>
  </si>
  <si>
    <t>REGISTRO DE PREÇOS PARA EVENTUAL FORNECIMENTO DE MATERIAL DE CONSUMO HOSPITALAR ( AQUISIÇÃO DE MATERIAL KIT DE CURATIVO P/ TERAPIA POR PRESSÃO NEGATIVA )</t>
  </si>
  <si>
    <t>2300002541.000001/2025-05</t>
  </si>
  <si>
    <t>A.004-ARP.0010.05.2025.GOV.HAM.PE</t>
  </si>
  <si>
    <t>Registro de Preços para o fornecimento eventual de material médico hospitalar destinado ao serviço de anestesia, visando atender as necessidades do Hospital Agamenon Magalhães</t>
  </si>
  <si>
    <t>2300001213.000369/2025-14</t>
  </si>
  <si>
    <t>A.003-ARP.0501.00.2025.EXT.HGJMM.RN</t>
  </si>
  <si>
    <t>Aquisição de Medicamentos - ANTIMICROBIANOS , conforme condições e exigências estabelecidas neste instrumento.</t>
  </si>
  <si>
    <t>A.003-ARP.0118.05.2024.GOV.HUOC.PE</t>
  </si>
  <si>
    <t>Registro de Preços para eventual fornecimento de MATERIAIS MÉDICOS HOSPITALARES PARA O SERVIÇO DE ENDOSCOPIA (SEI Nº0040609912.000069/2024-93)</t>
  </si>
  <si>
    <t>2300001213.000404/2025-03</t>
  </si>
  <si>
    <t>A.003-ARP.0118.01.2024.GOV.HUOC.PE</t>
  </si>
  <si>
    <t>2300001213.000342/2025-21</t>
  </si>
  <si>
    <t>A.003-ARP.0073.05.2025.GOV.HUOC.PE</t>
  </si>
  <si>
    <t>Registro de Preços para o eventual fornecimento de MEDICAMENTOS ANTINEOPLÁSICOS E ADJUVANTES (13 ITENS) (SEI: 0040609437.000263/2024-21)</t>
  </si>
  <si>
    <t>2300001213.000362/2025-01</t>
  </si>
  <si>
    <t>A.003-ARP.0073.00.2025.GOV.FES-PE.PE</t>
  </si>
  <si>
    <t>Registro de Preços para o fornecimento eventual de Dispositivos Médicos do tipo Materiais Médicos (Indicadores, cera, e cimento cirúrgico), conforme especificações e quantitativos previstos no Termo de Referência, visando atender as necessidades dos hospitais e estabelecimentos vinculados à Secretaria Estadual de Saúde de Pernambuco</t>
  </si>
  <si>
    <t>2300001213.000239/2025-81</t>
  </si>
  <si>
    <t>A.003-ARP.0044.04.2025.GOV.FES-PE.PE</t>
  </si>
  <si>
    <t>Formação de Registro de Preços para o fornecimento eventual de dispositivos médicos do Tipo DRENOS visando atender as necessidades dos hospitais e estabelecimentos vinculados à Secretaria Estadual de Saúde de Pernambuco, conforme as condições, especificações, quantidades e exigências contidas no Termo de Referência</t>
  </si>
  <si>
    <t>A.003-ARP.0009.01.2025.EXT.HMAR.PE</t>
  </si>
  <si>
    <t>Registro de preços para eventual aquisição de produtos para saúde - MMH4 , visando atenderas necessidades do Hospital do Hospital Militar de Área de Recife (HMAR)</t>
  </si>
  <si>
    <t>A.003-ARP.0008.02.2025.GOV.HGV.PE</t>
  </si>
  <si>
    <t>2300001213.000313/2025-60</t>
  </si>
  <si>
    <t>A.003-ARP.0006.03.2025.GOV.PROCAPE.PE</t>
  </si>
  <si>
    <t>REGISTRO DE PREÇOS PARA EVENTUAL FORNECIMENTO DE MATERIAL DE CONSUMO HOSPITALAR (MEDICAMENTOS)</t>
  </si>
  <si>
    <t>2300001213.000119/2025-84</t>
  </si>
  <si>
    <t>A.002-ARP.1190.00.2025.EXT.158552.PB</t>
  </si>
  <si>
    <t>MIDAZOLAM 1 mg/mL (5 mg) solução injetável (ampola 5 mL).</t>
  </si>
  <si>
    <t>2300001213.000237/2025-92</t>
  </si>
  <si>
    <t>A.002-ARP.0118.05.2024.GOV.HUOC.PE</t>
  </si>
  <si>
    <t>2300001213.000341/2025-87</t>
  </si>
  <si>
    <t>A.002-ARP.0102.01.2025.GOV.HUOC.PE</t>
  </si>
  <si>
    <t>Registro de Preços para o eventual fornecimento de GRAMPEADORES E CARGAR LINEARES E CIRCULARES (SEI Nº 0040609912.000126/2024-34)</t>
  </si>
  <si>
    <t>2300001213.000398/2025-86</t>
  </si>
  <si>
    <t>A.002-ARP.0068.04.2025.GOV.FES-PE.PE</t>
  </si>
  <si>
    <t>FORMAÇÃO DE REGISTRO DE PREÇOS PARA O FORNECIMENTO DE DISPOSITIVOS MÉDICOS, DO TIPO INSUMOS PARA OSTOMIA, VISANDO ATENDER AS NECESSIDADES DOS HOSPITAIS E ESTABELECIMENTOS VINCULADOS À SECRETARIA ESTADUAL DE SAÚDE DE PERNAMBUCO</t>
  </si>
  <si>
    <t>A.002-ARP.0045.02.2025.GOV.PROCAPE.PE</t>
  </si>
  <si>
    <t>2300001209.000037/2025-07</t>
  </si>
  <si>
    <t>A.002-ARP.0044.04.2025.GOV.FES-PE.PE</t>
  </si>
  <si>
    <t>Encaminhada para anuência do gestor</t>
  </si>
  <si>
    <t>2300001213.000401/2025-61</t>
  </si>
  <si>
    <t>A.002-ARP.0021.00.2025.GOV.HOF.PE</t>
  </si>
  <si>
    <t>Formação de Registro de Preços para o fornecimento de OPME(s)do tipo Medicina Esportiva, sob sistema de consignação, visando atender as necessidades do Hospital Otávio de Freitas - HOF e Hospital Regional do Agreste - HRA, conforme as condições, especificações, quantidades e exigências contidas nos Estudos Técnicos Preliminares e neste Termo de Referência</t>
  </si>
  <si>
    <t>2300002944.000001/2025-64</t>
  </si>
  <si>
    <t>A.002-ARP.0009.03.2025.GOV.HGV.PE</t>
  </si>
  <si>
    <t>Formação de Registro de Preços para o fornecimento de OPME(s) do tipo GRAMPEADOR CIRURGICO, visando atender as necessidades dos HOSPITAL GETULIO VARGAS, conforme as condições, especificações, quantidades e exigências contidas no anexo I do Edital.</t>
  </si>
  <si>
    <t>2300001213.000396/2025-97</t>
  </si>
  <si>
    <t>A.002-ARP.0009.02.2025.GOV.HGV.PE</t>
  </si>
  <si>
    <t>2300001213.000394/2025-06</t>
  </si>
  <si>
    <t>A.002-ARP.0009.01.2025.EXT.HMAR.PE</t>
  </si>
  <si>
    <t>Em revisão</t>
  </si>
  <si>
    <t>2300001213.000378/2025-13</t>
  </si>
  <si>
    <t>A.001-ARP.0089.06.2025.GOV.HUOC.PE</t>
  </si>
  <si>
    <t>Registro de Preços para a eventual fornecimento de MATERIAIS MÉDICOS HOSPITALARES - CATETERES DIVERSOS (SEI: 0040609912.000101/2024-31)</t>
  </si>
  <si>
    <t>2300001213.000373/2025-82</t>
  </si>
  <si>
    <t>A.001-ARP.0068.04.2025.GOV.FES-PE.PE</t>
  </si>
  <si>
    <t>2300001213.000384/2025-62</t>
  </si>
  <si>
    <t>A.001-ARP.0021.00.2025.GOV.HOF.PE</t>
  </si>
  <si>
    <t>A.001-ARP.0020.00.2024.GOV.HOF.PE</t>
  </si>
  <si>
    <t>Formação de registro de preços para o fornecimento eventual dos insumos de Órtese, Próteses e Materiais Especiais para cirurgias de coluna - Deformidades Infantil, em sistema de consignação, para atender demandas judiciais e necessidades específicas de crianças pernambucanas com deformidade na coluna vertebral, através do Hospital Otávio de Freitas</t>
  </si>
  <si>
    <t>2300001213.000420/2025-98</t>
  </si>
  <si>
    <t>A.001-ARP.0011.03.2025.GOV.HGV.PE</t>
  </si>
  <si>
    <t>Formação de Registro de Preços para o fornecimento eventual de SMS - EMBALAGENS DESCARTÁVEIS PARA ESTERILIZAÇÃO visando atender a demanda do Hospital Getúlio Vargas conforme condições, especificações, quantidades e exigências contidas neste Termo de Referência.</t>
  </si>
  <si>
    <t>2300001213.000387/2025-04</t>
  </si>
  <si>
    <t>C.007-ARP.0073.00.2025.GOV.FES-PE.PE</t>
  </si>
  <si>
    <t>A.026-ARP.0089.01.2024.GOV.HUOC.PE</t>
  </si>
  <si>
    <t>A.025-ARP.0089.01.2024.GOV.HUOC.PE</t>
  </si>
  <si>
    <t>A.022-ARP.0002.00.2025.GOV.FES-PE.PE</t>
  </si>
  <si>
    <t>REGISTRO DE PREÇOS (ARP) PARA FORNECIMENTO DE MEDICAMENTOS DIVERSOS ORAIS/TÓPICOS - VOLUME 2 PARA ATENDER AO HOSPITAL JABOATÃO PRAZERES</t>
  </si>
  <si>
    <t>2300001213.000329/2025-72</t>
  </si>
  <si>
    <t>A.018-ARP.0038.03.2025.GOV.HUOC.PE</t>
  </si>
  <si>
    <t>Registro de Preços para a eventual fornecimento de Medicamentos Clínicos Gerais (3) SEI 0040609437.000169/2024-72</t>
  </si>
  <si>
    <t>2300001213.000282/2025-47</t>
  </si>
  <si>
    <t>A.015-ARP.0017.00.2025.GOV.HUOC.PE</t>
  </si>
  <si>
    <t>Registro de Preços para a eventual fornecimento de REAGENTES PARA O LABORATÓRIO CLINICO COM CESSÃO DE EQUIPAMENTOS EM REGIME DE COMODATO PARA REALIZAÇÃO DE DOSAGEM EM BIOQUÍMICA, HORMÔNIOS E MARCADORES TUMORAIS (SEI Nº 0040609536.000028/2024-31)</t>
  </si>
  <si>
    <t>Encaminhada para o gestor central de ata</t>
  </si>
  <si>
    <t>2300001209.000065/2025-16</t>
  </si>
  <si>
    <t>A.013-ARP.0122.00.2025.GOV.HUOC.PE</t>
  </si>
  <si>
    <t>Registro de Preços para o eventual fornecimento de MEDICAMENTOS CONTROLADOS ORAIS (PORTARIA 344/98) (SEI Nº 0040609437.000080/2025-97)</t>
  </si>
  <si>
    <t>2300001213.000352/2025-67</t>
  </si>
  <si>
    <t>A.013-ARP.0021.01.2024.GOV.HOF.PE</t>
  </si>
  <si>
    <t>Formação de Registro de Preços para o fornecimento eventual de Material Médico Hospitalar INSUMOS PARA HIGIENE E PROTEÇÃO, visando atender a necessidade do do Hospital Otávio de Freitas (HOF), Hospital Regional do Agreste (HRA), Hospital Getúlio Vargas (HGV), Hospital Agamenon Magalhães (HAM),</t>
  </si>
  <si>
    <t>2300001213.000336/2025-74</t>
  </si>
  <si>
    <t>A.013-ARP.0013.00.2024.GOV.HAM.PE</t>
  </si>
  <si>
    <t>REGISTRO DE PREÇOS PARA EVENTUAL AQUISIÇÃO DE EQUIPAMENTO PARA UNITARIZAÇÃO DE MEDICAMENTOS</t>
  </si>
  <si>
    <t>2300001213.000176/2025-63</t>
  </si>
  <si>
    <t>A.012-ARP.0004.00.2025.GOV.HR.PE</t>
  </si>
  <si>
    <t>Formação de Ata de Registro de Preços para o fornecimento eventual de produtos médicos (MATERIAL MÉDICO HOSPITALAR), com cessão de equipamentos em regime de comodato, visando atender as necessidades do Hospital da Restauração Gov. Paulo Guerra.</t>
  </si>
  <si>
    <t>2300001213.000359/2025-89</t>
  </si>
  <si>
    <t>A.011-ARP.0017.00.2025.EXT.131763.PB</t>
  </si>
  <si>
    <t>A.011-ARP.0013.02.2025.GOV.HOF.PE</t>
  </si>
  <si>
    <t>A.011-ARP.0012.07.2025.GOV.HAM.PE</t>
  </si>
  <si>
    <t>Registro de Preços para o fornecimento eventual de material de consumo (aquisição de materiais de almoxarifado) visando atender as necessidades do Hospital Agamenon Magalhães, Hospital Otávio de Freitas, Hospital Regional do Agreste e da Secretaria de Saúde</t>
  </si>
  <si>
    <t>2300002544.000068/2025-10</t>
  </si>
  <si>
    <t>A.010-ARP.0106.00.2025.GOV.HUOC.PE</t>
  </si>
  <si>
    <t>Registro de Preços para o eventual fornecimento de MEDICAMENTOS CONTROLADOS INJETÁVEIS - Portaria 344/98 (SEI Nº 0040609437.000073/2025-95)</t>
  </si>
  <si>
    <t>2300001213.000308/2025-57</t>
  </si>
  <si>
    <t>A.010-ARP.0059.02.2025.GOV.PROCAPE.PE</t>
  </si>
  <si>
    <t>2300001213.000275/2025-45</t>
  </si>
  <si>
    <t>A.010-ARP.0012.07.2025.GOV.HAM.PE</t>
  </si>
  <si>
    <t>A.009-ARP.0028.03.2025.GOV.PROCAPE.PE</t>
  </si>
  <si>
    <t>2300001213.000309/2025-00</t>
  </si>
  <si>
    <t>A.008-ARP.0100.00.2024.GOV.HUOC.PE</t>
  </si>
  <si>
    <t>Registro de Preços para a eventual fornecimento de REAGENTES PARA O LABORATÓRIO CLINICO COM CESSÃO DE EQUIPAMENTOS EM REGIME DE COMODATO PARA REALIZAÇÃO DE TESTES EM HEMOSTASIA (SEI Nº 0040609536.000027/2024-97)</t>
  </si>
  <si>
    <t>2300001209.000057/2025-70</t>
  </si>
  <si>
    <t>A.008-ARP.0001.00.2025.GOV.SASSEPE.PE</t>
  </si>
  <si>
    <t>Formação de Registro de Preços para o fornecimento de OPME(s) do tipo Material Cirúrgico do Vídeo Cirurgia – Lapsus com cessão em comodato de equipamentos , visando atender as necessidades do Hospital dos Servidores do Estado de Pernambuco – HSE, nos termos da legislação vigente, conforme as condições, especificações, quantidades e exigências contidas na Nota Técnica Nº 62/2024 (Doc. SEI nº 51234477) e no Termo de Referência</t>
  </si>
  <si>
    <t>2300002544.000074/2025-69</t>
  </si>
  <si>
    <t>A.007-ARP.0106.02.2025.GOV.HUOC.PE</t>
  </si>
  <si>
    <t>2300001213.000289/2025-69</t>
  </si>
  <si>
    <t>A.007-ARP.0080.00.2025.GOV.FES-PE.PE</t>
  </si>
  <si>
    <t>2300001213.000383/2025-18</t>
  </si>
  <si>
    <t>A.007-ARP.0079.03.2025.GOV.HUOC.PE</t>
  </si>
  <si>
    <t>Registro de Preços para o eventual fornecimento de MEDICAMENTOS MEDICAMENTOS CONTROLADOS (SEI: 0040609437.000303/2024-35)</t>
  </si>
  <si>
    <t>2300001213.000345/2025-65</t>
  </si>
  <si>
    <t>A.007-ARP.0079.00.2025.GOV.HUOC.PE</t>
  </si>
  <si>
    <t>2300001213.000354/2025-56</t>
  </si>
  <si>
    <t>A.006-ARP.0010.02.2025.GOV.HAM.PE</t>
  </si>
  <si>
    <t>2300001213.000244/2025-94</t>
  </si>
  <si>
    <t>A.005-ARP.0082.06.2025.GOV.HUOC.PE</t>
  </si>
  <si>
    <t>Registro de Preços para o eventual fornecimento de MEDICAMENTOS CLÍNICOS GERAIS (SEI 0040609437.000017/2025-51)</t>
  </si>
  <si>
    <t>2300001213.000293/2025-27</t>
  </si>
  <si>
    <t>A.005-ARP.0064.01.2025.GOV.HUOC.PE</t>
  </si>
  <si>
    <t>Registro de Preços para o eventual fornecimento de MEDICAMENTOS CLÍNICOS GERAIS 4 (12 ITENS) SEI: 0040609437.000004/2025-81</t>
  </si>
  <si>
    <t>A.005-ARP.0059.00.2025.GOV.FES-PE.PE</t>
  </si>
  <si>
    <t>FORMAÇÃO DE REGISTRO DE PREÇOS PARA O FORNECIMENTO DE DISPOSITIVOS MÉDICOS, DO TIPO BOLSAS PARA OSTOMIA, VISANDO ATENDER AS NECESSIDADES DOS HOSPITAIS E ESTABELECIMENTOS VINCULADOS À SECRETARIA ESTADUAL DE SAÚDE DE PERNAMBUCO.</t>
  </si>
  <si>
    <t>A.005-ARP.0038.02.2025.GOV.HUOC.PE</t>
  </si>
  <si>
    <t>2300001213.000261/2025-21</t>
  </si>
  <si>
    <t>A.005-ARP.0012.02.2025.GOV.HUOC.PE</t>
  </si>
  <si>
    <t>Registro de Preço para o eventual fornecimento de REAGENTES E OUTROS INSUMOS DESTINADOS A AGÊNCIA TRANSFUSIONAL COM CESSÃO DE EQUIPAMENTOS A TÍTULO DE COMODATO, visando atender a necessidade das Unidades do Complexo Hospitalar da UPE - UCH/UPE (SEI Nº 0040609916.000029/2024-10)</t>
  </si>
  <si>
    <t>2300002544.000050/2025-18</t>
  </si>
  <si>
    <t>A.004-ARP.0090.04.2025.GOV.HUOC.PE</t>
  </si>
  <si>
    <t>Registro de Preços para a eventual fornecimento de Aquisição de materiais de expediente (SEI:0040609438.000048/2024-11)</t>
  </si>
  <si>
    <t>2300001213.000315/2025-59</t>
  </si>
  <si>
    <t>A.004-ARP.0059.00.2025.GOV.FES-PE.PE</t>
  </si>
  <si>
    <t>A.004-ARP.0045.00.2024.GOV.HR.PE</t>
  </si>
  <si>
    <t>Formação de Registro de Preços para o eventual fornecimento de ÓRTESES, PRÓTESES E MATERIAIS ESPECIAIS – OPME’S (GRUPO COLUNA IV), visando atender as necessidades do Hospital da Restauração, nos termos da legislação vigente e do Documento de Formalização da Demanda presente nos autos e conforme as condições, especificações, quantidades e exigências contidas no Termo de Referência.</t>
  </si>
  <si>
    <t>2300002544.000069/2025-56</t>
  </si>
  <si>
    <t>A.004-ARP.0044.06.2025.GOV.FES-PE.PE</t>
  </si>
  <si>
    <t>2300001213.000196/2025-34</t>
  </si>
  <si>
    <t>Cancelado Devido a não Autorização do Gestor</t>
  </si>
  <si>
    <t>A.004-ARP.0012.01.2025.GOV.HEMOPE.PE</t>
  </si>
  <si>
    <t>Registro de Preços para o fornecimento eventual de insumos para Saúde GRUPO 2 , visando atender as necessidades do Hospital HEMOPE – Fundação de Hematologia e Hemoterapia de Pernambuco</t>
  </si>
  <si>
    <t>2300001213.000326/2025-39</t>
  </si>
  <si>
    <t>A.004-ARP.0010.00.2025.GOV.HR.PE</t>
  </si>
  <si>
    <t>Registro de Preços para o fornecimento eventual de BENS (MATERIAL E UTENSÍLIO CULINÁRIO DE USO DOMESTICO E PESSOAL), visando atender as necessidades do Hospital da Restauração e do Hospital Agamenon Magalhães</t>
  </si>
  <si>
    <t>2300002544.000065/2025-78</t>
  </si>
  <si>
    <t>A.003-ARP.0328.01.2025.EXT.131763.PB</t>
  </si>
  <si>
    <t>Registro de Preços para a eventual aquisição de sondas urinárias.</t>
  </si>
  <si>
    <t>2300001213.000245/2025-39</t>
  </si>
  <si>
    <t>A.003-ARP.0093.00.2024.GOV.CISAM.PE</t>
  </si>
  <si>
    <t>REGISTRO DE PREÇOS PARA O EVENTUAL FORNECIMENTO DE MEDICAMENTOS, VISANDO ATENDER AS NECESSIDADES DO CISAM/UPE E DEMAIS ÓRGÃOS PARTICIPANTES</t>
  </si>
  <si>
    <t>2300001213.000004/2025-90</t>
  </si>
  <si>
    <t>A.003-ARP.0059.00.2025.GOV.FES-PE.PE</t>
  </si>
  <si>
    <t>A.003-ARP.0014.00.2025.GOV.HR.PE</t>
  </si>
  <si>
    <t>Registro de Preços para o fornecimento eventual de PRODUTOS MÉDICOS HOSPITALARES PARA ENDOSCOPIA</t>
  </si>
  <si>
    <t>2300001213.000300/2025-91</t>
  </si>
  <si>
    <t>A.003-ARP.0010.05.2025.GOV.HAM.PE</t>
  </si>
  <si>
    <t>A.003-ARP.0005.00.2025.EXT.136144.ES</t>
  </si>
  <si>
    <t>A presente Ata tem por objeto o registro de preços para a eventual aquisição de MEDICAMENTOS-PERP, especificado no Termo de Referência, anexo do Edital de Licitação nº 133/2025, que é parte integrante desta Ata, assim como as propostas cujos preços tenham sido registrados, independentemente de transcrição</t>
  </si>
  <si>
    <t>2300001213.000314/2025-12</t>
  </si>
  <si>
    <t>A.002-ARP.0059.00.2025.GOV.FES-PE.PE</t>
  </si>
  <si>
    <t>2300001213.000229/2025-46</t>
  </si>
  <si>
    <t>A.002-ARP.0019.00.2025.EXT.131763.PB</t>
  </si>
  <si>
    <t>A presente Ata tem por objeto o registro de preços para a eventual aquisição de medicamentos (sistema cardiovascular), especificado (s) no item 1.1 do Termo de Referência, anexo do edital de Pregão nº 114/2024, que é parte integrante desta Ata, assim como as propostas cujos preços tenham sido registrados, independentemente de transcrição</t>
  </si>
  <si>
    <t>2300001213.000246/2025-83</t>
  </si>
  <si>
    <t>A.002-ARP.0011.02.2025.GOV.HEMOPE.PE</t>
  </si>
  <si>
    <t>Registro de Preços para o fornecimento eventual de dispositivos médicos do tipo ponteiras, pipetas, lâminas e tubos de ensaio diversos, com cessão gratuita em comodato de equipamentos e acessórios</t>
  </si>
  <si>
    <t>2300001213.000321/2025-14</t>
  </si>
  <si>
    <t>A.002-ARP.0010.02.2025.GOV.HOF.PE</t>
  </si>
  <si>
    <t>Registro de Preços para eventual fornecimento de dispositivos médicos INSUMOS PARA O SERVIÇO DE ENDOSCOPIA.</t>
  </si>
  <si>
    <t>2300001213.000339/2025-16</t>
  </si>
  <si>
    <t>A.002-ARP.0010.02.2025.EXT.HMAR.PE</t>
  </si>
  <si>
    <t>Aquisição de Medicamentos – Antibióticos, soros e eletrólitos - GCALC - BENZILPENICILINA.</t>
  </si>
  <si>
    <t>2300001213.000135/2025-77</t>
  </si>
  <si>
    <t>A.002-ARP.0001.01.2025.EXT.CDE.RN</t>
  </si>
  <si>
    <t>A presente Ata tem por objeto o registro de preços para a eventual aquisição de materiais médicos hospitalares diversos (incluindo curativos, fios, OPME, CME e outros), para atender as necessidades do Hospital de Guarnição de Natal (HGuN), especificado(s) no(s) item(ns) do Termo de Referência, anexo do Edital de Licitação nº 90.009/2024, que é parte integrante desta Ata, assim como as propostas cujos preços tenham sido registrados, independentemente de transcrição.</t>
  </si>
  <si>
    <t>2300001213.000270/2025-12</t>
  </si>
  <si>
    <t>A.001-ARP.0501.00.2025.EXT.HGJMM.RN</t>
  </si>
  <si>
    <t>2300001213.000197/2025-89</t>
  </si>
  <si>
    <t>A.001-ARP.0068.00.2025.GOV.FES-PE.PE</t>
  </si>
  <si>
    <t>2300001213.000348/2025-07</t>
  </si>
  <si>
    <t>A.001-ARP.0015.00.2025.EXT.151289.RN</t>
  </si>
  <si>
    <t>Aquisição de Medicamentos - PENICILINAS E CEFALOSPORINAS nos termos da tabela abaixo, conforme condições e exigências estabelecidas neste instrumento.</t>
  </si>
  <si>
    <t>2300001213.000121/2025-53</t>
  </si>
  <si>
    <t>A.036-ARP.0041.00.2024.GOV.HR.PE</t>
  </si>
  <si>
    <t>Registro de Preços para o fornecimento eventual de PRODUTOS MÉDICOS (MATERIAL MÉDICO-HOSPITALAR PARA DRENAGEM E COLETA DE FLUIDOS CORPORAIS), visando atender as necessidades do HOSPITAL DA RESTAURAÇÃO GOV. PAULO GUERRA nos termos da legislação vigente e conforme as condições, especificações, quantidades e exigências contidas neste Termo de Referência.</t>
  </si>
  <si>
    <t>2300001213.000159/2025-26</t>
  </si>
  <si>
    <t>A.034-ARP.0041.00.2024.GOV.HR.PE</t>
  </si>
  <si>
    <t>2300001213.000079/2025-71</t>
  </si>
  <si>
    <t>A.033-ARP.0041.00.2024.GOV.HR.PE</t>
  </si>
  <si>
    <t>2300001213.000137/2025-66</t>
  </si>
  <si>
    <t>A.030-ARP.0031.00.2024.GOV.HR.PE</t>
  </si>
  <si>
    <t>PREGÃO ELETRÔNICO PARA REGISTRO DE PREÇOS COM VALIDADE DE 12 (DOZE) MESES PARA EVENTUAL FORNECIMENTO DE PRODUTOS MÉDICOS (MATERIAL MÉDICO HOSPITALAR), VISANDO ATENDER ÀS NECESSIDADES DO HOSPITAL DA RESTAURAÇÃO</t>
  </si>
  <si>
    <t>A.029-ARP.0031.00.2024.GOV.HR.PE</t>
  </si>
  <si>
    <t>2300001213.000291/2025-38</t>
  </si>
  <si>
    <t>A.028-ARP.0031.00.2024.GOV.HR.PE</t>
  </si>
  <si>
    <t>A.024-ARP.0103.06.2024.GOV.PROCAPE.PE</t>
  </si>
  <si>
    <t>2300001213.000292/2025-82</t>
  </si>
  <si>
    <t>A.023-ARP.0103.06.2024.GOV.PROCAPE.PE</t>
  </si>
  <si>
    <t>A.019-ARP.0038.01.2025.GOV.HUOC.PE</t>
  </si>
  <si>
    <t>2300001213.000202/2025-53</t>
  </si>
  <si>
    <t>A.019-ARP.0001.08.2025.GOV.HUOC.PE</t>
  </si>
  <si>
    <t>2300001213.000220/2025-35</t>
  </si>
  <si>
    <t>A.018-ARP.0005.12.2025.GOV.HEMOPE.PE</t>
  </si>
  <si>
    <t>Formação de Ata de Registro de Preços para o fornecimento eventual de Material Médico Hospitalar - MMH Grupo 3 (eletrodos, equipos para alimentação enteral, parenteral, transfusão de sangue, escovas para limpeza de material, fios, fitas, lâmina de bisturi, fraldas e outros)</t>
  </si>
  <si>
    <t>2300001213.000238/2025-37</t>
  </si>
  <si>
    <t>A.016-ARP.0065.02.2024.GOV.CISAM.PE</t>
  </si>
  <si>
    <t>REGISTRO DE PREÇOS PARA FORNECIMENTO EVENTUAL DE MEDICAMENTOS (DIVERSOS), VISANDO ATENDER ÀS NECESSIDADES DO CISAM/UPE E DEMAIS ÓRGÃOS PARTICIPANTES.</t>
  </si>
  <si>
    <t>A.015-ARP.0088.04.2024.GOV.HUOC.PE</t>
  </si>
  <si>
    <t>Registro de Preços para a eventual fornecimento de Medicamentos Clínicos Gerais 7 (SEI Nº 0040609437.000097/2024-63)</t>
  </si>
  <si>
    <t>2300001213.000139/2025-55</t>
  </si>
  <si>
    <t>A.013-ARP.0001.04.2025.GOV.HUOC.PE</t>
  </si>
  <si>
    <t>A.012-ARP.0119.04.2024.GOV.HUOC.PE</t>
  </si>
  <si>
    <t>2300001213.000161/2025-03</t>
  </si>
  <si>
    <t>A.011-ARP.0012.00.2025.GOV.CISAM.PE</t>
  </si>
  <si>
    <t>REGISTRO DE PREÇOS PARA FORNECIMENTO EVENTUAL DE MEDICAMENTOS VISANDO ATENDER AS NECESSIDADES DO CISAM/UPE E DEMAIS ÓRGÃOS PARTICIPANTES</t>
  </si>
  <si>
    <t>2300001213.000158/2025-81</t>
  </si>
  <si>
    <t>A.010-ARP.0012.00.2025.GOV.CISAM.PE</t>
  </si>
  <si>
    <t>A.010-ARP.0011.00.2025.GOV.FES-PE.PE</t>
  </si>
  <si>
    <t>REGISTRO DE PREÇOS (ARP) PARA FORNECIMENTO DE MEDICAMENTOS INJETÁVEIS - VOLUME 2, VISANDO ATENDER AS NECESSIDADES DO HOSPITAL JABOATÃO PRAZERES.</t>
  </si>
  <si>
    <t>2300001213.000273/2025-56</t>
  </si>
  <si>
    <t>A.009-ARP.0038.05.2025.GOV.HUOC.PE</t>
  </si>
  <si>
    <t>2300001213.000213/2025-33</t>
  </si>
  <si>
    <t>A.008-ARP.0028.03.2025.GOV.PROCAPE.PE</t>
  </si>
  <si>
    <t>A.008-ARP.0005.09.2025.GOV.PROCAPE.PE</t>
  </si>
  <si>
    <t>A.008-ARP.0004.00.2025.GOV.HR.PE</t>
  </si>
  <si>
    <t>2300001213.000174/2025-74</t>
  </si>
  <si>
    <t>A.007-ARP.0090.01.2024.GOV.PROCAPE.PE</t>
  </si>
  <si>
    <t>2300001213.000134/2025-22</t>
  </si>
  <si>
    <t>A.007-ARP.0080.02.2024.GOV.CISAM.PE</t>
  </si>
  <si>
    <t>2300001213.000181/2025-76</t>
  </si>
  <si>
    <t>A.007-ARP.0007.00.2024.EXT.RN</t>
  </si>
  <si>
    <t>2300001213.000104/2025-16</t>
  </si>
  <si>
    <t>Processo cancelado por venciemento de Ata</t>
  </si>
  <si>
    <t>A.007-ARP.0005.09.2025.GOV.PROCAPE.PE</t>
  </si>
  <si>
    <t>2300001213.000185/2025-54</t>
  </si>
  <si>
    <t>A.006-ARP.0017.00.2025.EXT.131763.PB</t>
  </si>
  <si>
    <t>2300001213.000225/2025-68</t>
  </si>
  <si>
    <t>A.005-ARP.0077.00.2024.GOV.HUOC.PE</t>
  </si>
  <si>
    <t>REGISTRO DE PREÇO para eventual fornecimento de MATERIAIS MÉDICOS DESCARTÁVEIS (SEI Nº 0040609459.000086/2023-44)</t>
  </si>
  <si>
    <t>2300001213.000222/2025-24</t>
  </si>
  <si>
    <t>A.005-ARP.0017.00.2025.EXT.131763.PB</t>
  </si>
  <si>
    <t>2300001213.000230/2025-71</t>
  </si>
  <si>
    <t>A.005-ARP.0010.00.2025.GOV.CISAM.PE</t>
  </si>
  <si>
    <t>REGISTRO DE PREÇOS PARA FORNECIMENTO EVENTUAL DE MATERIAIS MÉDICO-HOSPITALARES (DIVERSOS), VISANDO ATENDER AS NECESSIDADES DO CISAM/UPE E DEMAIS ÓRGÃOS PARTICIPANTES .</t>
  </si>
  <si>
    <t>2300001213.000195/2025-90</t>
  </si>
  <si>
    <t>A.004-ARP.0110.02.2024.GOV.HUOC.PE</t>
  </si>
  <si>
    <t>Registro de Preços para a eventual fornecimento de SOLUÇÕES ANTISEPTICAS E OUTRAS (SEI Nº 0040609437.000126/2024-97)</t>
  </si>
  <si>
    <t>2300001213.000203/2025-06</t>
  </si>
  <si>
    <t>A.004-ARP.0077.00.2024.GOV.HUOC.PE</t>
  </si>
  <si>
    <t>A.004-ARP.0017.00.2025.EXT.131763.PB</t>
  </si>
  <si>
    <t>2300001213.000231/2025-15</t>
  </si>
  <si>
    <t>A.004-ARP.0012.00.2025.EXT.131763.PB</t>
  </si>
  <si>
    <t>REGISTRO DE PREÇO PARA AQUISIÇÃO DE SONDAS URINÁRIAS.</t>
  </si>
  <si>
    <t>2300001213.000236/2025-48</t>
  </si>
  <si>
    <t>A.004-ARP.0009.00.2025.GOV.FES-PE.PE</t>
  </si>
  <si>
    <t>A.003-ARP.0076.04.2024.GOV.PROCAPE.PE</t>
  </si>
  <si>
    <t>REGISTRO DE PREÇOS PARA AVENTUAL FORNECIMENTO DE MATERIAL DE CONSUMO HOSPITALAR (MEDICAMENTOS)</t>
  </si>
  <si>
    <t>cancelado</t>
  </si>
  <si>
    <t>Processo Cancelado Devido a Perda do Prazo da Ata</t>
  </si>
  <si>
    <t>A.003-ARP.0074.00.2024.GOV.FES-PE.PE</t>
  </si>
  <si>
    <t>Registro de Preço, para o fornecimento eventual de mobiliário com instalação, visando atender o Hospital da mulher do Agreste e o Centro Administrativo da Secretaria Estadual de Saúde de Pernambuco(SES/PE).</t>
  </si>
  <si>
    <t>2300002544.000045/2025-05</t>
  </si>
  <si>
    <t>A.003-ARP.0064.01.2025.GOV.HUOC.PE</t>
  </si>
  <si>
    <t>A.003-ARP.0011.01.2025.GOV.HGV.PE</t>
  </si>
  <si>
    <t>2300001213.000266/2025-54</t>
  </si>
  <si>
    <t>A.003-ARP.0010.00.2025.GOV.HR.PE</t>
  </si>
  <si>
    <t>2300002544.000054/2025-98</t>
  </si>
  <si>
    <t>A.003-ARP.0004.00.2025.EXT.HMAR.PE</t>
  </si>
  <si>
    <t>Registro de preço para eventual aquisição de Produtos para saúde curativos para atender as necessidades do Hospital Militar de Área de Recife (HMAR). Termo de Referência, anexo I do Edital de Licitação de n° 900021/2024, que é parte integrante desta Ata, assim como as propostas cujos preços tenham sido registrados, independentemente de transcrição.</t>
  </si>
  <si>
    <t>A.002-ARP.0064.01.2025.GOV.HUOC.PE</t>
  </si>
  <si>
    <t>2300001213.000241/2025-51</t>
  </si>
  <si>
    <t>A.002-ARP.0009.00.2025.EXT.131763.PB</t>
  </si>
  <si>
    <t>Registro de Preços para a eventual aquisição de sondas gástricas, enterais e retais.</t>
  </si>
  <si>
    <t>2300001213.000283/2025-91</t>
  </si>
  <si>
    <t>A.002-ARP.0007.00.2025.GOV.HEMOPE.PE</t>
  </si>
  <si>
    <t>Registro de Preços para o fornecimento de FRASCOS PARA HEMOCULTURA com cessão gratuita de equipamento, em regime de comodato, visando atender as necessidades da Fundação HEMOPE</t>
  </si>
  <si>
    <t>2300001209.000055/2025-81</t>
  </si>
  <si>
    <t>A.002-ARP.0005.00.2025.EXT.131763.PB</t>
  </si>
  <si>
    <t>Aquisição de sondas respiratórias.</t>
  </si>
  <si>
    <t>2300001213.000219/2025-19</t>
  </si>
  <si>
    <t>A.002-ARP.0003.00.2025.GOV.HGV.PE</t>
  </si>
  <si>
    <t>PREGÃO ELETRÔNICO PARA REGISTRO DE PREÇOS COM VALIDADE DE 12 (DOZE) MESES PARA EVENTUAL FORNECIMENTO DE EQUIPAMENTOS ARCO CIRÚRGICO, VISANDO ATENDER AS NECESSIDADES DO HOSPITAL GETULIO VARGAS.</t>
  </si>
  <si>
    <t>2300001205.000063/2025-67</t>
  </si>
  <si>
    <t>A.001-ARP.0059.02.2025.GOV.FES-PE.PE</t>
  </si>
  <si>
    <t>2300002544.000062/2025-34</t>
  </si>
  <si>
    <t>A.001-ARP.0010.02.2025.GOV.FES-PE.PE</t>
  </si>
  <si>
    <t>REGISTRO DE PREÇOS PARA A EVENTUAL AQUISIÇÃODE DISPOSITIVOS MÉDICOS DO TIPO PRODUTOS MÉDICOS (PAPEL CIRÚRGICO, ESCOVA PARA LIMPEZA DE MATERIAIS, EMBALAGEM DESCARTÁVEIS PARA ESTERILIZAÇÃO) VISANDO ATENDER A DEMANDA DOS HOSPITAIS E ESTABELECIMENTOS DA REDE ESTADUAL DE SAÚDE DE PERNAMBUCO, SES/PE.</t>
  </si>
  <si>
    <t>2300001213.000217/2025-11</t>
  </si>
  <si>
    <t>A.001-ARP.0005.01.2025.GOV.HEMOPE.PE</t>
  </si>
  <si>
    <t>2300001213.000268/2025-43</t>
  </si>
  <si>
    <t>A.001-ARP.0001.02.2025.GOV.DASIS.PE</t>
  </si>
  <si>
    <t>Registro de Preços para o fornecimento eventual de MEDICAMENTOS ANTIMICROBIANOS DE ALTO CUSTO, visando atender as necessidades do CENTRO MEDICO HOSPITALAR DA PMPE/CBMPE</t>
  </si>
  <si>
    <t>2300001213.000154/2025-01</t>
  </si>
  <si>
    <t>A.032-ARP.0041.00.2024.GOV.HR.PE</t>
  </si>
  <si>
    <t>2300001213.000115/2025-04</t>
  </si>
  <si>
    <t>A.031-ARP.0041.00.2024.GOV.HR.PE</t>
  </si>
  <si>
    <t>A.030-ARP.0041.00.2024.GOV.HR.PE</t>
  </si>
  <si>
    <t>A.028-ARP.0041.00.2024.GOV.HR.PE</t>
  </si>
  <si>
    <t>A.027-ARP.0041.00.2024.GOV.HR.PE</t>
  </si>
  <si>
    <t>A.026-ARP.0084.05.2024.GOV.PROCAPE.PE</t>
  </si>
  <si>
    <t>2300001213.000001/2025-56</t>
  </si>
  <si>
    <t>A.026-ARP.0041.00.2024.GOV.HR.PE</t>
  </si>
  <si>
    <t>A.025-ARP.0084.05.2024.GOV.PROCAPE.PE</t>
  </si>
  <si>
    <t>A.025-ARP.0041.00.2024.GOV.HR.PE</t>
  </si>
  <si>
    <t>A.025-ARP.0031.00.2024.GOV.HR.PE</t>
  </si>
  <si>
    <t>A.024-ARP.0031.00.2024.GOV.HR.PE</t>
  </si>
  <si>
    <t>A.018-ARP.0017.00.2025.GOV.HOF.PE</t>
  </si>
  <si>
    <t>Registro de Preços para o fornecimento eventual de Dispositivos Médicos do tipo CATETER DIVERSOS E LÂMINA DE BISTURI para o abastecimento por um período de 12 meses, visando atender as necessidades do Hospital Otávio de Freitas conforme as condições, especificações, quantidades e exigências contidas no Termo de Referência (Anexo I).</t>
  </si>
  <si>
    <t>2300001213.000090/2025-31</t>
  </si>
  <si>
    <t>A.016-ARP.0006.00.2025.GOV.HR.PE</t>
  </si>
  <si>
    <t>Registro de Preços para o fornecimento de PRODUTOS MÉDICOS HOSPITALARES (CURATIVOS), visando atender as necessidades do Hospital da Restauração, nos termos da legislação vigente e conforme as condições, especificações, quantidades e exigências contidas neste Termo de Referência.</t>
  </si>
  <si>
    <t>2300002544.000052/2025-07</t>
  </si>
  <si>
    <t>A.014-ARP.0006.00.2025.GOV.HR.PE</t>
  </si>
  <si>
    <t>2300002544.000048/2025-31</t>
  </si>
  <si>
    <t>A.012-ARP.0078.02.2024.GOV.HUOC.PE</t>
  </si>
  <si>
    <t>REGISTRO DE PREÇO para eventual fornecimento de MATERIAIS MÉDICOS HOSPITALARES - CATETERES INTRAVENOSOS, DISPOSITIVOS PARA INFUSÃO VENOSA (SEI Nº 0040609459.000096/2023-80)</t>
  </si>
  <si>
    <t>2300001213.000096/2025-16</t>
  </si>
  <si>
    <t>A.011-ARP.0076.01.2024.GOV.PROCAPE.PE</t>
  </si>
  <si>
    <t>2300001213.000062/2025-13</t>
  </si>
  <si>
    <t>A.011-ARP.0006.00.2025.GOV.HR.PE</t>
  </si>
  <si>
    <t>2300002544.0000512025-54</t>
  </si>
  <si>
    <t>A.010-ARP.0076.01.2024.GOV.PROCAPE.PE</t>
  </si>
  <si>
    <t>A.010-ARP.0011.00.2025.GOV.HR.PE</t>
  </si>
  <si>
    <t>Registro de Preços para o fornecimento eventual de MATERIAL MÉDICO HOSPITALAR – MMH (LUVAS CIRÚRGICAS E PARA PROCEDIMENTOS)</t>
  </si>
  <si>
    <t>2300001213.000168/2025-17</t>
  </si>
  <si>
    <t>A.009-ARP.0076.01.2024.GOV.PROCAPE.PE</t>
  </si>
  <si>
    <t>A.009-ARP.0004.00.2025.GOV.PROCAPE.PE</t>
  </si>
  <si>
    <t>2300001213.000189/2025-32</t>
  </si>
  <si>
    <t>A.008-ARP.0050.00.2024.GOV.CISAM.PE</t>
  </si>
  <si>
    <t>REGISTRO DE PREÇO PARA FORNECIMENTO EVENTUAL DE MATERIAL MÉDICO-HOSPITALAR (AVENTAL CIRÚRGICO MANGA LONGA, AVENTAL SEM MANGA, MASCARA CIRÚRGICA DESCARTÁVEL, MASCARA N95, AGULHA PERIDURAL, FÓRCEPS EXTRATOR OBSTÉTRICO À VÁCUO, CATÉTER CENTRAL DUPLO LÚMEN 7FR E NEONATAL 3FR, COLETOR DE URINA SISTEMA FECHADO, DRENO TORÁXICO E SONDA DE FOLEY) PARA O CISAM, POR UM PERÍODO DE 12 (DOZE) MESES</t>
  </si>
  <si>
    <t>A.007-ARP.0108.01.2024.GOV.HUOC.PE</t>
  </si>
  <si>
    <t>Registro de Preços para a eventual fornecimento de materiais de escritório (SEI Nº 0040609438.000027/2024-03)</t>
  </si>
  <si>
    <t>2300002544.000059/2025-11</t>
  </si>
  <si>
    <t>A.007-ARP.0004.00.2025.GOV.PROCAPE.PE</t>
  </si>
  <si>
    <t>A.006-ARP.0044.00.2024.GOV.HR.PE</t>
  </si>
  <si>
    <t>PREGÃO ELETRÔNICO PARA REGISTRO DE PREÇOS COM VALIDADE DE 12 (DOZE) MESES PARA EVENTUAL FORNECIMENTO DE MATERIAIS PARA DESINFECÇÃO E BIOSSEGURANÇA VISANDO ATENDER AS NECESSIDADES DO HOSPITAL DA RESTAURAÇÃO E HOSPITAL AGAMENOM MAGALHÃES</t>
  </si>
  <si>
    <t>2300001213.000117/2025-95</t>
  </si>
  <si>
    <t>A.006-ARP.0013.02.2025.GOV.HOF.PE</t>
  </si>
  <si>
    <t>A.006-ARP.0005.09.2025.GOV.PROCAPE.PE</t>
  </si>
  <si>
    <t>A.006-ARP.0004.00.2025.GOV.HR.PE</t>
  </si>
  <si>
    <t>2300001213.000130/2025-44</t>
  </si>
  <si>
    <t>A.005-ARP.0070.00.2024.GOV.HUOC.PE</t>
  </si>
  <si>
    <t>Registro de Preços para a eventual fornecimento de MATERIAIS MÉDICOS HOSPITALARES - LANCETA E AGULHA DE BOTOX DESCARTÁVEIS (SEI Nº 0040609912.000045/2024-34)</t>
  </si>
  <si>
    <t>Enviado a SADM SUPRI</t>
  </si>
  <si>
    <t>2300001213.000082/2025-94</t>
  </si>
  <si>
    <t>A.005-ARP.0028.06.2024.GOV.HEMOPE.PE</t>
  </si>
  <si>
    <t>Registro de Preços para eventual fornecimento de Medicamentos Grupo A - Antimicrobianos 2023 visando atender as necessidades do Hospital HEMOPE – Fundação de Hematologia e Hemoterapia de Pernambuco.</t>
  </si>
  <si>
    <t>2300001213.000127/2025-21</t>
  </si>
  <si>
    <t>A.005-ARP.0005.09.2025.GOV.PROCAPE.PE</t>
  </si>
  <si>
    <t>A.004-ARP.0103.00.2024.GOV.PROCAPE.PE</t>
  </si>
  <si>
    <t>2300001213.000140/2025-80</t>
  </si>
  <si>
    <t>A.004-ARP.0029.06.2025.GOV.PROCAPE.PE</t>
  </si>
  <si>
    <t>2300001213.000113/2025-15</t>
  </si>
  <si>
    <t>A.004-ARP.0013.06.2025.GOV.HOF.PE</t>
  </si>
  <si>
    <t>2300001213.000132/2025-33</t>
  </si>
  <si>
    <t>A.004-ARP.0012.02.2025.GOV.HUOC.PE</t>
  </si>
  <si>
    <t>A.004-ARP.0010.01.2025.GOV.HGV.PE</t>
  </si>
  <si>
    <t>Formação de Registro de Preço, para eventual fornecimento de Produtos para Saúde (Luvas Descartáveis), visando atender as necessidades dos Hospitais Getúlio Vargas, Agamenon Magalhaes e Restauração.</t>
  </si>
  <si>
    <t>2300001213.000129/2025-10</t>
  </si>
  <si>
    <t>A.003-ARP.0009.00.2025.GOV.FES-PE.PE</t>
  </si>
  <si>
    <t>2300001213.000188/2025-98</t>
  </si>
  <si>
    <t>A.003-ARP.0008.05.2025.GOV.HGV.PE</t>
  </si>
  <si>
    <t>A.003-ARP.0004.00.2025.EXT.161458.BA</t>
  </si>
  <si>
    <t>AQUISIÇÃO DE MEDICAMENTOS</t>
  </si>
  <si>
    <t>2300001213.000164/2025-39</t>
  </si>
  <si>
    <t>A.002-ARP.0084.02.2024.GOV.FES-PE.PE</t>
  </si>
  <si>
    <t>Registro de Preços para o eventual fornecimento de EQUIPAMENTOS MÉDICO-HOSPITALARES, visando atender as necessidades da Secretaria Estadual de Saúde de Pernambuco (SES/PE), nos termos da legislação vigente e do Documento de Formalização da Demanda presente nos autos e conforme as condições, especificações, quantidades e exigências contidas no Termo de Referência (Anexo I do edital)</t>
  </si>
  <si>
    <t>2300001205.000009/2025-11</t>
  </si>
  <si>
    <t>A.002-ARP.0069.00.2024.GOV.HUOC.PE</t>
  </si>
  <si>
    <t>REGISTRO DE PREÇO para eventual fornecimento de CURATIVOS HOSPITALARES (SEI Nº 0040609459.000025/2023-87)</t>
  </si>
  <si>
    <t>A.002-ARP.0051.00.2025.GOV.PROCAPE.PE</t>
  </si>
  <si>
    <t>2300001213.000155/2025-48</t>
  </si>
  <si>
    <t>A.002-ARP.0034.00.2025.GOV.HUOC.PE</t>
  </si>
  <si>
    <t>Registro de Preços para o eventual fornecimento de MATERIAIS MÉDICOS HOSPITALARES - SERINGAS E AGULHAS DESCARTÁVEIS DIVERSAS (SEI 0040609912.000054/2024-25)</t>
  </si>
  <si>
    <t>2300001213.000167/2025-72</t>
  </si>
  <si>
    <t>A.002-ARP.0021.00.2024.GOV.HGV.PE</t>
  </si>
  <si>
    <t>Registro de Preços para o eventual fornecimento de MATERIAIS ESPECIAIS PARA NEUROCIRURGIA, SOB SISTEMA DE CONSIGNAÇÃO, por um período de 12 meses, visando atender as necessidades do HOSPITAL GETÚLIO VARGAS.</t>
  </si>
  <si>
    <t>A.002-ARP.0010.00.2025.GOV.HR.PE</t>
  </si>
  <si>
    <t>2300002544.000057/2025-21</t>
  </si>
  <si>
    <t>A.002-ARP.0008.05.2025.GOV.HGV.PE</t>
  </si>
  <si>
    <t>2300002544.000060/2025-45</t>
  </si>
  <si>
    <t>A.002-ARP.0006.03.2025.GOV.PROCAPE.PE</t>
  </si>
  <si>
    <t>A.001-ARP.0045.02.2025.GOV.PROCAPE.PE</t>
  </si>
  <si>
    <t>A.001-ARP.0006.06.2025.GOV.PROCAPE.PE</t>
  </si>
  <si>
    <t>2300001213.000133/2025-88</t>
  </si>
  <si>
    <t>A.001-ARP.0002.02.2025.GOV.HEMOPE.PE</t>
  </si>
  <si>
    <t>Formação de Registro de Preços para o fornecimento eventual de Reagentes e Ponteiras para Testes Imuno-hematológicos, com Cessão em Comodato de Equipamentos e Fornecimento de Acessórios para Testes em Microtubos visando abastecimento do Hemocentro Recife e Hemorrede (Caruaru , Garanhuns e Petrolina), conforme as condições, especificações, quantidades e exigências contidas nos Estudos Técnicos Preliminares e no Termo de Referência.</t>
  </si>
  <si>
    <t>2300002544.000055/2025-32</t>
  </si>
  <si>
    <t>A.027-ARPC.0007.01.2024.GOV.SAD.PE</t>
  </si>
  <si>
    <t>Formação de Registro de Preços Corporativo para o fornecimento eventual de material de higiene pessoal, visando atender as necessidades dos órgãos da Administração Direta, Autarquias e Fundações Públicas integrantes do Poder Executivo do Estado de Pernambuco.</t>
  </si>
  <si>
    <t>2300002544.000023/2025-37</t>
  </si>
  <si>
    <t>A.022-ARP.0041.00.2024.GOV.HR.PE</t>
  </si>
  <si>
    <t>2300001213.000008/2025-78</t>
  </si>
  <si>
    <t>A.015-ARP.0028.00.2024.GOV.HR.PE</t>
  </si>
  <si>
    <t>PREGÃO ELETRÓNICO para REGISTRO DE PREÇOS, com validade de 12 (doze) meses, para eventual fornecimento de BENS (MOBILIÁRIO HOSPITALAR), visando atender as necessidades do Hospital da Restauração.</t>
  </si>
  <si>
    <t>2300002544.000018/2024-43</t>
  </si>
  <si>
    <t>A.014-ARP.0010.00.2024.GOV.HOF.PE</t>
  </si>
  <si>
    <t>Registro de Preços para o eventual fornecimento de órtese e prótese e materiais especiais para cirurgias ortopédicas, por consignação, visando atender as necessidades do Hospital Otávio de Freitas</t>
  </si>
  <si>
    <t>A.013-ARP.0011.00.2024.GOV.HGV.PE</t>
  </si>
  <si>
    <t>Formação de Registro de Preços para o eventual fornecimento de CURATIVOS ESPECIAIS, visando atender as necessidades dos Hospitais Getúlio Vargas, Agamenon</t>
  </si>
  <si>
    <t>2300001207.000120/2024-15</t>
  </si>
  <si>
    <t>A.013-ARP.0010.00.2024.GOV.HOF.PE</t>
  </si>
  <si>
    <t>A.012-ARP.0110.08.2024.GOV.HUOC.PE</t>
  </si>
  <si>
    <t>2300001213.000555/2024-72</t>
  </si>
  <si>
    <t>A.012-ARP.0089.01.2024.GOV.HUOC.PE</t>
  </si>
  <si>
    <t>A.012-ARP.0033.00.2024.GOV.HR.PE</t>
  </si>
  <si>
    <t>Registro de Preços para o fornecimento eventual de BENS (MATERIAIS DE LIMPEZA E OUTROS), visando atender as necessidades do HOSPITAL DA RESTAURAÇÃO GOV. PAULO GUERRA</t>
  </si>
  <si>
    <t>2300002544.000027/2025-15</t>
  </si>
  <si>
    <t>A.012-ARP.0010.00.2024.GOV.HOF.PE</t>
  </si>
  <si>
    <t>A.011-ARP.0089.01.2024.GOV.HUOC.PE</t>
  </si>
  <si>
    <t>A.011-ARP.0010.00.2024.GOV.HOF.PE</t>
  </si>
  <si>
    <t>A.010-ARP.0104.00.2024.GOV.HUOC.PE</t>
  </si>
  <si>
    <t>Registro de Preços para eventual fornecimento de MATERIAIS DE HIGIENE PESSOAL - PAPEL TOALHA E SABONETE LÍQUIDO (SEI Nº 0040609405.000018/2024-91)</t>
  </si>
  <si>
    <t>2300002544.000040/2025-74</t>
  </si>
  <si>
    <t>A.010-ARP.0010.00.2024.GOV.HOF.PE</t>
  </si>
  <si>
    <t>A.009-ARP.0010.00.2024.GOV.HOF.PE</t>
  </si>
  <si>
    <t>A.008-ARP.0066.02.2024.GOV.FES-PE.PE</t>
  </si>
  <si>
    <t>Registro de Preço, para fornecimento EVENTUAL de mobiliário hospitalar e de fisioterapia, visando atender às necessidades da Secretaria Estadual de Saúde de Pernambuco (SES/PE) e das unidades hospitalares que a compõem, nos termos da legislação vigente e conforme as condições, especificações, quantidades e exigências contidas neste Termo de Referência.</t>
  </si>
  <si>
    <t>2300002544.000003/2025-66</t>
  </si>
  <si>
    <t>A.008-ARP.0022.00.2024.GOV.HR.PE</t>
  </si>
  <si>
    <t>Pregão Eletrônico para Registro de Preços para fornecimento de PRODUTOS MÉDICOS (MATERIAL MÉDICO HOSPITALAR), visando atender as necessidades do Hospital da Restauração - HR/SES/PE.</t>
  </si>
  <si>
    <t>A.007-ARPC.0026.00.2024.GOV.SAD.PE</t>
  </si>
  <si>
    <t>Formação de Registro de Preços Corporativo para o fornecimento eventual de MATERIAL DE LIMPEZA, visando atender as necessidades dos órgãos da Administração Direta, dos Fundos Especiais, Autarquias e Fundações Públicas integrantes do Poder Executivo do Estado de Pernambuco</t>
  </si>
  <si>
    <t>2300002544.000028/2025-60</t>
  </si>
  <si>
    <t>A.007-ARP.0104.01.2024.GOV.HUOC.PE</t>
  </si>
  <si>
    <t>2300002544.000036/2025-14</t>
  </si>
  <si>
    <t>A.007-ARP.0091.06.2024.GOV.PROCAPE.PE</t>
  </si>
  <si>
    <t>2300001213.000065/2025-57</t>
  </si>
  <si>
    <t>A.007-ARP.0066.02.2024.GOV.FES-PE.PE</t>
  </si>
  <si>
    <t>A.007-ARP.0059.00.2024.GOV.CISAM.PE</t>
  </si>
  <si>
    <t>REGISTRO DE PREÇOS PARA O FORNECIMENTO EVENTUAL DE MEDICAMENTOS (DIVERSOS) PARA O CISAM/UPE</t>
  </si>
  <si>
    <t>2300001213.000007/2025-23</t>
  </si>
  <si>
    <t>A.007-ARP.0003.11.2025.GOV.PROCAPE.PE</t>
  </si>
  <si>
    <t>2300001213.000067/2025-46</t>
  </si>
  <si>
    <t>A.006-ARP.0090.04.2024.GOV.PROCAPE.PE</t>
  </si>
  <si>
    <t>2300001213.000063/2025-68</t>
  </si>
  <si>
    <t>A.006-ARP.0006.00.2025.GOV.HR.PE</t>
  </si>
  <si>
    <t>2300002544.000030/2025-39</t>
  </si>
  <si>
    <t>A.006-ARP.0005.05.2025.GOV.CISAM.PE</t>
  </si>
  <si>
    <t>REGISTRO DE PREÇOS PARA FORNECIMENTO EVENTUAL DE MATERIAIS MÉDICO-HOSPITALARES (DIVERSOS), VISANDO ATENDER AS NECESSIDADES DO CISAM/UPE E DEMAIS ÓRGAOS PARTICIPANTES.</t>
  </si>
  <si>
    <t>2300001213.000042/2025-42</t>
  </si>
  <si>
    <t>A.005-ARP.0114.02.2024.GOV.HUOC.PE</t>
  </si>
  <si>
    <t>Registro de Preços para a eventual fornecimento de MOBILIÁRIOS PARA AMBIENTES HOSPITALARES E AMBULATORIAIS (SEI Nº 0040609438.000033/2024-52)</t>
  </si>
  <si>
    <t>2300002544.000005/2025-55</t>
  </si>
  <si>
    <t>A.005-ARP.0074.04.2024.GOV.HUOC.PE</t>
  </si>
  <si>
    <t>REGISTRO DE PREÇO para eventual fornecimento de MATERIAIS MÉDICOS HOSPITALARES - SONDAS DE FOLEYS (SEI Nº 0040609459.000065/2023-29)</t>
  </si>
  <si>
    <t>2300001213.000010/2025-47</t>
  </si>
  <si>
    <t>A.005-ARP.0074.01.2024.GOV.HUOC.PE</t>
  </si>
  <si>
    <t>2300001213.000011/2025-91</t>
  </si>
  <si>
    <t>A.005-ARP.0059.00.2024.GOV.CISAM.PE</t>
  </si>
  <si>
    <t>A.005-ARP.0027.02.2024.GOV.HEMOPE.PE</t>
  </si>
  <si>
    <t>Formação de Registro de Preços para o fornecimento eventual de Reagentes Imunohematológicos: Antissoros, Soros, Albumina Bovina e Solução de Baixa Força Iônica visando atender as necessidades dos Laboratórios de Imunohematologia da Fundação HEMOPE e HEMORREDE na Diretoria de Hemoterapia,</t>
  </si>
  <si>
    <t>2300002544.000046/2025-41</t>
  </si>
  <si>
    <t>A.004-ARP.0020.00.2024.GOV.HGV.PE</t>
  </si>
  <si>
    <t>FORMALIZAÇÃO DE ATA DE REGISTRO DE PREÇOS PARA AQUISIÇÃO DE PERFURADOR OSSEO PARA UTILIZAÇÃO EM CIRÚRGIAS TRAUMATO-ORTOPÉDICAS NO HOSPITAL GETÚLIO VARGAS.</t>
  </si>
  <si>
    <t>2300001205.000038/2025-83</t>
  </si>
  <si>
    <t>A.004-ARP.0007.00.2024.EXT.RN</t>
  </si>
  <si>
    <t>2300001213.000105/2025-61</t>
  </si>
  <si>
    <t>A.004-ARP.0003.00.2024.EXT.AMGESP.AL</t>
  </si>
  <si>
    <t>Registro de preços para a futura e eventual AQUISIÇÃO DE CORRELATOS (COLETORES E DRENOS) – PLS Nº 144/2023, especificado no Item de nº08 do Termo de Referência anexo ao Edital de Pregão Eletrônico nº AMGESP10.654/2023, que é parte integrante da Ata, assim como a(s) proposta(s) vencedora(s), independentemente de transcrição.</t>
  </si>
  <si>
    <t>2300001207.000246/2024-81</t>
  </si>
  <si>
    <t>A.003-ARP.0020.04.2024.GOV.HAM.PE</t>
  </si>
  <si>
    <t>PREGÃO ELETRÔNICO PARA REGISTRO DE PREÇOS COM VALIDADE DE 12 (DOZE) MESES PARA EVENTUAL FORNECIMENTO DE MEDICAMENTOS, VISANDO ATENDER AS NECESSIDADES DO HOSPITAL AGAMENOM MAGALHÃES</t>
  </si>
  <si>
    <t>2300001213.000048/2025-10</t>
  </si>
  <si>
    <t>A.003-ARP.0002.01.2025.GOV.HGV.PE</t>
  </si>
  <si>
    <t>Registro de Preços para o fornecimento eventual de EQUIPAMENTO MÉDICO, por um período de 12 meses, visando atender as necessidades do Hospital Getúlio Vargas.</t>
  </si>
  <si>
    <t>2300001205.000036/2025-94</t>
  </si>
  <si>
    <t>A.002-ARP.0093.03.2024.GOV.PROCAPE.PE</t>
  </si>
  <si>
    <t>2300001213.000066/2025-00</t>
  </si>
  <si>
    <t>A.002-ARP.0093.00.2024.GOV.CISAM.PE</t>
  </si>
  <si>
    <t>A.002-ARP.0027.01.2024.GOV.HEMOPE.PE</t>
  </si>
  <si>
    <t>2300002544.000039/2025-40</t>
  </si>
  <si>
    <t>A.002-ARP.0020.03.2024.GOV.HAM.PE</t>
  </si>
  <si>
    <t>2300002544.000043/2025-16</t>
  </si>
  <si>
    <t>A.002-ARP.0012.00.2025.GOV.HUOC.PE</t>
  </si>
  <si>
    <t>2300002544.000042/2025-63</t>
  </si>
  <si>
    <t>A.002-ARP.0011.00.2025.GOV.HAM.PE</t>
  </si>
  <si>
    <t>A.002-ARP.0004.01.2025.GOV.HGV.PE</t>
  </si>
  <si>
    <t>ormação de Registro de Preços para o eventual fornecimento eventual de MATERIAIS ESPECIAIS PARA NEUROCIRURGIA (VALVULAS), SOB SISTEMA DE CONSIGNAÇÃO, visando atender as necessidades do Hospital Getúlio Vargas, nos termos da legislação vigente e do Documento de Formalização da Demanda presente nos autos e conforme as condições, especificações, quantidades e exigências contidas no Termo de Referência</t>
  </si>
  <si>
    <t>A.001-ARP.0109.00.2024.GOV.PROCAPE.PE</t>
  </si>
  <si>
    <t>2300001213.000061/2025-79</t>
  </si>
  <si>
    <t>A.001-ARP.0015.00.2024.GOV.HGV.PE</t>
  </si>
  <si>
    <t>Formação de Registro de Preços para eventual fornecimento de Material de órteses, próteses sob sistema de consignação (CIRURGIA DA COLUNA CERVICAL ANTERIOR e COLUNA CERVICAL POSTERIOR), para as cirurgias da clinica traumato-ortopedia, por um período de 12 meses, visando atender as necessidades do HOSPITAL GETULIO VARGAS.</t>
  </si>
  <si>
    <t>2300002544.000007/2025-44</t>
  </si>
  <si>
    <t>A.001-ARP.0009.00.2025.GOV.HGV.PE</t>
  </si>
  <si>
    <t>2300002544.000038/2025-03</t>
  </si>
  <si>
    <t>A.001-ARP.0008.00.2025.GOV.CISAM.PE</t>
  </si>
  <si>
    <t>REGISTRO DE PREÇOS PARA FORNECIMENTO EVENTUAL DE PULSEIRA DE IDENTIFICAÇÃO DE PACIENTES COM CESSÃO EM REGIME DE COMODATO DE IMPRESSORA TÉRMICA SEM ÔNUS PARA O CISAM</t>
  </si>
  <si>
    <t>2300002544.000025/2025-26</t>
  </si>
  <si>
    <t>A.001-ARP.0006.04.2025.GOV.PROCAPE.PE</t>
  </si>
  <si>
    <t>2300001213.000068/2025-91</t>
  </si>
  <si>
    <t>A.001-ARP.0004.01.2025.GOV.HGV.PE</t>
  </si>
  <si>
    <t>2300002544.000013/2025-00</t>
  </si>
  <si>
    <t>A.001-ARP.0004.00.2025.GOV.HGV.PE</t>
  </si>
  <si>
    <t>2300002544.000031/2025-83</t>
  </si>
  <si>
    <t>A.123-ARPC.0007.00.2024.GOV.SAD.PE</t>
  </si>
  <si>
    <t>2300002544.000004/2025-19</t>
  </si>
  <si>
    <t>A.030-ARP.0030.01.2024.GOV.CISAM.PE</t>
  </si>
  <si>
    <t>REGISTRO DE PREÇO PARA FORNECIMENTO EVENTUAL DE ANTI-HIPERTENSIVOS, ANTIMICROBIANOS, ANESTÉSICOS E DIVERSOS MEDICAMENTOS USADOS NA CLÍNICA GERAL, VISANDO ATENDER AS NECESSIDADE DO CISAM POR UM PERÍODO DE 12 (DOZE) MESES</t>
  </si>
  <si>
    <t>A.028-ARP.0030.01.2024.GOV.CISAM.PE</t>
  </si>
  <si>
    <t>Processo 2024</t>
  </si>
  <si>
    <t>A.027-ARP.0030.01.2024.GOV.CISAM.PE</t>
  </si>
  <si>
    <t>A.020-ARP.0055.06.2024.GOV.CISAM.PE</t>
  </si>
  <si>
    <t>REGISTRO DE PREÇOS PARA O EVENTUAL FORNECIMENTO DE MEDICAMENTOS, VISANDO ATENDER AS NECESSIDADES DO CISAM/UPE</t>
  </si>
  <si>
    <t>2300001213.000445/2024-19</t>
  </si>
  <si>
    <t>PAGAMENTO DE  NOTA DE EMPENHO</t>
  </si>
  <si>
    <t>A.012-ARP.0105.03.2024.GOV.PROCAPE.PE</t>
  </si>
  <si>
    <t>2300001213.000009/2025-12</t>
  </si>
  <si>
    <t>A.012-ARP.0011.01.2024.EXT.HMAR.PE</t>
  </si>
  <si>
    <t>Registro de preços para eventual aquisição de medicamentos gerais I - (GCALC), visando atender as necessidades das clínicas (unidades) de internação, emergência, ambulatório e centro cirúrgico do hospital militar de área de Recife (HMAR) e órgãos participantes.</t>
  </si>
  <si>
    <t>2300001209.000007/2025-92</t>
  </si>
  <si>
    <t>A.012-ARP.0001.01.2024.EXT.CDE.RN</t>
  </si>
  <si>
    <t>A presente Ata tem por objeto o registro de preços para a eventual contratação de aquisição de medicamentos, para atender as necessidades do Hospital de Guarnição de Natal (HGuN), especificado(s) no(s) item(ns) do Termo de Referência, anexo ao Edital de Licitação nº 19/2023.</t>
  </si>
  <si>
    <t>A.011-ARP.0084.05.2024.GOV.PROCAPE.PE</t>
  </si>
  <si>
    <t>A.011-ARP.0001.01.2024.EXT.CDE.RN</t>
  </si>
  <si>
    <t>2300001213.000483/2024-63</t>
  </si>
  <si>
    <t>A.010-ARPC.0014.00.2024.GOV.SAD.PE</t>
  </si>
  <si>
    <t>Registro de Preços Corporativa para o fornecimento eventual de copos descartáveis, visando atender as necessidades dos órgãos da Administração Direta, Autarquias e Fundações Públicas integrantes do Poder Executivo do Estado de Pernambuco, nos termos da legislação vigente e do documento de formalização da demanda presente nos autos e conforme as condições, especificações e quantidades e exigências contidas no Termo de Referência (Anexo I).</t>
  </si>
  <si>
    <t>2300001207.000031/2025-41</t>
  </si>
  <si>
    <t>A.010-ARP.0044.00.2024.GOV.PROCAPE.PE</t>
  </si>
  <si>
    <t>REGISTRO DE PREÇOS PARA EVENTUAL FORNECIMENTO DE MATERIAL DE CONSUMO HOSPITALAR (MEDICAMENTOS ANTIMICROBIANOS)</t>
  </si>
  <si>
    <t>2300001213.000536/2024-46</t>
  </si>
  <si>
    <t>A.010-ARP.0009.07.2024.GOV.HOF.PE</t>
  </si>
  <si>
    <t>Registro de Preços para eventual aquisição de Material Médico Hospitalar para abastecimento de 12 (doze) meses, cujo objeto: TÊXTIL.</t>
  </si>
  <si>
    <t>2300001213.000540/2024-12</t>
  </si>
  <si>
    <t>A.010-ARP.0002.03.2024.EXT.HMAR.PE</t>
  </si>
  <si>
    <t>Registro de preços para eventual aquisição de PRODUTOS PARA SAÚDE–MMH 1 (GCALC) – para atender as necessidades do Hospital Militar de Área de Recife (HMAR) e órgãos participantes.</t>
  </si>
  <si>
    <t>A.010-ARP.0001.01.2024.EXT.CDE.RN</t>
  </si>
  <si>
    <t>A.009-ARP.0103.06.2024.GOV.PROCAPE.PE</t>
  </si>
  <si>
    <t>2300001213.000005/2025-34</t>
  </si>
  <si>
    <t>A.009-ARP.0016.05.2024.GOV.HGV.PE</t>
  </si>
  <si>
    <t>Formação de Registro de Preços para o eventual fornecimento de BENS - MATERIAL TÉCNICO HOSPITALAR (esfigmomanômetro, biombo, escada hospitalar, suporte para soro, cama hospitalar, carro maca, carro de curativo, maca de transferência, seladora e serra elétrica para gesso), visando atender as necessidades do Hospital Getúlio Vargas, Hospital Agamenon Magalhães e UPE- Campus Garanhuns.</t>
  </si>
  <si>
    <t>A.009-ARP.0002.03.2024.EXT.HMAR.PE</t>
  </si>
  <si>
    <t>2300001213.000037/2025-30</t>
  </si>
  <si>
    <t>A.009-ARP.0001.01.2024.EXT.CDE.RN</t>
  </si>
  <si>
    <t>A.008-ARP.0076.02.2024.GOV.HUOC.PE</t>
  </si>
  <si>
    <t>Registro de Preços para a eventual fornecimento de Medicamentos ANTIMICROBIANOS, CLÍNICOS E CONTROLADOS (SEI Nº 0040609437.000309/2023-21)</t>
  </si>
  <si>
    <t>2300001213.000479/2024-03</t>
  </si>
  <si>
    <t>A.008-ARP.0051.01.2024.GOV.CISAM.PE</t>
  </si>
  <si>
    <t>REGISTRO DE PREÇOS PARA EVENTUAL FORNECIMENTO DE MEDICAMENTOS.</t>
  </si>
  <si>
    <t>2300001213.000248/2024-91</t>
  </si>
  <si>
    <t>A.008-ARP.0010.00.2024.GOV.HOF.PE</t>
  </si>
  <si>
    <t>A.008-ARP.0003.01.2025.GOV.HUOC.PE</t>
  </si>
  <si>
    <t>Registro de Preços para a eventual fornecimento de MATERIAIS MÉDICOS HOSPITALARES - EPI's DESCARTÁVEIS (SEI Nº 0040609912.000148/2024-02)</t>
  </si>
  <si>
    <t>2300001213.000012/2025-36</t>
  </si>
  <si>
    <t>A.007-ARP.0091.00.2024.GOV.HUOC.PE</t>
  </si>
  <si>
    <t>Registro de Preços para o fornecimento eventual de MATERIAIS MÉDICOS HOSPITALARES - SONDAS E CÂNULAS ENDOTRAQUEAIS (SEI Nº 0040609912.000075/2024-41)</t>
  </si>
  <si>
    <t>2300001213.000002/2025-09</t>
  </si>
  <si>
    <t>A.007-ARP.0001.01.2024.EXT.CDE.RN</t>
  </si>
  <si>
    <t>A.006-ARP.0110.05.2024.GOV.HUOC.PE</t>
  </si>
  <si>
    <t>2300001213.000006/2025-89</t>
  </si>
  <si>
    <t>A.006-ARP.0106.08.2024.GOV.HUOC.PE</t>
  </si>
  <si>
    <t>Registro de Preços para o fornecimento eventual de MEDICAMENTOS ANTIMICROBIANOS E CONTROLADOS (SEI Nº 0040609437.000119/2024-95)</t>
  </si>
  <si>
    <t>2300001213.000564/2024-63</t>
  </si>
  <si>
    <t>A.005-ARPC.0004.00.2024.GOV.SAD.PE</t>
  </si>
  <si>
    <t>Formação de Ata de Registro de Preços Corporativa para o fornecimento eventual de Etiqueta Patrimonial, conforme especificações e quantitativos previstos no Termo de Referência (Anexo I), destinada a atender às demandas dos órgãos da Administração Direta, dos fundos especiais, das autarquias e fundações públicas.</t>
  </si>
  <si>
    <t>A.005-ARP.0068.10.2024.GOV.FES-PE.PE</t>
  </si>
  <si>
    <t>REGISTRO DE PREÇO, PARA FORNECIMENTO EVENTUAL DE MOBILIÁRIO HOSPITALAR E EQUIPAMENTO DE LAVANDERIA, VISANDO ATENDER ÀS NECESSIDADES DA SECRETARIA ESTADUAL DE SAÚDE DE PERNAMBUCO (SES/PE) E DAS UNIDADES HOSPITALARES QUE A COMPÕEM.</t>
  </si>
  <si>
    <t>Envaido a SES - ADESOES_HRA</t>
  </si>
  <si>
    <t>2300002544.000047/2024-13</t>
  </si>
  <si>
    <t>A.005-ARP.0012.01.2024.GOV.DASIS.PE</t>
  </si>
  <si>
    <t>Formação de Registro de Preços para eventual fornecimento de Material Médico Hospitalar (recipientes e coletores) para atender as demandas do Centro Médico Hospitalar da PMPE/CBMPE.</t>
  </si>
  <si>
    <t>A.005-ARP.0001.00.2024.EXT.RS</t>
  </si>
  <si>
    <t>Objeto da presente licitação é a escolha da proposta mais vantajosa para eventual Aquisição de Medicamentos Padronizados para a Central de Abastecimento Farmacêutico do Hospital Militar de Área de Porto Alegre, conforme condições, quantidades e exigências estabelecidas</t>
  </si>
  <si>
    <t>A.004-ARP.0084.02.2024.GOV.PROCAPE.PE</t>
  </si>
  <si>
    <t>2300001213.000501/2024-15</t>
  </si>
  <si>
    <t>A.004-ARP.0072.00.2024.GOV.PROCAPE.PE</t>
  </si>
  <si>
    <t>2300001213.000541/2024-59</t>
  </si>
  <si>
    <t>A.004-ARP.0068.09.2024.GOV.FES-PE.PE</t>
  </si>
  <si>
    <t xml:space="preserve"> 2300001207.000253/2024-83</t>
  </si>
  <si>
    <t>A.004-ARP.0017.00.2024.GOV.HGV.PE</t>
  </si>
  <si>
    <t>Registro de Preços para a Contratação de empresa especializada em locação de equipamento médico do tipo, ARCO CIRÚRGICO, EM C, MOVEL, COM INTENSIFICADOR DE IMAGEM QUE PERMITA FAZER FLUOROSCOPIA E RADIOGRAFIA, visando atender as necessidades do Hospital Getúlio Vargas.</t>
  </si>
  <si>
    <t>2300001205.000181/2024-94</t>
  </si>
  <si>
    <t>A.004-ARP.0009.07.2024.GOV.SASSEPE.PE</t>
  </si>
  <si>
    <t>Registro de Preço para a eventual aquisição de INSUMOS HOSPITALARES (INDICADOR QUIMICO, INTEGRADOR QUIMICO, LENÇOL DE PAPEL DESCARTAVEL, E OUTROS), COM O FORNECIMENTO DE EQUIPAMENTOS EM COMODATO, para utilização na Unidade hospitalar HSE-IASSEPE/ SASSEPE</t>
  </si>
  <si>
    <t>2300002544.000015/2025-91</t>
  </si>
  <si>
    <t>A.004-ARP.0003.00.2025.GOV.HR.PE</t>
  </si>
  <si>
    <t>REGISTRO DE PREÇOS PARA O EVENTUAL FORNECIMENTO DE DISPOSITIVOS MÉDICOS DO TIPO REAGENTES PARA REALIZAÇÃO DE EXAMES HEMATOLÓGICOS, COM CESSÃO GRATUITA DE DOIS APARELHOS AUTOMATIZADOS, EM REGIME DE COMODATO, INCLUINDO MANUTENÇÃO PREVENTIVA/CORRETIVA, VISANDO ATENDER AS NECESSIDADES DO HOSPITAL DA RESTAURAÇÃO</t>
  </si>
  <si>
    <t>A.003-ARP.0110.03.2024.GOV.HUOC.PE</t>
  </si>
  <si>
    <t>2300001213.000003/2025-45</t>
  </si>
  <si>
    <t>A.003-ARP.0110.01.2024.GOV.HUOC.PE</t>
  </si>
  <si>
    <t>2300001213.000556/2024-17</t>
  </si>
  <si>
    <t>A.003-ARP.0087.05.2024.GOV.HUOC.PE</t>
  </si>
  <si>
    <t>REGISTRO DE PREÇO para eventual fornecimento de MATERIAIS MÉDICOS HOSPITALARES - AGULHAS DIVERSAS (SEI Nº 0040609459.000135/2023-49)</t>
  </si>
  <si>
    <t>2300001213.000542/2024-01</t>
  </si>
  <si>
    <t>A.003-ARP.0034.01.2024.GOV.FES-PE.PE</t>
  </si>
  <si>
    <t>Formação de REGISTRO DE PREÇOS para eventual aquisição de MATERIAIS E EQUIPAMENTOS MÉDICO-HOSPITALARES, com validade de 12 (doze) meses, para atender as necessidades da SES/PE.</t>
  </si>
  <si>
    <t>A.003-ARP.0010.00.2024.EXT.HMAR.PE</t>
  </si>
  <si>
    <t>A presente Ata tem por objeto o registro de preços para a eventual aquisição de PRODUTOS PARA SAÚDE - MMH 2 (GCALC), especificado(s) no(s) item(ns) 20. Termo de Referência, anexo I do Edital de Licitação de n° 90008/2024, que é parte integrante desta Ata, assim como as propostas cujos preços tenham sido registrados, independentemente de transcrição.</t>
  </si>
  <si>
    <t>2300001213.000511/2024-42</t>
  </si>
  <si>
    <t>A.002-ARP.0107.05.2024.GOV.HUOC.PE</t>
  </si>
  <si>
    <t>Registro de Preços para a eventual aquisição de MATERIAIS E INSUMOS EM GERAL PARA O SERVIÇO DO LABORATÓRIO DE BACTERIOLOGIA (SEI Nº 0040609543.000006/2024-82)</t>
  </si>
  <si>
    <t>A.002-ARP.0087.05.2024.GOV.HUOC.PE</t>
  </si>
  <si>
    <t>A.002-ARP.0045.00.2024.GOV.HR.PE</t>
  </si>
  <si>
    <t>2300002544.000009/2025-33</t>
  </si>
  <si>
    <t>A.002-ARP.0001.00.2024.EXT.RS</t>
  </si>
  <si>
    <t>Registro de preços para a eventual aquisição de Medicamentos Padronizados para a Central de Abastecimento Farmacêutico, do Hospital Militar de Área de Porto Alegre.</t>
  </si>
  <si>
    <t>2300001213.000512/2024-97</t>
  </si>
  <si>
    <t>A.001-ARP.0110.08.2024.GOV.HUOC.PE</t>
  </si>
  <si>
    <t>A.001-ARP.0107.01.2024.GOV.HUOC.PE</t>
  </si>
  <si>
    <t>2300001209.000090/2024-19</t>
  </si>
  <si>
    <t>A.001-ARP.0021.00.2024.GOV.HGV.PE</t>
  </si>
  <si>
    <t>2300002544.000010/2025-68</t>
  </si>
  <si>
    <t>A.001-ARP.0011.00.2025.GOV.HAM.PE</t>
  </si>
  <si>
    <t>A.048-ARP.0002.01.2024.GOV.FUNDARPE.PE</t>
  </si>
  <si>
    <t>Registro de Preços para contratação de empresa especializada na prestação de serviços gráficos, visando atender as demandas dos eventos, ciclos e festivais da Fundação do Patrimônio Histórico e Artísitico de Pernambuco - Fundarpe.</t>
  </si>
  <si>
    <t>2300001205.000246/2024-00</t>
  </si>
  <si>
    <t>Processo cancelado por pedido de anulação de empenho</t>
  </si>
  <si>
    <t>A.034-ARP.0005.00.2024.GOV.UPECMN.PE</t>
  </si>
  <si>
    <t>REGISTRO DE PREÇOS PARA FORNECIMENTO EVENTUAL DE MATERIAIS DE EXPEDIENTE</t>
  </si>
  <si>
    <t>2300002544.000037/2024-70</t>
  </si>
  <si>
    <t>A.030-ARP.0024.00.2024.GOV.HR.PE</t>
  </si>
  <si>
    <t>Registro de Preços para o fornecimento eventual de PRODUTOS MÉDICOS (MATERIAL MÉDICO HOSPITALAR PARA IMOBILIZAÇÃO), visando atender as necessidades do Hospital da Restauração - HR/SES/PE</t>
  </si>
  <si>
    <t>2300001213.000351/2024-31</t>
  </si>
  <si>
    <t>A.026-ARP.0002.02.2024.GOV.SASSEPE.PE</t>
  </si>
  <si>
    <t>Registro de Preços para eventual fornecimento de medicamentos Analgésicos, Antiflamatórios e Corticóides visando atender a demanda do Hospital dos Servidores do Estado de Pernambuco - HSE.</t>
  </si>
  <si>
    <t>A.025-ARP.0002.02.2024.GOV.SASSEPE.PE</t>
  </si>
  <si>
    <t>A.024-ARP.0002.02.2024.GOV.SASSEPE.PE</t>
  </si>
  <si>
    <t>A.023-ARP.0002.02.2024.GOV.SASSEPE.PE</t>
  </si>
  <si>
    <t>A.022-ARP.0008.00.2024.GOV.HR.PE</t>
  </si>
  <si>
    <t>Formação de Registro de Preços, por um período de 12 (doze) meses, para eventual fornecimento de PRODUTOS MÉDICOS (Material Médico Hospitalar)</t>
  </si>
  <si>
    <t>2300001213.000365/2024-55</t>
  </si>
  <si>
    <t>A.015-ARP.0055.06.2024.GOV.CISAM.PE</t>
  </si>
  <si>
    <t>A.014-ARP.0055.06.2024.GOV.CISAM.PE</t>
  </si>
  <si>
    <t>A.012-ARP.0046.02.2024.GOV.HUOC.PE</t>
  </si>
  <si>
    <t>Registro de Preços para eventual aquisição de MEDICAMENTOS CLÍNICOS GERAIS (SEI Nº 0040609437.000070/2023-90)</t>
  </si>
  <si>
    <t>2300001213.000389/2024-12</t>
  </si>
  <si>
    <t>A.011-ARP.0077.01.2024.GOV.HUOC.PE</t>
  </si>
  <si>
    <t>A.010-ARP.0071.02.2024.GOV.HUOC.PE</t>
  </si>
  <si>
    <t>REGISTRO DE PREÇO para eventual fornecimento de MATERIAIS MÉDICOS HOSPITALARES - COLETORES DIVERSOS (SEI Nº 0040609459.000140/2023-51)</t>
  </si>
  <si>
    <t>2300001213.000357/2024-17</t>
  </si>
  <si>
    <t>A.010-ARP.0018.00.2024.GOV.FES-PE.PE</t>
  </si>
  <si>
    <t>Registro de Preços para a eventual aquisição de Medicamentos Antibióticos (grupo 02) visando atender a demanda dos hospitais e estabelecimentos da rede estadual de saúde de Pernambuco.</t>
  </si>
  <si>
    <t>A.009-ARP.0025.01.2024.GOV.FES-PE.PE</t>
  </si>
  <si>
    <t>Registro de Preços para eventual aquisição de Medicamentos Injetáveis (grupo 02) visando atender a demanda dos hospitais e estabelecimentos da rede estadual de saúde de Pernambuco.</t>
  </si>
  <si>
    <t>2300001213.000425/2024-30</t>
  </si>
  <si>
    <t>A.009-ARP.0011.00.2024.GOV.HGV.PE</t>
  </si>
  <si>
    <t>A.009-ARP.0004.00.2024.GOV.HGV.PE</t>
  </si>
  <si>
    <t>PREGÃO ELETRÔNICO PARA REGISTRO DE PREÇOS COM VALIDADE DE 12 (DOZE) MESES PARA EVENTUAL FORNECIMENTO DE SOLUÇÕES PARENTERAIS DE GRANDES VOLUMES, VISANDO ATENDER AS NECESSIDADES DO HOSPITAL GETULIO VARGAS E HOSPITAL AGAMENON MAGALHÃES</t>
  </si>
  <si>
    <t>2300001213.000355/2024-10</t>
  </si>
  <si>
    <t>CANCELADO PELO ORGÃO DEMANDANTE</t>
  </si>
  <si>
    <t>A.008-ARP.0051.02.2024.GOV.CISAM.PE</t>
  </si>
  <si>
    <t>2300001213.000507/2024-84</t>
  </si>
  <si>
    <t>A.008-ARP.0046.05.2024.GOV.HUOC.PE</t>
  </si>
  <si>
    <t>A.008-ARP.0033.03.2024.GOV.CISAM.PE</t>
  </si>
  <si>
    <t>REGISTRO DE PREÇO PARA FORNECIMENTO EVENTUAL DE MATERIAL DE EXPEDIENTE PARA O CISAM POR UM PERÍODO DE 12 (DOZE) MESES</t>
  </si>
  <si>
    <t>2300002544.000036/2024-25</t>
  </si>
  <si>
    <t>A.008-ARP.0012.00.2023.GOV.UPEGARANHUNS.PE</t>
  </si>
  <si>
    <t>Formação de Registro de preços para aquisição de material de apoio didático para aulas da Universidade de Pernambuco – Campi Garanhuns, Arcoverde, Serra Talhada e Salgueiro.</t>
  </si>
  <si>
    <t>2300002544.000034/2024-36</t>
  </si>
  <si>
    <t>A.007-ARP.0120.03.2023.GOV.PROCAPE.PE</t>
  </si>
  <si>
    <t>A.007-ARP.0076.02.2024.GOV.HUOC.PE</t>
  </si>
  <si>
    <t>2300001213.000444/2024-66</t>
  </si>
  <si>
    <t>A.006-ARP.0076.02.2024.GOV.HUOC.PE</t>
  </si>
  <si>
    <t>A.006-ARP.0005.00.2024.GOV.SEMUL.PE</t>
  </si>
  <si>
    <t>REGISTRO DE PREÇO PARA FORNECIMENTO EVENTUAL DE MATERIAIS DE HIGIENE PESSOAL, visando atender as necessidades da Rede de Casas-Abrigo da Secretaria da Mulher de Pernambuco conforme as condições, especificações e quantidades exigências contidas no Termo de Referencia.</t>
  </si>
  <si>
    <t>A.006-ARP.0001.01.2024.EXT.CDE.RN</t>
  </si>
  <si>
    <t>A.005-ARP.0081.03.2024.GOV.HUOC.PE</t>
  </si>
  <si>
    <t>Registro de Preços para o fornecimento eventual de Medicamentos Clínicos Gerais 5 (SEI Nº 0040609437.000095/2024-74)</t>
  </si>
  <si>
    <t>2300001213.000428/2024-73</t>
  </si>
  <si>
    <t>A.005-ARP.0069.02.2024.GOV.HUOC.PE</t>
  </si>
  <si>
    <t>2300002544.000033/2024-91</t>
  </si>
  <si>
    <t>A.005-ARP.0013.00.2024.EXT.HMAR.PE</t>
  </si>
  <si>
    <t>O objeto da presente licitação é Aquisição de PRODUTOS PARA SAÚDE - MMH 1 (GCALC), especificado(s) no(s Termo de Referência, anexo I do Edital de Licitação de n° 90017/2024, que é parte integrante desta Ata, assim como as propostas cujos preços tenham sido registrados, independentemente de transcrição.</t>
  </si>
  <si>
    <t>2300001213.000475/2024-17</t>
  </si>
  <si>
    <t>A.005-ARP.0012.00.2024.GOV.HAM.PE</t>
  </si>
  <si>
    <t>FORMAÇÃO DE REGISTRO DE PREÇOS, PARA FORNECIMENTO EVENTUAL DE MEDICAMENTOS (ENOXAPARINA), VISANDO ATENDER AS NECESSIDADES DO HOSPITAL AGAMENON MAGALHÃES E DO HOSPITAL DA RESTAURAÇÃO.</t>
  </si>
  <si>
    <t xml:space="preserve"> 2300001213.000488/2024-96</t>
  </si>
  <si>
    <t>A.005-ARP.0004.00.2024.EXT.PB</t>
  </si>
  <si>
    <t>A presente Ata tem por objeto o registro de preços para aquisição de aparelhos de raio x, especificado, no item 1.1 do Termo de Referência, anexo do edital de Pregão nº 072/2023 que é parte integrante desta Ata</t>
  </si>
  <si>
    <t>A.005-ARP.0001.00.2024.GOV.HGV.PE</t>
  </si>
  <si>
    <t>PREGÃO ELETRÓNICO para REGISTRO DE PREÇOS, com validade de 12 (doze) meses, para eventual fornecimento de CADEIRA DE RODAS, visando atender a demanda do Hospital Getúlio Vargas.</t>
  </si>
  <si>
    <t>2300001207.000153/2024-57</t>
  </si>
  <si>
    <t>A.004-ARP.0069.02.2024.GOV.HUOC.PE</t>
  </si>
  <si>
    <t>A.004-ARP.0044.00.2024.GOV.HUOC.PE</t>
  </si>
  <si>
    <t>REGISTRO DE PREÇO para a eventual fornecimento de MATERIAIS MÉDICOS HOSPITALARES E INSUMOS LABORATORIAIS (SEI Nº 0040609459.000133/2023-50)</t>
  </si>
  <si>
    <t xml:space="preserve"> 2300001213.000363/2024-66</t>
  </si>
  <si>
    <t>A.004-ARP.0012.00.2024.GOV.HAM.PE</t>
  </si>
  <si>
    <t>A.003-ARP.0059.00.2024.GOV.PROCAPE.PE</t>
  </si>
  <si>
    <t xml:space="preserve"> 2300001213.000510/2024-06</t>
  </si>
  <si>
    <t>A.003-ARP.0018.00.2024.OPD.MPPE.PE</t>
  </si>
  <si>
    <t>Ata de Registro de Preços para aquisição de MATERIAIS HIDROSSANITÁRIOS</t>
  </si>
  <si>
    <t>2300002544.000029/2024-23</t>
  </si>
  <si>
    <t>A.003-ARP.0009.09.2024.GOV.HOF.PE</t>
  </si>
  <si>
    <t xml:space="preserve"> 2300001213.000378/2024-24</t>
  </si>
  <si>
    <t>A.003-ARP.0004.00.2024.EXT.PB</t>
  </si>
  <si>
    <t>A presente Ata tem por objeto o registro de preços parapara aquisição de material médico e hospitalar (alto custo),especificado, no item 1.1 do Termo de Referência, anexo do edital de Pregão nº014/2023que é parte integrante desta Ata, assim como aproposta vencedora, independentemente de transcrição.</t>
  </si>
  <si>
    <t>A.002-ARP.0089.00.2024.GOV.HUOC.PE</t>
  </si>
  <si>
    <t>2300001213.000456/2024-91</t>
  </si>
  <si>
    <t>A.002-ARP.0088.08.2024.GOV.HUOC.PE</t>
  </si>
  <si>
    <t>2300001213.000457/2024-35</t>
  </si>
  <si>
    <t>A.002-ARP.0088.03.2024.GOV.FES-PE.PE</t>
  </si>
  <si>
    <t>Registro de Preço para fornecimento eventual de Medicamentos Diversos - Grupo 3, visando atender às demandas dos órgão participantes da rede estadual de saúde de Pernambuco.</t>
  </si>
  <si>
    <t>2300001213.000478/2024-51</t>
  </si>
  <si>
    <t>A.002-ARP.0046.05.2024.GOV.PROCAPE.PE</t>
  </si>
  <si>
    <t>A.002-ARP.0038.02.2024.GOV.FES-PE.PE</t>
  </si>
  <si>
    <t>Pregão Eletrônico para Registro de Preço, com validade de 12 (doze) meses, para eventual fornecimento de materiais hospitalares , visando atender as necessidades da Secretaria Estadual de Saúde de Pernambuco (SES/PE) e das Unidades Hospitalares que a compõem.</t>
  </si>
  <si>
    <t>2300001207.000085/2024-26</t>
  </si>
  <si>
    <t>A.002-ARP.0013.00.2024.GOV.HAM.PE</t>
  </si>
  <si>
    <t>A.002-ARP.0012.11.2024.GOV.HOF.PE</t>
  </si>
  <si>
    <t>Registro de preços para a eventual aquisição de Material Médico Hospitalar (Antissépticos e Saneantes), visando atender as necessidades do Hospital Otávio de Freitas.</t>
  </si>
  <si>
    <t>2300001213.000453/2024-57</t>
  </si>
  <si>
    <t>A.002-ARP.0010.00.2024.EXT.HMAR.PE</t>
  </si>
  <si>
    <t>A.002-ARP.0001.00.2024.EXT.HCFMU.SP</t>
  </si>
  <si>
    <t>Registro de preços para a eventual contratação de METILPREDNISOLONA (SUC SODICO) 125MG/FA PO SOL INJ FA 2ML, PREDNISONA 20 MG, CP, VO, TERLIPRESSINA (ACETATO) 1 MG PO LIOFILIZADO FRASCO-AMPOLA, OCTREOTIDA 30 MG/ML SUS INJ LIB PROL FA.</t>
  </si>
  <si>
    <t>A.001-ARP.0074.01.2024.GOV.FES-PE.PE</t>
  </si>
  <si>
    <t>2300002544.000038/2024-14</t>
  </si>
  <si>
    <t>A.019-ARP.0005.00.2024.GOV.HR.PE</t>
  </si>
  <si>
    <t>REGISTRO DE PREÇOS PARA O FORNECIMENTO DE MOBILIÁRUOS (CADEIRAS) PARA O HOSPITAL DA RESTAURAÇÃO.</t>
  </si>
  <si>
    <t>2300001205.000062/2024-31</t>
  </si>
  <si>
    <t>A.014-ARP.0003.01.2024.EXT.HMAR.PE</t>
  </si>
  <si>
    <t>A presente Ata tem por objeto o registro de preços para aquisição de MEDICAMENTOS – ANTIBIÓTICOS, SOROS E ELETRÓLITOS - GCALC, para o Hospital Militar de Área de Recife (HMAR) e Órgãos participantes, destinadas aos Beneficiários do Fundo de Saúde do Exército (Fusex) e Órgãos Participantes, Portaria -C Ex nº 1802, de 4 de agosto de 2022, especificado(s) Termo de Referência, anexo I do edital de</t>
  </si>
  <si>
    <t>2300001213.000188/2024-15</t>
  </si>
  <si>
    <t>A.011-ARP.0021.00.2024.GOV.HEMOPE.PE</t>
  </si>
  <si>
    <t>Formação de Registro de Preços para o fornecimento eventual do(s) insumos para Saúde GRUPO 4, conforme especificações e quantitativos previstos no Anexo I, para atender às demandas do HEMOPE.</t>
  </si>
  <si>
    <t>A.011-ARP.0001.02.2024.GOV.HEMOPE.PE</t>
  </si>
  <si>
    <t>Registro de Preços para o fornecimento eventual dos insumos ponteiras, pipetas, lâminas e tubos de ensaio diversos com cessão em comodato de equipamentos visando atender as necessidades dos laboratórios da Fundação HEMOPE, conforme especificações e quantitativos previstos no Termo de Referência - Anexo I.</t>
  </si>
  <si>
    <t>2300001209.000048/2024-06</t>
  </si>
  <si>
    <t>A.011-ARP.0001.00.2024.EXT.SESR.RR</t>
  </si>
  <si>
    <t>Registro de preço para a EVENTUAL AQUISIÇÃO DE MEDICAMENTOS DO GRUPO 10 - TÓPICOS E OUTROS, PARA ATENDER AS UNIDADES DE SAÚDE DO ESTADO DE RORAIMA NO EXERCÍCIO 2023, destinados a atender as unidades de Saúde do Estado de Roraima, com especificações constantes no Termo de Referência.</t>
  </si>
  <si>
    <t>2300001213.000302/2024-07</t>
  </si>
  <si>
    <t>A.010-ARP.0025.00.2024.GOV.HR.PE</t>
  </si>
  <si>
    <t>Formação de Registro de Preços para o eventual fornecimento de BENS (MATERIAIS DE EXPEDIENTE I), visando atender as necessidades do Hospital da Restauração Governador Paulo Guerra, Instituto de Terras e Reforma Agrária do Estado de Pernambuco – ITERPE e Hospital Barão de Lucena</t>
  </si>
  <si>
    <t>2300002544.000019/2024-98</t>
  </si>
  <si>
    <t>A.009-ARP.0102.00.2023.GOV.HUOC.PE</t>
  </si>
  <si>
    <t>REGISTRO DE PREÇO para eventual fornecimento de MATERIAIS E INSUMOS ODONTOLÓGICOS DIVERSOS (SEI nº 0040609459.000008/2023-40)</t>
  </si>
  <si>
    <t>2300002544.000003/2024-85</t>
  </si>
  <si>
    <t>A.009-ARP.0021.00.2024.GOV.HEMOPE.PE</t>
  </si>
  <si>
    <t>2300001213.000335/2024-49</t>
  </si>
  <si>
    <t>A.009-ARP.0009.00.2024.GOV.HOF.PE</t>
  </si>
  <si>
    <t>2300001213.000382/2024-92</t>
  </si>
  <si>
    <t>A.009-ARP.0002.04.2024.GOV.HOF.PE</t>
  </si>
  <si>
    <t>Registro de Preço, para aquisição de Medicamentos Injetáveis para abastecimento do Hospital Otávio de Freitas da Secretaria de Saúde de Pernambuco, por um período de 12 (doze) meses</t>
  </si>
  <si>
    <t>2300001213.000306/2024-87</t>
  </si>
  <si>
    <t>A.008-ARP.0077.01.2024.GOV.HUOC.PE</t>
  </si>
  <si>
    <t>2300001213.000377/2024-80</t>
  </si>
  <si>
    <t>A.008-ARP.0028.01.2024.GOV.PROCAPE.PE</t>
  </si>
  <si>
    <t>REGISTRO DE PREÇOS PARA EVENTUAL FORNECIMENTO DE MATERIAL PARA ACONDICIONAMENTO E EMBALAGEM (SACOS PARA EMBALAGEM UNITÁRIA DE MEDICAMENTOS)</t>
  </si>
  <si>
    <t xml:space="preserve"> 2300001216.000020/2024-71</t>
  </si>
  <si>
    <t>A.008-ARP.0002.00.2024.EXT.HMAR.PE</t>
  </si>
  <si>
    <t>A presente Ata tem por objeto o registro de preços para Aquisição de Materiais Médicos Hospitalares, visando atender as necessidades do Hospital Militar de Área de Recife e Órgãos participantes, especificado(s) Termo de Referência, anexo I do edital de Pregão nº 20/2023, que é parte integrante desta Ata, assim como a proposta vencedora, independentemente de transcrição.</t>
  </si>
  <si>
    <t>2300001213.000337/2024-38</t>
  </si>
  <si>
    <t>A.007-ARP.0046.05.2024.GOV.HUOC.PE</t>
  </si>
  <si>
    <t xml:space="preserve"> 2300001213.000396/2024-14</t>
  </si>
  <si>
    <t>A.007-ARP.0046.01.2024.GOV.HUOC.PE</t>
  </si>
  <si>
    <t>2300001213.000274/2024-10</t>
  </si>
  <si>
    <t>A.007-ARP.0009.03.2024.GOV.FES-PE.PE</t>
  </si>
  <si>
    <t>PREGÃO ELETRÔNICO PARA REGISTRO DE PREÇOS COM VALIDADE DE 12 (DOZE) MESES PARA EVENTUAL FORNECIMENTO DE MOBILIÁRIO HOSPITALAR, VISANDO ATENDER AS NECESSIDADES DAS UNIDADES DA SECRETARIA ESTADUAL DE SAÚDE DE PERNAMBUCO.</t>
  </si>
  <si>
    <t>A.007-ARP.0006.00.2023.GOV.UPEGARANHUNS.PE</t>
  </si>
  <si>
    <t>Formação de Registro de Preços para o fornecimento eventual de materiais de laboratório e hospitalar para a UPE Campi Garanhuns, Arcoverde e Serra Talhada.</t>
  </si>
  <si>
    <t>A.006-ARP.0095.01.2023.GOV.HUOC.PE</t>
  </si>
  <si>
    <t>Registo de Preço para o eventual fornecimento de REAGENTES PARA O LABORATÓRIO CLINICO COM CESSÃO DE EQUIPAMENTOS EM REGIME DE COMODATO PARA REALIZAÇÃO DE HEMATOLOGIA, URINÁLISE E HEMOSTASIA (SEI Nº 0040609459.000030/2023-90)</t>
  </si>
  <si>
    <t>A.006-ARP.0053.00.2024.GOV.CISAM.PE</t>
  </si>
  <si>
    <t>REGISTRO DE PREÇOS PARA FORNECIMENTO EVENTUAL DE MEDICAMENTO (ENOXAPARINA SÓDICA), VISANDO ATENDER AS NECESSIDADES DO CISAM/UPE E DEMAIS ÓRGÃOS PARTICIPANTES.</t>
  </si>
  <si>
    <t xml:space="preserve">2300001213.000414/2024-50
</t>
  </si>
  <si>
    <t>PROCESSO CONCLUÍDO / ITEM RECEBIDO</t>
  </si>
  <si>
    <t>A.006-ARP.0031.00.2024.GOV.HR.PE</t>
  </si>
  <si>
    <t>2300001213.000285/2024-08</t>
  </si>
  <si>
    <t>PROCESSO PAROU NA CAF</t>
  </si>
  <si>
    <t>A.005-ARP.0055.03.2024.GOV.CISAM.PE</t>
  </si>
  <si>
    <t xml:space="preserve">2300001213.000381/2024-48
</t>
  </si>
  <si>
    <t>A.005-ARP.0039.03.2024.GOV.PROCAPE.PE</t>
  </si>
  <si>
    <t>REGISTRO DE PREÇOS PARA EVENTUAL FORNECIMENTO DE MATERIAL PARA ACONDICIONAMENTO E EMBALAGEM (SACOS)</t>
  </si>
  <si>
    <t xml:space="preserve">2300001216.000056/2024-55
</t>
  </si>
  <si>
    <t>A.005-ARP.0035.00.2024.GOV.HR.PE</t>
  </si>
  <si>
    <t>PREGÃO ELETRÔNICO PARA REGISTRO DE PREÇOS COM VALIDADE DE 12 (DOZE) MESES PARA O EVENTUAL FORNECIMENTO DE PRODUTOS MÉDICOS (CURATIVOS PARA TERAPIA POR PRESSÃO NEGATIVA) COM A CESSÃO DE ACESSÓRIOS/EQUIPAMENTOS EM REGIME DE COMODATO, VISANDO ATENDER AS NECESSIDADES DO HOSPITAL DA RESTAURAÇÃO.</t>
  </si>
  <si>
    <t xml:space="preserve"> 2300002541.000001/2024-16</t>
  </si>
  <si>
    <t>A.005-ARP.0002.00.2024.GOV.HOF.PE</t>
  </si>
  <si>
    <t xml:space="preserve">2300001213.000317/2024-67
</t>
  </si>
  <si>
    <t>A.004-ARP.0130.00.2023.GOV.HUOC.PE</t>
  </si>
  <si>
    <t>REGISTRO DE PREÇO para eventual fornecimento de MATERIAIS MÉDICOS HOSPITALARES PARA O SERVIÇO DE ENDOSCOPIA (SEI Nº 0040609459.000005/2023-14)</t>
  </si>
  <si>
    <t>A.004-ARP.0063.08.2024.GOV.HUOC.PE</t>
  </si>
  <si>
    <t>REGISTRO DE PREÇO para eventual fornecimento de MATERIAIS DE ELÉTRICA (SEI Nº 0040609405.000065/2023-54)</t>
  </si>
  <si>
    <t xml:space="preserve">2300001207.000165/2024-81
</t>
  </si>
  <si>
    <t>A.004-ARP.0039.04.2024.GOV.HUOC.PE</t>
  </si>
  <si>
    <t>REGISTRO DE PREÇO para eventual fornecimento de MATERIAIS MÉDICOS PARA ESTERILIZAÇÃO HOSPITALAR (SEI Nº 0040609459.000007/2023-03)</t>
  </si>
  <si>
    <t>2300001213.000249/2024-36</t>
  </si>
  <si>
    <t>A.004-ARP.0033.00.2024.GOV.HR.PE</t>
  </si>
  <si>
    <t>2300002264.000003/2024-21</t>
  </si>
  <si>
    <t>A.004-ARP.0028.00.2024.GOV.HR.PE</t>
  </si>
  <si>
    <t xml:space="preserve">2300002544.000013/2024-11
</t>
  </si>
  <si>
    <t>A.004-ARP.0006.00.2024.EXT.HMAR.PE</t>
  </si>
  <si>
    <t>A presente Ata tem por objeto o registro de preços para Aquisição de Medicamentos Gerais II, visando atender as necessidades do Hospital Militar de Área de Recife e Órgãos participantes, especificado(s) Termo de Referência, anexo I do edital de Pregão nº 15/2023, que é parte integrante desta Ata, assim como a proposta vencedora, independentemente de transcrição.</t>
  </si>
  <si>
    <t>2300001209.000054/2024-55</t>
  </si>
  <si>
    <t>A.004-ARP.0004.02.2024.GOV.HGV.PE</t>
  </si>
  <si>
    <t>2300001213.000304/2024-98</t>
  </si>
  <si>
    <t>A.003-ARP.0130.02.2023.GOV.HUOC.PE</t>
  </si>
  <si>
    <t>A.003-ARP.0107.00.2023.GOV.FES-PE.PE</t>
  </si>
  <si>
    <t>PREGÃO ELETRÔNICO PARA REGISTRO DE PREÇOS COM VALIDADE DE 12 (DOZE) MESES PARA EVENTUAL FORNECIMENTO DE EQUIPAMENTOS LABORATORIAIS, VISANDO ATENDER AS NECESSIDADES DA SECRETARIA ESTADUAL DE SAÚDE DE PERNAMBUCO - SES/PE.</t>
  </si>
  <si>
    <t>A.003-ARP.0068.02.2024.GOV.HUOC.PE</t>
  </si>
  <si>
    <t>Registro de Preços para eventual fornecimento de FIOS DE NYLON, ALGODÃO, POLIÉSTER E SEDA (SEI Nº 0040609437.000063/2023-98)</t>
  </si>
  <si>
    <t>A.003-ARP.0063.06.2024.GOV.HUOC.PE</t>
  </si>
  <si>
    <t>2300002544.000010/2024-87</t>
  </si>
  <si>
    <t>PAROU NA SUPERINTENDENCIA DE ENGENHARIA E MANUTENÇÃO</t>
  </si>
  <si>
    <t>A.003-ARP.0044.08.2024.GOV.PROCAPE.PE</t>
  </si>
  <si>
    <t xml:space="preserve"> 2300001213.000297/2024-24
</t>
  </si>
  <si>
    <t>A.003-ARP.0027.00.2024.GOV.HR.PE</t>
  </si>
  <si>
    <t>Formação de Registro de Preços para o fornecimento eventual de Produtos Médicos Hospitalares (Materiais para Hemodinâmica: Bainhas, Agulhas, Introdutores), visando atender as necessidades do Hospital da Restauração e Hospital Agamenon Magalhães.</t>
  </si>
  <si>
    <t>2300001213.000315/2024-78</t>
  </si>
  <si>
    <t>A.003-ARP.0009.04.2024.GOV.FES-PE.PE</t>
  </si>
  <si>
    <t>A.003-ARP.0009.00.2024.GOV.SASSEPE.PE</t>
  </si>
  <si>
    <t>2300001213.000329/2024-91</t>
  </si>
  <si>
    <t>A.003-ARP.0001.00.2024.GOV.HGV.PE</t>
  </si>
  <si>
    <t>A.002-ARP.0113.00.2023.GOV.FES-PE.PE</t>
  </si>
  <si>
    <t>PREGÃO ELETRÔNICO PARA REGISTRO DE PREÇO PARA EVENTUAL FORNECIMENTO DE MOBILIÁRIO HOSPITALAR, SECRETARIA DE SAUDE - SES</t>
  </si>
  <si>
    <t>A.002-ARP.0068.02.2024.GOV.HUOC.PE</t>
  </si>
  <si>
    <t xml:space="preserve"> 2300001213.000283/2024-19</t>
  </si>
  <si>
    <t>A.002-ARP.0059.05.2024.GOV.HUOC.PE</t>
  </si>
  <si>
    <t>REGISTRO DE PREÇO para eventual fornecimento de MATERIAIS DE CONSTRUÇÃO (SEI Nº 0040609405.000067/2023-43)</t>
  </si>
  <si>
    <t>2300002544.000015/2024-18</t>
  </si>
  <si>
    <t>A.002-ARP.0027.00.2024.GOV.HR.PE</t>
  </si>
  <si>
    <t>2300001213.000316/2024-12</t>
  </si>
  <si>
    <t>A.002-ARP.0018.00.2024.OPD.MPPE.PE</t>
  </si>
  <si>
    <t xml:space="preserve">2300002544.000028/2024-89
</t>
  </si>
  <si>
    <t>A.002-ARP.0014.00.2024.GOV.FES-PE.PE</t>
  </si>
  <si>
    <t>Pregão Eletrônico para Registro de Preço para eventual aquisição de Medicamentos Líquidos e Tópicos II para atender as necessidades da demanda da População Privada de Liberdade nas Unidades Prisionais do Estado de Pernambuco.</t>
  </si>
  <si>
    <t>2300001213.000273/2024-75</t>
  </si>
  <si>
    <t>A.002-ARP.0001.00.2024.EXT.PE</t>
  </si>
  <si>
    <t>A presente Ata tem por objeto o registro de preços para a eventual aquisição de Dispositivos Médicos Implantáveis (DMI), para joelho, quadril, fêmur e fixadores externos, destinado a suprir necessidades das Organizações Militares de Saúde vinculadas à 7ª Região Militar;</t>
  </si>
  <si>
    <t>A.001-ARP.0058.03.2024.GOV.HUOC.PE</t>
  </si>
  <si>
    <t>REGISTRO DE PREÇO para eventual fornecimento de MATERIAIS DE HIDRÁULICA (SEI Nº 0040609405.000063/2023-65)</t>
  </si>
  <si>
    <t xml:space="preserve">2300002544.000012/2024-76
</t>
  </si>
  <si>
    <t>A.001-ARP.0028.00.2024.GOV.HR.PE</t>
  </si>
  <si>
    <t>2300002544.000014/2024-65</t>
  </si>
  <si>
    <t>A.001-ARP.0021.00.2023.GOV.SASSEPE.PE</t>
  </si>
  <si>
    <t>Registro de Preços para o fornecimento eventual de POLTRONA HOSPITALARES, conforme especificações e quantitativos previstos no Termo de Referência (Anexo I), para atender às demandas dos órgãos participantes indicados no mencionado Anexo.</t>
  </si>
  <si>
    <t>A.016-ARP.0002.02.2024.GOV.DASIS.PE</t>
  </si>
  <si>
    <t>Formação de REGISTRO DE PREÇOS POR UM PERÍODO DE 12 (DOZE) MESES PARA EVENTUAL FORNECIMENTO DE MEDICAMENTOS ORAIS, TOPICOS E OFTALMICOS PARA O CENTRO MEDICO HOSPITALAR DA PMPE/CBMPE</t>
  </si>
  <si>
    <t>A.015-ARP.0095.00.2023.GOV.HUOC.PE</t>
  </si>
  <si>
    <t>A.014-ARP.0001.06.2024.GOV.HOF.PE</t>
  </si>
  <si>
    <t>Formação de registro de preços para eventual fornecimento de materiais médicos hospitalares, visando atender as necessidades do Hospital Otávio de Freitas</t>
  </si>
  <si>
    <t>A.012-ARP.0024.00.2024.GOV.HR.PE</t>
  </si>
  <si>
    <t xml:space="preserve"> 2300001213.000260/2024-04
</t>
  </si>
  <si>
    <t>A.012-ARP.0003.01.2024.EXT.HMAR.PE</t>
  </si>
  <si>
    <t>A.011-ARP.0003.01.2024.EXT.HMAR.PE</t>
  </si>
  <si>
    <t>A.008-ARP.0001.07.2024.GOV.HOF.PE</t>
  </si>
  <si>
    <t>A.007-ARP.0046.02.2024.GOV.HUOC.PE</t>
  </si>
  <si>
    <t>2300001213.000211/2024-63</t>
  </si>
  <si>
    <t>A.007-ARP.0006.01.2024.GOV.HGV.PE</t>
  </si>
  <si>
    <t>Pregão Eletronico para Formação de Registro de Preços para o fornecimento eventual de Materiais de manutenção predial, visando atender as necessidades do Hospital Getúlio Vargas,</t>
  </si>
  <si>
    <t>2300001207.000154/2024-00</t>
  </si>
  <si>
    <t>A.005-ARP.0102.02.2023.GOV.HUOC.PE</t>
  </si>
  <si>
    <t>A.005-ARP.0057.01.2024.GOV.HUOC.PE</t>
  </si>
  <si>
    <t>REGISTRO DE PREÇO para eventual fornecimento de MATERIAIS DE HIDRÁULICA (SEI Nº 0040609405.000061/2023-76)</t>
  </si>
  <si>
    <t>2300001207.000128/2024-73</t>
  </si>
  <si>
    <t>A.005-ARP.0051.01.2024.GOV.CISAM.PE</t>
  </si>
  <si>
    <t>A.005-ARP.0022.06.2023.GOV.HAM.PE</t>
  </si>
  <si>
    <t>FORMAÇÃO DE REGISTRO DE PREÇOS, COM VALIDADE DE 12 (DOZE) MESES, PARA FORNECIMENTO EVENTUAL DE MATERIAIS MÉDICOS HOSPITALARES, VISANDO ATENDER AS NECESSIDADES DO HOSPITAL AGAMENON MAGALHÃES, HOSPITAL BARÃO DE LUCENA E RESTAURAÇÃO</t>
  </si>
  <si>
    <t>A.005-ARP.0011.00.2024.GOV.HGV.PE</t>
  </si>
  <si>
    <t>A.005-ARP.0008.02.2024.GOV.HUOC.PE</t>
  </si>
  <si>
    <t>REGISTRO DE PREÇO para eventual fornecimento de MATERIAIS MÉDICOS HOSPITALARES - CAL SODADA EM PILULAS, REAGENTE VERDE BRILHANTE E DETERGENTE BACTERIOSTÁTICO (SEI Nº 0040609459.000106/2023-87)</t>
  </si>
  <si>
    <t>2300002544.000001/2024-96</t>
  </si>
  <si>
    <t>A.004-ARP.0130.09.2023.GOV.HUOC.PE</t>
  </si>
  <si>
    <t>A.004-ARP.0108.04.2023.GOV.HUOC.PE</t>
  </si>
  <si>
    <t>Registro de Preços para eventual fornecimento de MEDICAMENTOS CLÍNICOS GERAIS (SEI nº 0040609437.000003/2023-75)</t>
  </si>
  <si>
    <t>A.004-ARP.0050.00.2024.GOV.HUOC.PE</t>
  </si>
  <si>
    <t>REGISTRO DE PREÇO para eventual fornecimento de MATERIAIS DE HIDRÁULICA (SEI Nº 0040609405.000062/2023-11)</t>
  </si>
  <si>
    <t>2300001207.000148/2024-44</t>
  </si>
  <si>
    <t>A.004-ARP.0048.03.2024.GOV.HUOC.PE</t>
  </si>
  <si>
    <t>REGISTRO DE PREÇO para eventual fornecimento de MATERIAIS MÉDICOS HOSPITALARES - SONDAS DIVERSAS (SEI Nº 0040609459.000101/2023-54)</t>
  </si>
  <si>
    <t>2300002544.000006/2024-19</t>
  </si>
  <si>
    <t>A.004-ARP.0008.02.2024.GOV.HUOC.PE</t>
  </si>
  <si>
    <t>A.003-ARP.0126.01.2023.GOV.HUOC.PE</t>
  </si>
  <si>
    <t>REGISTRO DE PREÇO para eventual fornecimento de CURATIVOS HOSPITALARES PARA COLOSTOMIA (SEI Nº 0040609459.000026/2023-21)</t>
  </si>
  <si>
    <t>A.003-ARP.0087.00.2023.GOV.HUOC.PE</t>
  </si>
  <si>
    <t>REGISTRO DE PREÇOS para eventual fornecimento de INSUMOS E REAGENTES PARA IDENTIFICAÇÃO MICROBIANA E HEMOCULTURAS COM CESSÃO DE EQUIPAMENTOS EM COMODATO (SEI nº 0040609459.000017/2023-31)</t>
  </si>
  <si>
    <t>A.003-ARP.0059.01.2024.GOV.HUOC.PE</t>
  </si>
  <si>
    <t>2300001207.000157/2024-35</t>
  </si>
  <si>
    <t>A.003-ARP.0050.06.2024.GOV.HUOC.PE</t>
  </si>
  <si>
    <t>2300001207.000126/2024-84</t>
  </si>
  <si>
    <t>A.003-ARP.0048.03.2024.GOV.HUOC.PE</t>
  </si>
  <si>
    <t>A.003-ARP.0036.00.2024.GOV.HUOC.PE</t>
  </si>
  <si>
    <t>REGISTRO DE PREÇO para eventual fornecimento de MATERIAIS MÉDICOS HOSPITALARES - KITS PARA GASTROSTOMIA ENDOSCÓPICA PERCUTÂNEA (SEI Nº 0040609459.000132/2023-13)</t>
  </si>
  <si>
    <t>2300001207.000164/2024-37</t>
  </si>
  <si>
    <t>A.003-ARP.0009.10.2024.GOV.HOF.PE</t>
  </si>
  <si>
    <t>2300001213.000219/2024-20</t>
  </si>
  <si>
    <t>A.003-ARP.0009.00.2024.GOV.HOF.PE</t>
  </si>
  <si>
    <t>2300001213.000252/2024-50</t>
  </si>
  <si>
    <t>A.003-ARP.0006.00.2024.EXT.HMAR.PE</t>
  </si>
  <si>
    <t>A.002-ARP.0063.04.2024.GOV.HUOC.PE</t>
  </si>
  <si>
    <t>2300001207.000166/2024-26</t>
  </si>
  <si>
    <t>A.002-ARP.0063.03.2024.GOV.HUOC.PE</t>
  </si>
  <si>
    <t>2300001207.000169/2024-60</t>
  </si>
  <si>
    <t>A.002-ARP.0059.07.2024.GOV.HUOC.PE</t>
  </si>
  <si>
    <t>2300001207.000133/2024-86</t>
  </si>
  <si>
    <t>A.002-ARP.0057.09.2024.GOV.HUOC.PE</t>
  </si>
  <si>
    <t>2300001207.000131/2024-97</t>
  </si>
  <si>
    <t>A.002-ARP.0057.07.2024.GOV.HUOC.PE</t>
  </si>
  <si>
    <t>2300001207.000158/2024-80</t>
  </si>
  <si>
    <t>A.002-ARP.0057.03.2024.GOV.HUOC.PE</t>
  </si>
  <si>
    <t>2300001207.000127/2024-29</t>
  </si>
  <si>
    <t>PAROU EM CONTRATOS</t>
  </si>
  <si>
    <t>A.002-ARP.0057.02.2024.GOV.HUOC.PE</t>
  </si>
  <si>
    <t>2300001207.000134/2024-21</t>
  </si>
  <si>
    <t>A.002-ARP.0057.00.2024.GOV.HUOC.PE</t>
  </si>
  <si>
    <t>2300001207.000149/2024-99</t>
  </si>
  <si>
    <t>A.002-ARP.0050.03.2024.GOV.HUOC.PE</t>
  </si>
  <si>
    <t>2300001207.000155/2024-46</t>
  </si>
  <si>
    <t>A.002-ARP.0011.07.2024.GOV.HGV.PE</t>
  </si>
  <si>
    <t>2300002544.000007/2024-63</t>
  </si>
  <si>
    <t>A.002-ARP.0011.01.2024.GOV.DASIS.PE</t>
  </si>
  <si>
    <t>Formação de REGISTRO DE PREÇOS PARA EVENTUAL FORNECIMENTO DE MATERIAIS PARA CIRURGIA GERAL E CIRURGIA VASCULAT NO CENTRO MÉDICO HOSPITALAR DA PMPE/CBMPE, POR UM PERÍODO DE 12 (DOZE) MESES, PARA ATENDER ÀS DEMANDAS DO CENTRO MÉDICO HOSPITALAR DA PMPE/CBMPE.</t>
  </si>
  <si>
    <t>2300002544.000008/2024-16</t>
  </si>
  <si>
    <t>A.002-ARP.0010.00.2024.GOV.CISAM.PE</t>
  </si>
  <si>
    <t>REGISTRO DE PREÇO PARA FORNECIMENTO EVENTUAL DE MATERIAL MÉDICO HOSPITALAR (ABAIXADOR DE LINGUA, ESPAÇADOR PARA AEROSÓIS, PROTETOR OCULAR NEONATAL PARA FOTOTERAPIA, TELA PROTÉSICA, TERMÔMETRO, CATETER UMBILICAL E SCALP) PARA O CISAM, POR UM PERÍODO DE 12 (DOZE) MESES</t>
  </si>
  <si>
    <t>2300001213.000231/2024-34</t>
  </si>
  <si>
    <t>A.002-ARP.0007.00.2024.GOV.HUOC.PE</t>
  </si>
  <si>
    <t>REGISTRO DE PREÇO para fornecimento eventual de CURATIVOS HOSPITALARES PARA A TERAPIA POR PRESSÃO NEGATIVA(SEI Nº 0040609459.000104/2023-98)</t>
  </si>
  <si>
    <t>2300001207.000170/2024-94</t>
  </si>
  <si>
    <t>A.001-ARP.0063.05.2024.GOV.HUOC.PE</t>
  </si>
  <si>
    <t>2300001207.000159/2024-24</t>
  </si>
  <si>
    <t>A.001-ARP.0057.06.2024.GOV.HUOC.PE</t>
  </si>
  <si>
    <t>2300001207.000147/2024-08</t>
  </si>
  <si>
    <t>A.001-ARP.0057.05.2024.GOV.HUOC.PE</t>
  </si>
  <si>
    <t>A.001-ARP.0054.01.2024.GOV.HUOC.PE</t>
  </si>
  <si>
    <t>REGISTRO DE PREÇO para eventual fornecimento de MATERIAIS DE MARCENARIA (SEI Nº 0040609405.000064/2023-18)</t>
  </si>
  <si>
    <t>2300001207.000168/2024-15</t>
  </si>
  <si>
    <t>A.001-ARP.0048.03.2024.GOV.HUOC.PE</t>
  </si>
  <si>
    <t>2300001207.000161/2024-01</t>
  </si>
  <si>
    <t>A.001-ARP.0012.01.2024.GOV.DASIS.PE</t>
  </si>
  <si>
    <t>A.001-ARP.0002.00.2024.GOV.HR.PE</t>
  </si>
  <si>
    <t>PREGÃO ELETRÔNICO PARA REGISTRO DE PREÇOS COM VALIDADE DE 12 (DOZE) MESES PARA EVENTUAL FORNECIMENTO DE EQUIPAMENTOS MÉDICOS PARA CLÍNICA DE FISIOTERAPIA, VISANDO ATENDER AS NECESSIDADES DO HOSPITAL DA RESTAURAÇÃO E HOSPITAL HAGAMENOM MAGALHÃES.</t>
  </si>
  <si>
    <t>A.001-ARP.0001.01.2024.GOV.HEMOPE.PE</t>
  </si>
  <si>
    <t>2300001207.000171/2024-39</t>
  </si>
  <si>
    <t>A.010-ARP.0011.00.2023.GOV.UPEGARANHUNS.PE</t>
  </si>
  <si>
    <t>Formação de Registro de Preços o fornecimento eventual de materiais para manutenção de equipamentos de informática e eletrônicos da UPE Campi Garanhuns, Arcoverde, Serra Talhada e Salgueiro.</t>
  </si>
  <si>
    <t>A.010-ARP.0001.06.2024.GOV.HOF.PE</t>
  </si>
  <si>
    <t>A.009-ARP.0011.00.2023.GOV.UPEGARANHUNS.PE</t>
  </si>
  <si>
    <t>A.008-ARP.0011.00.2023.GOV.UPEGARANHUNS.PE</t>
  </si>
  <si>
    <t>A.007-ARP.0004.00.2024.GOV.HGV.PE</t>
  </si>
  <si>
    <t>A.007-ARP.0001.02.2024.GOV.HEMOPE.PE</t>
  </si>
  <si>
    <t>2300001207.000117/2024-93</t>
  </si>
  <si>
    <t>A.006-ARP.0049.01.2024.GOV.HUOC.PE</t>
  </si>
  <si>
    <t>REGISTRO DE PREÇO para eventual fornecimento de ESCOVAS PARA LIMPEZA DE MATERIAIS E INSTRUMENTAIS CIRURGICOS (SEI Nº 0040609459.000090/2023-11)</t>
  </si>
  <si>
    <t>2300001207.000093/2024-72</t>
  </si>
  <si>
    <t>A.006-ARP.0039.01.2024.GOV.HUOC.PE</t>
  </si>
  <si>
    <t>A.006-ARP.0004.00.2024.GOV.HGV.PE</t>
  </si>
  <si>
    <t>A.006-ARP.0003.01.2024.EXT.HMAR.PE</t>
  </si>
  <si>
    <t>A.006-ARP.0001.07.2024.GOV.HOF.PE</t>
  </si>
  <si>
    <t>A.005-ARP.0130.08.2023.GOV.HUOC.PE</t>
  </si>
  <si>
    <t>A.005-ARP.0033.01.2024.GOV.CISAM.PE</t>
  </si>
  <si>
    <t>2300001207.000111/2024-16</t>
  </si>
  <si>
    <t>A.005-ARP.0008.00.2024.GOV.HR.PE</t>
  </si>
  <si>
    <t>2300001213.000172/2024-02</t>
  </si>
  <si>
    <t>A.005-ARP.0004.00.2024.GOV.HGV.PE</t>
  </si>
  <si>
    <t>2300001213.000130/2024-63</t>
  </si>
  <si>
    <t>PROCESSO PAROU NA SUPERINTENDENCIA FINANCEIRA</t>
  </si>
  <si>
    <t>A.005-ARP.0003.01.2024.EXT.HMAR.PE</t>
  </si>
  <si>
    <t>A.005-ARP.0001.02.2024.GOV.HEMOPE.PE</t>
  </si>
  <si>
    <t>2300001207.000066/2024-08</t>
  </si>
  <si>
    <t>A.004-ARP.0130.08.2023.GOV.HUOC.PE</t>
  </si>
  <si>
    <t>A.004-ARP.0102.02.2023.GOV.HUOC.PE</t>
  </si>
  <si>
    <t>A.004-ARP.0049.04.2024.GOV.HUOC.PE</t>
  </si>
  <si>
    <t>A.004-ARP.0049.00.2024.GOV.HUOC.PE</t>
  </si>
  <si>
    <t>2300001207.000097/2024-51</t>
  </si>
  <si>
    <t>A.004-ARP.0035.00.2023.GOV.HOF.PE</t>
  </si>
  <si>
    <t>Registro de preços para a eventual aquisição de Medicamentos (Antibióticos, Clínicos e Controlados), para atender as necessidades do Hospital Otávio de Freitas.</t>
  </si>
  <si>
    <t>A.004-ARP.0032.00.2023.GOV.HR.PE</t>
  </si>
  <si>
    <t>Formação de Registro de Preços, por um período de 12 (doze) meses, para eventual fornecimento de Produtos Médicos (Reagentes e materiais para realização de testes laboratoriais pré-transfusionais), com cessão gratuita de equipamentos a título de comodato.</t>
  </si>
  <si>
    <t>A.004-ARP.0021.00.2024.GOV.HR.PE</t>
  </si>
  <si>
    <t>Registro de Preços para o fornecimento eventual de MEDICAMENTOS (METRONIDAZOL E OXACILINA), visando atender as necessidades do HOSPITAL DA RESTAURAÇÃO GOV. PAULO GUERRA E HOSPITAL BARÃO DE LUCENA</t>
  </si>
  <si>
    <t>A.004-ARP.0002.04.2024.GOV.HOF.PE</t>
  </si>
  <si>
    <t>2300000178.000199/2023-17</t>
  </si>
  <si>
    <t>A.004-ARP.0001.02.2024.GOV.HEMOPE.PE</t>
  </si>
  <si>
    <t>A.003-ARP.0130.09.2023.GOV.HUOC.PE</t>
  </si>
  <si>
    <t>A.003-ARP.0102.02.2023.GOV.HUOC.PE</t>
  </si>
  <si>
    <t>A.003-ARP.0057.08.2024.GOV.HUOC.PE</t>
  </si>
  <si>
    <t>2300001207.000125/2024-30</t>
  </si>
  <si>
    <t>A.003-ARP.0049.04.2024.GOV.HUOC.PE</t>
  </si>
  <si>
    <t>2300001207.000095/2024-61</t>
  </si>
  <si>
    <t>A.003-ARP.0049.03.2024.GOV.HUOC.PE</t>
  </si>
  <si>
    <t>2300001207.000096/2024-14</t>
  </si>
  <si>
    <t>A.003-ARP.0032.00.2023.GOV.HR.PE</t>
  </si>
  <si>
    <t>A.003-ARP.0029.01.2024.GOV.HUOC.PE</t>
  </si>
  <si>
    <t>Registro de Preços para eventual fornecimento de MEDICAMENTOS CLÍNICOS GERAIS (sei nº 0040609437.000203/2023-28)</t>
  </si>
  <si>
    <t>2300001213.000186/2024-18</t>
  </si>
  <si>
    <t>A.003-ARP.0022.00.2024.GOV.HR.PE</t>
  </si>
  <si>
    <t>2300001213.000195/2024-17</t>
  </si>
  <si>
    <t>A.003-ARP.0021.00.2024.GOV.HR.PE</t>
  </si>
  <si>
    <t>2300001213.000193/2024-10</t>
  </si>
  <si>
    <t>A.003-ARP.0008.02.2024.GOV.HUOC.PE</t>
  </si>
  <si>
    <t>A.003-ARP.0001.02.2024.GOV.HEMOPE.PE</t>
  </si>
  <si>
    <t>A.002-ARP.0130.09.2023.GOV.HUOC.PE</t>
  </si>
  <si>
    <t>A.002-ARP.0114.00.2023.GOV.FES-PE.PE</t>
  </si>
  <si>
    <t>ATA DE REGISTRO DE PREÇO, COM VALIDADE DE 12 (DOZE) MESES, PARA EVENTUAL FORNECIMENTO DE EQUIPAMENTOS E MATERIAL MEDICO-HOSPITALARES? VISANDO ATENDER AS NECESSIDADES DA SECRETARIA ESTADUAL DE SAÚDE DE PERNAMBUCO (SES/PE) E DAS UNIDADES HOSPITALARES QUE A COMPÕEM</t>
  </si>
  <si>
    <t>A.002-ARP.0049.02.2024.GOV.HUOC.PE</t>
  </si>
  <si>
    <t>2300001207.000094/2024-17</t>
  </si>
  <si>
    <t>A.002-ARP.0046.06.2024.GOV.HUOC.PE</t>
  </si>
  <si>
    <t>2300001207.000092/2024-28</t>
  </si>
  <si>
    <t>A.002-ARP.0046.01.2024.GOV.HUOC.PE</t>
  </si>
  <si>
    <t>2300001213.000147/2024-11</t>
  </si>
  <si>
    <t>A.002-ARP.0043.00.2024.GOV.PROCAPE.PE</t>
  </si>
  <si>
    <t>2300001207.000090/2024-39</t>
  </si>
  <si>
    <t>A.002-ARP.0009.10.2024.GOV.HOF.PE</t>
  </si>
  <si>
    <t>A.002-ARP.0009.01.2024.GOV.HOF.PE</t>
  </si>
  <si>
    <t>2300001207.000116/2024-49</t>
  </si>
  <si>
    <t>A.002-ARP.0005.01.2024.GOV.SASSEPE.PE</t>
  </si>
  <si>
    <t>Formação de Registro de Preços para eventual fornecimento de Medicamentos, visando atender a demanda do Hospital dos Servidores do Estado de Pernambuco - HSE, nos termos da legislação vigente e conforme as condições, especificações, quantidades e exigências contidas no Termo de Referência.</t>
  </si>
  <si>
    <t>2300001213.000192/2024-75</t>
  </si>
  <si>
    <t>A.002-ARP.0002.00.2024.GOV.HOF.PE</t>
  </si>
  <si>
    <t>2300001213.000152/2024-23</t>
  </si>
  <si>
    <t>A.001-ARP.0130.09.2023.GOV.HUOC.PE</t>
  </si>
  <si>
    <t>A.001-ARP.0059.02.2024.GOV.HUOC.PE</t>
  </si>
  <si>
    <t>2300001207.000118/2024-38</t>
  </si>
  <si>
    <t>A.001-ARP.0046.03.2024.GOV.PROCAPE.PE</t>
  </si>
  <si>
    <t>2300001213.000153/2024-78</t>
  </si>
  <si>
    <t>A.042-ARPC.0033.00.2023.GOV.SAD.PE</t>
  </si>
  <si>
    <t>Formação de Registro de Preços Corporativo para prestação de serviços especializados de impressão, incluindo: locação de equipamentos (impressoras e multifuncionais); reposição de suprimentos (exceto papel); disponibilização de sistemas para gestão informatizada da solução; além de suporte técnico remoto e manutenção presencial (preventiva e corretiva) para atender às necessidades dos órgãos e entidades da Administração Direta, Autarquias e Fundações Públicas integrantes do Poder Executivo Estadual (PEE)</t>
  </si>
  <si>
    <t>A.033-ARP.0035.00.2023.GOV.HR.PE</t>
  </si>
  <si>
    <t>Registro de preços para aquisição dos seguintes MEDICAMENTOS, para atender demanda dos Hospitais da Restauração e Getúlio Vargas.</t>
  </si>
  <si>
    <t>A.032-ARP.0035.00.2023.GOV.HR.PE</t>
  </si>
  <si>
    <t>A.019-ARPC.0026.00.2023.GOV.SAD.PE</t>
  </si>
  <si>
    <t>Formação de Registro de Preços Corporativo para o fornecimento eventual de material de expediente (utensílios), visando atender as necessidades dos órgãos da Administração Direta, Autarquias e Fundações Públicas integrantes do Poder Executivo do Estado de Pernambuco, nos termos da legislação vigente e conforme as condições, especificações, quantidades e exigências contidas no Termo de Referência.</t>
  </si>
  <si>
    <t>A.013-ARP.0101.05.2023.GOV.HUOC.PE</t>
  </si>
  <si>
    <t>Registro de Preços para eventual fornecimento de MEDICAMENTOS ANTIMICROBIANOS E CONTROLADOS COM CESSÃO DE EQUIPAMENTO EM REGIME DE COMODATO (SEI Nº 0040609437.000507/2022-12)</t>
  </si>
  <si>
    <t>A.013-ARP.0064.08.2023.GOV.HUOC.PE</t>
  </si>
  <si>
    <t>REGISTRO DE PREÇO para eventual fornecimento de MATERIAIS DE CONSTRUÇÃO (SEI nº 0040609405.000032/2022-23)</t>
  </si>
  <si>
    <t>A.012-ARP.0120.01.2023.GOV.HUOC.PE</t>
  </si>
  <si>
    <t>Registro de Preços para eventual fornecimento de  MEDICAMENTOS ANTIMICROBIANOS (SEI Nº 0040609437.000151/2023-90)</t>
  </si>
  <si>
    <t>A.011-ARP.0085.05.2023.GOV.HUOC.PE</t>
  </si>
  <si>
    <t>REGISTRO DE PREÇO para eventual fornecimento de MATERIAIS MÉDICOS HOSPITALARES - EPI'S DESCARTÁVEIS (SEI nº 0040609459.000064/2022-01)</t>
  </si>
  <si>
    <t>A.010-ARP.0069.00.2023.GOV.PROCAPE.PE</t>
  </si>
  <si>
    <t>REGISTRO DE PREÇOS PARA EVENTUAL FORNECIMENTO, PELO REGIME DE COMODATO, DE MATERIAL DE CONSUMO HOSPITALAR (INSUMOS E REAGENTES PARA IDENTIFICAÇÃO MICROBIANA E HEMOCULTURAS)</t>
  </si>
  <si>
    <t>A.008-ARPC.0007.00.2024.GOV.SAD.PE</t>
  </si>
  <si>
    <t>2300001216.000029/2024-82</t>
  </si>
  <si>
    <t>A.008-ARP.0085.12.2023.GOV.HUOC.PE</t>
  </si>
  <si>
    <t>A.008-ARP.0085.08.2023.GOV.HUOC.PE</t>
  </si>
  <si>
    <t>A.007-ARPC.0007.00.2024.GOV.SAD.PE</t>
  </si>
  <si>
    <t>2300001216.000030/2024-15</t>
  </si>
  <si>
    <t>A.007-ARP.0030.05.2023.GOV.HR.PE</t>
  </si>
  <si>
    <t>A.007-ARP.0030.01.2024.GOV.CISAM.PE</t>
  </si>
  <si>
    <t>2300001213.000066/2024-11</t>
  </si>
  <si>
    <t>A.007-ARP.0021.00.2023.GOV.HGV.PE</t>
  </si>
  <si>
    <t>PREGÃO ELETRONICO PARA REGISTRO DE PREÇOS PARA O FORNECIMENTO EVENTUAL DE INSUMOS PARA O SERVIÇO DE VIDEOCIRURGIA(GERAL E UROLOGIA),COM CESSÃO DE EQUIPAMENTOS E INSTRUMENTAIS CIRUGICOS EM REGIME DE COMODATO -LAPSUS.POR 12( DOZE) MESES.</t>
  </si>
  <si>
    <t>A.007-ARP.0002.02.2024.GOV.SASSEPE.PE</t>
  </si>
  <si>
    <t>2300001213.000067/2024-65</t>
  </si>
  <si>
    <t>A.006-ARP.0112.01.2023.GOV.HUOC.PE</t>
  </si>
  <si>
    <t>REGISTRO DE PREÇO para fornecimento eventual de CARGAS E GRAMPEADORES CIRÚRGICOS LINEARES E CIRCULARES (SEI Nº 0040609459.000037/2023-10)</t>
  </si>
  <si>
    <t>A.006-ARP.0112.00.2023.GOV.HUOC.PE</t>
  </si>
  <si>
    <t>A.006-ARP.0039.02.2024.GOV.HUOC.PE</t>
  </si>
  <si>
    <t>A.005-ARP.0118.00.2023.GOV.HUOC.PE</t>
  </si>
  <si>
    <t>REGISTRO DE PREÇO para eventual fornecimento de CONTRASTE NÃO IÔNICO DE BAIXA OSMOLARIDADE 300MG/ML EM FRASCOS DE 100ML, COM CESSÃO DE EQUIPAMENTOS E INSUMOS EM REGIME DE COMODATO; MEIO DE CONTRASTE – MICROBOLHAS DE HEXAFLUORETO DE ENXOFRE FA e CONTRASTE NÃO IÔNICO DE BAIXA OSMOLARIDADE 370MG/ML EM FRASCOS DE 100ML (SEI Nº 0040609437.000123/2023-72)</t>
  </si>
  <si>
    <t>A.005-ARP.0026.10.2023.GOV.HAM.PE</t>
  </si>
  <si>
    <t>FORMAÇÃO DE REGISTRO DE PREÇOS PARA FORNECIMENTO EVENTUAL DE COLCHÕES, MOBILIÁRIOS E ELETRODOMÉSTICOS, VISANDO ATENDER AS NECESSIDADES DO HOSPITAL AGAMENON MAGALHÃES, DIRETORIA DE ADMINISTRAÇÃO GERAL, DIRETORIA DE APOIO ADMINISTRATIVO AO SISTEMA DE SAÚDE, HOSPITAL DA RESTAURAÇÃO E POLÍCIA MILITAR DE PERNAMBUCO</t>
  </si>
  <si>
    <t>A.005-ARP.0002.03.2024.GOV.HOF.PE</t>
  </si>
  <si>
    <t>A.004-ARP.0112.00.2023.GOV.HUOC.PE</t>
  </si>
  <si>
    <t>A.004-ARP.0064.07.2023.GOV.HUOC.PE</t>
  </si>
  <si>
    <t>A.004-ARP.0035.04.2023.GOV.HOF.PE</t>
  </si>
  <si>
    <t>A.004-ARP.0029.01.2023.GOV.HOF.PE</t>
  </si>
  <si>
    <t>PREGÃO ELETRÔNICO PARA REGISTRO DE PREÇOS COM VALIDADE DE 12 (DOZE) MESES PARA EVENTUAL FORNECIMENTO DE MATERIAL MÉDICO HOSPITALAR (FIOS DE CERCLAGEM, FIOS DE KIRSCHNER E FIOS STEINMANN, VISANDO ATENDER AS NECESSIDADES DO HOSPITAL OTÁVIO DE FREITAS.</t>
  </si>
  <si>
    <t>A.004-ARP.0026.09.2023.GOV.HAM.PE</t>
  </si>
  <si>
    <t>A.004-ARP.0026.07.2023.GOV.HAM.PE</t>
  </si>
  <si>
    <t>A.004-ARP.0022.20.2023.GOV.HAM.PE</t>
  </si>
  <si>
    <t>A.003-ARP.0119.00.2023.GOV.FES-PE.PE</t>
  </si>
  <si>
    <t>PREGÃO ELETRÔNICO PARA REGISTRO DE PREÇOS COM VALIDADE DE 12 (DOZE) MESES PARA EVENTUAL FORNECIMENTO DE MATERIAIS DE USO HOSPITALAR (LENÇÓL DESCARTÁVEL, COLETOR PERFURO-CORTANTE E COBERTURA DE ÓBITO), VISANDO ATENDER AS NECESSIDADES DO HOSPITAL GERAL DE AREIAS.</t>
  </si>
  <si>
    <t>A.003-ARP.0104.04.2023.GOV.PROCAPE.PE</t>
  </si>
  <si>
    <t>A.003-ARP.0029.02.2024.GOV.HUOC.PE</t>
  </si>
  <si>
    <t>A.003-ARP.0026.07.2023.GOV.HAM.PE</t>
  </si>
  <si>
    <t>A.003-ARP.0022.02.2024.GOV.CISAM.PE</t>
  </si>
  <si>
    <t>REGISTRO DE PREÇO PARA FORNECIMENTO EVENTUAL DE INSUMOS PARA A CENTRAL DE MATERIAIS E ESTERILIZAÇÃO DO CISAM, POR UM PERÍODO DE 12 (DOZE) MESES</t>
  </si>
  <si>
    <t>A.003-ARP.0008.00.2024.GOV.HUOC.PE</t>
  </si>
  <si>
    <t>A.003-ARP.0004.02.2024.GOV.HGV.PE</t>
  </si>
  <si>
    <t>A.002-ARPC.0019.00.2023.GOV.SAD.PE</t>
  </si>
  <si>
    <t>Registro de preços corporativo para a eventual aquisição de Material Médico-Hospitalar (compressa de gaze), para atender às demandas dos órgãos da Administração Direta, Autarquias e Fundações Públicas integrantes do Poder Executivo do Estado de Pernambuco.</t>
  </si>
  <si>
    <t>A.002-ARP.0131.01.2023.GOV.HUOC.PE</t>
  </si>
  <si>
    <t>Registro de Preços para eventual fornecimento de  MEDICAMENTOS CONTROLADOS E CLÍNICOS RESPIRATÓRIOS (SEI Nº 0040609437.000136/2023-41)</t>
  </si>
  <si>
    <t>A.002-ARP.0130.06.2023.GOV.HUOC.PE</t>
  </si>
  <si>
    <t>A.002-ARP.0026.03.2023.GOV.HAM.PE</t>
  </si>
  <si>
    <t>A.002-ARP.0025.03.2024.GOV.PROCAPE.PE</t>
  </si>
  <si>
    <t>A.002-ARP.0013.00.2024.GOV.HR.PE</t>
  </si>
  <si>
    <t>Registro de Preços para Aquisição de PRODUTOS MÉDICOS (CATETER PARA EMBOLECTOMIA), para atender as necessidades do Hospital da Restauração.</t>
  </si>
  <si>
    <t>A.002-ARP.0004.02.2024.GOV.HGV.PE</t>
  </si>
  <si>
    <t>A.001-ARP.0082.04.2023.GOV.HUOC.PE</t>
  </si>
  <si>
    <t>REGISTRO DE PREÇO para eventual fornecimento de MATERIAIS MÉDICOS HOSPITALARES - CATETERES DIVERSOS (SEI nº 0040609459.000099/2022-32)</t>
  </si>
  <si>
    <t>A.001-ARP.0029.00.2023.GOV.HOF.PE</t>
  </si>
  <si>
    <t>A.001-ARP.0023.00.2024.GOV.CISAM.PE</t>
  </si>
  <si>
    <t>REGISTRO DE PREÇO PARA FORNECIMENTO EVENTUAL DE TUBOS DE COLETA PARA O LABORATÓRIO DE ANÁLISES CLÍNICAS DO CISAM, POR UM PERÍODO DE 12 (DOZE) MESES</t>
  </si>
  <si>
    <t>A.001-ARP.0013.00.2024.GOV.HR.PE</t>
  </si>
  <si>
    <t>A.001-ARP.0001.00.2024.EXT.PE</t>
  </si>
  <si>
    <t>A.001-ARP.0001.00.2024.EXT.CE</t>
  </si>
  <si>
    <t>REGISTRO DE PREÇO PARA FUTURAS E EVENTUAIS AQUISIÇÕES DE MATERIAL MÉDICO HOSPITALAR</t>
  </si>
  <si>
    <t>A.011-ARP.0022.00.2023.GOV.HUOC.PE</t>
  </si>
  <si>
    <t>REGISTRO DE PREÇO para o fornecimento eventual das BOLSAS COLETORAS DE EXCRETA E MATERIAIS ORGÂNICOS</t>
  </si>
  <si>
    <t>A.007-ARP.0071.14.2023.GOV.PROCAPE.PE</t>
  </si>
  <si>
    <t>A.007-ARP.0012.01.2023.GOV.SASSEPE.PE</t>
  </si>
  <si>
    <t>Registro de Preço para aquisição de MATERIAL MÉDICO HOSPITALAR PARA ASSISTÊNCIA NO SERVIÇO DE ENDOSCOPIA, visando atender a demanda do Hospital dos Servidores do Estado de Pernambuco - HSE, pelo período de 12 (doze) meses.</t>
  </si>
  <si>
    <t>A.006-ARP.0025.12.2023.GOV.HR.PE</t>
  </si>
  <si>
    <t>Formação de Registro de Preços, por um período de 12 (doze) meses, para eventual fornecimento de MEDICAMENTOS.</t>
  </si>
  <si>
    <t>A.004-ARP.0025.04.2023.GOV.HUOC.PE</t>
  </si>
  <si>
    <t>REGISTRO DE PREÇO para eventual fornecimento de MATERIAIS DE PINTURA (SEI Nº 0040609405.000018/2022-20)</t>
  </si>
  <si>
    <t>A.004-ARP.0014.10.2023.GOV.HR.PE</t>
  </si>
  <si>
    <t>A.004-ARP.0003.00.2023.GOV.UPEGARANHUNS.PE</t>
  </si>
  <si>
    <t>Formação de Registro de Preços para eventual contratação de empresa especializada em manutenção e recarga dos extintores da UPE Campi Garanhuns, Arcoverde, Serra Talhada e Salgueiro.</t>
  </si>
  <si>
    <t>A.003-ARP.0094.00.2023.GOV.HUOC.PE</t>
  </si>
  <si>
    <t>Registro de Preços para eventual fornecimento de MEDICAMENTOS denominados ENOXAPARINAS SÓDICAS DE 20, 40, 60, 80 e 100MG (SEI Nº 0040609437.000453/2022-87)</t>
  </si>
  <si>
    <t>A.003-ARP.0086.00.2023.GOV.PROCAPE.PE</t>
  </si>
  <si>
    <t>A.003-ARP.0064.07.2023.GOV.HUOC.PE</t>
  </si>
  <si>
    <t>A.003-ARP.0001.00.2024.EXT.BA</t>
  </si>
  <si>
    <t>Prestação de serviço de locação mensal de microcomputadores dos tipos Básico e Intermediário, com suporte técnico on-site.</t>
  </si>
  <si>
    <t>A.002-ARP.0111.00.2023.GOV.HUOC.PE</t>
  </si>
  <si>
    <t>Registro de Preços para eventual fornecimento de SOROS GRANDES VOLUMES (SEI Nº 0040609437.000065/2023-87)</t>
  </si>
  <si>
    <t>A.002-ARP.0029.03.2023.GOV.HGV.PE</t>
  </si>
  <si>
    <t>FORMAÇÃO DE REGISTRO DE PREÇOS PARA EVENTUAL FORNECIMENTO DE MEDICAMENTOS - ANTIBIOTICOS</t>
  </si>
  <si>
    <t>A.002-ARP.0012.04.2023.GOV.SASSEPE.PE</t>
  </si>
  <si>
    <t>A.002-ARP.0011.00.2023.GOV.HGV.PE</t>
  </si>
  <si>
    <t>Registro de Preços para aquisição de Reagentes para realização de 4.200(quatro mil e duzentos) testes mensais Imunohormônios, com cessão gratuita de 01(um) equipamento automatizado, com manutenção preventiva e corretiva.</t>
  </si>
  <si>
    <t>A.002-ARP.0001.00.2024.EXT.BA</t>
  </si>
  <si>
    <t>A.001-ARP.0014.08.2023.GOV.HGV.PE</t>
  </si>
  <si>
    <t>FORMAÇÃO DE REGISTRO DE PREÇOS PARA EVENTUAL FORNECIMENTO DE MEDICAMENTOS - PSICOTRÓPICOS</t>
  </si>
  <si>
    <t>A.001-ARP.0001.00.2024.EXT.BA</t>
  </si>
  <si>
    <t>C.011-ARP.0003.01.2025.GOV.FES-PE.PE</t>
  </si>
  <si>
    <t>Consumo</t>
  </si>
  <si>
    <t>Formação de Registro de Preços para o fornecimento eventual de Dispositivos Médicos do tipo Curativos com a finalidade de atender às necessidades dos hospitais e estabelecimentos vinculados à SES/PE</t>
  </si>
  <si>
    <t>C.002-ARP.0099.00.2025.GOV.FES-PE.PE</t>
  </si>
  <si>
    <t>Formação de Registro de Preços para o fornecimento de Dispositivos Médicos do tipo Disco para Antibiograma visando atender as necessidades dos hospitais e estabelecimentos vinculados à Secretaria Estadual de Saúde de Pernambuco</t>
  </si>
  <si>
    <t>2300001209.000078/2025-95</t>
  </si>
  <si>
    <t>C.015-ARPC.0039.00.2025.GOV.SAD.PE</t>
  </si>
  <si>
    <t>Registro de Preços para o fornecimento eventual de material de higiene pessoal, visando atender as necessidades dos órgãos da Administração Direta, dos Fundos Especiais Autarquias e Fundações Públicas integrantes do Poder Executivo do Estado de Pernambuco</t>
  </si>
  <si>
    <t>2300002544.000078/2025-47</t>
  </si>
  <si>
    <t>C.001-ARP.0101.00.2025.GOV.FES-PE.PE</t>
  </si>
  <si>
    <t>Registro de Preços para o fornecimento eventual de Dispositivos Médicos do tipo Insumos para Ostomizados, visando atender as necessidades dos seguintes hospitais: Hospital Correia Picanço, Hospital Agamenon Magalhães, Hospital Regional do Agreste, Hospital Barão de Lucena, Hospital Otávio de Freitas, conforme as condições, especificações, quantidades e exigências contidas neste Termo de Referência.</t>
  </si>
  <si>
    <t>2300001213.000422/2025-87</t>
  </si>
  <si>
    <t>C.004-ARP.0088.05.2025.GOV.FES-PE.PE</t>
  </si>
  <si>
    <t>Formação de ARP para forn de Medicamentos (Sazonalidade) Grupo 3, por meio de Dispensa de Licitação com fund no art 75, inc VIII da Lei nº 14.133/21 para atender as nec da Rede Hospitalar da SES/PE</t>
  </si>
  <si>
    <t>C.007-ARP.0049.03.2025.GOV.FES-PE.PE</t>
  </si>
  <si>
    <t>Formação de Registro de Preços para o fornecimento eventual de Medicamentos Comprimidos Grupo 4 visando atender as necessidades dos hospitais e estabelecimentos vinculados à Secretaria Estadual de Saúde de Pernambuco</t>
  </si>
  <si>
    <t>2300001213.000413/2025-96</t>
  </si>
  <si>
    <t>C.008-ARP.0049.01.2025.GOV.FES-PE.PE</t>
  </si>
  <si>
    <t>2300001213.000393/2025-53</t>
  </si>
  <si>
    <t>C.011-ARP.0049.04.2025.GOV.FES-PE.PE</t>
  </si>
  <si>
    <t>C.011-ARP.0008.01.2025.GOV.HAM.PE</t>
  </si>
  <si>
    <t>Formação de Registro de Preços para o fornecimento eventual de solução parenteral por um período de 12 meses, visando atender as necessidades do Hospital Agamenon Magalhães</t>
  </si>
  <si>
    <t>C.014-ARP.0067.01.2025.GOV.FES-PE.PE</t>
  </si>
  <si>
    <t>FORMAÇÃO DE REGISTRO DE PREÇOS PARA O FORNECIMENTO DE DISPOSITIVOS MÉDICOS, DO TIPO MATERIAIS MÉDICO HOSPITALARES (GRUPO 8), VISANDO ATENDER AS NECESSIDADES DOS HOSPITAIS E ESTABELECIMENTOS VINCULADOS À SECRETARIA ESTADUAL DE SAÚDE DE PERNAMBUCO</t>
  </si>
  <si>
    <t>C.006-ARP.0077.01.2025.GOV.FES-PE.PE</t>
  </si>
  <si>
    <t>Registro de Preços para Fornecimento Eventual de Dispositivos Médicos do tipo: Antissépticos, Desinfetantes e Saneantes – Grupo 2</t>
  </si>
  <si>
    <t>C.011-ARP.0044.04.2025.GOV.FES-PE.PE</t>
  </si>
  <si>
    <t>2300001213.000390/2025-10</t>
  </si>
  <si>
    <t>C.009-ARP.0044.02.2025.GOV.FES-PE.PE</t>
  </si>
  <si>
    <t>2300001213.000389/2025-95</t>
  </si>
  <si>
    <t>C.002-ARP.0022.02.2024.GOV.HOF.PE</t>
  </si>
  <si>
    <t>FORMAÇÃO DE REGISTRO DE PREÇOS PARA O FORNECIMENTO EVENTUAL DE INSUMOS PARA O SERVIÇO DE CIRURGIA TORÁCICA VISANDO ATENDER AS NECESSIDADES DO HOSPITAL OTÁVIO DE FREITAS E HOSPITAL REGIONAL DO AGRESTE.</t>
  </si>
  <si>
    <t>C.004-ARP.0001.00.2024.FES-PE.PE</t>
  </si>
  <si>
    <t>Formação de Registro de Preços para o fornecimento eventual de Água Mineral sem gás, visando atender as necessidades da Secretaria Estadual de Saúde de Pernambuco e dos hospitais da Região Metropolitana do Recife (RMR) e das cidades de Caruaru, Garanhuns e Serra Talhada.</t>
  </si>
  <si>
    <t>C.003-ARP.0001.00.2024.GOV.FES-PE.PE</t>
  </si>
  <si>
    <t>C.007-ARP.0021.01.2024.GOV.HOF.PE</t>
  </si>
  <si>
    <t>2300002544.000076/2025-58</t>
  </si>
  <si>
    <t>C.020-ARP.0070.01.2025.GOV.FES-PE.PE</t>
  </si>
  <si>
    <t>Formação de Registro de Preços para o fornecimento eventual de medicamentos (INJETÁVEIS GRUPO 10) visando atender as necessidades dos hospitais e estabelecimentos vinculados à Secretaria Estadual de Saúde de Pernambuco</t>
  </si>
  <si>
    <t>Encaminhada para o gestor de ata</t>
  </si>
  <si>
    <t>2300001213.000372/2025-38</t>
  </si>
  <si>
    <t>C.007-ARP.0059.02.2025.GOV.FES-PE.PE</t>
  </si>
  <si>
    <t>C.023-ARP.0070.03.2025.GOV.FES-PE.PE</t>
  </si>
  <si>
    <t>C.004-ARP.0079.01.2025.GOV.FES-PE.PE</t>
  </si>
  <si>
    <t>Registro de Preços para a eventual aquisição de Material Médico Hospitalar - MMH (grupo 01)</t>
  </si>
  <si>
    <t>C.004-ARP.0079.00.2025.GOV.FES-PE.PE</t>
  </si>
  <si>
    <t>2300001213.000356/2025-45</t>
  </si>
  <si>
    <t>C.015-ARP.0070.02.2025.GOV.FES-PE.PE</t>
  </si>
  <si>
    <t>2300001213.000353/2025-10</t>
  </si>
  <si>
    <t>C.028-ARP.0015.06.2025.GOV.FES-PE.PE</t>
  </si>
  <si>
    <t>Formação de Registro de Preços para o fornecimento eventual de medicamentos visando atender as necessidades dos hospitais e estabelecimentos vinculados à Secretaria Estadual de Saúde de Pernambuco, conforme as condições, especificações, quantidades e exigências contidas no Termo de Referência.</t>
  </si>
  <si>
    <t>2300002944.000006/2025-97</t>
  </si>
  <si>
    <t>C.007-ARP.0015.02.2025.GOV.FES-PE.PE</t>
  </si>
  <si>
    <t>C.012-ARP.0070.02.2025.GOV.FES-PE.PE</t>
  </si>
  <si>
    <t>C.005-ARP.0011.00.2025.GOV.FES-PE.PE</t>
  </si>
  <si>
    <t>C.004-ARP.0012.07.2025.GOV.HAM.PE</t>
  </si>
  <si>
    <t>C.004-ARP.0068.04.2025.GOV.FES-PE.PE</t>
  </si>
  <si>
    <t>2300002944.000005/2025-42</t>
  </si>
  <si>
    <t>C.003-ARP.0012.07.2025.GOV.HAM.PE</t>
  </si>
  <si>
    <t>C.010-ARP.0008.01.2025.GOV.HAM.PE</t>
  </si>
  <si>
    <t>C.014-ARP.0044.06.2025.GOV.FES-PE.PE</t>
  </si>
  <si>
    <t>C.008-ARP.0015.05.2025.GOV.FES-PE.PE</t>
  </si>
  <si>
    <t>C.007-ARP.0015.05.2025.GOV.FES-PE.PE</t>
  </si>
  <si>
    <t>C.007-ARP.0079.14.2025.GOV.FES-PE.PE</t>
  </si>
  <si>
    <t>2300001213.000318/2025-92</t>
  </si>
  <si>
    <t>C.006-ARP.0068.00.2025.GOV.FES-PE.PE</t>
  </si>
  <si>
    <t>C.003-ARP.0068.04.2025.GOV.FES-PE.PE</t>
  </si>
  <si>
    <t>2300001213.000325/2025-94</t>
  </si>
  <si>
    <t>C.008-ARP.0068.01.2025.GOV.FES-PE.PE</t>
  </si>
  <si>
    <t>C.007-ARP.0068.01.2025.GOV.FES-PE.PE</t>
  </si>
  <si>
    <t>2300001213.000324/2025-40</t>
  </si>
  <si>
    <t>C.005-ARP.0068.00.2025.GOV.FES-PE.PE</t>
  </si>
  <si>
    <t>2300001213.000323/2025-03</t>
  </si>
  <si>
    <t>C.002-ARP.0011.03.2025.GOV.HGV.PE</t>
  </si>
  <si>
    <t>2300001213.000317/2025-48</t>
  </si>
  <si>
    <t>C.003-ARP.0079.04.2025.GOV.FES-PE.PE</t>
  </si>
  <si>
    <t>2300001213.000312/2025-15</t>
  </si>
  <si>
    <t>C.002-ARP.0096.02.2024.GOV.FES-PE.PE</t>
  </si>
  <si>
    <t>Formação de Registro de Preços para o fornecimento eventual de Medicamentos Comprimidos (Grupo 02), visando atender as necessidades dos hospitais e estabelecimentos da rede estadual de saúde de Pernambuco, conforme condições, especificações, quantidades e exigências contidas no Termo de Referência.</t>
  </si>
  <si>
    <t>C.012-ARP.0044.06.2025.GOV.FES-PE.PE</t>
  </si>
  <si>
    <t>C.011-ARP.0044.06.2025.GOV.FES-PE.PE</t>
  </si>
  <si>
    <t>C.010-ARP.0044.06.2025.GOV.FES-PE.PE</t>
  </si>
  <si>
    <t>C.014-ARP.0016.03.2025.GOV.FES-PE.PE</t>
  </si>
  <si>
    <t>Registro de Preços para o fornecimento eventual de medicamentos do tipo COMPRIMIDOS (Grupo 05</t>
  </si>
  <si>
    <t>C.145-ARPC.0019.00.2024.GOV.SAD.PE</t>
  </si>
  <si>
    <t>Formação de Registro de Preços Corporativo para o eventual fornecimento de aparelhos condicionadores de ar, visando atender as necessidades dos órgãos da Administração Direta, Autarquias e Fundações Públicas Integrantes do Poder Executivo do estado de Pernambuco</t>
  </si>
  <si>
    <t>C.017-ARP.0009.00.2025.GOV.FES-PE.PE</t>
  </si>
  <si>
    <t xml:space="preserve"> 2300002544.000067/2025-67</t>
  </si>
  <si>
    <t>C.003-ARP.0011.02.2025.GOV.HGV.PE</t>
  </si>
  <si>
    <t>C.002-ARP.0077.00.2025.GOV.FES-PE.PE</t>
  </si>
  <si>
    <t>C.014-ARP.0002.00.2025.GOV.SES.PE</t>
  </si>
  <si>
    <t>Formação de Registro de Preço para o fornecimento eventual de medicamentos análogos a Insulina Regular e NPH por meio de Dispensa de licitação com fundamento no art. 75, inc. VIII da Lei nº 14.133/21.</t>
  </si>
  <si>
    <t>C.012-ARP.0053.02.2025.GOV.FES-PE.PE</t>
  </si>
  <si>
    <t>Formação de Ata de Registro de Preços para o fornecimento eventual de Dispositivos Médicos do Tipo: Diversos visando atender as necessidades dos hospitais e estabelecimentos da rede estadual de saúde de Pernambuco</t>
  </si>
  <si>
    <t>C.009-ARP.0008.01.2025.GOV.HAM.PE</t>
  </si>
  <si>
    <t>C.016-ARP.0070.03.2025.GOV.FES-PE.PE</t>
  </si>
  <si>
    <t>C.010-ARP.0010.00.2025.GOV.CISAM.PE</t>
  </si>
  <si>
    <t>C.009-ARP.0003.01.2025.GOV.FES-PE.PE</t>
  </si>
  <si>
    <t>C.011-ARP.0065.02.2024.GOV.CISAM.PE</t>
  </si>
  <si>
    <t>C.015-ARP.0015.00.2025.GOV.FES-PE.PE</t>
  </si>
  <si>
    <t>C.002-ARP.0011.01.2025.GOV.HGV.PE</t>
  </si>
  <si>
    <t>2300001213.000258/2025-16</t>
  </si>
  <si>
    <t>C.005-ARP.0087.02.2024.GOV.CISAM.PE</t>
  </si>
  <si>
    <t>REGISTRO DE PREÇOS PARA FORNECIMENTO EVENTUAL DE MATERIAIS MÉDICO-HOSPITALARES (DIVERSOS), VISANDO ATENDER AS NECESSIDADES DO CISAM/UPE E DEMAIS ÓRGÃO PARTICIPANTES.</t>
  </si>
  <si>
    <t>2300001213.000254/2025-20</t>
  </si>
  <si>
    <t>C.011-ARP.0063.05.2024.GOV.CISAM.PE</t>
  </si>
  <si>
    <t>REGISTRO DE PREÇO PARA FORNECIMENTO EVENTUAL DE COMPONENTE/ACESSÓRIOS (VACUOMETRO, BRAÇADEIRAS PARA EQUIPAMENTOS, CABOS E CABOS EXTENSORES, SENSORES DE SPO2, ELETRODO, PERA, PAPEL PARA CARDIOTOCO, ESTETOSCÓPIO NEONATAL E ETC) PARA EQUIPAMENTOS MÉDICO-HOSPITALARES</t>
  </si>
  <si>
    <t>C.007-ARP.0010.02.2025.GOV.FES-PE.PE</t>
  </si>
  <si>
    <t>C.002-ARP.0006.03.2025.GOV.CISAM.PE</t>
  </si>
  <si>
    <t>REGISTRO DE PREÇOS PARA O FORNECIMENTO EVENTUAL DE MATERIAIS MÉDICO-HOSPITALARES (SERINGA DESCARTÁVEL), VISANDO ATENDER AS NECESSIDADES DO CISAM/UPE E DEMAIS ÓRGÃOS PARTICIPANTES</t>
  </si>
  <si>
    <t>2300001213.000255/2025-74</t>
  </si>
  <si>
    <t>C.001-ARP.0006.03.2025.GOV.CISAM.PE</t>
  </si>
  <si>
    <t>C.015-ARP.0009.00.2025.GOV.FES-PE.PE</t>
  </si>
  <si>
    <t>C.007-ARP.0008.01.2025.GOV.HAM.PE</t>
  </si>
  <si>
    <t>C.028-ARP.0064.02.2024.GOV.FES-PE.PE</t>
  </si>
  <si>
    <t>PREGÃO ELETRÔNICO PARA FORMAÇÃO DE REGISTRO DE PREÇOS PARA A EVENTUAL FORNECIMENTO DE MEDICAMENTOS INJETÁVEIS (GRUPO 04) VISANDO ATENDER A DEMANDA DOS HOSPITAIS E ESTABELECIMENTOS DA REDE ESTADUAL DE SAÚDE DE PERNAMBUCO.</t>
  </si>
  <si>
    <t>C.004-ARP.0073.01.2025.GOV.FES-PE.PE</t>
  </si>
  <si>
    <t>C.004-ARP.0073.00.2025.GOV.FES-PE.PE</t>
  </si>
  <si>
    <t>C.001-ARP.0074.00.2025.GOV.FES-PE.PE</t>
  </si>
  <si>
    <t>Formação de Ata de Registro de Preços para o fornecimento eventual de dispositivos médicos do tipo material médico hospitalar diversos (grupo 14), conforme especificações e quantitativos previstos no Termo de Referência</t>
  </si>
  <si>
    <t>C.003-ARP.0084.02.2024.GOV.FES-PE.PE</t>
  </si>
  <si>
    <t>C.002-ARP.0084.02.2024.GOV.FES-PE.PE</t>
  </si>
  <si>
    <t>C.005-ARP.0045.00.2025.GOV.FES-PE.PE</t>
  </si>
  <si>
    <t>Registro de Preços para o fornecimento eventual de Medicamentos Comprimidos (Grupo 03), visando atender as necessidades dos hospitais e estabelecimentos vinculados à Secretaria Estadual de Saúde de Pernambuco.</t>
  </si>
  <si>
    <t>C.012-ARP.0070.03.2025.GOV.FES-PE.PE</t>
  </si>
  <si>
    <t>C.015-ARP.0088.02.2024.GOV.CISAM.PE</t>
  </si>
  <si>
    <t>2300001213.000194/2025-45</t>
  </si>
  <si>
    <t>C.009-ARP.0010.00.2025.GOV.CISAM.PE</t>
  </si>
  <si>
    <t>C.022-ARP.0015.06.2025.GOV.FES-PE.PE</t>
  </si>
  <si>
    <t>C.002-ARP.0012.07.2025.GOV.HAM.PE</t>
  </si>
  <si>
    <t>C.011-ARP.0067.03.2025.GOV.FES-PE.PE</t>
  </si>
  <si>
    <t>C.007-ARP.0052.11.2024.GOV.CISAM.PE</t>
  </si>
  <si>
    <t>REGISTRO DE PREÇOS PARA O EVENTUAL FORNECIMENTO DE MEDICAMENTOS PARA O CISAM/UPE E DEMAIS ÓRGÃOS PARTICIPANTES</t>
  </si>
  <si>
    <t>C.052-ARPC.0018.00.2024.GOV.SAD.PE</t>
  </si>
  <si>
    <t>Registro de Preços Corporativo para o fornecimento eventual de material médico-hospitalar – luvas descartáveis visando atender as necessidades dos órgãos da Administração Direta, Autarquias e Fundações Públicas integrantes do Poder Executivo do Estado de Pernambuco</t>
  </si>
  <si>
    <t>C.006-ARP.0049.02.2025.GOV.FES-PE.PE</t>
  </si>
  <si>
    <t>C.005-ARP.0036.07.2025.GOV.FES-PE.PE</t>
  </si>
  <si>
    <t>Formação de Registro de Preços para o fornecimento eventual de Medicamentos Injetáveis – Grupo 01 com a finalidade de atender às necessidades dos hospitais e estabelecimentos vinculados à Secretaria E</t>
  </si>
  <si>
    <t>C.009-ARP.0067.06.2025.GOV.FES-PE.PE</t>
  </si>
  <si>
    <t>C.008-ARP.0067.06.2025.GOV.FES-PE.PE</t>
  </si>
  <si>
    <t>C.008-ARP.0067.01.2025.GOV.FES-PE.PE</t>
  </si>
  <si>
    <t>C.011-ARP.0010.05.2025.GOV.FES-PE.PE</t>
  </si>
  <si>
    <t>C.003-ARP.0006.00.2025.GOV.CISAM.PE</t>
  </si>
  <si>
    <t>2300001213.000162/2025-40</t>
  </si>
  <si>
    <t>C.005-ARP.0006.01.2025.GOV.CISAM.PE</t>
  </si>
  <si>
    <t>2300001213.000163/2025-94</t>
  </si>
  <si>
    <t>C.006-ARP.0021.01.2024.GOV.HOF.PE</t>
  </si>
  <si>
    <t>2300001213.000156/2025-92</t>
  </si>
  <si>
    <t>C.005-ARP.0021.01.2024.GOV.HOF.PE</t>
  </si>
  <si>
    <t>C.006-ARP.0083.06.2024.GOV.FES-PE.PE</t>
  </si>
  <si>
    <t>Registro de Preços para o fornecimento eventual de Medicamentos Diversos (Grupo 03), visando atender as necessidades dos hospitais e estabelecimentos da rede estadual de saúde de Pernambuco</t>
  </si>
  <si>
    <t>C.003-ARP.0021.06.2024.GOV.HOF.PE</t>
  </si>
  <si>
    <t>C.004-ARP.0021.11.2024.GOV.HOF.PE</t>
  </si>
  <si>
    <t>C.003-ARP.0021.11.2024.GOV.HOF.PE</t>
  </si>
  <si>
    <t>C.002-ARP.0021.11.2024.GOV.HOF.PE</t>
  </si>
  <si>
    <t>C.008-ARP.0067.03.2025.GOV.FES-PE.PE</t>
  </si>
  <si>
    <t>C.008-ARP.0019.02.2025.GOV.FES-PE.PE</t>
  </si>
  <si>
    <t>Formação de Registro de Preços para o fornecimento eventual de Dispositivos Médicos do tipo Seringas e Agulhas por meio de Dispensa de licitação com fundamento no art. 75, inc. VIII da Lei nº14.133/21</t>
  </si>
  <si>
    <t>C.014-ARP.0009.01.2025.GOV.FES-PE.PE</t>
  </si>
  <si>
    <t>C.011-ARP.0053.02.2025.GOV.FES-PE.PE</t>
  </si>
  <si>
    <t>C.013-ARP.0092.04.2024.GOV.FES-PE.PE</t>
  </si>
  <si>
    <t>Registro de Preços para a eventual aquisição de Medicamentos diversos (grupo 02) visando atender a demanda dos hospitais e estabelecimentos da rede estadual de saúde de Pernambuco</t>
  </si>
  <si>
    <t>C.012-ARP.0092.04.2024.GOV.FES-PE.PE</t>
  </si>
  <si>
    <t>C.011-ARP.0092.04.2024.GOV.FES-PE.PE</t>
  </si>
  <si>
    <t>C.009-ARP.0083.05.2024.GOV.FES-PE.PE</t>
  </si>
  <si>
    <t>C.008-ARP.0083.05.2024.GOV.FES-PE.PE</t>
  </si>
  <si>
    <t>C.007-ARP.0083.05.2024.GOV.FES-PE.PE</t>
  </si>
  <si>
    <t>C.006-ARP.0083.05.2024.GOV.FES-PE.PE</t>
  </si>
  <si>
    <t>C.015-ARP.0075.01.2024.GOV.FES-PE.PE</t>
  </si>
  <si>
    <t>Formação de Registro de Preços para o fornecimento eventual de Medicamentos Diversos (Grupo 05), visando atender as necessidades dos hospitais e estabelecimentos da rede estadual de saúde de Pernambuco.</t>
  </si>
  <si>
    <t>C.027-ARP.0063.00.2024.GOV.FES-PE.PE</t>
  </si>
  <si>
    <t>Formação de Registro de Preços, por um período de 12 (doze) meses, para eventual aquisição de MATERIAL MÉDICO HOSPITALAR (Grupo 04) visando atender a demanda dos hospitais e estabelecimentos da rede estadual de saúde de Pernambuco.</t>
  </si>
  <si>
    <t>C.010-ARP.0010.05.2025.GOV.FES-PE.PE</t>
  </si>
  <si>
    <t>C.007-ARP.0019.02.2025.GOV.FES-PE.PE</t>
  </si>
  <si>
    <t>C.016-ARP.0094.03.2024.GOV.FES-PE.PE</t>
  </si>
  <si>
    <t>Registro de Preços para o fornecimento eventual de Medicamentos Comprimidos (Grupo 01), visando atender as necessidades dos hospitais e estabelecimentos vinculados à Secretaria Estadual de Saúde de Pernambuco</t>
  </si>
  <si>
    <t>C.018-ARP.0061.02.2024.GOV.FES-PE.PE</t>
  </si>
  <si>
    <t>Registro de Preços para o fornecimento eventual de Medicamentos Controlados (grupo 02), conforme especificações e quantitativos previstos no Anexo I do Edital, para atender a demanda dos hospitais e estabelecimentos da rede estadual de saúde de Pernambuco indicados no mencionado Anexo.</t>
  </si>
  <si>
    <t>C.004-ARP.0021.00.2024.GOV.HOF.PE</t>
  </si>
  <si>
    <t>C.008-ARP.0010.04.2025.GOV.FES-PE.PE</t>
  </si>
  <si>
    <t>C.006-ARP.0010.02.2025.GOV.FES-PE.PE</t>
  </si>
  <si>
    <t>C.009-ARP.0010.05.2025.GOV.FES-PE.PE</t>
  </si>
  <si>
    <t>C.013-ARP.0063.10.2024.GOV.FES-PE.PE</t>
  </si>
  <si>
    <t>C.006-ARP.0067.03.2025.GOV.FES-PE.PE</t>
  </si>
  <si>
    <t>C.001-ARP.0084.02.2024.GOV.FES-PE.PE</t>
  </si>
  <si>
    <t>C.005-ARP.0067.03.2025.GOV.FES-PE.PE</t>
  </si>
  <si>
    <t>C.002-ARP.0017.03.2024.GOV.HOF.PE</t>
  </si>
  <si>
    <t>Registro de Preços para Aquisição de Medicamentos Clínicos Respiratórios para o abastecimento de 12 (doze) meses para atender as necessidades do HOF.</t>
  </si>
  <si>
    <t>C.017-ARP.0061.00.2024.GOV.FES-PE.PE</t>
  </si>
  <si>
    <t>C.016-ARP.0061.00.2024.GOV.FES-PE.PE</t>
  </si>
  <si>
    <t>C.003-ARP.0047.00.2025.GOV.FES-PE.PE</t>
  </si>
  <si>
    <t>Registro de Preços para o fornecimento eventual de Dispositivos médicos do Tipo: Reagente para testes Hematológicos, com cessão gratuita de 02 (dois) equipamentos automatizados, sendo 1 (um) principal e outro suporte, com manutenção preventiva e corretiva (para cada lote) visando atender as necessidades dos hospitais e estabelecimentos vinculados à Secretaria Estadual de Saúde de Pernambuco, conforme especificações e quantitativos previstos no Termo de Referência</t>
  </si>
  <si>
    <t>2300001209.000033/2025-11</t>
  </si>
  <si>
    <t>C.031-ARP.0052.03.2024.GOV.FES-PE.PE</t>
  </si>
  <si>
    <t>Formação de registro de preços para o eventual fornecimento de medicamentos injetáveis (grupo 06), visando atender a demanda dos Hospitais e Estabelecimentos da Rede Estadual de Saúde de Pernambuco</t>
  </si>
  <si>
    <t>C.004-ARP.0021.01.2024.GOV.HOF.PE</t>
  </si>
  <si>
    <t>C.019-ARP.0058.00.2024.GOV.FES-PE.PE</t>
  </si>
  <si>
    <t>Formação de Registro de Preços, por um período de 12 (doze) meses, para eventual aquisição de MATERIAL MÉDICO HOSPITALAR (Grupo 06) visando atender a demanda dos hospitais e estabelecimentos da rede estadual de saúde de Pernambuco.</t>
  </si>
  <si>
    <t>C.015-ARP.0068.09.2024.GOV.FES-PE.PE</t>
  </si>
  <si>
    <t>C.008-ARP.0097.04.2024.GOV.FES-PE.PE</t>
  </si>
  <si>
    <t>Formação de Ata de Registro de Preços para o fornecimento eventual de medicamentos COMPRIMIDOS (Grupo 06), visando atender as necessidades dos Hospitais e estabelecimentos da rede estadual de saúde de Pernambuco.</t>
  </si>
  <si>
    <t>C.009-ARP.0052.12.2024.GOV.CISAM.PE</t>
  </si>
  <si>
    <t>2300001213.000120/2025-17</t>
  </si>
  <si>
    <t>C.003-ARP.0054.04.2025.GOV.FES-PE.PE</t>
  </si>
  <si>
    <t>Formação de Registro de Preços para Eventual Fornecimento de Dispositivos Médicos do tipo: Antissépticos, Desinfetantes e Saneantes e Cal sodada</t>
  </si>
  <si>
    <t>C.001-ARP.0002.00.2025.GOV.SES.PE</t>
  </si>
  <si>
    <t>C.005-ARP.0052.11.2024.GOV.CISAM.PE</t>
  </si>
  <si>
    <t>C.004-ARP.0052.11.2024.GOV.CISAM.PE</t>
  </si>
  <si>
    <t>C.003-ARP.0050.00.2025.GOV.FES-PE.PE</t>
  </si>
  <si>
    <t>FORMAÇÃO DE REGISTRO DE PREÇOS PARA O FORNECIMENTO EVENTUAL DE MACAS HOSPITALARES PARA TRANSPORTES DE PACIENTES, VISANDO ATENDER AS NECESSIDADES DOS HOSPITAIS E ESTABELECIMENTOS VINCULADOS À SECRETARIA ESTADUAL DE SAÚDE</t>
  </si>
  <si>
    <t>C.023-ARP.0063.00.2024.GOV.FES-PE.PE</t>
  </si>
  <si>
    <t>C.002-ARP.0021.12.2024.GOV.HOF.PE</t>
  </si>
  <si>
    <t>2300001213.000080/2025-03</t>
  </si>
  <si>
    <t>C.003-ARPC.0006.00.2025.GOV.SAD.PE</t>
  </si>
  <si>
    <t>Formação de Ata de Registro de Preços Corporativa para a eventual prestação de serviços de locação de viaturas, do tipo motocicleta, caracterizada e descaracterizada, classificação VS-2, conforme especificações e quantitativos previstos no Termo de Referência</t>
  </si>
  <si>
    <t>C.003-ARP.0053.05.2025.GOV.FES-PE.PE</t>
  </si>
  <si>
    <t>C.014-ARP.0049.00.2024.GOV.FES-PE.PE</t>
  </si>
  <si>
    <t>Formação de Registro de Preços para o fornecimento eventual de Medicamentos Injetáveis (grupo 07), conforme especificações e quantitativos previstos no Anexo I do Edital, para atender a demanda dos hospitais e estabelecimentos da rede estadual de saúde de Pernambuco indicados no mencionado Anexo.</t>
  </si>
  <si>
    <t>C.003-ARP.0003.00.2025.GOV.DASIS.PE</t>
  </si>
  <si>
    <t>Registro de Preços para contratação eventual de prestação de serviços de esterilização, reesterilização e /ou processamento de artigos médicos hospitalares, visando atender as necessidades do Centro Médico Hospitalar da PMPE/CBMPE e do Hospital Regional do Agreste Doutor Waldemiro Ferreira</t>
  </si>
  <si>
    <t>C.016-ARP.0046.01.2024.GOV.FES-PE.PE</t>
  </si>
  <si>
    <t>Registro de Preços para a eventual aquisição de Medicamentos Injetáveis (grupo 05) visando atender a demanda dos hospitais e estabelecimentos da rede estadual de saúde de Pernambuco</t>
  </si>
  <si>
    <t>C.022-ARP.0046.02.2024.GOV.FES-PE.PE</t>
  </si>
  <si>
    <t>C.003-ARP.0044.04.2025.GOV.FES-PE.PE</t>
  </si>
  <si>
    <t>C.001-ARP.0059.02.2025.GOV.FES-PE.PE</t>
  </si>
  <si>
    <t>2300001213.000122/2025-06</t>
  </si>
  <si>
    <t>C.001-ARP.0003.00.2025.GOV.DASIS.PE</t>
  </si>
  <si>
    <t>C.001-ARP.0059.00.2025.GOV.FES-PE.PE</t>
  </si>
  <si>
    <t>2300001213.000075/2025-92</t>
  </si>
  <si>
    <t>C.003-ARP.0021.03.2024.GOV.HOF.PE</t>
  </si>
  <si>
    <t>C.007-ARP.0010.05.2025.GOV.FES-PE.PE</t>
  </si>
  <si>
    <t>C.006-ARP.0010.01.2025.GOV.FES-PE.PE</t>
  </si>
  <si>
    <t>C.003-ARP.0021.00.2024.GOV.HOF.PE</t>
  </si>
  <si>
    <t>2300001213.000073/2025-01</t>
  </si>
  <si>
    <t>C.004-ARP.0017.02.2025.GOV.FES-PE.PE</t>
  </si>
  <si>
    <t>Formação de Registro de Preços para o fornecimento eventual de Medicamentos do tipo Diversos – Grupo 01, a fim de atender as necessidades dos hospitais e estabelecimentos vinculados à SES/PE</t>
  </si>
  <si>
    <t>C.001-ARP.0052.07.2025.GOV.FES-PE.PE</t>
  </si>
  <si>
    <t>Fornecimento eventual de Medicamentos Injetáveis – Grupo 02 com a finalidade de atender às necessidades dos hospitais e estabelecimentos vinculados à Secretaria Estadual de Saúde de Pernambuco</t>
  </si>
  <si>
    <t>C.001-ARP.0052.06.2025.GOV.FES-PE.PE</t>
  </si>
  <si>
    <t>C.001-ARP.0052.05.2025.GOV.FES-PE.PE</t>
  </si>
  <si>
    <t>C.002-ARP.0052.04.2025.GOV.FES-PE.PE</t>
  </si>
  <si>
    <t>C.001-ARP.0052.03.2025.GOV.FES-PE.PE</t>
  </si>
  <si>
    <t>C.001-ARP.0052.02.2025.GOV.FES-PE.PE</t>
  </si>
  <si>
    <t>C.001-ARP.0052.01.2025.GOV.FES-PE.PE</t>
  </si>
  <si>
    <t>C.001-ARP.0052.00.2025.GOV.FES-PE.PE</t>
  </si>
  <si>
    <t>C.002-ARP.0043.04.2025.GOV.FES-PE.PE</t>
  </si>
  <si>
    <t>Formação de Registro de Preços para o fornecimento eventual de Medicamentos do tipo Diversos – Grupo 02 para atender às necessidades dos hospitais e estabelecimentos vinculados à SES/PE</t>
  </si>
  <si>
    <t>C.003-ARP.0043.03.2025.GOV.FES-PE.PE</t>
  </si>
  <si>
    <t>C.006-ARP.0043.02.2025.GOV.FES-PE.PE</t>
  </si>
  <si>
    <t>C.003-ARP.0043.01.2025.GOV.FES-PE.PE</t>
  </si>
  <si>
    <t>C.003-ARP.0043.00.2025.GOV.FES-PE.PE</t>
  </si>
  <si>
    <t>C.106-ARPC.0019.00.2024.GOV.SAD.PE</t>
  </si>
  <si>
    <t>C.004-ARP.0036.10.2025.GOV.FES-PE.PE</t>
  </si>
  <si>
    <t>C.001-ARP.0036.09.2025.GOV.FES-PE.PE</t>
  </si>
  <si>
    <t>C.001-ARP.0036.08.2025.GOV.FES-PE.PE</t>
  </si>
  <si>
    <t>C.004-ARP.0036.07.2025.GOV.FES-PE.PE</t>
  </si>
  <si>
    <t>C.004-ARP.0036.06.2025.GOV.FES-PE.PE</t>
  </si>
  <si>
    <t>C.002-ARP.0036.05.2025.GOV.FES-PE.PE</t>
  </si>
  <si>
    <t>C.003-ARP.0036.03.2025.GOV.FES-PE.PE</t>
  </si>
  <si>
    <t>C.003-ARP.0036.01.2025.GOV.FES-PE.PE</t>
  </si>
  <si>
    <t>C.004-ARP.0035.05.2025.GOV.FES-PE.PE</t>
  </si>
  <si>
    <t>Formação de Registro de Preços para o fornecimento eventual de Medicamentos em Comprimido – Grupo 03 com a finalidade de atender às necessidades dos hospitais e estabelecimentos vinculados a SES/PE</t>
  </si>
  <si>
    <t>C.003-ARP.0035.04.2025.GOV.FES-PE.PE</t>
  </si>
  <si>
    <t>C.006-ARP.0035.03.2025.GOV.FES-PE.PE</t>
  </si>
  <si>
    <t>C.002-ARP.0035.02.2025.GOV.FES-PE.PE</t>
  </si>
  <si>
    <t>C.008-ARP.0035.01.2025.GOV.FES-PE.PE</t>
  </si>
  <si>
    <t>C.004-ARP.0035.00.2025.GOV.FES-PE.PE</t>
  </si>
  <si>
    <t>C.001-ARP.0031.06.2025.GOV.FES-PE.PE</t>
  </si>
  <si>
    <t>Formação de Registro de Preços para o fornecimento eventual de Dispositivos Médicos do tipo Diversos (grupo 01) para atender às necessidades dos hospitais e estabelecimentos vinculados a SES/PE</t>
  </si>
  <si>
    <t>C.002-ARP.0031.04.2025.GOV.FES-PE.PE</t>
  </si>
  <si>
    <t>C.003-ARP.0031.03.2025.GOV.FES-PE.PE</t>
  </si>
  <si>
    <t>C.003-ARP.0031.02.2025.GOV.FES-PE.PE</t>
  </si>
  <si>
    <t>C.002-ARP.0031.01.2025.GOV.FES-PE.PE</t>
  </si>
  <si>
    <t>C.006-ARP.0031.00.2025.GOV.FES-PE.PE</t>
  </si>
  <si>
    <t>C.004-ARP.0030.05.2025.GOV.FES-PE.PE</t>
  </si>
  <si>
    <t>Formação de Registro de Preços para o fornecimento eventual de Medicamentos Antimicrobianos – Grupo 01 com a finalidade de atender às necessidades dos hospitais e estabelecimentos vinculados à SES/PE</t>
  </si>
  <si>
    <t>2300001207.000127/2025-18</t>
  </si>
  <si>
    <t>C.006-ARP.0030.04.2025.GOV.FES-PE.PE</t>
  </si>
  <si>
    <t>C.009-ARP.0030.01.2025.GOV.FES-PE.PE</t>
  </si>
  <si>
    <t>Enviado a SSUPRI</t>
  </si>
  <si>
    <t>2300001207.000125/2025-11</t>
  </si>
  <si>
    <t>C.013-ARP.0068.09.2024.GOV.FES-PE.PE</t>
  </si>
  <si>
    <t>C.012-ARP.0068.09.2024.GOV.FES-PE.PE</t>
  </si>
  <si>
    <t>C.005-ARP.0030.00.2025.GOV.FES-PE.PE</t>
  </si>
  <si>
    <t>C.003-ARP.0029.05.2025.GOV.FES-PE.PE</t>
  </si>
  <si>
    <t>Formação de Registro de Preços para o fornecimento eventual de Medicamentos em Comprimido – Grupo 04 com a finalidade de atender às necessidades dos hospitais e estabelecimentos vinculados à SES/PE</t>
  </si>
  <si>
    <t>C.002-ARP.0029.05.2025.GOV.FES-PE.PE</t>
  </si>
  <si>
    <t>C.003-ARP.0029.04.2025.GOV.FES-PE.PE</t>
  </si>
  <si>
    <t>C.004-ARP.0029.03.2025.GOV.FES-PE.PE</t>
  </si>
  <si>
    <t>C.003-ARP.0029.02.2025.GOV.FES-PE.PE</t>
  </si>
  <si>
    <t>C.001-ARP.0029.01.2025.GOV.FES-PE.PE</t>
  </si>
  <si>
    <t>C.004-ARP.0054.07.2025.GOV.FES-PE.PE</t>
  </si>
  <si>
    <t>C.013-ARP.0009.00.2025.GOV.FES-PE.PE</t>
  </si>
  <si>
    <t>C.011-ARP.0009.01.2025.GOV.FES-PE.PE</t>
  </si>
  <si>
    <t>C.016-ARP.0009.02.2025.GOV.FES-PE.PE</t>
  </si>
  <si>
    <t>C.021-ARP.0063.00.2024.GOV.FES-PE.PE</t>
  </si>
  <si>
    <t>C.027-ARP.0064.01.2024.GOV.FES-PE.PE</t>
  </si>
  <si>
    <t>C.010-ARP.0012.05.2025.GOV.FES-PE.PE</t>
  </si>
  <si>
    <t>Formação de Registro de Preços para o fornecimento eventual de Medicamentos do tipo Soluções Parenterais de Grande Volume (SPGV),para atendet os hospitais e estabelecimentos vinculados a SES/PE</t>
  </si>
  <si>
    <t>C.016-ARP.0022.01.2025.GOV.FES-PE.PE</t>
  </si>
  <si>
    <t>Formação de Registro de Preços para o fornecimento eventual de Medicamentos Controlados – Grupo 02 com a finalidade de atender às necessidades dos hospitais e estabelecimentos vinculados à SES/PE</t>
  </si>
  <si>
    <t>C.002-ARPC.0006.00.2025.GOV.SAD.PE</t>
  </si>
  <si>
    <t>C.002-ARP.0006.05.2025.GOV.HOF.PE</t>
  </si>
  <si>
    <t>Registro de Preços para fornecimento de Material Médico hospitalar para abastecimento de 12 (doze) meses, cujo objeto: COLETOR DE AMOSTRA BIOLOGICA E DE URINA.</t>
  </si>
  <si>
    <t>C.002-ARP.0006.04.2025.GOV.HOF.PE</t>
  </si>
  <si>
    <t>C.002-ARP.0006.02.2025.GOV.HOF.PE</t>
  </si>
  <si>
    <t>2300001213.000053/2025-22</t>
  </si>
  <si>
    <t>C.001-ARPC.0006.00.2025.GOV.SAD.PE</t>
  </si>
  <si>
    <t>C.001-ARP.0048.03.2025.GOV.FES-PE.PE</t>
  </si>
  <si>
    <t>FORMAÇÃO DE ATA DE REGISTRO DE PREÇOS PARA O FORNECIMENTO EVENTUAL DE DISPOSITIVOS MÉDICOS DO TIPO: INSUMOS PARA O SERVIÇO DE ENDOSCOPIA – GRUPO 3, VISANDO ATENDER AS DEMANDAS DOS HOSPITAIS E ESTABELECIMENTOS VINCULADOS À SECRETARIA ESTADUAL DE SAÚDE DE PERNAMBUCO.</t>
  </si>
  <si>
    <t>2300001207.000068/2025-70</t>
  </si>
  <si>
    <t>C.002-ARP.0048.02.2025.GOV.FES-PE.PE</t>
  </si>
  <si>
    <t>C.001-ARP.0048.02.2025.GOV.FES-PE.PE</t>
  </si>
  <si>
    <t>2300001207.000067/2025-25</t>
  </si>
  <si>
    <t>C.013-ARP.0005.01.2025.GOV.FES-PE.PE</t>
  </si>
  <si>
    <t>Formação de Registro de Preços para o Fornecimento eventual de Dispositivos Médicos do tipo Cateter/Sonda com a finalidade de atender às necessidades dos hospitais e estabelecimentos vinculados à SES</t>
  </si>
  <si>
    <t>2300001207.000022/2025-51</t>
  </si>
  <si>
    <t>C.001-ARP.0048.01.2025.GOV.FES-PE.PE</t>
  </si>
  <si>
    <t>2300001207.000064/2025-91</t>
  </si>
  <si>
    <t>C.001-ARP.0048.00.2025.GOV.FES-PE.PE</t>
  </si>
  <si>
    <t>2300001207.000065/2025-36</t>
  </si>
  <si>
    <t>C.014-ARP.0009.02.2025.GOV.FES-PE.PE</t>
  </si>
  <si>
    <t>C.006-ARP.0010.00.2025.GOV.CISAM.PE</t>
  </si>
  <si>
    <t>C.015-ARPC.0001.00.2025.GOV.SAD.PE</t>
  </si>
  <si>
    <t>Formação de Registro de Preços Corporativo para o fornecimento eventual de Etiqueta Patrimonial, visando atender às necessidades dos órgãos da Administração Direta, Fundos Especiais, Autarquias e Fundações Públicas integrantes do Poder Executivo do Estado de Pernambuco</t>
  </si>
  <si>
    <t>2300002544.000012/2025-57</t>
  </si>
  <si>
    <t>C.002-ARPC.0011.00.2025.GOV.SAD.PE</t>
  </si>
  <si>
    <t>Registro de Preços para o fornecimento eventual de material de expediente sustentável visando atender as necessidades dos órgãos da Administração Direta, dos fundos especiais, Autarquias e Fundações Públicas integrantes do Poder Executivo do Estado de Pernambuco</t>
  </si>
  <si>
    <t>2300002544.000024/2025-81</t>
  </si>
  <si>
    <t>C.018-ARPC.0002.00.2025.GOV.SAD.PE</t>
  </si>
  <si>
    <t>Registro de preços corporativo para a eventual aquisição de Material Médico-Hospitalar – Seringas e Agulhas Hipodérmicas, para atender às demandas dos órgãos da Administração Direta, dos Fundos Especiais, Autarquias e Fundações Públicas integrantes do Poder Executivo do Estado de Pernambuco</t>
  </si>
  <si>
    <t>2300001213.000044/2025-31</t>
  </si>
  <si>
    <t>C.004-ARP.0034.00.2025.GOV.FES-PE.PE</t>
  </si>
  <si>
    <t>Registro de Preços para o fornecimento eventual de dispositivos médicos do tipo: Aparelho descartável de fisioterapia respiratória, Cânulas de Traqueostomia, Guedel e Máscaras para Oxigenoterapia e Nebulização</t>
  </si>
  <si>
    <t>2300001213.000018/2025-11</t>
  </si>
  <si>
    <t>C.002-ARP.0034.01.2025.GOV.FES-PE.PE</t>
  </si>
  <si>
    <t>C.003-ARP.0033.00.2025.GOV.FES-PE.PE</t>
  </si>
  <si>
    <t>Registro de Preços para o fornecimento eventual de MEDICAMENTOS, visando atender as necessidades dos hospitais e estabelecimentos vinculados à Secretaria Estadual de Saúde de Pernambuco</t>
  </si>
  <si>
    <t>C.008-ARP.0020.05.2025.GOV.FES-PE.PE</t>
  </si>
  <si>
    <t>Formação de Registro de Preços para o fornecimento eventual de medicamentos INJETÁVEIS (GRUPO 11) visando atender as necessidades dos hospitais e estabelecimentos vinculados à Secretaria Estadual de Saúde de Pernambuco</t>
  </si>
  <si>
    <t>C.001-ARP.0020.03.2025.GOV.FES-PE.PE</t>
  </si>
  <si>
    <t>C.006-ARP.0003.01.2025.GOV.FES-PE.PE</t>
  </si>
  <si>
    <t>C.005-ARP.0010.00.2025.GOV.CISAM.PE</t>
  </si>
  <si>
    <t>C.004-ARP.0010.00.2025.GOV.CISAM.PE</t>
  </si>
  <si>
    <t>C.001-ARP.0028.03.2025.GOV.FES-PE.PE</t>
  </si>
  <si>
    <t>Formação de Registro de Preços para o fornecimento eventual de Dispositivos Médicos do tipo Ataduras, Compressas e Algodão com a finalidade de atender às necessidades dos hospitais e estabelecimentos</t>
  </si>
  <si>
    <t>C.001-ARP.0028.02.2025.GOV.FES-PE.PE</t>
  </si>
  <si>
    <t>C.002-ARP.0028.01.2025.GOV.FES-PE.PE</t>
  </si>
  <si>
    <t>C.001-ARP.0028.01.2025.GOV.FES-PE.PE</t>
  </si>
  <si>
    <t>C.002-ARP.0028.00.2025.GOV.FES-PE.PE</t>
  </si>
  <si>
    <t>C.004-ARP.0022.03.2025.GOV.FES-PE.PE</t>
  </si>
  <si>
    <t>C.005-ARP.0022.02.2025.GOV.FES-PE.PE</t>
  </si>
  <si>
    <t>C.001-ARP.0027.00.2025.GOV.FES-PE.PE</t>
  </si>
  <si>
    <t>Formação de Registro de Preços para o fornecimento eventual de Medicamentos em Comprimido – Grupo 02 com a finalidade de atender às necessidades dos hospitais e estabelecimentos vinculados à SES/PE</t>
  </si>
  <si>
    <t>C.001-ARP.0027.01.2025.GOV.FES-PE.PE</t>
  </si>
  <si>
    <t>C.001-ARP.0027.04.2025.GOV.FES-PE.PE</t>
  </si>
  <si>
    <t>C.001-ARP.0027.05.2025.GOV.FES-PE.PE</t>
  </si>
  <si>
    <t>C.001-ARP.0027.06.2025.GOV.FES-PE.PE</t>
  </si>
  <si>
    <t>C.001-ARP.0027.07.2025.GOV.FES-PE.PE</t>
  </si>
  <si>
    <t>C.001-ARP.0027.08.2025.GOV.FES-PE.PE</t>
  </si>
  <si>
    <t>C.001-ARP.0027.09.2025.GOV.FES-PE.PE</t>
  </si>
  <si>
    <t>C.007-ARP.0022.01.2025.GOV.FES-PE.PE</t>
  </si>
  <si>
    <t>C.004-ARP.0022.00.2025.GOV.FES-PE.PE</t>
  </si>
  <si>
    <t>C.001-ARP.0021.05.2025.GOV.FES-PE.PE</t>
  </si>
  <si>
    <t>Formação de Registro de Preços para o fornecimento eventual de Medicamentos Controlados – Grupo 01 com a finalidade de atender às necessidades dos hospitais e estabelecimentos vinculados à SES</t>
  </si>
  <si>
    <t>C.003-ARP.0021.03.2025.GOV.FES-PE.PE</t>
  </si>
  <si>
    <t>C.002-ARP.0021.02.2025.GOV.FES-PE.PE</t>
  </si>
  <si>
    <t>C.003-ARP.0010.00.2025.GOV.CISAM.PE</t>
  </si>
  <si>
    <t>C.003-ARP.0021.01.2025.GOV.FES-PE.PE</t>
  </si>
  <si>
    <t>C.003-ARP.0019.02.2025.GOV.FES-PE.PE</t>
  </si>
  <si>
    <t>C.006-ARP.0019.01.2025.GOV.FES-PE.PE</t>
  </si>
  <si>
    <t>C.001-ARP.0019.00.2025.GOV.FES-PE.PE</t>
  </si>
  <si>
    <t>C.001-ARP.0018.02.2025.GOV.FES-PE.PE</t>
  </si>
  <si>
    <t>Formação de Registro de Preços para o fornecimento eventual de Dispositivos Médicos do tipo Seringas, Agulhas e Tubos Extensores, a fim de atender as necessidades dos hospitais e estab. da SES/PE</t>
  </si>
  <si>
    <t>C.004-ARP.0018.01.2025.GOV.FES-PE.PE</t>
  </si>
  <si>
    <t>C.003-ARP.0018.00.2025.GOV.FES-PE.PE</t>
  </si>
  <si>
    <t>C.003-ARP.0017.06.2025.GOV.FES-PE.PE</t>
  </si>
  <si>
    <t>C.001-ARP.0017.05.2025.GOV.FES-PE.PE</t>
  </si>
  <si>
    <t>C.001-ARP.0017.02.2025.GOV.FES-PE.PE</t>
  </si>
  <si>
    <t>C.007-ARP.0017.00.2025.GOV.FES-PE.PE</t>
  </si>
  <si>
    <t>C.003-ARP.0013.04.2025.GOV.FES-PE.PE</t>
  </si>
  <si>
    <t>Formação de Registro de Preços para o fornecimento eventual de Medicamentos em Comprimido – Grupo 01 com a finalidade de atender às necessidades dos hospitais e estabelecimentos vinculados à SES/PE</t>
  </si>
  <si>
    <t>C.005-ARP.0013.02.2025.GOV.FES-PE.PE</t>
  </si>
  <si>
    <t>C.004-ARP.0013.01.2025.GOV.FES-PE.PE</t>
  </si>
  <si>
    <t>C.006-ARP.0012.05.2025.GOV.FES-PE.PE</t>
  </si>
  <si>
    <t>C.004-ARP.0012.04.2025.GOV.FES-PE.PE</t>
  </si>
  <si>
    <t>C.007-ARP.0012.02.2025.GOV.FES-PE.PE</t>
  </si>
  <si>
    <t>C.002-ARP.0008.01.2025.GOV.HAM.PE</t>
  </si>
  <si>
    <t>2300001213.000040/2025-53</t>
  </si>
  <si>
    <t>C.005-ARP.0012.05.2025.GOV.FES-PE.PE</t>
  </si>
  <si>
    <t>C.005-ARP.0012.02.2025.GOV.FES-PE.PE</t>
  </si>
  <si>
    <t>C.004-ARP.0012.01.2025.GOV.FES-PE.PE</t>
  </si>
  <si>
    <t>C.003-ARP.0012.00.2025.GOV.FES-PE.PE</t>
  </si>
  <si>
    <t>C.006-ARP.0010.04.2025.GOV.FES-PE.PE</t>
  </si>
  <si>
    <t>2300001213.000049/2025-64</t>
  </si>
  <si>
    <t>C.004-ARP.0004.00.2025.GOV.FES-PE.PE</t>
  </si>
  <si>
    <t>Formação de Registro de Preços para o fornecimento eventual de Medicamentos Antimicrobianos – Grupo 02 com a finalidade de atender às necessidades dos hospitais e estabelecimentos vinculados à SES/PE.</t>
  </si>
  <si>
    <t>C.003-ARP.0004.05.2025.GOV.FES-PE.PE</t>
  </si>
  <si>
    <t>C.004-ARP.0003.00.2025.GOV.FES-PE.PE</t>
  </si>
  <si>
    <t>C.010-ARPC.0001.00.2025.GOV.SAD.PE</t>
  </si>
  <si>
    <t>2300002544.000011/2025-11</t>
  </si>
  <si>
    <t>C.005-ARP.0015.03.2025.GOV.FES-PE.PE</t>
  </si>
  <si>
    <t>C.004-ARP.0015.03.2025.GOV.FES-PE.PE</t>
  </si>
  <si>
    <t>C.010-ARP.0015.00.2025.GOV.FES-PE.PE</t>
  </si>
  <si>
    <t>2300001213.000033/2025-51</t>
  </si>
  <si>
    <t>C.013-ARP.0046.00.2024.GOV.FES-PE.PE</t>
  </si>
  <si>
    <t>C.012-ARP.0046.00.2024.GOV.FES-PE.PE</t>
  </si>
  <si>
    <t>C.003-ARP.0100.03.2024.GOV.FES-PE.PE</t>
  </si>
  <si>
    <t>C.006-ARP.0005.02.2025.GOV.FES-PE.PE</t>
  </si>
  <si>
    <t>C.008-ARP.0005.00.2025.GOV.FES-PE.PE</t>
  </si>
  <si>
    <t>C.008-ARP.0099.00.2024.GOV.FES-PE.PE</t>
  </si>
  <si>
    <t>Formação de Registro de Preços para o fornecimento de Dispositivos Médicos do tipo descartáveis com a finalidade de atender às necessidades dos hospitais e estabelecimentos vinculados à SES/PE</t>
  </si>
  <si>
    <t>C.007-ARP.0005.01.2025.GOV.FES-PE.PE</t>
  </si>
  <si>
    <t>C.077-ARPC.0019.00.2024.GOV.SAD.PE</t>
  </si>
  <si>
    <t>C.006-ARP.0002.00.2025.GOV.CISAM.PE</t>
  </si>
  <si>
    <t>REGISTRO DE PREÇOS PARA O FORNECIMENTO EVENTUAL DE MATERIAIS MÉDICO-HOSPITALARES (CAMPO OPERATÓRIO, COMPRESSA DE GAZE E FRALDA DESCARTÁVEL), VISANDO ATENDER AS NECESSIDADES DO CISAM/UPE E DEMAIS ÓRGÃOS PARTICIPANTES</t>
  </si>
  <si>
    <t>2300001213.000041/2025-06</t>
  </si>
  <si>
    <t>C.005-ARP.0002.00.2025.GOV.CISAM.PE</t>
  </si>
  <si>
    <t>C.004-ARP.0002.00.2025.GOV.CISAM.PE</t>
  </si>
  <si>
    <t>C.003-ARP.0002.00.2025.GOV.CISAM.PE</t>
  </si>
  <si>
    <t>C.027-ARP.0025.00.2024.GOV.FES-PE.PE</t>
  </si>
  <si>
    <t>C.005-ARP.0015.05.2025.GOV.FES-PE.PE</t>
  </si>
  <si>
    <t>C.004-ARP.0015.05.2025.GOV.FES-PE.PE</t>
  </si>
  <si>
    <t>C.003-ARP.0015.05.2025.GOV.FES-PE.PE</t>
  </si>
  <si>
    <t>C.005-ARP.0010.04.2025.GOV.FES-PE.PE</t>
  </si>
  <si>
    <t>C.004-ARP.0010.03.2025.GOV.FES-PE.PE</t>
  </si>
  <si>
    <t>C.075-ARPC.0019.00.2024.GOV.SAD.PE</t>
  </si>
  <si>
    <t>2300001207.000047/2025-54</t>
  </si>
  <si>
    <t>C.009-ARP.0016.00.2025.GOV.FES-PE.PE</t>
  </si>
  <si>
    <t>C.008-ARP.0016.00.2025.GOV.FES-PE.PE</t>
  </si>
  <si>
    <t>C.038-ARP.0031.14.2024.GOV.FES-PE.PE</t>
  </si>
  <si>
    <t>Registro de Preços para a eventual aquisição de Medicamentos Antibióticos (grupo 01) visando atender a demanda dos hospitais e estabelecimentos da rede estadual de saúde de Pernambuco.</t>
  </si>
  <si>
    <t>C.012-ARP.0015.06.2025.GOV.FES-PE.PE</t>
  </si>
  <si>
    <t>C.011-ARP.0015.06.2025.GOV.FES-PE.PE</t>
  </si>
  <si>
    <t>C.003-ARP.0015.02.2025.GOV.FES-PE.PE</t>
  </si>
  <si>
    <t>C.006-ARP.0014.02.2025.GOV.FES-PE.PE</t>
  </si>
  <si>
    <t>Formação de Registro de Preços para aquisição eventual de dispositivos médicos do tipo: “TIRAS PARA PESQUISA DE GLICOSE”, com cessão gratuita do Aparelho de medição (glicosímetro) a cada 500 tiras adquiridas, visando atender as necessidades dos hospitais e estabelecimentos vinculados à Secretaria Estadual de Saúde de Pernambuco, conforme as condições, especificações, quantidades e exigências contidas no Termo de Referência(Anexo I do Edital).</t>
  </si>
  <si>
    <t>C.005-ARP.0014.02.2025.GOV.FES-PE.PE</t>
  </si>
  <si>
    <t>2300002747.000054/2025-10</t>
  </si>
  <si>
    <t>C.004-ARP.0014.02.2025.GOV.FES-PE.PE</t>
  </si>
  <si>
    <t>C.003-ARP.0014.02.2025.GOV.FES-PE.PE</t>
  </si>
  <si>
    <t>C.005-ARP.0092.00.2024.GOV.FES-PE.PE</t>
  </si>
  <si>
    <t>C.151-ARPC.0006.00.2024.GOV.SAD.PE</t>
  </si>
  <si>
    <t>Registro de preços para fornecimento eventual de material de Expediente - Escrita e papel A4, visando atender as necessidades dos órgãos da Administração Direta, Autarquias e Fundações Públicas integrantes do Poder Executivo do Estado de Pernambuco.</t>
  </si>
  <si>
    <t>C.002-ARP.0001.00.2025.GOV.HOF.PE</t>
  </si>
  <si>
    <t>Formação de Registro de Preços para contratação eventual de prestação de serviços de esterilização, reesterilização e/ou reprocessamento dos artigos médicos hospitalares termossensíveis, pelo método de plasma de peróxido de hidrogênio a baixa temperatura, de acordo com as condições e especificações descritas neste Termo de Referência, visando atender demanda do Hospital Otávio de Freitas e do Hospital Regional do Agreste.</t>
  </si>
  <si>
    <t>C.009-ARP.0009.02.2025.GOV.FES-PE.PE</t>
  </si>
  <si>
    <t>2300001213.000248/2025-72</t>
  </si>
  <si>
    <t>C.008-ARP.0009.02.2025.GOV.FES-PE.PE</t>
  </si>
  <si>
    <t>C.007-ARP.0009.02.2025.GOV.FES-PE.PE</t>
  </si>
  <si>
    <t>C.003-ARP.0003.00.2025.GOV.FES-PE.PE</t>
  </si>
  <si>
    <t>C.004-ARP.0100.02.2024.GOV.FES-PE.PE</t>
  </si>
  <si>
    <t>C.003-ARP.0100.02.2024.GOV.FES-PE.PE</t>
  </si>
  <si>
    <t>C.003-ARP.0005.02.2025.GOV.FES-PE.PE</t>
  </si>
  <si>
    <t>C.005-ARP.0005.01.2025.GOV.FES-PE.PE</t>
  </si>
  <si>
    <t>C.004-ARP.0005.00.2025.GOV.FES-PE.PE</t>
  </si>
  <si>
    <t>C.003-ARP.0005.00.2025.GOV.FES-PE.PE</t>
  </si>
  <si>
    <t>C.003-ARP.0099.04.2024.GOV.FES-PE.PE</t>
  </si>
  <si>
    <t>C.003-ARP.0099.03.2024.GOV.FES-PE.PE</t>
  </si>
  <si>
    <t>C.002-ARP.0099.03.2024.GOV.FES-PE.PE</t>
  </si>
  <si>
    <t>C.001-ARP.0099.02.2024.GOV.FES-PE.PE</t>
  </si>
  <si>
    <t>C.002-ARP.0099.00.2024.GOV.FES-PE.PE</t>
  </si>
  <si>
    <t>C.003-ARP.0098.02.2024.GOV.FES-PE.PE</t>
  </si>
  <si>
    <t>Dispensa de licitação com fundamento no art. 75, inc. VIII da Lei nº 14.133/21, visando o Registro de Preços para eventual fornecimento de Dispositivos Médicos do tipo Avental para atender às necessi</t>
  </si>
  <si>
    <t>C.001-ARP.0098.04.2024.GOV.FES-PE.PE</t>
  </si>
  <si>
    <t>C.001-ARP.0098.01.2024.GOV.FES-PE.PE</t>
  </si>
  <si>
    <t>C.001-ARP.0098.00.2024.GOV.FES-PE.PE</t>
  </si>
  <si>
    <t>C.005-ARPC.0002.00.2025.GOV.SAD.PE</t>
  </si>
  <si>
    <t>2300001213.000247/2025-28</t>
  </si>
  <si>
    <t>C.004-ARPC.0002.00.2025.GOV.SAD.PE</t>
  </si>
  <si>
    <t>C.002-ARPC.0001.00.2025.GOV.SAD.PE</t>
  </si>
  <si>
    <t>C.003-ARPC.0002.00.2025.GOV.SAD.PE</t>
  </si>
  <si>
    <t>C.037-ARPC.0018.00.2024.GOV.SAD.PE</t>
  </si>
  <si>
    <t>C.029-ARP.0050.00.2024.GOV.FES-PE.PE</t>
  </si>
  <si>
    <t>Registro de Preços para a eventual aquisição de Medicamentos Controlados (grupo 03) visando atender a demanda dos hospitais e estabelecimentos da rede estadual de saúde de Pernambuco.</t>
  </si>
  <si>
    <t>C.020-ARP.0061.03.2024.GOV.FES-PE.PE</t>
  </si>
  <si>
    <t>C.002-ARP.0088.01.2024.GOV.CISAM.PE</t>
  </si>
  <si>
    <t>C.001-ARP.0088.01.2024.GOV.CISAM.PE</t>
  </si>
  <si>
    <t>C.002-ARP.0089.01.2024.GOV.CISAM.PE</t>
  </si>
  <si>
    <t>C.001-ARP.0089.01.2024.GOV.CISAM.PE</t>
  </si>
  <si>
    <t>C.003-ARP.0087.00.2024.GOV.CISAM.PE</t>
  </si>
  <si>
    <t>C.002-ARP.0087.00.2024.GOV.CISAM.PE</t>
  </si>
  <si>
    <t>C.004-ARP.0087.01.2024.GOV.CISAM.PE</t>
  </si>
  <si>
    <t>C.003-ARP.0087.01.2024.GOV.CISAM.PE</t>
  </si>
  <si>
    <t>C.002-ARP.0087.01.2024.GOV.CISAM.PE</t>
  </si>
  <si>
    <t>C.002-ARP.0087.02.2024.GOV.CISAM.PE</t>
  </si>
  <si>
    <t>C.002-ARP.0087.03.2024.GOV.CISAM.PE</t>
  </si>
  <si>
    <t>C.001-ARP.0087.05.2024.GOV.CISAM.PE</t>
  </si>
  <si>
    <t>C.006-ARP.0088.02.2024.GOV.CISAM.PE</t>
  </si>
  <si>
    <t>C.005-ARP.0088.02.2024.GOV.CISAM.PE</t>
  </si>
  <si>
    <t>C.004-ARP.0088.02.2024.GOV.CISAM.PE</t>
  </si>
  <si>
    <t>C.003-ARP.0088.02.2024.GOV.CISAM.PE</t>
  </si>
  <si>
    <t>C.002-ARP.0088.02.2024.GOV.CISAM.PE</t>
  </si>
  <si>
    <t>C.001-ARP.0088.02.2024.GOV.CISAM.PE</t>
  </si>
  <si>
    <t>C.001-ARP.0088.03.2024.GOV.CISAM.PE</t>
  </si>
  <si>
    <t>C.002-ARP.0097.02.2024.GOV.FES-PE.PE</t>
  </si>
  <si>
    <t>C.004-ARP.0097.04.2024.GOV.FES-PE.PE</t>
  </si>
  <si>
    <t>C.007-ARP.0052.12.2024.GOV.CISAM.PE</t>
  </si>
  <si>
    <t>C.004-ARP.0096.01.2024.GOV.FES-PE.PE</t>
  </si>
  <si>
    <t>C.009-ARP.0068.10.2024.GOV.FES-PE.PE</t>
  </si>
  <si>
    <t>C.008-ARP.0068.10.2024.GOV.FES-PE.PE</t>
  </si>
  <si>
    <t>C.048-ARPC.0004.00.2024.GOV.SAD.PE</t>
  </si>
  <si>
    <t>C.005-ARPC.0029.00.2024.GOV.SAD.PE</t>
  </si>
  <si>
    <t>Registro de Preços Corporativo para contratação de serviços terceirizados de Jardinagem, a serem executados com regime de dedicação exclusiva de mão de obra, visando atender às necessidades dos órgãos da Administração Direta, Autarquias e Fundações Públicas, integrantes do Poder Executivo do Estado de Pernambuco</t>
  </si>
  <si>
    <t>C.001-ARP.0065.06.2024.GOV.CISAM.PE</t>
  </si>
  <si>
    <t>C.002-ARP.0089.00.2024.GOV.FES-PE.PE</t>
  </si>
  <si>
    <t>Formação de Registro de Preços para o fornecimento eventual de Dispositivos Médicos do tipo máscaras com a finalidade de atender às necessidades dos hospitais e estabelecimentos vinculados à SES/PE</t>
  </si>
  <si>
    <t>C.002-ARP.0089.01.2024.GOV.FES-PE.PE</t>
  </si>
  <si>
    <t>C.009-ARP.0040.01.2024.GOV.FES-PE.PE</t>
  </si>
  <si>
    <t>PREGÃO ELETRÔNICO PARA REGISTRO DE PREÇOS COM VALIDADE DE 12 (DOZE) MESES PARA EVENTUAL FORNECIMENTO DE MEDICAMENTOS INJETÁVEIS (GRUPO 03) VISANDO ATENDER A DEMANDA DOS HOSPITAIS E ESTABELECIMENTOS DA REDE ESTADUAL DE SAÚDE DE PERNAMBUCO</t>
  </si>
  <si>
    <t>C.016-ARP.0031.11.2024.GOV.FES-PE.PE</t>
  </si>
  <si>
    <t>C.026-ARP.0050.00.2024.GOV.FES-PE.PE</t>
  </si>
  <si>
    <t>C.003-ARP.0097.03.2024.GOV.FES-PE.PE</t>
  </si>
  <si>
    <t>C.001-ARP.0097.00.2024.GOV.FES-PE.PE</t>
  </si>
  <si>
    <t>C.001-ARP.0096.02.2024.GOV.FES-PE.PE</t>
  </si>
  <si>
    <t>C.003-ARP.0096.00.2024.GOV.FES-PE.PE</t>
  </si>
  <si>
    <t>C.003-ARP.0078.01.2024.GOV.FES-PE.PE</t>
  </si>
  <si>
    <t>REGISTRO DE PREÇO FORMAÇÃO DE ATA DE REGISTRO DE PREÇOS PARA EVENTUAL AQUISIÇÃO DE EQUIPAMENTOS MÉDICO-HOSPITALARES PARA ATENDER AS NECESSIDADES DA SES/PE</t>
  </si>
  <si>
    <t>C.021-ARP.0048.01.2024.GOV.FES-PE.PE</t>
  </si>
  <si>
    <t>Registro de Preços para a eventual aquisição de Medicamentos Controlados (grupo 04) visando atender a demanda dos hospitais e estabelecimentos da rede estadual de saúde de Pernambuco.</t>
  </si>
  <si>
    <t>C.020-ARP.0048.01.2024.GOV.FES-PE.PE</t>
  </si>
  <si>
    <t>C.001-ARP.0094.00.2024.GOV.FES-PE.PE</t>
  </si>
  <si>
    <t>C.002-ARP.0094.03.2024.GOV.FES-PE.PE</t>
  </si>
  <si>
    <t>C.001-ARP.0094.03.2024.GOV.FES-PE.PE</t>
  </si>
  <si>
    <t>C.001-ARP.0094.02.2024.GOV.FES-PE.PE</t>
  </si>
  <si>
    <t>C.002-ARP.0094.01.2024.GOV.FES-PE.PE</t>
  </si>
  <si>
    <t>C.001-ARP.0094.01.2024.GOV.FES-PE.PE</t>
  </si>
  <si>
    <t>C.004-ARP.0065.00.2024.GOV.CISAM.PE</t>
  </si>
  <si>
    <t>C.001-ARP.0065.05.2024.GOV.CISAM.PE</t>
  </si>
  <si>
    <t>C.003-ARP.0049.00.2024.GOV.CISAM.PE</t>
  </si>
  <si>
    <t>REGISTRO DE PREÇOS PARA O FORNECIMENTO EVENTUAL MEDICAMENTOS (DIVERSOS) PARA O CISAM/UPE</t>
  </si>
  <si>
    <t>C.001-ARP.0092.02.2024.GOV.FES-PE.PE</t>
  </si>
  <si>
    <t>C.002-ARP.0092.03.2024.GOV.FES-PE.PE</t>
  </si>
  <si>
    <t>C.002-ARP.0092.04.2024.GOV.FES-PE.PE</t>
  </si>
  <si>
    <t>C.001-ARP.0092.04.2024.GOV.FES-PE.PE</t>
  </si>
  <si>
    <t>C.001-ARP.0092.03.2024.GOV.FES-PE.PE</t>
  </si>
  <si>
    <t>C.019-ARP.0063.00.2024.GOV.FES-PE.PE</t>
  </si>
  <si>
    <t>C.018-ARP.0063.00.2024.GOV.FES-PE.PE</t>
  </si>
  <si>
    <t>C.017-ARP.0063.00.2024.GOV.FES-PE.PE</t>
  </si>
  <si>
    <t>C.010-ARP.0063.04.2024.GOV.FES-PE.PE</t>
  </si>
  <si>
    <t>C.018-ARP.0025.06.2024.GOV.FES-PE.PE</t>
  </si>
  <si>
    <t>C.022-ARP.0025.04.2024.GOV.FES-PE.PE</t>
  </si>
  <si>
    <t>C.017-ARP.0025.03.2024.GOV.FES-PE.PE</t>
  </si>
  <si>
    <t>C.022-ARP.0025.01.2024.GOV.FES-PE.PE</t>
  </si>
  <si>
    <t>C.021-ARP.0018.01.2024.GOV.FES-PE.PE</t>
  </si>
  <si>
    <t>C.039-ARP.0018.00.2024.GOV.FES-PE.PE</t>
  </si>
  <si>
    <t>C.018-ARP.0024.01.2024.GOV.FES-PE.PE</t>
  </si>
  <si>
    <t>Registro de Preços para a eventual aquisição de Medicamentos Antimicrobianos (grupo 02) visando atender a demanda dos hospitais e estabelecimentos da rede estadual de saúde de Pernambuco.</t>
  </si>
  <si>
    <t>C.009-ARP.0063.04.2024.GOV.FES-PE.PE</t>
  </si>
  <si>
    <t>C.038-ARP.0018.00.2024.GOV.FES-PE.PE</t>
  </si>
  <si>
    <t>C.005-ARP.0083.04.2024.GOV.FES-PE.PE</t>
  </si>
  <si>
    <t>C.005-ARP.0088.07.2024.GOV.FES-PE.PE</t>
  </si>
  <si>
    <t>C.004-ARP.0088.00.2024.GOV.FES-PE.PE</t>
  </si>
  <si>
    <t>C.003-ARP.0088.00.2024.GOV.FES-PE.PE</t>
  </si>
  <si>
    <t>C.002-ARP.0088.00.2024.GOV.FES-PE.PE</t>
  </si>
  <si>
    <t>C.005-ARP.0090.05.2024.GOV.FES-PE.PE</t>
  </si>
  <si>
    <t>Registro de Preços para a eventual aquisição de Medicamentos diversos (grupo 01) visando atender a demanda dos hospitais e estabelecimentos da rede estadual de saúde de Pernambuco</t>
  </si>
  <si>
    <t>C.006-ARP.0090.02.2024.GOV.FES-PE.PE</t>
  </si>
  <si>
    <t>C.005-ARP.0090.02.2024.GOV.FES-PE.PE</t>
  </si>
  <si>
    <t>C.010-ARP.0049.00.2024.GOV.FES-PE.PE</t>
  </si>
  <si>
    <t>C.009-ARP.0049.00.2024.GOV.FES-PE.PE</t>
  </si>
  <si>
    <t>C.016-ARP.0052.08.2024.GOV.FES-PE.PE</t>
  </si>
  <si>
    <t>C.031-ARP.0031.14.2024.GOV.FES-PE.PE</t>
  </si>
  <si>
    <t>C.015-ARP.0043.02.2024.GOV.FES-PE.PE</t>
  </si>
  <si>
    <t>Formação de Registro de Preços, por um período de 12 (doze) meses, para eventual aquisição de Medicamentos Controlados (grupo 01) visando atender a demanda dos hospitais e estabelecimentos da rede estadual de saúde de Pernambuco.</t>
  </si>
  <si>
    <t>C.005-ARP.0063.05.2024.GOV.CISAM.PE</t>
  </si>
  <si>
    <t>C.004-ARP.0063.05.2024.GOV.CISAM.PE</t>
  </si>
  <si>
    <t>C.047-ARPC.0005.00.2024.GOV.SAD.PE</t>
  </si>
  <si>
    <t>Registro de preços corporativo para a eventual aquisição de Material Médico-Hospitalar (Cloreto de Sódio), para atender às demandas dos órgãos da Administração Direta, Autarquias e Fundações Públicas integrantes do Poder Executivo do Estado de Pernambuco.</t>
  </si>
  <si>
    <t>C.011-ARP.0040.00.2024.GOV.FES-PE.PE</t>
  </si>
  <si>
    <t>C.014-ARP.0061.02.2024.GOV.FES-PE.PE</t>
  </si>
  <si>
    <t>C.010-ARP.0040.03.2024.GOV.FES-PE.PE</t>
  </si>
  <si>
    <t>C.011-ARP.0075.00.2024.GOV.FES-PE.PE</t>
  </si>
  <si>
    <t>C.010-ARP.0075.00.2024.GOV.FES-PE.PE</t>
  </si>
  <si>
    <t>C.004-ARP.0088.03.2024.GOV.FES-PE.PE</t>
  </si>
  <si>
    <t>C.001-ARPC.0026.00.2024.GOV.SAD.PE</t>
  </si>
  <si>
    <t>C.032-ARPC.0018.00.2024.GOV.SAD.PE</t>
  </si>
  <si>
    <t>C.031-ARPC.0018.00.2024.GOV.SAD.PE</t>
  </si>
  <si>
    <t>C.030-ARPC.0018.00.2024.GOV.SAD.PE</t>
  </si>
  <si>
    <t>C.029-ARPC.0018.00.2024.GOV.SAD.PE</t>
  </si>
  <si>
    <t>C.004-ARP.0083.04.2024.GOV.FES-PE.PE</t>
  </si>
  <si>
    <t>C.009-ARP.0038.02.2024.GOV.FES-PE.PE</t>
  </si>
  <si>
    <t>C.003-ARP.0083.02.2024.GOV.FES-PE.PE</t>
  </si>
  <si>
    <t>C.004-ARP.0083.03.2024.GOV.FES-PE.PE</t>
  </si>
  <si>
    <t>C.003-ARP.0083.03.2024.GOV.FES-PE.PE</t>
  </si>
  <si>
    <t>C.004-ARP.0083.05.2024.GOV.FES-PE.PE</t>
  </si>
  <si>
    <t>C.003-ARP.0065.00.2024.GOV.CISAM.PE</t>
  </si>
  <si>
    <t>C.006-ARPC.0021.00.2024.GOV.SAD.PE</t>
  </si>
  <si>
    <t>Formação de Ata de Registro de Preços Corporativa para a eventual prestação de serviços terceirizados de Assessor Administrativo, a serem executados com regime de dedicação exclusiva de mão de obra, conforme especificações e quantitativos previstos no Termo de Referência (Anexo I), destinada a atender às demandas dos órgãos da Administração Direta, dos Fundos Especiais, das Autarquias e Fundações públicas, integrantes do Poder Executivo do Estado de Pernambuco.</t>
  </si>
  <si>
    <t>C.019-ARP.0065.01.2024.GOV.FES-PE.PE</t>
  </si>
  <si>
    <t>PREGÃO ELETRÕNICO PARA REGISTRO DE PREÇOS COM EVENTUAL AQUISIÇÃO DE MATERIAL MÉDICO HOSPITALAR (GRUPO 02) VISANDO ATENDER A DEMANDA DOS HOSPITAIS E ESTABELECIMENTOS DA REDE ESTADUAL DE SAÚDE DE PERNAMBUCO.</t>
  </si>
  <si>
    <t>C.001-ARP.0001.00.2024.FES-PE.PE</t>
  </si>
  <si>
    <t>C.119-ARPC.0006.00.2024.GOV.SAD.PE</t>
  </si>
  <si>
    <t>C.017-ARP.0018.01.2024.GOV.FES-PE.PE</t>
  </si>
  <si>
    <t>C.003-ARP.0005.00.2024.GOV.UPECMN.PE</t>
  </si>
  <si>
    <t>C.012-ARP.0024.00.2024.GOV.FES-PE.PE</t>
  </si>
  <si>
    <t>C.010-ARP.0075.01.2024.GOV.FES-PE.PE</t>
  </si>
  <si>
    <t>C.009-ARP.0075.01.2024.GOV.FES-PE.PE</t>
  </si>
  <si>
    <t>C.014-ARP.0022.01.2024.GOV.FES-PE.PE</t>
  </si>
  <si>
    <t>Formação de Registro de Preços, por um período de 12 (doze) meses, para eventual aquisição de Medicamentos Injetáveis (grupo 01) visando atender a demanda dos hospitais e estabelecimentos da rede estadual de saúde de Pernambuco.</t>
  </si>
  <si>
    <t>C.039-ARP.0031.16.2024.GOV.FES-PE.PE</t>
  </si>
  <si>
    <t>C.038-ARP.0031.16.2024.GOV.FES-PE.PE</t>
  </si>
  <si>
    <t>C.037-ARP.0031.16.2024.GOV.FES-PE.PE</t>
  </si>
  <si>
    <t>C.036-ARP.0031.16.2024.GOV.FES-PE.PE</t>
  </si>
  <si>
    <t>C.014-ARP.0034.01.2024.GOV.FES-PE.PE</t>
  </si>
  <si>
    <t>C.002-ARP.0063.05.2024.GOV.CISAM.PE</t>
  </si>
  <si>
    <t>C.035-ARP.0031.16.2024.GOV.FES-PE.PE</t>
  </si>
  <si>
    <t>C.034-ARP.0031.16.2024.GOV.FES-PE.PE</t>
  </si>
  <si>
    <t>C.033-ARP.0031.16.2024.GOV.FES-PE.PE</t>
  </si>
  <si>
    <t>C.032-ARP.0031.16.2024.GOV.FES-PE.PE</t>
  </si>
  <si>
    <t>C.034-ARP.0018.00.2024.GOV.FES-PE.PE</t>
  </si>
  <si>
    <t>C.004-ARP.0066.03.2024.GOV.FES-PE.PE</t>
  </si>
  <si>
    <t>C.004-ARP.0066.02.2024.GOV.FES-PE.PE</t>
  </si>
  <si>
    <t>C.001-ARP.0066.01.2024.GOV.FES-PE.PE</t>
  </si>
  <si>
    <t>C.031-ARP.0031.16.2024.GOV.FES-PE.PE</t>
  </si>
  <si>
    <t>C.002-ARP.0066.08.2024.GOV.FES-PE.PE</t>
  </si>
  <si>
    <t>C.002-ARP.0066.04.2024.GOV.FES-PE.PE</t>
  </si>
  <si>
    <t>C.002-ARP.0066.06.2024.GOV.FES-PE.PE</t>
  </si>
  <si>
    <t>C.020-ARP.0025.01.2024.GOV.FES-PE.PE</t>
  </si>
  <si>
    <t>C.004-ARP.0063.03.2024.GOV.FES-PE.PE</t>
  </si>
  <si>
    <t>C.030-ARP.0031.16.2024.GOV.FES-PE.PE</t>
  </si>
  <si>
    <t>C.003-ARP.0052.10.2024.GOV.FES-PE.PE</t>
  </si>
  <si>
    <t>C.002-ARP.0052.10.2024.GOV.FES-PE.PE</t>
  </si>
  <si>
    <t>C.015-ARP.0025.06.2024.GOV.FES-PE.PE</t>
  </si>
  <si>
    <t>C.022-ARPC.0018.00.2024.GOV.SAD.PE</t>
  </si>
  <si>
    <t>C.023-ARP.0052.03.2024.GOV.FES-PE.PE</t>
  </si>
  <si>
    <t>C.022-ARP.0052.03.2024.GOV.FES-PE.PE</t>
  </si>
  <si>
    <t>C.001-ARP.0063.05.2024.GOV.CISAM.PE</t>
  </si>
  <si>
    <t>C.009-ARP.0064.00.2024.GOV.FES-PE.PE</t>
  </si>
  <si>
    <t>C.002-ARP.0022.00.2024.GOV.FES-PE.PE</t>
  </si>
  <si>
    <t>C.029-ARP.0031.16.2024.GOV.FES-PE.PE</t>
  </si>
  <si>
    <t>C.028-ARP.0031.16.2024.GOV.FES-PE.PE</t>
  </si>
  <si>
    <t>C.027-ARP.0031.16.2024.GOV.FES-PE.PE</t>
  </si>
  <si>
    <t>C.026-ARP.0031.16.2024.GOV.FES-PE.PE</t>
  </si>
  <si>
    <t>C.025-ARP.0031.16.2024.GOV.FES-PE.PE</t>
  </si>
  <si>
    <t>C.003-ARPC.0015.02.2024.GOV.SAD.PE</t>
  </si>
  <si>
    <t>REGISTRO DE PREÇOS CORPORATIVO PARA O FORNECIMENTO CONTÍNUO DE ÁGUA MINERAL PARA REGIÃO GEOGRÁFICA IMEDIATA DE CARUARU</t>
  </si>
  <si>
    <t>C.002-ARPC.0015.02.2024.GOV.SAD.PE</t>
  </si>
  <si>
    <t>C.024-ARP.0031.16.2024.GOV.FES-PE.PE</t>
  </si>
  <si>
    <t>C.023-ARP.0031.16.2024.GOV.FES-PE.PE</t>
  </si>
  <si>
    <t>C.012-ARP.0022.01.2024.GOV.FES-PE.PE</t>
  </si>
  <si>
    <t>C.011-ARP.0022.01.2024.GOV.FES-PE.PE</t>
  </si>
  <si>
    <t>C.022-ARP.0031.16.2024.GOV.FES-PE.PE</t>
  </si>
  <si>
    <t>C.021-ARP.0031.16.2024.GOV.FES-PE.PE</t>
  </si>
  <si>
    <t>C.004-ARPC.0018.00.2024.GOV.SAD.PE</t>
  </si>
  <si>
    <t>C.003-ARPC.0018.00.2024.GOV.SAD.PE</t>
  </si>
  <si>
    <t>C.033-ARP.0018.00.2024.GOV.FES-PE.PE</t>
  </si>
  <si>
    <t>C.032-ARP.0018.00.2024.GOV.FES-PE.PE</t>
  </si>
  <si>
    <t>C.019-ARP.0048.07.2024.GOV.FES-PE.PE</t>
  </si>
  <si>
    <t>C.031-ARP.0018.00.2024.GOV.FES-PE.PE</t>
  </si>
  <si>
    <t>C.016-ARP.0065.01.2024.GOV.FES-PE.PE</t>
  </si>
  <si>
    <t>C.015-ARP.0065.01.2024.GOV.FES-PE.PE</t>
  </si>
  <si>
    <t>C.014-ARP.0065.01.2024.GOV.FES-PE.PE</t>
  </si>
  <si>
    <t>C.030-ARP.0018.00.2024.GOV.FES-PE.PE</t>
  </si>
  <si>
    <t>C.014-ARP.0065.06.2024.GOV.FES-PE.PE</t>
  </si>
  <si>
    <t>C.013-ARP.0065.06.2024.GOV.FES-PE.PE</t>
  </si>
  <si>
    <t>C.001-ARP.0065.02.2024.GOV.CISAM.PE</t>
  </si>
  <si>
    <t>C.018-ARPC.0014.00.2024.GOV.SAD.PE</t>
  </si>
  <si>
    <t>C.020-ARP.0018.08.2024.GOV.FES-PE.PE</t>
  </si>
  <si>
    <t>C.008-ARP.0022.04.2024.GOV.FES-PE.PE</t>
  </si>
  <si>
    <t>C.028-ARP.0018.00.2024.GOV.FES-PE.PE</t>
  </si>
  <si>
    <t>C.013-ARP.0048.01.2024.GOV.FES-PE.PE</t>
  </si>
  <si>
    <t>C.015-ARP.0031.11.2024.GOV.FES-PE.PE</t>
  </si>
  <si>
    <t>C.027-ARP.0018.00.2024.GOV.FES-PE.PE</t>
  </si>
  <si>
    <t>C.020-ARP.0031.16.2024.GOV.FES-PE.PE</t>
  </si>
  <si>
    <t>C.019-ARP.0031.16.2024.GOV.FES-PE.PE</t>
  </si>
  <si>
    <t>C.016-ARP.0046.02.2024.GOV.FES-PE.PE</t>
  </si>
  <si>
    <t>C.017-ARP.0064.01.2024.GOV.FES-PE.PE</t>
  </si>
  <si>
    <t>C.003-ARP.0107.00.2023.GOV.FES-PE.PE</t>
  </si>
  <si>
    <t>C.016-ARP.0064.01.2024.GOV.FES-PE.PE</t>
  </si>
  <si>
    <t>C.014-ARP.0031.11.2024.GOV.FES-PE.PE</t>
  </si>
  <si>
    <t>C.018-ARP.0031.16.2024.GOV.FES-PE.PE</t>
  </si>
  <si>
    <t>C.015-ARP.0046.02.2024.GOV.FES-PE.PE</t>
  </si>
  <si>
    <t>C.014-ARP.0046.02.2024.GOV.FES-PE.PE</t>
  </si>
  <si>
    <t>C.012-ARP.0064.02.2024.GOV.FES-PE.PE</t>
  </si>
  <si>
    <t>C.004-ARP.0012.00.2024.GOV.FES-PE.PE</t>
  </si>
  <si>
    <t>FORMAÇÃO DE REGISTRO DE PREÇOS PARA EVENTUAL AQUISIÇÃO DE INSUMOS PARA ATENDER TODA REDE PÚBLICA ESTADUAL DE SAÚDE DE PERNAMBUCO (TIRAS REAGENTES PARA ADETECÇÃO DE GLICOSE NO SANGUE)</t>
  </si>
  <si>
    <t>C.012-ARP.0065.01.2024.GOV.FES-PE.PE</t>
  </si>
  <si>
    <t>C.025-ARP.0018.00.2024.GOV.FES-PE.PE</t>
  </si>
  <si>
    <t>C.002-ARP.0112.00.2023.GOV.FES-PE.PE</t>
  </si>
  <si>
    <t>PREGÃO ELETRÔNICO PARA REGISTRO DE PREÇOS COM VALIDADE DE 12 (DOZE) MESES PARA EVENTUAL FORNECIMENTO DE EQUIPAMENTOS MÉDICO-HOSPITALARES PARA O PERÍODO DE 12 (DOZE) MESES VISANDO ATENDER AS NECESSIDDES DO HOSPITAL REGIONAL DO LIMOEIRO JOSÉ FERNANDES SALSA</t>
  </si>
  <si>
    <t>C.001-ARP.0112.00.2023.GOV.FES-PE.PE</t>
  </si>
  <si>
    <t>C.018-ARP.0048.07.2024.GOV.FES-PE.PE</t>
  </si>
  <si>
    <t>C.019-ARP.0018.08.2024.GOV.FES-PE.PE</t>
  </si>
  <si>
    <t>C.020-ARP.0031.14.2024.GOV.FES-PE.PE</t>
  </si>
  <si>
    <t>C.013-ARP.0046.02.2024.GOV.FES-PE.PE</t>
  </si>
  <si>
    <t>C.001-ARP.0002.00.2024.GOV.HRA.PE</t>
  </si>
  <si>
    <t>Registro de Preços para eventual fornecimento de ÓRTESES, PRÓTESES E MATERIAIS ESPECIAIS</t>
  </si>
  <si>
    <t>C.013-ARP.0064.01.2024.GOV.FES-PE.PE</t>
  </si>
  <si>
    <t>C.012-ARP.0064.01.2024.GOV.FES-PE.PE</t>
  </si>
  <si>
    <t>C.011-ARP.0064.01.2024.GOV.FES-PE.PE</t>
  </si>
  <si>
    <t>C.011-ARP.0048.01.2024.GOV.FES-PE.PE</t>
  </si>
  <si>
    <t>C.013-ARP.0031.11.2024.GOV.FES-PE.PE</t>
  </si>
  <si>
    <t>C.014-ARP.0031.16.2024.GOV.FES-PE.PE</t>
  </si>
  <si>
    <t>C.007-ARP.0063.10.2024.GOV.FES-PE.PE</t>
  </si>
  <si>
    <t>C.081-ARPC.0033.00.2023.GOV.SAD.PE</t>
  </si>
  <si>
    <t>C.038-ARPC.0005.00.2024.GOV.SAD.PE</t>
  </si>
  <si>
    <t>C.002-ARP.0052.07.2024.GOV.CISAM.PE</t>
  </si>
  <si>
    <t>C.003-ARP.0065.06.2024.GOV.FES-PE.PE</t>
  </si>
  <si>
    <t>C.005-ARP.0064.04.2024.GOV.FES-PE.PE</t>
  </si>
  <si>
    <t>C.021-ARP.0018.00.2024.GOV.FES-PE.PE</t>
  </si>
  <si>
    <t>C.020-ARP.0018.00.2024.GOV.FES-PE.PE</t>
  </si>
  <si>
    <t>C.001-ARP.0052.11.2024.GOV.CISAM.PE</t>
  </si>
  <si>
    <t>C.001-ARP.0052.12.2024.GOV.CISAM.PE</t>
  </si>
  <si>
    <t>C.007-ARP.0063.06.2024.GOV.FES-PE.PE</t>
  </si>
  <si>
    <t>C.001-ARP.0052.07.2024.GOV.CISAM.PE</t>
  </si>
  <si>
    <t>C.006-ARP.0063.00.2024.GOV.FES-PE.PE</t>
  </si>
  <si>
    <t>C.147-ARPC.0026.00.2023.GOV.SAD.PE</t>
  </si>
  <si>
    <t>C.006-ARP.0064.05.2024.GOV.FES-PE.PE</t>
  </si>
  <si>
    <t>C.010-ARP.0048.07.2024.GOV.FES-PE.PE</t>
  </si>
  <si>
    <t>C.012-ARP.0025.04.2024.GOV.FES-PE.PE</t>
  </si>
  <si>
    <t>C.012-ARP.0018.07.2024.GOV.FES-PE.PE</t>
  </si>
  <si>
    <t>C.010-ARP.0046.02.2024.GOV.FES-PE.PE</t>
  </si>
  <si>
    <t>C.011-ARP.0025.04.2024.GOV.FES-PE.PE</t>
  </si>
  <si>
    <t>C.009-ARP.0048.07.2024.GOV.FES-PE.PE</t>
  </si>
  <si>
    <t>C.006-ARP.0048.06.2024.GOV.FES-PE.PE</t>
  </si>
  <si>
    <t>C.007-ARP.0061.02.2024.GOV.FES-PE.PE</t>
  </si>
  <si>
    <t>C.005-ARP.0038.01.2024.GOV.FES-PE.PE</t>
  </si>
  <si>
    <t>2300001207.000089/2024-12</t>
  </si>
  <si>
    <t>C.004-ARP.0038.01.2024.GOV.FES-PE.PE</t>
  </si>
  <si>
    <t>C.006-ARP.0061.06.2024.GOV.FES-PE.PE</t>
  </si>
  <si>
    <t>C.007-ARP.0040.02.2024.GOV.FES-PE.PE</t>
  </si>
  <si>
    <t>C.006-ARP.0040.03.2024.GOV.FES-PE.PE</t>
  </si>
  <si>
    <t>C.010-ARP.0031.10.2024.GOV.FES-PE.PE</t>
  </si>
  <si>
    <t>C.003-ARP.0038.01.2024.GOV.FES-PE.PE</t>
  </si>
  <si>
    <t>C.013-ARP.0031.14.2024.GOV.FES-PE.PE</t>
  </si>
  <si>
    <t>C.002-ARP.0038.01.2024.GOV.FES-PE.PE</t>
  </si>
  <si>
    <t>C.026-ARPC.0005.00.2024.GOV.SAD.PE</t>
  </si>
  <si>
    <t>C.011-ARP.0024.01.2024.GOV.FES-PE.PE</t>
  </si>
  <si>
    <t>C.009-ARP.0052.12.2024.GOV.FES-PE.PE</t>
  </si>
  <si>
    <t>C.007-ARP.0046.01.2024.GOV.FES-PE.PE</t>
  </si>
  <si>
    <t>C.012-ARP.0025.01.2024.GOV.FES-PE.PE</t>
  </si>
  <si>
    <t>C.011-ARP.0031.14.2024.GOV.FES-PE.PE</t>
  </si>
  <si>
    <t>C.009-ARP.0058.03.2024.GOV.FES-PE.PE</t>
  </si>
  <si>
    <t>C.024-ARPC.0005.00.2024.GOV.SAD.PE</t>
  </si>
  <si>
    <t>C.003-ARP.0058.00.2024.GOV.FES-PE.PE</t>
  </si>
  <si>
    <t>C.008-ARP.0031.16.2024.GOV.FES-PE.PE</t>
  </si>
  <si>
    <t>C.006-ARP.0031.11.2024.GOV.FES-PE.PE</t>
  </si>
  <si>
    <t>C.076-ARPC.0012.00.2023.GOV.SAD.PE</t>
  </si>
  <si>
    <t>Registro de preços corporativo para a eventual aquisição de Material Médico-Hospitalar – Seringas e Agulhas Hipodérmicas, para atender às demandas dos órgãos da Administração Direta, Autarquias e Fundações Públicas integrantes do Poder Executivo do Estado de Pernambuco.</t>
  </si>
  <si>
    <t>C.016-ARP.0018.00.2024.GOV.FES-PE.PE</t>
  </si>
  <si>
    <t>C.009-ARP.0050.00.2024.GOV.FES-PE.PE</t>
  </si>
  <si>
    <t>C.004-ARP.0037.02.2024.GOV.FES-PE.PE</t>
  </si>
  <si>
    <t>Registro de Preços para a eventual aquisição de Medicamentos Injetáveis (grupo 08)  visando atender a demanda dos hospitais e estabelecimentos da rede estadual de saúde de Pernambuco, conforme especificações e quantitativos previstos no Anexo I, para atender às demandas dos órgãos participantes indicados no mencionado Anexo</t>
  </si>
  <si>
    <t>C.123-ARPC.0026.00.2023.GOV.SAD.PE</t>
  </si>
  <si>
    <t>C.006-ARP.0048.11.2024.GOV.FES-PE.PE</t>
  </si>
  <si>
    <t>C.002-ARP.0052.00.2024.GOV.FES-PE.PE</t>
  </si>
  <si>
    <t>C.004-ARP.0005.05.2023.GOV.HRA.PE</t>
  </si>
  <si>
    <t>REGISTRO DE PREÇO PARA EVENTUAL AQUISIÇÃO DE MATERIAL HOSPITALAR EM GERAL V</t>
  </si>
  <si>
    <t>C.009-ARP.0046.05.2024.GOV.FES-PE.PE</t>
  </si>
  <si>
    <t>C.001-ARP.0052.05.2024.GOV.FES-PE.PE</t>
  </si>
  <si>
    <t>C.007-ARP.0025.02.2024.GOV.FES-PE.PE</t>
  </si>
  <si>
    <t>C.055-ARPC.0006.00.2024.GOV.SAD.PE</t>
  </si>
  <si>
    <t>C.116-ARPC.0026.00.2023.GOV.SAD.PE</t>
  </si>
  <si>
    <t>C.005-ARP.0031.14.2024.GOV.FES-PE.PE</t>
  </si>
  <si>
    <t>C.002-ARP.0005.02.2023.GOV.HRA.PE</t>
  </si>
  <si>
    <t>C.002-ARP.0005.01.2023.GOV.HRA.PE</t>
  </si>
  <si>
    <t>C.008-ARP.0046.05.2024.GOV.FES-PE.PE</t>
  </si>
  <si>
    <t>C.050-ARPC.0006.00.2024.GOV.SAD.PE</t>
  </si>
  <si>
    <t>C.002-ARP.0005.07.2023.GOV.HRA.PE</t>
  </si>
  <si>
    <t>C.002-ARP.0005.10.2023.GOV.HRA.PE</t>
  </si>
  <si>
    <t>C.046-ARPC.0006.00.2024.GOV.SAD.PE</t>
  </si>
  <si>
    <t>C.002-ARP.0046.05.2024.GOV.FES-PE.PE</t>
  </si>
  <si>
    <t>C.036-ARPC.0007.00.2024.GOV.SAD.PE</t>
  </si>
  <si>
    <t>C.026-ARPC.0007.00.2024.GOV.SAD.PE</t>
  </si>
  <si>
    <t>C.001-ARP.0040.03.2024.GOV.FES-PE.PE</t>
  </si>
  <si>
    <t>C.001-ARP.0040.04.2024.GOV.FES-PE.PE</t>
  </si>
  <si>
    <t>C.025-ARPC.0003.00.2024.GOV.SAD.PE</t>
  </si>
  <si>
    <t>Registro de Preços Corporativo para o fornecimento eventual de MATERIAL DE LIMPEZA, visando atender as necessidades dos órgãos da Administração Direta, Autarquias e Fundações Públicas integrantes do Poder Executivo do Estado de Pernambuco</t>
  </si>
  <si>
    <t>C.007-ARPC.0018.00.2023.GOV.SAD.PE</t>
  </si>
  <si>
    <t>Registro de preços corporativo para a eventual aquisição de Material Médico-Hospitalar(kit cirúrgico), para atender ás demandas dos órgãos da Administração Direta, Autarquias e Fundações Públicas integrantes do Poder Executivo do Estado de Pernambuco.</t>
  </si>
  <si>
    <t>C.008-ARP.0025.04.2024.GOV.FES-PE.PE</t>
  </si>
  <si>
    <t>C.008-ARP.0024.01.2024.GOV.FES-PE.PE</t>
  </si>
  <si>
    <t>C.001-ARP.0037.00.2024.GOV.FES-PE.PE</t>
  </si>
  <si>
    <t>C.010-ARP.0018.00.2024.GOV.FES-PE.PE</t>
  </si>
  <si>
    <t>C.041-ARPC.0008.00.2023.GOV.SAD.PE</t>
  </si>
  <si>
    <t>Registro de Preços Corporativo para o fornecimento de aparelhos condicionadores de ar, conforme especificações e quantitativos previstos no Termo de Referência (Anexo I), para atender às demandas dos órgãos participantes indicados no mencionado Anexo</t>
  </si>
  <si>
    <t>C.004-ARP.0005.08.2023.GOV.HRA.PE</t>
  </si>
  <si>
    <t>C.003-ARP.0005.08.2023.GOV.HRA.PE</t>
  </si>
  <si>
    <t>C.100-ARPC.0026.00.2023.GOV.SAD.PE</t>
  </si>
  <si>
    <t>C.023-ARPC.0003.00.2024.GOV.SAD.PE</t>
  </si>
  <si>
    <t>C.009-ARPC.0006.00.2024.GOV.SAD.PE</t>
  </si>
  <si>
    <t>C.001-ARP.0001.00.2024.GOV.HRA.PE</t>
  </si>
  <si>
    <t>PREGÃO ELETRÔNICO para Registro de Preços para contratação de prestação de serviços de LOCAÇÃO DE EQUIPAMENTO DE EXAMES LABORATORIAIS-DO TIPO ANALISADOR QUÍMICO, visando atender as necessidades do Hospital Regional do Agreste</t>
  </si>
  <si>
    <t>2300001216.000021/2023-35</t>
  </si>
  <si>
    <t>-</t>
  </si>
  <si>
    <t>C.003-ARP.0005.05.2023.GOV.HRA.PE</t>
  </si>
  <si>
    <t>C.003-ARP.0005.04.2023.GOV.HRA.PE</t>
  </si>
  <si>
    <t>C.003-ARP.0005.00.2023.GOV.HRA.PE</t>
  </si>
  <si>
    <t>C.004-ARP.0003.06.2023.GOV.HRA.PE</t>
  </si>
  <si>
    <t>REGISTRO DE PREÇOS PARA AQUISIÇÃO DE MEDICAMENTOS EM GERAL VI</t>
  </si>
  <si>
    <t>C.005-ARP.0003.05.2023.GOV.HRA.PE</t>
  </si>
  <si>
    <t>C.005-ARP.0003.04.2023.GOV.HRA.PE</t>
  </si>
  <si>
    <t>C.007-ARP.0003.08.2023.GOV.HRA.PE</t>
  </si>
  <si>
    <t>C.002-ARPC.0005.00.2024.GOV.SAD.PE</t>
  </si>
  <si>
    <t>C.001-ARPC.0005.00.2024.GOV.SAD.PE</t>
  </si>
  <si>
    <t>2300001213.000109/2024-68</t>
  </si>
  <si>
    <t>ITEM RECEBIDO E PAGO</t>
  </si>
  <si>
    <t>C.003-ARP.0025.06.2024.GOV.FES-PE.PE</t>
  </si>
  <si>
    <t>2300001213.000111/2024-37</t>
  </si>
  <si>
    <t>C.002-ARP.0025.03.2024.GOV.FES-PE.PE</t>
  </si>
  <si>
    <t>2300001213.000110/2024-92</t>
  </si>
  <si>
    <t>C.001-ARP.0025.02.2024.GOV.FES-PE.PE</t>
  </si>
  <si>
    <t>2300001213.000108/2024-13</t>
  </si>
  <si>
    <t>C.002-ARP.0025.01.2024.GOV.FES-PE.PE</t>
  </si>
  <si>
    <t>2300001213.000107/2024-79</t>
  </si>
  <si>
    <t>C.002-ARP.0018.06.2024.GOV.FES-PE.PE</t>
  </si>
  <si>
    <t>2300001213.000106/2024-24</t>
  </si>
  <si>
    <t>ITEM NÃO FOI RECEBIDO</t>
  </si>
  <si>
    <t>C.003-ARP.0018.01.2024.GOV.FES-PE.PE</t>
  </si>
  <si>
    <t>2300001213.000105/2024-80</t>
  </si>
  <si>
    <t>C.003-ARP.0018.00.2024.GOV.FES-PE.PE</t>
  </si>
  <si>
    <t>2300001213.000129/2024-39</t>
  </si>
  <si>
    <t>C.002-ARP.0005.08.2023.GOV.HRA.PE</t>
  </si>
  <si>
    <t>C.006-ARP.0003.08.2023.GOV.HRA.PE</t>
  </si>
  <si>
    <t>C.008-ARP.0003.02.2023.GOV.HRA.PE</t>
  </si>
  <si>
    <t>REGISTRO DE PREÇOS PARA O FORNECIMENTO DE DISPOSITIVOS MÉDICOS, DO TIPO INSUMOS PARA OSTOMIA</t>
  </si>
  <si>
    <t>C.006-ARP.0017.04.2025.GOV.FES-PE.PE</t>
  </si>
  <si>
    <t>2300001207.000062/2025-01</t>
  </si>
  <si>
    <t>CANCELAR CONSUMO - ATA CCD</t>
  </si>
  <si>
    <t>A.002-ARP.0189.00.2025.GOV.HUOC.PE</t>
  </si>
  <si>
    <t>Registro de Preços para o eventual fornecimento de MEDICAMENTOS ANTI-INFLAMATÓRIOS ESTEROIDAIS E NÃO ESTEROIDAIS (SEI nº 0040609437.000105/2025-52)</t>
  </si>
  <si>
    <t>2300001213.000432/2025-12</t>
  </si>
  <si>
    <t>A.014-ARP.0004.00.2025.GOV.HR.PE</t>
  </si>
  <si>
    <t xml:space="preserve">Formação de Ata de Registro de Preços para o fornecimento eventual de produtos médicos (MATERIAL MÉDICO HOSPITALAR), com cessão de equipamentos em regime de comodato, visando atender as necessidades do Hospital da Restauração Gov. Paulo Guerra.	</t>
  </si>
  <si>
    <t xml:space="preserve">2300002942.000008/2025-04
</t>
  </si>
  <si>
    <t>C.005-ARP.0077.07.2025.GOV.FES-PE.PE</t>
  </si>
  <si>
    <t>Aquisição eventual de Dispositivos Médicos do tipo: Antissépticos, Desinfetantes e Saneantes - Grupo 2</t>
  </si>
  <si>
    <t>2300002942.000007/2025-51</t>
  </si>
  <si>
    <t>C.006-ARP.0010.03.2025.GOV.FES-PE.PE</t>
  </si>
  <si>
    <t>Enviado a NAEN</t>
  </si>
  <si>
    <t xml:space="preserve">2300002942.000006/2025-15
</t>
  </si>
  <si>
    <t>A.013-ARP.0013.02.2025.GOV.HOF.PE</t>
  </si>
  <si>
    <t>A.026-ARP.0005.12.2025.GOV.HEMOPE.PE</t>
  </si>
  <si>
    <t>Aquisição eventual de
MEDICAMENTOS COMPRIMIDOS GRUPO 4 (ISOSSORBIDA, DINITRATO)</t>
  </si>
  <si>
    <t>2300001213.000406/2025-94</t>
  </si>
  <si>
    <t>Aquisição eventual de Dispositivos Médicos do tipo: Antissépticos, Desinfetantes e Saneantes - Grupo 2 (EMBALAGENS DESCARTAVEIS PARA ESTERILIZACOES)</t>
  </si>
  <si>
    <t>Aquisição eventual de MEDICAMENTOS COMPRIMIDOS GRUPO 4 (IBUPROFENO)</t>
  </si>
  <si>
    <t>C.002-ARP.0030.03.2025.GOV.CISAM.PE</t>
  </si>
  <si>
    <t>Fornecimento eventual de MEDICAMENTOS (Aciclovir, Albendazol, Amiodarona e Carbamazepina)</t>
  </si>
  <si>
    <t>2300001213.000316/2025-01</t>
  </si>
  <si>
    <t>Aquisição eventual de medicamento (FITOMENADIONA, VITAMINAS DO COMPLEXO B)</t>
  </si>
  <si>
    <t xml:space="preserve"> SC - 530409000232025000023</t>
  </si>
  <si>
    <t>Compra Direta</t>
  </si>
  <si>
    <t>Formação de Compra Direta para aquisição de  MATERIAL PARA ACONDICIONAMENTO E EMBALAGEM</t>
  </si>
  <si>
    <t>2300001213.000331/2025-41</t>
  </si>
  <si>
    <t>C.012-ARP.0008.01.2025.GOV.HAM.PE</t>
  </si>
  <si>
    <t>Formação de Registro de Preços para o fornecimento eventual de solução parenteral</t>
  </si>
  <si>
    <t>2300002747.000050/2025-23</t>
  </si>
  <si>
    <t>Formação de Registro de Preços para o fornecimento eventual de MMH (GRUPO 8), visando atender as necessidades dos hospitais e estabelecimentos da rede estadual de saúde de Pernambuco.</t>
  </si>
  <si>
    <t>2300001213.000395/2025-42</t>
  </si>
  <si>
    <t>SC-530409000232025000010</t>
  </si>
  <si>
    <t>SERVICO DE CONFECCAO DE CARTAO DE IDENTIFICAO - DO TIPO CRACHA</t>
  </si>
  <si>
    <t>2300001212.000338/2025-73</t>
  </si>
  <si>
    <t>AQUISIÇÃO DE MEDICAMENTOS ANTIBACTERIANOS INJETÁVEIS</t>
  </si>
  <si>
    <t>ARP.0036.00.2024.GOV.HR.PE</t>
  </si>
  <si>
    <t>aquisição eventual de
MEDICAMENTOS (BOLSAS MANIPULADAS PARA NUTRIÇÃO PARENTERAL)</t>
  </si>
  <si>
    <t>2300001213.000416/2025-20</t>
  </si>
  <si>
    <t>eventual aquisição de sondas
urinárias</t>
  </si>
  <si>
    <t>ARP.0020.04.2023.GOV.HEMOPE.PE</t>
  </si>
  <si>
    <t>Processo 2023</t>
  </si>
  <si>
    <t>ARP.0006.12.2023.GOV.HAM.PE</t>
  </si>
  <si>
    <t>ARP.0061.00.2022.GOV.HAM.PE</t>
  </si>
  <si>
    <t>ARP.0072.05.2022.GOV.HAM.PE</t>
  </si>
  <si>
    <t>ARP.0072.00.2022.GOV.HAM.PE</t>
  </si>
  <si>
    <t>2300001213.000319/2025-37</t>
  </si>
  <si>
    <t>2300001205.000144/2025-67</t>
  </si>
  <si>
    <t>SC-530409000232025000032</t>
  </si>
  <si>
    <t>Dispensa de licitação</t>
  </si>
  <si>
    <t>2300002946.000001/2025-44</t>
  </si>
  <si>
    <t xml:space="preserve">	FORMAÇÃO DE REGISTRO DE PREÇOS PARA O FORNECIMENTO DE DISPOSITIVOS MÉDICOS, DO TIPO INSUMOS PARA OSTOMIA, VISANDO ATENDER AS NECESSIDADES DOS HOSPITAIS E ESTABELECIMENTOS VINCULADOS À SECRETARIA ESTADUAL DE SAÚDE DE PERNAMBUCO</t>
  </si>
  <si>
    <t>FORMAÇÃO DE REGISTRO DE PREÇOS PARA O FORNECIMENTO DE DISPOSITIVOS MÉDICOS, DO TIPO BOLSAS PARA OSTOMIA, VISANDO ATENDER AS
NECESSIDADES DOS HOSPITAIS E ESTABELECIMENTOS VINCULADOS À SECRETARIA ESTADUAL DE SAÚDE DE PERNAMBUCO.</t>
  </si>
  <si>
    <t>STATUS</t>
  </si>
  <si>
    <t>Número da solicitação</t>
  </si>
  <si>
    <t>Data de solicitação</t>
  </si>
  <si>
    <t>Situação</t>
  </si>
  <si>
    <t>ENCAMINHADO  /  SETOR</t>
  </si>
  <si>
    <t>DATA DO ENCAMINHAMENTO</t>
  </si>
  <si>
    <t>VALOR</t>
  </si>
  <si>
    <t>ARP.0099.00.2025.GOV.FES-PE.PE</t>
  </si>
  <si>
    <t>Autorizada Sucesso</t>
  </si>
  <si>
    <t>GCONTRATOS</t>
  </si>
  <si>
    <t>AGUARDANDO EMPENHO</t>
  </si>
  <si>
    <t>ARPC.0039.00.2025.GOV.SAD.PE</t>
  </si>
  <si>
    <t>ARP.0049.03.2025.GOV.FES-PE.PE</t>
  </si>
  <si>
    <t>22/102025</t>
  </si>
  <si>
    <t>ARP.0049.01.2025.GOV.FES-PE.PE</t>
  </si>
  <si>
    <t>2300001213.000408/2025-83</t>
  </si>
  <si>
    <t>ARP.0049.04.2025.GOV.FES-PE.PE</t>
  </si>
  <si>
    <t>ARP.0008.01.2025.GOV.HAM.PE</t>
  </si>
  <si>
    <t>Não Localizado</t>
  </si>
  <si>
    <t>ARP.0067.01.2025.GOV.FES-PE.PE</t>
  </si>
  <si>
    <t>ARP.0077.01.2025.GOV.FES-PE.PE</t>
  </si>
  <si>
    <t>ARP.0044.04.2025.GOV.FES-PE.PE</t>
  </si>
  <si>
    <t>ARP.0044.02.2025.GOV.FES-PE.PE</t>
  </si>
  <si>
    <t>Autorizada Integrado</t>
  </si>
  <si>
    <t>ARP.0022.02.2024.GOV.HOF.PE</t>
  </si>
  <si>
    <t>ARP.0001.00.2024.FES-PE.PE</t>
  </si>
  <si>
    <t>ARP.0070.03.2025.GOV.FES-PE.PE</t>
  </si>
  <si>
    <t>ARP.0079.01.2025.GOV.FES-PE.PE</t>
  </si>
  <si>
    <t>ARP.0079.00.2025.GOV.FES-PE.PE</t>
  </si>
  <si>
    <t>ARP.0079.14.2025.GOV.FES-PE.PE</t>
  </si>
  <si>
    <t>ARP.0068.04.2025.GOV.FES-PE.PE</t>
  </si>
  <si>
    <t>ARP.0068.01.2025.GOV.FES-PE.PE</t>
  </si>
  <si>
    <t>ARP.0068.00.2025.GOV.FES-PE.PE</t>
  </si>
  <si>
    <t>ARP.0011.03.2025.GOV.HGV.PE</t>
  </si>
  <si>
    <t>juridico</t>
  </si>
  <si>
    <t>ARP.0079.04.2025.GOV.FES-PE.PE</t>
  </si>
  <si>
    <t>ARP.0044.06.2025.GOV.FES-PE.PE</t>
  </si>
  <si>
    <t>ARP.0016.03.2025.GOV.FES-PE.PE</t>
  </si>
  <si>
    <t>ARP.0009.00.2025.GOV.FES-PE.PE</t>
  </si>
  <si>
    <t>ORDEM DE FORNECIMENTO</t>
  </si>
  <si>
    <t>ARP.0011.02.2025.GOV.HGV.PE</t>
  </si>
  <si>
    <t>ARP.0077.00.2025.GOV.FES-PE.PE</t>
  </si>
  <si>
    <t>ARP.0053.02.2025.GOV.FES-PE.PE</t>
  </si>
  <si>
    <t>ARP.0011.01.2025.GOV.HGV.PE</t>
  </si>
  <si>
    <t>ARP.0087.02.2024.GOV.CISAM.PE</t>
  </si>
  <si>
    <t>nfo</t>
  </si>
  <si>
    <t>ARP.0006.03.2025.GOV.CISAM.PE</t>
  </si>
  <si>
    <t>ARP.0064.02.2024.GOV.FES-PE.PE</t>
  </si>
  <si>
    <t>ARP.0073.01.2025.GOV.FES-PE.PE</t>
  </si>
  <si>
    <t>ARP.0073.00.2025.GOV.FES-PE.PE</t>
  </si>
  <si>
    <t>ARP.0045.00.2025.GOV.FES-PE.PE</t>
  </si>
  <si>
    <t>ARP.0015.06.2025.GOV.FES-PE.PE</t>
  </si>
  <si>
    <t>ARP.0012.07.2025.GOV.HAM.PE</t>
  </si>
  <si>
    <t>ARP.0067.03.2025.GOV.FES-PE.PE</t>
  </si>
  <si>
    <t>ARP.0049.02.2025.GOV.FES-PE.PE</t>
  </si>
  <si>
    <t>ARP.0067.06.2025.GOV.FES-PE.PE</t>
  </si>
  <si>
    <t>ARP.0010.05.2025.GOV.FES-PE.PE</t>
  </si>
  <si>
    <t>ARP.0006.00.2025.GOV.CISAM.PE</t>
  </si>
  <si>
    <t>nof</t>
  </si>
  <si>
    <t>ARP.0006.01.2025.GOV.CISAM.PE</t>
  </si>
  <si>
    <t>ARP.0021.01.2024.GOV.HOF.PE</t>
  </si>
  <si>
    <t>gcontratos</t>
  </si>
  <si>
    <t>ARP.0083.06.2024.GOV.FES-PE.PE</t>
  </si>
  <si>
    <t>Autorizada</t>
  </si>
  <si>
    <t>ARP.0021.06.2024.GOV.HOF.PE</t>
  </si>
  <si>
    <t>ARP.0021.11.2024.GOV.HOF.PE</t>
  </si>
  <si>
    <t>ARP.0009.01.2025.GOV.FES-PE.PE</t>
  </si>
  <si>
    <t>ARP.0083.05.2024.GOV.FES-PE.PE</t>
  </si>
  <si>
    <t>ARP.0063.00.2024.GOV.FES-PE.PE</t>
  </si>
  <si>
    <t>ARP.0061.02.2024.GOV.FES-PE.PE</t>
  </si>
  <si>
    <t>ARP.0063.10.2024.GOV.FES-PE.PE</t>
  </si>
  <si>
    <t>ARP.0017.03.2024.GOV.HOF.PE</t>
  </si>
  <si>
    <t>ARP.0061.00.2024.GOV.FES-PE.PE</t>
  </si>
  <si>
    <t>ARP.0047.00.2025.GOV.FES-PE.PE</t>
  </si>
  <si>
    <t>ARP.0052.03.2024.GOV.FES-PE.PE</t>
  </si>
  <si>
    <t>ARP.0058.00.2024.GOV.FES-PE.PE</t>
  </si>
  <si>
    <t>ARP.0097.04.2024.GOV.FES-PE.PE</t>
  </si>
  <si>
    <t>ARP.0052.12.2024.GOV.CISAM.PE</t>
  </si>
  <si>
    <t>ARP.0052.11.2024.GOV.CISAM.PE</t>
  </si>
  <si>
    <t>ARP.0021.12.2024.GOV.HOF.PE</t>
  </si>
  <si>
    <t>ARP.0003.00.2025.GOV.DASIS.PE</t>
  </si>
  <si>
    <t>ARP.0046.01.2024.GOV.FES-PE.PE</t>
  </si>
  <si>
    <t>ARP.0046.02.2024.GOV.FES-PE.PE</t>
  </si>
  <si>
    <t>ARP.0059.02.2025.GOV.FES-PE.PE</t>
  </si>
  <si>
    <t>ARP.0059.00.2025.GOV.FES-PE.PE</t>
  </si>
  <si>
    <t>ARP.0021.03.2024.GOV.HOF.PE</t>
  </si>
  <si>
    <t>ARP.0021.00.2024.GOV.HOF.PE</t>
  </si>
  <si>
    <t>ARP.0036.10.2025.GOV.FES-PE.PE</t>
  </si>
  <si>
    <t>ARP.0031.02.2025.GOV.FES-PE.PE</t>
  </si>
  <si>
    <t>ARP.0054.07.2025.GOV.FES-PE.PE</t>
  </si>
  <si>
    <t>ARP.0009.02.2025.GOV.FES-PE.PE</t>
  </si>
  <si>
    <t>ARP.0064.01.2024.GOV.FES-PE.PE</t>
  </si>
  <si>
    <t>ARP.0022.01.2025.GOV.FES-PE.PE</t>
  </si>
  <si>
    <t>ARP.0006.02.2025.GOV.HOF.PE</t>
  </si>
  <si>
    <t>ARP.0048.03.2025.GOV.FES-PE.PE</t>
  </si>
  <si>
    <t>ARP.0048.02.2025.GOV.FES-PE.PE</t>
  </si>
  <si>
    <t>ARP.0005.01.2025.GOV.FES-PE.PE</t>
  </si>
  <si>
    <t>ARP.0048.01.2025.GOV.FES-PE.PE</t>
  </si>
  <si>
    <t>ARP.0048.00.2025.GOV.FES-PE.PE</t>
  </si>
  <si>
    <t>ARP.0010.00.2025.GOV.CISAM.PE</t>
  </si>
  <si>
    <t>ARPC.0001.00.2025.GOV.SAD.PE</t>
  </si>
  <si>
    <t>ARPC.0011.00.2025.GOV.SAD.PE</t>
  </si>
  <si>
    <t>ARPC.0002.00.2025.GOV.SAD.PE</t>
  </si>
  <si>
    <t>ARP.0034.00.2025.GOV.FES-PE.PE</t>
  </si>
  <si>
    <t>ARP.0003.01.2025.GOV.FES-PE.PE</t>
  </si>
  <si>
    <t>ARP.0028.02.2025.GOV.FES-PE.PE</t>
  </si>
  <si>
    <t>ARP.0022.03.2025.GOV.FES-PE.PE</t>
  </si>
  <si>
    <t>ARP.0022.02.2025.GOV.FES-PE.PE</t>
  </si>
  <si>
    <t>ARP.0027.00.2025.GOV.FES-PE.PE</t>
  </si>
  <si>
    <t>ARP.0027.01.2025.GOV.FES-PE.PE</t>
  </si>
  <si>
    <t>ARP.0027.04.2025.GOV.FES-PE.PE</t>
  </si>
  <si>
    <t>ARP.0027.05.2025.GOV.FES-PE.PE</t>
  </si>
  <si>
    <t>ARP.0027.06.2025.GOV.FES-PE.PE</t>
  </si>
  <si>
    <t>ARP.0021.05.2025.GOV.FES-PE.PE</t>
  </si>
  <si>
    <t>ARP.0021.03.2025.GOV.FES-PE.PE</t>
  </si>
  <si>
    <t>ARP.0021.02.2025.GOV.FES-PE.PE</t>
  </si>
  <si>
    <t>ARP.0018.02.2025.GOV.FES-PE.PE</t>
  </si>
  <si>
    <t>ARP.0018.01.2025.GOV.FES-PE.PE</t>
  </si>
  <si>
    <t>ARP.0017.06.2025.GOV.FES-PE.PE</t>
  </si>
  <si>
    <t>ARP.0013.04.2025.GOV.FES-PE.PE</t>
  </si>
  <si>
    <t>ARP.0013.02.2025.GOV.FES-PE.PE</t>
  </si>
  <si>
    <t>ARP.0013.01.2025.GOV.FES-PE.PE</t>
  </si>
  <si>
    <t>ARP.0012.02.2025.GOV.FES-PE.PE</t>
  </si>
  <si>
    <t>ARP.0012.05.2025.GOV.FES-PE.PE</t>
  </si>
  <si>
    <t>ARP.0012.01.2025.GOV.FES-PE.PE</t>
  </si>
  <si>
    <t>ARP.0012.00.2025.GOV.FES-PE.PE</t>
  </si>
  <si>
    <t>ARP.0010.04.2025.GOV.FES-PE.PE</t>
  </si>
  <si>
    <t>ARP.0015.03.2025.GOV.FES-PE.PE</t>
  </si>
  <si>
    <t>ARP.0015.00.2025.GOV.FES-PE.PE</t>
  </si>
  <si>
    <t>ARP.0046.00.2024.GOV.FES-PE.PE</t>
  </si>
  <si>
    <t>ARP.0100.03.2024.GOV.FES-PE.PE</t>
  </si>
  <si>
    <t>ARP.0005.02.2025.GOV.FES-PE.PE</t>
  </si>
  <si>
    <t>ARP.0005.00.2025.GOV.FES-PE.PE</t>
  </si>
  <si>
    <t>ARP.0099.00.2024.GOV.FES-PE.PE</t>
  </si>
  <si>
    <t>ARP.0002.00.2025.GOV.CISAM.PE</t>
  </si>
  <si>
    <t>ARP.0015.05.2025.GOV.FES-PE.PE</t>
  </si>
  <si>
    <t>ARP.0010.03.2025.GOV.FES-PE.PE</t>
  </si>
  <si>
    <t>ARPC.0019.00.2024.GOV.SAD.PE</t>
  </si>
  <si>
    <t>ARP.0016.00.2025.GOV.FES-PE.PE</t>
  </si>
  <si>
    <t>ARP.0014.02.2025.GOV.FES-PE.PE</t>
  </si>
  <si>
    <t>ARP.0092.00.2024.GOV.FES-PE.PE</t>
  </si>
  <si>
    <t>ARP.0001.00.2025.GOV.HOF.PE</t>
  </si>
  <si>
    <t>ARP.0100.02.2024.GOV.FES-PE.PE</t>
  </si>
  <si>
    <t>ARP.0099.04.2024.GOV.FES-PE.PE</t>
  </si>
  <si>
    <t>ARP.0099.03.2024.GOV.FES-PE.PE</t>
  </si>
  <si>
    <t>ARP.0099.02.2024.GOV.FES-PE.PE</t>
  </si>
  <si>
    <t>ARP.0098.02.2024.GOV.FES-PE.PE</t>
  </si>
  <si>
    <t>ARP.0098.04.2024.GOV.FES-PE.PE</t>
  </si>
  <si>
    <t>ARP.0098.01.2024.GOV.FES-PE.PE</t>
  </si>
  <si>
    <t>ARP.0098.00.2024.GOV.FES-PE.PE</t>
  </si>
  <si>
    <t>A.008-ARP.0001.00.2025.GOV.HR.PE</t>
  </si>
  <si>
    <t>ARP.0001.00.2025.GOV.HR.PE</t>
  </si>
  <si>
    <t>2300002944.000003/2025-53</t>
  </si>
  <si>
    <t>ARP.0102.01.2025.GOV.HUOC.PE</t>
  </si>
  <si>
    <t>ARP.0021.00.2025.GOV.HOF.PE</t>
  </si>
  <si>
    <t>ARP.0020.00.2024.GOV.HOF.PE</t>
  </si>
  <si>
    <t>ARP.0001.01.2025.GOV.HUOC.PE</t>
  </si>
  <si>
    <t>ARP.0089.06.2025.GOV.HUOC.PE</t>
  </si>
  <si>
    <t>ARP.0017.00.2025.EXT.131763.PB</t>
  </si>
  <si>
    <t>ARP.0006.03.2025.GOV.PROCAPE.PE</t>
  </si>
  <si>
    <t>NOF</t>
  </si>
  <si>
    <t>ARP.0118.05.2024.GOV.HUOC.PE</t>
  </si>
  <si>
    <t>ARP.0118.01.2024.GOV.HUOC.PE</t>
  </si>
  <si>
    <t>ARP.0009.03.2025.GOV.HGV.PE</t>
  </si>
  <si>
    <t>ARP.0051.04.2025.GOV.PROCAPE.PE</t>
  </si>
  <si>
    <t>ARP.0119.01.2024.GOV.HUOC.PE</t>
  </si>
  <si>
    <t>ARP.0084.05.2024.GOV.CISAM.PE</t>
  </si>
  <si>
    <t>ARP.0005.00.2025.GOV.FEAS.PE</t>
  </si>
  <si>
    <t>ARP.0045.02.2025.GOV.PROCAPE.PE</t>
  </si>
  <si>
    <t>ARP.0072.07.2025.GOV.HUOC.PE</t>
  </si>
  <si>
    <t>ARP.0009.02.2025.GOV.HGV.PE</t>
  </si>
  <si>
    <t>ARP.0011.00.2025.GOV.HAM.PE</t>
  </si>
  <si>
    <t>ARP.0008.02.2025.GOV.HGV.PE</t>
  </si>
  <si>
    <t>Núcleo de Farmácia, Ostomizados, Comissão de Pele e OPME do Hospital Regional do Agreste</t>
  </si>
  <si>
    <t>ARP.1190.00.2025.EXT.158552.PB</t>
  </si>
  <si>
    <t>ARP.0073.05.2025.GOV.HUOC.PE</t>
  </si>
  <si>
    <t>ARP.0080.00.2025.GOV.FES-PE.PE</t>
  </si>
  <si>
    <t>ARP.0012.02.2025.GOV.HUOC.PE</t>
  </si>
  <si>
    <t>ARP.0122.00.2025.GOV.HUOC.PE</t>
  </si>
  <si>
    <t>ARP.0079.00.2025.GOV.HUOC.PE</t>
  </si>
  <si>
    <t>ARP.0079.03.2025.GOV.HUOC.PE</t>
  </si>
  <si>
    <t>ARP.0010.02.2025.GOV.HOF.PE</t>
  </si>
  <si>
    <t>ARP.0038.02.2025.GOV.HUOC.PE</t>
  </si>
  <si>
    <t>ARP.0100.00.2024.GOV.HUOC.PE</t>
  </si>
  <si>
    <t>ARP.0004.00.2025.GOV.HR.PE</t>
  </si>
  <si>
    <t>ARP.0005.00.2025.EXT.136144.ES</t>
  </si>
  <si>
    <t>ARP.0501.00.2025.EXT.HGJMM.RN</t>
  </si>
  <si>
    <t>ARP.0011.02.2025.GOV.HEMOPE.PE</t>
  </si>
  <si>
    <t>ARP.0059.02.2025.GOV.PROCAPE.PE</t>
  </si>
  <si>
    <t>ARP.0045.00.2024.GOV.HR.PE</t>
  </si>
  <si>
    <t>ARP.0012.01.2025.GOV.HEMOPE.PE</t>
  </si>
  <si>
    <t>ARP.0328.01.2025.EXT.131763.PB</t>
  </si>
  <si>
    <t>ARP.0106.00.2025.GOV.HUOC.PE</t>
  </si>
  <si>
    <t>ARP.0015.00.2025.EXT.151289.RN</t>
  </si>
  <si>
    <t>ARP.0001.01.2025.EXT.CDE.RN</t>
  </si>
  <si>
    <t>ARP.0019.00.2025.EXT.131763.PB</t>
  </si>
  <si>
    <t>ARP.0010.00.2025.GOV.HR.PE</t>
  </si>
  <si>
    <t>ARP.0013.00.2024.GOV.HAM.PE</t>
  </si>
  <si>
    <t>ARP.0028.03.2025.GOV.PROCAPE.PE</t>
  </si>
  <si>
    <t>ARP.0093.00.2024.GOV.CISAM.PE</t>
  </si>
  <si>
    <t>ARP.0090.04.2025.GOV.HUOC.PE</t>
  </si>
  <si>
    <t>ARP.0038.03.2025.GOV.HUOC.PE</t>
  </si>
  <si>
    <t>ARP.0082.06.2025.GOV.HUOC.PE</t>
  </si>
  <si>
    <t>ARP.0002.00.2025.GOV.FES-PE.PE</t>
  </si>
  <si>
    <t>ARP.0106.02.2025.GOV.HUOC.PE</t>
  </si>
  <si>
    <t>ARP.0010.02.2025.EXT.HMAR.PE</t>
  </si>
  <si>
    <t>ARP.0014.00.2025.GOV.HR.PE</t>
  </si>
  <si>
    <t>ARP.0010.02.2025.GOV.HAM.PE</t>
  </si>
  <si>
    <t>ARP.0103.06.2024.GOV.PROCAPE.PE</t>
  </si>
  <si>
    <t>ARP.1215.00.2025.EXT.131763.PB</t>
  </si>
  <si>
    <t>naen</t>
  </si>
  <si>
    <t>ARP.0012.00.2025.EXT.131763.PB</t>
  </si>
  <si>
    <t>ARP.1309.00.2025.EXT.131763.PB</t>
  </si>
  <si>
    <t>ARP.0031.00.2024.GOV.HR.PE</t>
  </si>
  <si>
    <t>ARP.0011.00.2025.GOV.FES-PE.PE</t>
  </si>
  <si>
    <t>ARP.0088.04.2024.GOV.HUOC.PE</t>
  </si>
  <si>
    <t>ARP.0038.01.2025.GOV.HUOC.PE</t>
  </si>
  <si>
    <t>ARP.0119.04.2024.GOV.HUOC.PE</t>
  </si>
  <si>
    <t>ARP.0110.02.2024.GOV.HUOC.PE</t>
  </si>
  <si>
    <t>ARP.1256.00.2024.EXT.RN</t>
  </si>
  <si>
    <t>ARP.0005.01.2025.GOV.HEMOPE.PE</t>
  </si>
  <si>
    <t>ARP.0074.00.2024.GOV.FES-PE.PE</t>
  </si>
  <si>
    <t xml:space="preserve">nof </t>
  </si>
  <si>
    <t>ARP.0041.00.2024.GOV.HR.PE</t>
  </si>
  <si>
    <t>ARP.0005.12.2025.GOV.HEMOPE.PE</t>
  </si>
  <si>
    <t>ARP.0012.00.2025.GOV.CISAM.PE</t>
  </si>
  <si>
    <t>ARP.0076.04.2024.GOV.PROCAPE.PE</t>
  </si>
  <si>
    <t>2300001213.000216/2025-77</t>
  </si>
  <si>
    <t>ARP.0090.01.2024.GOV.PROCAPE.PE</t>
  </si>
  <si>
    <t>ARP.0080.02.2024.GOV.CISAM.PE</t>
  </si>
  <si>
    <t>ARP.0003.00.2025.GOV.HGV.PE</t>
  </si>
  <si>
    <t>ARP.0064.01.2025.GOV.HUOC.PE</t>
  </si>
  <si>
    <t>ARP.0077.00.2024.GOV.HUOC.PE</t>
  </si>
  <si>
    <t>ARP.0007.00.2025.GOV.HEMOPE.PE</t>
  </si>
  <si>
    <t>ARP.0001.02.2025.GOV.DASIS.PE</t>
  </si>
  <si>
    <t>ARP.0038.05.2025.GOV.HUOC.PE</t>
  </si>
  <si>
    <t>ARP.0010.02.2025.GOV.FES-PE.PE</t>
  </si>
  <si>
    <t>ARP.0005.09.2025.GOV.PROCAPE.PE</t>
  </si>
  <si>
    <t>ARP.0001.08.2025.GOV.HUOC.PE</t>
  </si>
  <si>
    <t>ARP.0108.01.2024.GOV.HUOC.PE</t>
  </si>
  <si>
    <t>ARP.0011.00.2025.GOV.HR.PE</t>
  </si>
  <si>
    <t>ARP.0076.01.2024.GOV.PROCAPE.PE</t>
  </si>
  <si>
    <t>ARP.0084.05.2024.GOV.PROCAPE.PE</t>
  </si>
  <si>
    <t>ARP.0010.01.2025.GOV.HGV.PE</t>
  </si>
  <si>
    <t>ARP.0029.06.2025.GOV.PROCAPE.PE</t>
  </si>
  <si>
    <t>ARP.0004.00.2025.EXT.161458.BA</t>
  </si>
  <si>
    <t>ARP.0004.00.2025.GOV.PROCAPE.PE</t>
  </si>
  <si>
    <t>ARP.0084.02.2024.GOV.FES-PE.PE</t>
  </si>
  <si>
    <t>ARP.0051.00.2025.GOV.PROCAPE.PE</t>
  </si>
  <si>
    <t>ARP.0034.00.2025.GOV.HUOC.PE</t>
  </si>
  <si>
    <t>ARP.0008.05.2025.GOV.HGV.PE</t>
  </si>
  <si>
    <t>ARP.0078.02.2024.GOV.HUOC.PE</t>
  </si>
  <si>
    <t>ARP.0017.00.2025.GOV.HOF.PE</t>
  </si>
  <si>
    <t>ARP.0013.06.2025.GOV.HOF.PE</t>
  </si>
  <si>
    <t>ARP.0006.00.2025.GOV.HR.PE</t>
  </si>
  <si>
    <t>ARP.0103.00.2024.GOV.PROCAPE.PE</t>
  </si>
  <si>
    <t>ARP.0006.06.2025.GOV.PROCAPE.PE</t>
  </si>
  <si>
    <t>ARP.0044.00.2024.GOV.HR.PE</t>
  </si>
  <si>
    <t>ARP.0070.00.2024.GOV.HUOC.PE</t>
  </si>
  <si>
    <t>CANCELADO</t>
  </si>
  <si>
    <t>ATA VENCIDA</t>
  </si>
  <si>
    <t>ARP.0028.06.2024.GOV.HEMOPE.PE</t>
  </si>
  <si>
    <t>SOLICITAÇÃO DO FORNECEDOR</t>
  </si>
  <si>
    <t>ARP.0002.02.2025.GOV.HEMOPE.PE</t>
  </si>
  <si>
    <t>ARP.0020.03.2024.GOV.HAM.PE</t>
  </si>
  <si>
    <t>ARP.0027.02.2024.GOV.HEMOPE.PE</t>
  </si>
  <si>
    <t>ARP.0027.01.2024.GOV.HEMOPE.PE</t>
  </si>
  <si>
    <t>ARP.0009.00.2025.GOV.HGV.PE</t>
  </si>
  <si>
    <t>ARP.0012.00.2025.GOV.HUOC.PE</t>
  </si>
  <si>
    <t>ARP.0004.00.2025.GOV.HGV.PE</t>
  </si>
  <si>
    <t>ARP.0002.01.2025.GOV.HGV.PE</t>
  </si>
  <si>
    <t>ARP.0104.01.2024.GOV.HUOC.PE</t>
  </si>
  <si>
    <t>ARP.0028.00.2024.GOV.HR.PE</t>
  </si>
  <si>
    <t>ARP.0114.02.2024.GOV.HUOC.PE</t>
  </si>
  <si>
    <t>ARP.0020.00.2024.GOV.HGV.PE</t>
  </si>
  <si>
    <t>ARP.0006.04.2025.GOV.PROCAPE.PE</t>
  </si>
  <si>
    <t>ARP.0104.00.2024.GOV.HUOC.PE</t>
  </si>
  <si>
    <t>ARP.0015.00.2024.GOV.HGV.PE</t>
  </si>
  <si>
    <t>ARP.0093.03.2024.GOV.PROCAPE.PE</t>
  </si>
  <si>
    <t>ARP.0020.04.2024.GOV.HAM.PE</t>
  </si>
  <si>
    <t>ARP.0059.00.2024.GOV.CISAM.PE</t>
  </si>
  <si>
    <t>ARP.0109.00.2024.GOV.PROCAPE.PE</t>
  </si>
  <si>
    <t>ARP.0074.01.2024.GOV.HUOC.PE</t>
  </si>
  <si>
    <t>ARPC.0026.00.2024.GOV.SAD.PE</t>
  </si>
  <si>
    <t>ARP.0003.11.2025.GOV.PROCAPE.PE</t>
  </si>
  <si>
    <t>ARP.0008.00.2025.GOV.CISAM.PE</t>
  </si>
  <si>
    <t>ARPC.0007.01.2024.GOV.SAD.PE</t>
  </si>
  <si>
    <t>ARP.0066.02.2024.GOV.FES-PE.PE</t>
  </si>
  <si>
    <t>ARP.0033.00.2024.GOV.HR.PE</t>
  </si>
  <si>
    <t>ARP.0090.04.2024.GOV.PROCAPE.PE</t>
  </si>
  <si>
    <t>ARP.0091.06.2024.GOV.PROCAPE.PE</t>
  </si>
  <si>
    <t>ARP.1414.00.2024.EXT.AMGESP.AL</t>
  </si>
  <si>
    <t>ARP.0110.08.2024.GOV.HUOC.PE</t>
  </si>
  <si>
    <t>ARP.0004.01.2025.GOV.HGV.PE</t>
  </si>
  <si>
    <t>ARP.0005.05.2025.GOV.CISAM.PE</t>
  </si>
  <si>
    <t>ARP.0074.04.2024.GOV.HUOC.PE</t>
  </si>
  <si>
    <t>ARP.0011.00.2024.GOV.HGV.PE</t>
  </si>
  <si>
    <t>ARP.0021.00.2024.GOV.HGV.PE</t>
  </si>
  <si>
    <t>ARP.1291.00.2024.EXT.RS</t>
  </si>
  <si>
    <t>ARP.0003.01.2025.GOV.HUOC.PE</t>
  </si>
  <si>
    <t>ARP.1363.03.2024.EXT.HMAR.PE</t>
  </si>
  <si>
    <t>ARP.0106.08.2024.GOV.HUOC.PE</t>
  </si>
  <si>
    <t>ARP.0009.07.2024.GOV.SASSEPE.PE</t>
  </si>
  <si>
    <t>ARP.0076.02.2024.GOV.HUOC.PE</t>
  </si>
  <si>
    <t>ARP.0110.05.2024.GOV.HUOC.PE</t>
  </si>
  <si>
    <t>ARP.0003.00.2025.GOV.HR.PE</t>
  </si>
  <si>
    <t>ARP.0105.03.2024.GOV.PROCAPE.PE</t>
  </si>
  <si>
    <t>ARP.0001.01.2024.EXT.CDE.RN</t>
  </si>
  <si>
    <t>ARP.0110.03.2024.GOV.HUOC.PE</t>
  </si>
  <si>
    <t>ARP.0107.01.2024.GOV.HUOC.PE</t>
  </si>
  <si>
    <t>ARP.0110.01.2024.GOV.HUOC.PE</t>
  </si>
  <si>
    <t>ARP.0011.01.2024.EXT.HMAR.PE</t>
  </si>
  <si>
    <t>ARPC.0007.00.2024.GOV.SAD.PE</t>
  </si>
  <si>
    <t>ARP.0091.00.2024.GOV.HUOC.PE</t>
  </si>
  <si>
    <t>ARP.0107.05.2024.GOV.HUOC.PE</t>
  </si>
  <si>
    <t>ARPC.0014.00.2024.GOV.SAD.PE</t>
  </si>
  <si>
    <t>ARP.0087.05.2024.GOV.HUOC.PE</t>
  </si>
  <si>
    <t>ARP.0017.00.2024.GOV.HGV.PE</t>
  </si>
  <si>
    <t>SERVICO DE CONFECCAO DE CARTAO DE IDENTIFICAO - DO TIPO CRACHA,EM PVC, MEDINDO 8,60X5,40CM,IMPRESSAO EM 4/4 CORES, COM FOTO DIGITALIZADA,COM CORDAO EM 1/0 COR, PRESILHA JACARE E PORTA CRACHA RIGIDO EM PVC</t>
  </si>
  <si>
    <t>Registro de Preços para o fornecimento eventual de material médico hospitalar destinado ao serviço de anestesia, visando atender as necessidades do
Hospital Agamenon Magalhães</t>
  </si>
  <si>
    <t xml:space="preserve">gcontrtaos </t>
  </si>
  <si>
    <t>Situação Atual PE INTEGRADO</t>
  </si>
  <si>
    <t>Situação Monitoramento</t>
  </si>
  <si>
    <t>Status</t>
  </si>
  <si>
    <t>Column 20</t>
  </si>
  <si>
    <t>Column 21</t>
  </si>
  <si>
    <t>Column 22</t>
  </si>
  <si>
    <t>Column 23</t>
  </si>
  <si>
    <t>Column 24</t>
  </si>
  <si>
    <t>A.006-ARP.1036.00.2025.GOV.CISAM.PE</t>
  </si>
  <si>
    <t>ARP.1036.00.2025.GOV.CISAM.PE</t>
  </si>
  <si>
    <t>REGISTRO DE PREÇOS PARA FORNECIMENTO EVENTUAL DE MEDICAMENTOS INJETÁVEIS GRUPO 1 VISANDO ATENDER AS NECESSIDADES DO CISAM/UPE</t>
  </si>
  <si>
    <t>A.002-ARP.0503.00.2025.EXT.HGJMM.RN</t>
  </si>
  <si>
    <t>ARP.0503.00.2025.EXT.HGJMM.RN</t>
  </si>
  <si>
    <t>Aquisição de Medicamentos - PENICILINAS E CEFALOSPORINAS para atender a demanda desta unidade hospitalar</t>
  </si>
  <si>
    <t>Encaminhada para o orçamento</t>
  </si>
  <si>
    <t>A.001-ARP.0503.00.2025.EXT.HGJMM.RN</t>
  </si>
  <si>
    <t>A.002-ARP.0012.00.2025.EXT.HMAR.PE</t>
  </si>
  <si>
    <t>ARP.0012.00.2025.EXT.HMAR.PE</t>
  </si>
  <si>
    <t>Aquisição de Materiais e insumos Laboratoriais (LAC I) -RIBBON</t>
  </si>
  <si>
    <t>A.004-ARP.0010.04.2025.GOV.HOF.PE</t>
  </si>
  <si>
    <t>ARP.0010.04.2025.GOV.HOF.PE</t>
  </si>
  <si>
    <t>ARP.0013.02.2025.GOV.HOF.PE</t>
  </si>
  <si>
    <t>ARP.0189.00.2025.GOV.HUOC.PE</t>
  </si>
  <si>
    <t>ARP.0013.00.2025.GOV.FUNDARPE.PE</t>
  </si>
  <si>
    <t>ARP.0057.00.2025.GOV.HUOC.PE</t>
  </si>
  <si>
    <t>Cancelada por fim vigencia ATA</t>
  </si>
  <si>
    <t>ARP.0009.01.2025.EXT.HMAR.PE</t>
  </si>
  <si>
    <t>ARP.0010.05.2025.GOV.HAM.PE</t>
  </si>
  <si>
    <t>ARP.0089.01.2024.GOV.HUOC.PE</t>
  </si>
  <si>
    <t>ARP.0001.00.2025.GOV.SASSEPE.PE</t>
  </si>
  <si>
    <t>ARP.0017.00.2025.GOV.HUOC.PE</t>
  </si>
  <si>
    <t>Aguardando aprovação do gestor de ata</t>
  </si>
  <si>
    <t>ARP.0001.04.2025.GOV.HUOC.PE</t>
  </si>
  <si>
    <t>ARP.0678.00.2025.EXT.HMAR.PE</t>
  </si>
  <si>
    <t>ARP.0065.02.2024.GOV.CISAM.PE</t>
  </si>
  <si>
    <t>Cancelada Sucesso</t>
  </si>
  <si>
    <t>ARP.0069.00.2024.GOV.HUOC.PE</t>
  </si>
  <si>
    <t>ARP.0050.00.2024.GOV.CISAM.PE</t>
  </si>
  <si>
    <t>ARP.0010.00.2024.GOV.HOF.PE</t>
  </si>
  <si>
    <t>ARP.0022.00.2024.GOV.HR.PE</t>
  </si>
  <si>
    <t>ARP.0016.05.2024.GOV.HGV.PE</t>
  </si>
  <si>
    <t>ARP.0030.01.2024.GOV.CISAM.PE</t>
  </si>
  <si>
    <t>ARP.0034.01.2024.GOV.FES-PE.PE</t>
  </si>
  <si>
    <t>ARP.0012.01.2024.GOV.DASIS.PE</t>
  </si>
  <si>
    <t>ARP.0068.10.2024.GOV.FES-PE.PE</t>
  </si>
  <si>
    <t>ARP.0068.09.2024.GOV.FES-PE.PE</t>
  </si>
  <si>
    <t>ARPC.0004.00.2024.GOV.SAD.PE</t>
  </si>
  <si>
    <t>ARP.0055.06.2024.GOV.CISAM.PE</t>
  </si>
  <si>
    <t>ARP.0009.07.2024.GOV.HOF.PE</t>
  </si>
  <si>
    <t>ARP.0072.00.2024.GOV.PROCAPE.PE</t>
  </si>
  <si>
    <t>ARP.0044.00.2024.GOV.PROCAPE.PE</t>
  </si>
  <si>
    <t>ARP.0051.01.2024.GOV.CISAM.PE</t>
  </si>
  <si>
    <t>ARP.0084.02.2024.GOV.PROCAPE.PE</t>
  </si>
  <si>
    <t>ARP.1289.00.2024.EXT.RS</t>
  </si>
  <si>
    <t>ARP.0576.00.2024.EXT.HMAR.PE</t>
  </si>
  <si>
    <t>ARP.0059.00.2024.GOV.PROCAPE.PE</t>
  </si>
  <si>
    <t>ARP.0051.02.2024.GOV.CISAM.PE</t>
  </si>
  <si>
    <t>ARP.0001.00.2024.GOV.HGV.PE</t>
  </si>
  <si>
    <t>ARP.0001.00.2024.EXT.HCFMU.SP</t>
  </si>
  <si>
    <t>Cancelada Integrado</t>
  </si>
  <si>
    <t>ARP.0088.03.2024.GOV.FES-PE.PE</t>
  </si>
  <si>
    <t>ARP.0002.02.2024.GOV.SASSEPE.PE</t>
  </si>
  <si>
    <t>ARP.0046.05.2024.GOV.PROCAPE.PE</t>
  </si>
  <si>
    <t>ARP.0002.01.2024.GOV.FUNDARPE.PE</t>
  </si>
  <si>
    <t>ARP.0012.00.2024.GOV.HAM.PE</t>
  </si>
  <si>
    <t>ARP.0044.00.2024.GOV.HUOC.PE</t>
  </si>
  <si>
    <t>ARP.0018.00.2024.GOV.FES-PE.PE</t>
  </si>
  <si>
    <t>ARP.0013.00.2024.EXT.HMAR.PE</t>
  </si>
  <si>
    <t>ARP.0005.00.2024.GOV.SEMUL.PE</t>
  </si>
  <si>
    <t>ARP.0077.01.2024.GOV.HUOC.PE</t>
  </si>
  <si>
    <t>ARP.0089.00.2024.GOV.HUOC.PE</t>
  </si>
  <si>
    <t>ARP.0005.00.2024.GOV.UPECMN.PE</t>
  </si>
  <si>
    <t>ARP.0088.08.2024.GOV.HUOC.PE</t>
  </si>
  <si>
    <t>ARP.0069.02.2024.GOV.HUOC.PE</t>
  </si>
  <si>
    <t>ARP.0074.01.2024.GOV.FES-PE.PE</t>
  </si>
  <si>
    <t>ARP.0038.02.2024.GOV.FES-PE.PE</t>
  </si>
  <si>
    <t>ARP.0033.03.2024.GOV.CISAM.PE</t>
  </si>
  <si>
    <t>ARP.0004.00.2024.GOV.HGV.PE</t>
  </si>
  <si>
    <t>ARP.0046.02.2024.GOV.HUOC.PE</t>
  </si>
  <si>
    <t>ARP.0081.03.2024.GOV.HUOC.PE</t>
  </si>
  <si>
    <t>ARP.0012.11.2024.GOV.HOF.PE</t>
  </si>
  <si>
    <t>ARP.1077.00.2024.EXT.PB</t>
  </si>
  <si>
    <t>A.008-ARP.0018.00.2024.GOV.FES-PE.PE</t>
  </si>
  <si>
    <t>ARP.0120.03.2023.GOV.PROCAPE.PE</t>
  </si>
  <si>
    <t>ARP.0025.01.2024.GOV.FES-PE.PE</t>
  </si>
  <si>
    <t>ARP.0008.00.2024.GOV.HR.PE</t>
  </si>
  <si>
    <t>ARP.0012.00.2023.GOV.UPEGARANHUNS.PE</t>
  </si>
  <si>
    <t>ARP.0009.09.2024.GOV.HOF.PE</t>
  </si>
  <si>
    <t>ARP.0071.02.2024.GOV.HUOC.PE</t>
  </si>
  <si>
    <t>ARP.1075.00.2024.EXT.PB</t>
  </si>
  <si>
    <t>ARP.0046.05.2024.GOV.HUOC.PE</t>
  </si>
  <si>
    <t>ARP.0024.00.2024.GOV.HR.PE</t>
  </si>
  <si>
    <t>ARP.0018.00.2024.OPD.MPPE.PE</t>
  </si>
  <si>
    <t>ARP.0009.00.2024.GOV.HOF.PE</t>
  </si>
  <si>
    <t>ARP.0006.00.2024.EXT.HMAR.PE</t>
  </si>
  <si>
    <t>ARP.0021.00.2024.GOV.HEMOPE.PE</t>
  </si>
  <si>
    <t>ARP.0025.00.2024.GOV.HR.PE</t>
  </si>
  <si>
    <t>ARP.0006.00.2023.GOV.UPEGARANHUNS.PE</t>
  </si>
  <si>
    <t>ARP.0053.00.2024.GOV.CISAM.PE</t>
  </si>
  <si>
    <t>ARP.0055.03.2024.GOV.CISAM.PE</t>
  </si>
  <si>
    <t>ARP.0002.00.2024.EXT.HMAR.PE</t>
  </si>
  <si>
    <t>ARP.0009.00.2024.GOV.SASSEPE.PE</t>
  </si>
  <si>
    <t>ARP.0068.02.2024.GOV.HUOC.PE</t>
  </si>
  <si>
    <t>ARP.0004.02.2024.GOV.HGV.PE</t>
  </si>
  <si>
    <t>ARP.0107.00.2023.GOV.FES-PE.PE</t>
  </si>
  <si>
    <t>ARP.0002.00.2024.GOV.HOF.PE</t>
  </si>
  <si>
    <t>ARP.0002.04.2024.GOV.HOF.PE</t>
  </si>
  <si>
    <t>ARP.1204.00.2024.EXT.SESR.RR</t>
  </si>
  <si>
    <t>ARP.0027.00.2024.GOV.HR.PE</t>
  </si>
  <si>
    <t>ARP.0035.00.2024.GOV.HR.PE</t>
  </si>
  <si>
    <t>ARP.0009.03.2024.GOV.FES-PE.PE</t>
  </si>
  <si>
    <t>ARP.1298.00.2024.EXT.PE</t>
  </si>
  <si>
    <t>ARP.0028.01.2024.GOV.PROCAPE.PE</t>
  </si>
  <si>
    <t>ARP.0009.04.2024.GOV.FES-PE.PE</t>
  </si>
  <si>
    <t>ARP.0044.08.2024.GOV.PROCAPE.PE</t>
  </si>
  <si>
    <t>ARP.0059.05.2024.GOV.HUOC.PE</t>
  </si>
  <si>
    <t>ARP.0063.06.2024.GOV.HUOC.PE</t>
  </si>
  <si>
    <t>ARP.0039.03.2024.GOV.PROCAPE.PE</t>
  </si>
  <si>
    <t>ARP.0021.00.2023.GOV.SASSEPE.PE</t>
  </si>
  <si>
    <t>ARP.0113.00.2023.GOV.FES-PE.PE</t>
  </si>
  <si>
    <t>ARP.0001.02.2024.GOV.HEMOPE.PE</t>
  </si>
  <si>
    <t>ARP.0058.03.2024.GOV.HUOC.PE</t>
  </si>
  <si>
    <t>ARP.0130.00.2023.GOV.HUOC.PE</t>
  </si>
  <si>
    <t>ARP.0005.00.2024.GOV.HR.PE</t>
  </si>
  <si>
    <t>ARP.1101.01.2024.EXT.HMAR.PE</t>
  </si>
  <si>
    <t>ARP.0014.00.2024.GOV.FES-PE.PE</t>
  </si>
  <si>
    <t>ARP.0046.01.2024.GOV.HUOC.PE</t>
  </si>
  <si>
    <t>ARP.0095.01.2023.GOV.HUOC.PE</t>
  </si>
  <si>
    <t>ARP.0130.02.2023.GOV.HUOC.PE</t>
  </si>
  <si>
    <t>ARP.0039.04.2024.GOV.HUOC.PE</t>
  </si>
  <si>
    <t>ARP.0102.00.2023.GOV.HUOC.PE</t>
  </si>
  <si>
    <t>ARP.0063.08.2024.GOV.HUOC.PE</t>
  </si>
  <si>
    <t>ARP.0001.01.2024.GOV.HEMOPE.PE</t>
  </si>
  <si>
    <t>ARP.0011.01.2024.GOV.DASIS.PE</t>
  </si>
  <si>
    <t>ARP.0087.00.2023.GOV.HUOC.PE</t>
  </si>
  <si>
    <t>ARP.0002.00.2024.GOV.HR.PE</t>
  </si>
  <si>
    <t>ARP.0008.02.2024.GOV.HUOC.PE</t>
  </si>
  <si>
    <t>ARP.0011.07.2024.GOV.HGV.PE</t>
  </si>
  <si>
    <t>ARP.0059.01.2024.GOV.HUOC.PE</t>
  </si>
  <si>
    <t>ARP.0006.01.2024.GOV.HGV.PE</t>
  </si>
  <si>
    <t>ARP.0036.00.2024.GOV.HUOC.PE</t>
  </si>
  <si>
    <t>ARP.0057.07.2024.GOV.HUOC.PE</t>
  </si>
  <si>
    <t>ARP.0057.00.2024.GOV.HUOC.PE</t>
  </si>
  <si>
    <t>ARP.0108.04.2023.GOV.HUOC.PE</t>
  </si>
  <si>
    <t>ARP.0048.03.2024.GOV.HUOC.PE</t>
  </si>
  <si>
    <t>ARP.0095.00.2023.GOV.HUOC.PE</t>
  </si>
  <si>
    <t>ARP.0126.01.2023.GOV.HUOC.PE</t>
  </si>
  <si>
    <t>ARP.0050.03.2024.GOV.HUOC.PE</t>
  </si>
  <si>
    <t>ARP.0102.02.2023.GOV.HUOC.PE</t>
  </si>
  <si>
    <t>ARP.0057.05.2024.GOV.HUOC.PE</t>
  </si>
  <si>
    <t>ARP.0063.05.2024.GOV.HUOC.PE</t>
  </si>
  <si>
    <t>ARP.0054.01.2024.GOV.HUOC.PE</t>
  </si>
  <si>
    <t>ARP.0050.00.2024.GOV.HUOC.PE</t>
  </si>
  <si>
    <t>ARP.0007.00.2024.GOV.HUOC.PE</t>
  </si>
  <si>
    <t>ARP.0002.02.2024.GOV.DASIS.PE</t>
  </si>
  <si>
    <t>ARP.0130.09.2023.GOV.HUOC.PE</t>
  </si>
  <si>
    <t>ARP.0063.04.2024.GOV.HUOC.PE</t>
  </si>
  <si>
    <t>ARP.0010.00.2024.GOV.CISAM.PE</t>
  </si>
  <si>
    <t>ARP.0001.06.2024.GOV.HOF.PE</t>
  </si>
  <si>
    <t>ARP.0063.03.2024.GOV.HUOC.PE</t>
  </si>
  <si>
    <t>ARP.0050.06.2024.GOV.HUOC.PE</t>
  </si>
  <si>
    <t>ARP.0059.07.2024.GOV.HUOC.PE</t>
  </si>
  <si>
    <t>ARP.0057.06.2024.GOV.HUOC.PE</t>
  </si>
  <si>
    <t>ARP.0057.02.2024.GOV.HUOC.PE</t>
  </si>
  <si>
    <t>ARP.0009.10.2024.GOV.HOF.PE</t>
  </si>
  <si>
    <t>ARP.0057.09.2024.GOV.HUOC.PE</t>
  </si>
  <si>
    <t>ARP.0057.03.2024.GOV.HUOC.PE</t>
  </si>
  <si>
    <t>ARP.0057.01.2024.GOV.HUOC.PE</t>
  </si>
  <si>
    <t>ARP.0022.06.2023.GOV.HAM.PE</t>
  </si>
  <si>
    <t>ARP.0001.07.2024.GOV.HOF.PE</t>
  </si>
  <si>
    <t>ARP.0011.00.2023.GOV.UPEGARANHUNS.PE</t>
  </si>
  <si>
    <t>ARP.0057.08.2024.GOV.HUOC.PE</t>
  </si>
  <si>
    <t>ARP.0059.02.2024.GOV.HUOC.PE</t>
  </si>
  <si>
    <t>ARP.0130.08.2023.GOV.HUOC.PE</t>
  </si>
  <si>
    <t>ARP.0009.01.2024.GOV.HOF.PE</t>
  </si>
  <si>
    <t>ARP.0032.00.2023.GOV.HR.PE</t>
  </si>
  <si>
    <t>ARP.0033.01.2024.GOV.CISAM.PE</t>
  </si>
  <si>
    <t>ARP.0046.06.2024.GOV.HUOC.PE</t>
  </si>
  <si>
    <t>ARP.0021.00.2024.GOV.HR.PE</t>
  </si>
  <si>
    <t>ARP.0029.01.2024.GOV.HUOC.PE</t>
  </si>
  <si>
    <t>ARP.0005.01.2024.GOV.SASSEPE.PE</t>
  </si>
  <si>
    <t>ARP.0114.00.2023.GOV.FES-PE.PE</t>
  </si>
  <si>
    <t>ARP.0049.01.2024.GOV.HUOC.PE</t>
  </si>
  <si>
    <t>ARP.0039.01.2024.GOV.HUOC.PE</t>
  </si>
  <si>
    <t>ARP.0043.00.2024.GOV.PROCAPE.PE</t>
  </si>
  <si>
    <t>ARP.0049.00.2024.GOV.HUOC.PE</t>
  </si>
  <si>
    <t>ARP.0035.00.2023.GOV.HOF.PE</t>
  </si>
  <si>
    <t>ARP.0049.04.2024.GOV.HUOC.PE</t>
  </si>
  <si>
    <t>ARP.0049.02.2024.GOV.HUOC.PE</t>
  </si>
  <si>
    <t>ARP.0049.03.2024.GOV.HUOC.PE</t>
  </si>
  <si>
    <t>ARP.0046.03.2024.GOV.PROCAPE.PE</t>
  </si>
  <si>
    <t>ARP.0013.00.2024.GOV.HR.PE</t>
  </si>
  <si>
    <t>ARP.0069.00.2023.GOV.PROCAPE.PE</t>
  </si>
  <si>
    <t>ARPC.0033.00.2023.GOV.SAD.PE</t>
  </si>
  <si>
    <t>ARP.0112.00.2023.GOV.HUOC.PE</t>
  </si>
  <si>
    <t>ARP.0039.02.2024.GOV.HUOC.PE</t>
  </si>
  <si>
    <t>ARP.0035.04.2023.GOV.HOF.PE</t>
  </si>
  <si>
    <t>ARP.0029.00.2023.GOV.HOF.PE</t>
  </si>
  <si>
    <t>ARP.0023.00.2024.GOV.CISAM.PE</t>
  </si>
  <si>
    <t>ARP.0130.06.2023.GOV.HUOC.PE</t>
  </si>
  <si>
    <t>ARPC.0026.00.2023.GOV.SAD.PE</t>
  </si>
  <si>
    <t>ARP.0112.01.2023.GOV.HUOC.PE</t>
  </si>
  <si>
    <t>ARP.0119.00.2023.GOV.FES-PE.PE</t>
  </si>
  <si>
    <t>ARP.0104.04.2023.GOV.PROCAPE.PE</t>
  </si>
  <si>
    <t>ARP.0085.05.2023.GOV.HUOC.PE</t>
  </si>
  <si>
    <t>ARP.0025.03.2024.GOV.PROCAPE.PE</t>
  </si>
  <si>
    <t>ARP.0022.02.2024.GOV.CISAM.PE</t>
  </si>
  <si>
    <t>ARP.0085.12.2023.GOV.HUOC.PE</t>
  </si>
  <si>
    <t>ARP.0085.08.2023.GOV.HUOC.PE</t>
  </si>
  <si>
    <t>ARP.0021.00.2023.GOV.HGV.PE</t>
  </si>
  <si>
    <t>ARP.0026.03.2023.GOV.HAM.PE</t>
  </si>
  <si>
    <t>ARP.0029.01.2023.GOV.HOF.PE</t>
  </si>
  <si>
    <t>ARP.0120.01.2023.GOV.HUOC.PE</t>
  </si>
  <si>
    <t>ARP.0008.00.2024.GOV.HUOC.PE</t>
  </si>
  <si>
    <t>ARP.0030.05.2023.GOV.HR.PE</t>
  </si>
  <si>
    <t>ARP.0026.07.2023.GOV.HAM.PE</t>
  </si>
  <si>
    <t>ARP.0026.09.2023.GOV.HAM.PE</t>
  </si>
  <si>
    <t>ARP.0026.10.2023.GOV.HAM.PE</t>
  </si>
  <si>
    <t>ARP.0082.04.2023.GOV.HUOC.PE</t>
  </si>
  <si>
    <t>ARP.0029.02.2024.GOV.HUOC.PE</t>
  </si>
  <si>
    <t>ARPC.0019.00.2023.GOV.SAD.PE</t>
  </si>
  <si>
    <t>ARP.0002.03.2024.GOV.HOF.PE</t>
  </si>
  <si>
    <t>ARP.0131.01.2023.GOV.HUOC.PE</t>
  </si>
  <si>
    <t>ARP.0022.20.2023.GOV.HAM.PE</t>
  </si>
  <si>
    <t>ARP.0479.00.2024.EXT.CE</t>
  </si>
  <si>
    <t>ARP.0101.05.2023.GOV.HUOC.PE</t>
  </si>
  <si>
    <t>ARP.0064.08.2023.GOV.HUOC.PE</t>
  </si>
  <si>
    <t>ARP.0118.00.2023.GOV.HUOC.PE</t>
  </si>
  <si>
    <t>ARP.0035.00.2023.GOV.HR.PE</t>
  </si>
  <si>
    <t>ARP.0064.07.2023.GOV.HUOC.PE</t>
  </si>
  <si>
    <t>ARP.0025.12.2023.GOV.HR.PE</t>
  </si>
  <si>
    <t>ARP.0003.00.2023.GOV.UPEGARANHUNS.PE</t>
  </si>
  <si>
    <t>ARP.0014.10.2023.GOV.HR.PE</t>
  </si>
  <si>
    <t>ARP.0755.00.2024.EXT.BA</t>
  </si>
  <si>
    <t>ARP.0086.00.2023.GOV.PROCAPE.PE</t>
  </si>
  <si>
    <t>ARP.0111.00.2023.GOV.HUOC.PE</t>
  </si>
  <si>
    <t>ARP.0071.14.2023.GOV.PROCAPE.PE</t>
  </si>
  <si>
    <t>ARP.0094.00.2023.GOV.HUOC.PE</t>
  </si>
  <si>
    <t>ARP.0029.03.2023.GOV.HGV.PE</t>
  </si>
  <si>
    <t>ARP.0014.08.2023.GOV.HGV.PE</t>
  </si>
  <si>
    <t>ARP.0012.04.2023.GOV.SASSEPE.PE</t>
  </si>
  <si>
    <t>ARP.0012.01.2023.GOV.SASSEPE.PE</t>
  </si>
  <si>
    <t>ARP.0011.00.2023.GOV.HGV.PE</t>
  </si>
  <si>
    <t>ARP.0025.04.2023.GOV.HUOC.PE</t>
  </si>
  <si>
    <t>ARP.0022.00.2023.GOV.HUOC.PE</t>
  </si>
  <si>
    <t>A.011-ARP.0041.05.2023.GOV.CISAM.PE</t>
  </si>
  <si>
    <t>ARP.0041.05.2023.GOV.CISAM.PE</t>
  </si>
  <si>
    <t>REGISTRO DE PREÇO PARA FORNECIMENTO EVENTUAL DE ANESTÉSICOS, ANTI-INFLAMATÓRIOS, ANTI-HIPERTENSIVOS E DIVERSOS MEDICAMENTOS USADOS NA CLÍNICA GERAL, ORIUNDOS DA INDÚSTRIA FARMACÊUTICA, COM REGISTRO NA AGÊNCIA NACIONAL DE VIGIL NCIA SANITÁRIA, PARA O CISAM, POR UM PERÍODO DE 12 (DOZE) MESES</t>
  </si>
  <si>
    <t>A.002-ARP.0104.04.2023.GOV.PROCAPE.PE</t>
  </si>
  <si>
    <t>A.002-ARP.0009.07.2023.GOV.HBL.PE</t>
  </si>
  <si>
    <t>ARP.0009.07.2023.GOV.HBL.PE</t>
  </si>
  <si>
    <t>REGISTRO DE PREÇO ATRAVÉS DE PREGÃO ELETRÔNICO POR PERIODO DE 12 MESES, PARA EVENTUAL FORNECIMENTO DE PRODUTOS PARA O PROGRAMA DE ESTOMIZADOS - BOLSAS COLETORAS E ADJUVANTES, VISANDO ATENDER AS NECESSIDADES DO HOSPITAL BARÃO DE LUCENA</t>
  </si>
  <si>
    <t>A.002-ARP.0022.20.2023.GOV.HAM.PE</t>
  </si>
  <si>
    <t>A.003-ARP.0004.03.2023.GOV.HR.PE</t>
  </si>
  <si>
    <t>ARP.0004.03.2023.GOV.HR.PE</t>
  </si>
  <si>
    <t>Formação de Registro de Preços, por um periodo de 12 (doze) meses, para eventual fornecimento de órteses, próteses e materiais especiais, para utilização, sob sistema de consignação, nas cirurgias da Clínica Neurocirúrgica - GRUPO CRÂNIO</t>
  </si>
  <si>
    <t>A.003-ARP.0029.02.2023.GOV.PROCAPE.PE</t>
  </si>
  <si>
    <t>ARP.0029.02.2023.GOV.PROCAPE.PE</t>
  </si>
  <si>
    <t>REGISTRO DE PREÇOS PARA EVENTUAL AQUISIÇÃO DE EQUIPAMENTOS DE PROTEÇÃO INDIVIDUAL PLUMBÍFEROS</t>
  </si>
  <si>
    <t>A.002-ARP.0009.03.2023.GOV.HBL.PE</t>
  </si>
  <si>
    <t>ARP.0009.03.2023.GOV.HBL.PE</t>
  </si>
  <si>
    <t>A.003-ARP.0009.05.2023.GOV.HBL.PE</t>
  </si>
  <si>
    <t>ARP.0009.05.2023.GOV.HBL.PE</t>
  </si>
  <si>
    <t>A.004-ARP.0028.00.2023.GOV.HR.PE</t>
  </si>
  <si>
    <t>ARP.0028.00.2023.GOV.HR.PE</t>
  </si>
  <si>
    <t>A.013-ARP.0071.03.2023.GOV.PROCAPE.PE</t>
  </si>
  <si>
    <t>ARP.0071.03.2023.GOV.PROCAPE.PE</t>
  </si>
  <si>
    <t>A.003-ARP.0030.05.2023.GOV.HR.PE</t>
  </si>
  <si>
    <t>A.002-ARP.0030.05.2023.GOV.HR.PE</t>
  </si>
  <si>
    <t>A.003-ARP.0030.01.2023.GOV.HR.PE</t>
  </si>
  <si>
    <t>ARP.0030.01.2023.GOV.HR.PE</t>
  </si>
  <si>
    <t>A.001-ARP.0018.06.2023.GOV.HAM.PE</t>
  </si>
  <si>
    <t>ARP.0018.06.2023.GOV.HAM.PE</t>
  </si>
  <si>
    <t>FORMAÇÃO DE REGISTRO DE PREÇOS, COM VALIDADE DE 12 (DOZE) MESES, PARA FORNECIMENTO EVENTUAL DE MEDICAMENTOS</t>
  </si>
  <si>
    <t>A.001-ARP.0014.05.2023.GOV.HR.PE</t>
  </si>
  <si>
    <t>ARP.0014.05.2023.GOV.HR.PE</t>
  </si>
  <si>
    <t>A.005-ARP.0025.12.2023.GOV.HR.PE</t>
  </si>
  <si>
    <t>A.001-ARP.0014.11.2023.GOV.HR.PE</t>
  </si>
  <si>
    <t>ARP.0014.11.2023.GOV.HR.PE</t>
  </si>
  <si>
    <t>A.004-ARP.0025.16.2023.GOV.HR.PE</t>
  </si>
  <si>
    <t>ARP.0025.16.2023.GOV.HR.PE</t>
  </si>
  <si>
    <t>A.001-ARP.0026.03.2023.GOV.HR.PE</t>
  </si>
  <si>
    <t>ARP.0026.03.2023.GOV.HR.PE</t>
  </si>
  <si>
    <t>A.009-ARP.0012.01.2023.GOV.HR.PE</t>
  </si>
  <si>
    <t>ARP.0012.01.2023.GOV.HR.PE</t>
  </si>
  <si>
    <t>Formação de registro de preços, por um período de 12 (doze) meses, para eventual fornecimento de MEDICAMENTOS (Solução Parenteral de Grandes e Pequenos Volumes)</t>
  </si>
  <si>
    <t>A.007-ARP.0010.02.2023.GOV.HR.PE</t>
  </si>
  <si>
    <t>ARP.0010.02.2023.GOV.HR.PE</t>
  </si>
  <si>
    <t>A.011-ARP.0025.09.2023.GOV.HR.PE</t>
  </si>
  <si>
    <t>ARP.0025.09.2023.GOV.HR.PE</t>
  </si>
  <si>
    <t>A.003-ARP.0025.00.2023.GOV.HR.PE</t>
  </si>
  <si>
    <t>ARP.0025.00.2023.GOV.HR.PE</t>
  </si>
  <si>
    <t>A.010-ARP.0025.09.2023.GOV.HR.PE</t>
  </si>
  <si>
    <t>A.002-ARP.0025.16.2023.GOV.HR.PE</t>
  </si>
  <si>
    <t>A.008-ARP.0028.02.2023.GOV.HR.PE</t>
  </si>
  <si>
    <t>ARP.0028.02.2023.GOV.HR.PE</t>
  </si>
  <si>
    <t>A.003-ARP.0002.11.2023.GOV.BOMBEIROS.PE</t>
  </si>
  <si>
    <t>ARP.0002.11.2023.GOV.BOMBEIROS.PE</t>
  </si>
  <si>
    <t>REGISTRO DE PREÇOS PARA AQUISIÇÃO DE MATERIAIS DE APH</t>
  </si>
  <si>
    <t>A.002-ARP.0014.09.2023.GOV.HAM.PE</t>
  </si>
  <si>
    <t>ARP.0014.09.2023.GOV.HAM.PE</t>
  </si>
  <si>
    <t>FORMAÇÃO DE REGISTRO DE PREÇOS PARA EVENTUAL FORNECIMENTO DE MATERIAIS MÉDICOS HOSPITALARES, PARA ATENDER AS DEMANDAS DO HOSPITAL AGAMENON MAGALHÃES E DO HOSPITAL DA RESTAURAÇÃO</t>
  </si>
  <si>
    <t>A.001-ARP.0015.01.2023.GOV.HEMOPE.PE</t>
  </si>
  <si>
    <t>ARP.0015.01.2023.GOV.HEMOPE.PE</t>
  </si>
  <si>
    <t>REGISTRO DE PREÇOS PELO PERÍODO DE 12 (DOZE) MESES PARA EVENTUAL FORNECIMENTO DE PRODUTOS PARA SAÚDE GRUPO 1 E 3 2022, VISANDO ATENDER AS NECESSIDADES DO HOSPITAL HEMOPE – FUNDAÇÃO DE HEMATOLOGIA E HEMOTERAPIA DE PERNAMBUCO, COM ITENS DESTINADOS A PARTICIPAÇÃO EXCLUSIVA DE ME, EPP E MEI</t>
  </si>
  <si>
    <t>A.002-ARP.0061.00.2023.GOV.HUOC.PE</t>
  </si>
  <si>
    <t>ARP.0061.00.2023.GOV.HUOC.PE</t>
  </si>
  <si>
    <t>REGISTRO DE PREÇO para eventual fornecimento de MATERIAIS CIRÚRGICOS PARA O SERVIÇO DE TRAUMATOLOGIA BUCO MAXILO FACIAL (SEI Nº 0040609459.000077/2022-72)</t>
  </si>
  <si>
    <t>A.002-ARP.0073.01.2023.GOV.HUOC.PE</t>
  </si>
  <si>
    <t>ARP.0073.01.2023.GOV.HUOC.PE</t>
  </si>
  <si>
    <t>REGISTRO DE PREÇO para eventual fornecimento de MATERIAIS DE MANUTENÇÃO ELÉTRICA (SEI nº 0040609405.000031/2022-89)</t>
  </si>
  <si>
    <t>A.003-ARP.0049.01.2023.GOV.HUOC.PE</t>
  </si>
  <si>
    <t>ARP.0049.01.2023.GOV.HUOC.PE</t>
  </si>
  <si>
    <t>REGISTRO DE PREÇO para eventual fornecimento de MATERIAIS MÉDICOS HOSPITALARES - COLETORES DIVERSOS (SEI Nº 0040609459.000082/2022-85)</t>
  </si>
  <si>
    <t>A.001-ARP.0030.01.2023.GOV.HR.PE</t>
  </si>
  <si>
    <t>A.005-ARP.0086.02.2023.GOV.HUOC.PE</t>
  </si>
  <si>
    <t>ARP.0086.02.2023.GOV.HUOC.PE</t>
  </si>
  <si>
    <t>Registro de Preços para eventual fornecimento de MEDICAMENTOS CLÍNICOS GERAIS E OFTÁLMICOS (SEI Nº 0040609437.000002/2023-21)</t>
  </si>
  <si>
    <t>A.004-ARP.0031.04.2023.GOV.HGV.PE</t>
  </si>
  <si>
    <t>ARP.0031.04.2023.GOV.HGV.PE</t>
  </si>
  <si>
    <t>FORMAÇÃO DE REGISTRO DE PREÇOS PARA EVENTUAL FORNECIMENTO DE MEDICAMENTOS - INJETÁVEIS</t>
  </si>
  <si>
    <t>A.011-ARP.0071.03.2023.GOV.PROCAPE.PE</t>
  </si>
  <si>
    <t>A.001-ARP.0077.11.2023.GOV.PROCAPE.PE</t>
  </si>
  <si>
    <t>ARP.0077.11.2023.GOV.PROCAPE.PE</t>
  </si>
  <si>
    <t>A.008-ARP.0020.04.2023.GOV.HEMOPE.PE</t>
  </si>
  <si>
    <t>REGISTRO DE PREÇOS PELO PERÍODO DE 12 (DOZE) MESES PARA EVENTUAL FORNECIMENTO DE MEDICAMENTOS DE DE PEQUENOS E GRANDES VOLUMES 2023, VISANDO ATENDER AS NECESSIDADES DO HOSPITAL HEMOPE, CONFORME ESPECIFICAÇÕES E QUANTIDADES CONSTANTES NO TERMO DE REFERÊNCIA, ANEXO I DO INSTRUMENTO EDITALÍCIO., COM COTAS RESERVADAS E EXCLUSIVAS PARA PARTICIPAÇÃO DAS ME, EPP E MEI.</t>
  </si>
  <si>
    <t>A.007-ARP.0084.01.2023.GOV.HUOC.PE</t>
  </si>
  <si>
    <t>ARP.0084.01.2023.GOV.HUOC.PE</t>
  </si>
  <si>
    <t>REGISTRO DE PREÇO para eventual fornecimento de MATERIAIS MÉDICOS HOSPITALARES (SEI Nº 0040609459.000014/2023-05)</t>
  </si>
  <si>
    <t>A.008-ARP.0063.00.2023.GOV.PROCAPE.PE</t>
  </si>
  <si>
    <t>ARP.0063.00.2023.GOV.PROCAPE.PE</t>
  </si>
  <si>
    <t>A.002-ARP.0041.03.2023.GOV.CISAM.PE</t>
  </si>
  <si>
    <t>ARP.0041.03.2023.GOV.CISAM.PE</t>
  </si>
  <si>
    <t>A.001-ARP.0041.03.2023.GOV.CISAM.PE</t>
  </si>
  <si>
    <t>A.007-ARP.0077.07.2023.GOV.PROCAPE.PE</t>
  </si>
  <si>
    <t>ARP.0077.07.2023.GOV.PROCAPE.PE</t>
  </si>
  <si>
    <t>A.006-ARP.0063.10.2023.GOV.PROCAPE.PE</t>
  </si>
  <si>
    <t>ARP.0063.10.2023.GOV.PROCAPE.PE</t>
  </si>
  <si>
    <t>A.009-ARP.0014.01.2023.GOV.DASIS.PE</t>
  </si>
  <si>
    <t>ARP.0014.01.2023.GOV.DASIS.PE</t>
  </si>
  <si>
    <t>REGISTRO DE PREÇOS PARA O FORNECIMENTO EVENTUAL DE MATERIAL DE CONSUMO PARA ALMOXARIFADO POR UM PERÍODO DE 12 (DOZE) MESES PARA ATENDER A DEMANDA DO CENTRO MÉDICO HOSPITALAR DA PMPE/CBMPE</t>
  </si>
  <si>
    <t>A.006-ARP.0047.06.2023.GOV.HUOC.PE</t>
  </si>
  <si>
    <t>ARP.0047.06.2023.GOV.HUOC.PE</t>
  </si>
  <si>
    <t>REGISTRO DE PREÇO para eventual fornecimento de MATERIAIS MÉDICOS HOSPITALARES - AGULHAS DIVERSAS (SEI: 0040609459.000008/2022-69)</t>
  </si>
  <si>
    <t>A.016-ARP.0002.08.2023.GOV.DEFN.PE</t>
  </si>
  <si>
    <t>ARP.0002.08.2023.GOV.DEFN.PE</t>
  </si>
  <si>
    <t>REGISTRO DE PREÇOS PARA AQUISIÇÃO COM FORNECIMENTO PARCELADO DE MEDICAMENTOS CONTROLADOS E NÃO CONTROLADOS, ALOPÁTICOS, ÉTICOS, GENÉRICOS PARA ATENDER DEMANDA DA POPULAÇÃO DO ARQUIPÉLAGO DE FERNANDO DE NORONHA.</t>
  </si>
  <si>
    <t>A.001-ARP.0007.01.2023.GOV.HGV.PE</t>
  </si>
  <si>
    <t>ARP.0007.01.2023.GOV.HGV.PE</t>
  </si>
  <si>
    <t>ABERTURA DO PROCESSO LICITATÓRIO PARA ATA DE REGISTRO DE PREÇO PARA FORNECIMENTO DE MEDICAMENTOS - PROPOFOL E SEVOFLURANO</t>
  </si>
  <si>
    <t>A.001-ARP.0009.07.2023.GOV.HBL.PE</t>
  </si>
  <si>
    <t>A.004-ARP.0009.06.2023.GOV.HBL.PE</t>
  </si>
  <si>
    <t>ARP.0009.06.2023.GOV.HBL.PE</t>
  </si>
  <si>
    <t>A.001-ARP.0009.02.2023.GOV.HBL.PE</t>
  </si>
  <si>
    <t>ARP.0009.02.2023.GOV.HBL.PE</t>
  </si>
  <si>
    <t>A.004-ARP.0006.12.2023.GOV.HAM.PE</t>
  </si>
  <si>
    <t>FORMAÇÃO DE REGISTRO DE PREÇOS, COM VALIDADE DE 12 (DOZE) MESES, PARA FORNECIMENTO EVENTUAL DE MATERIAIS MÉDICOS HOSPITALARES</t>
  </si>
  <si>
    <t>A.010-ARP.0006.09.2023.GOV.HAM.PE</t>
  </si>
  <si>
    <t>ARP.0006.09.2023.GOV.HAM.PE</t>
  </si>
  <si>
    <t>A.009-ARP.0006.02.2023.GOV.HAM.PE</t>
  </si>
  <si>
    <t>ARP.0006.02.2023.GOV.HAM.PE</t>
  </si>
  <si>
    <t>A.009-ARP.0006.01.2023.GOV.HAM.PE</t>
  </si>
  <si>
    <t>ARP.0006.01.2023.GOV.HAM.PE</t>
  </si>
  <si>
    <t>A.004-ARP.0024.02.2023.GOV.HUOC.PE</t>
  </si>
  <si>
    <t>ARP.0024.02.2023.GOV.HUOC.PE</t>
  </si>
  <si>
    <t>REGISTRO DE PREÇO para eventual fornecimento de MATERIAIS MÉDICOS HOSPITALARES - SONDAS DIVERSAS</t>
  </si>
  <si>
    <t>A.014-ARP.0016.03.2023.GOV.HAM.PE</t>
  </si>
  <si>
    <t>ARP.0016.03.2023.GOV.HAM.PE</t>
  </si>
  <si>
    <t>A.003-ARP.0007.02.2023.GOV.HBL.PE</t>
  </si>
  <si>
    <t>ARP.0007.02.2023.GOV.HBL.PE</t>
  </si>
  <si>
    <t>REGISTRO DE PREÇOS ATRAVÉS DE PREGÃO ELETRÔNICO POR UM PERÍODO DE 12(DOZE) MESES, PARA EVENTUAL FORNECIMENTO DE MEDICAMENTOS GRUPO CLÍNICOS III, VISANDO ATENDER AS NECESSIDADES DO HOSPITAL BARÃO DE LUCENA</t>
  </si>
  <si>
    <t>A.004-ARP.0019.00.2023.GOV.HAM.PE</t>
  </si>
  <si>
    <t>ARP.0019.00.2023.GOV.HAM.PE</t>
  </si>
  <si>
    <t>FORMAÇÃO DE REGISTRO DE PREÇOS, COM VALIDADE DE 12 (DOZE) MESES, PARA FORNECIMENTO EVENTUAL DE SOLUÇÕES PARENTERAIS DE GRANDES VOLUMES, VISANDO ATENDER AS NECESSIDADES DO HOSPITAL AGAMENON MAGALHÃES E DO HOSPITAL DA RESTAURAÇÃO</t>
  </si>
  <si>
    <t>A.001-ARP.0029.00.2023.GOV.HGV.PE</t>
  </si>
  <si>
    <t>ARP.0029.00.2023.GOV.HGV.PE</t>
  </si>
  <si>
    <t>A.008-ARP.0025.09.2023.GOV.HR.PE</t>
  </si>
  <si>
    <t>A.004-ARP.0014.00.2023.GOV.HGV.PE</t>
  </si>
  <si>
    <t>ARP.0014.00.2023.GOV.HGV.PE</t>
  </si>
  <si>
    <t>A.004-ARP.0006.08.2023.GOV.HAM.PE</t>
  </si>
  <si>
    <t>ARP.0006.08.2023.GOV.HAM.PE</t>
  </si>
  <si>
    <t>A.004-ARP.0006.13.2023.GOV.HAM.PE</t>
  </si>
  <si>
    <t>ARP.0006.13.2023.GOV.HAM.PE</t>
  </si>
  <si>
    <t>A.003-ARP.0006.04.2023.GOV.HAM.PE</t>
  </si>
  <si>
    <t>ARP.0006.04.2023.GOV.HAM.PE</t>
  </si>
  <si>
    <t>A.002-ARP.0006.03.2023.GOV.HAM.PE</t>
  </si>
  <si>
    <t>ARP.0006.03.2023.GOV.HAM.PE</t>
  </si>
  <si>
    <t>A.002-ARP.0010.08.2023.GOV.HAM.PE</t>
  </si>
  <si>
    <t>ARP.0010.08.2023.GOV.HAM.PE</t>
  </si>
  <si>
    <t>FORMAÇÃO DE REGISTRO DE PREÇOS, COM VALIDADE DE 12 (DOZE) MESES, PARA EVENTUAL FORNECIMENTO DE MATERIAIS MÉDICOS HOSPITALARES, PARA ATENDER AS NECESSIDADES DO HOSPITAL AGAMENON MAGALHÃES E DO HOSPITAL DA RESTAURAÇÃO</t>
  </si>
  <si>
    <t>A.003-ARP.0010.03.2023.GOV.HAM.PE</t>
  </si>
  <si>
    <t>ARP.0010.03.2023.GOV.HAM.PE</t>
  </si>
  <si>
    <t>A.002-ARP.0029.02.2023.GOV.HGV.PE</t>
  </si>
  <si>
    <t>ARP.0029.02.2023.GOV.HGV.PE</t>
  </si>
  <si>
    <t>A.003-ARP.0014.00.2023.GOV.HGV.PE</t>
  </si>
  <si>
    <t>A.006-ARP.0031.00.2023.GOV.HGV.PE</t>
  </si>
  <si>
    <t>ARP.0031.00.2023.GOV.HGV.PE</t>
  </si>
  <si>
    <t>A.010-ARP.0005.00.2023.GOV.HOF.PE</t>
  </si>
  <si>
    <t>ARP.0005.00.2023.GOV.HOF.PE</t>
  </si>
  <si>
    <t>REGISTRO DE PREÇOS PARA EVENTUAL AQUISIÇÃO DE MEDICAMENTOS PADRONIZADOS NO HOSPITAL (SOLUÇÕES DE GRANDE VOLUME)</t>
  </si>
  <si>
    <t>A.003-ARP.0028.04.2023.GOV.HGV.PE</t>
  </si>
  <si>
    <t>ARP.0028.04.2023.GOV.HGV.PE</t>
  </si>
  <si>
    <t>FORMAÇÃO DE REGISTRO DE PREÇOS PARA EVENTUAL FORNECIMENTO DE MEDICAMENTOS - ANTIMICROBIANOS</t>
  </si>
  <si>
    <t>A.001-ARP.0038.01.2023.GOV.PROCAPE.PE</t>
  </si>
  <si>
    <t>ARP.0038.01.2023.GOV.PROCAPE.PE</t>
  </si>
  <si>
    <t>A.006-ARP.0006.14.2023.GOV.HAM.PE</t>
  </si>
  <si>
    <t>ARP.0006.14.2023.GOV.HAM.PE</t>
  </si>
  <si>
    <t>A.003-ARP.0031.05.2023.GOV.HGV.PE</t>
  </si>
  <si>
    <t>ARP.0031.05.2023.GOV.HGV.PE</t>
  </si>
  <si>
    <t>A.001-ARP.0038.00.2023.GOV.HGV.PE</t>
  </si>
  <si>
    <t>ARP.0038.00.2023.GOV.HGV.PE</t>
  </si>
  <si>
    <t>FORMAÇÃO DE REGISTRO DE PREÇOS PARA O FORNECIMENTO EVENTUAL DE MATERIAIS DESCARTÁVEIS DIVERSOS II</t>
  </si>
  <si>
    <t>A.001-ARP.0029.09.2023.GOV.HGV.PE</t>
  </si>
  <si>
    <t>ARP.0029.09.2023.GOV.HGV.PE</t>
  </si>
  <si>
    <t>A.003-ARP.0028.00.2023.GOV.HGV.PE</t>
  </si>
  <si>
    <t>ARP.0028.00.2023.GOV.HGV.PE</t>
  </si>
  <si>
    <t>A.001-ARP.0001.03.2023.GOV.BOMBEIROS.PE</t>
  </si>
  <si>
    <t>ARP.0001.03.2023.GOV.BOMBEIROS.PE</t>
  </si>
  <si>
    <t>Registro de preços para a aquisição de materiais de limpeza destinados as Unidades Operacionais do CBMPE</t>
  </si>
  <si>
    <t>A.002-ARP.0028.10.2023.GOV.HGV.PE</t>
  </si>
  <si>
    <t>ARP.0028.10.2023.GOV.HGV.PE</t>
  </si>
  <si>
    <t>A.001-ARP.0017.00.2023.GOV.HGV.PE</t>
  </si>
  <si>
    <t>ARP.0017.00.2023.GOV.HGV.PE</t>
  </si>
  <si>
    <t>FORNECIMENTO EVENTUAL DE EQUIPOS PARA BOMBA DE INFUSÃO COM CONCESSÃO EM FORMA DE COMODATO DAS BOMBAS DE INFUSÃO COM EQUIPO OFERTADO</t>
  </si>
  <si>
    <t>A.003-ARP.0037.02.2023.GOV.PROCAPE.PE</t>
  </si>
  <si>
    <t>ARP.0037.02.2023.GOV.PROCAPE.PE</t>
  </si>
  <si>
    <t>A.004-ARP.0011.03.2023.GOV.DASIS.PE</t>
  </si>
  <si>
    <t>ARP.0011.03.2023.GOV.DASIS.PE</t>
  </si>
  <si>
    <t>REGISTRO DE PREÇOS POR UM PERÍODO DE 12 (DOZE) MESES PARA EVENTUAL FORNECIMENTO DE MATERIAL MÉDICO HOSPITALAR (TEXTIL), PARA ATENDER O CENTRO MÉDICO HOSPITALAR DA PMPE/CBMPE</t>
  </si>
  <si>
    <t>A.007-ARP.0013.01.2023.GOV.DASIS.PE</t>
  </si>
  <si>
    <t>ARP.0013.01.2023.GOV.DASIS.PE</t>
  </si>
  <si>
    <t>REGISTRO DE PREÇOS POR UM PERÍODO DE 12 (DOZE) MESES PARA O EVENTUAL FORNECIMENTO DE MEDICAMENTOS INJETÁVEIS BIOLÓGICOS PARA O CENTRO MEDICO HOSPITALAR DA PMPE/CBMPE.</t>
  </si>
  <si>
    <t>A.002-ARP.0060.01.2023.GOV.HUOC.PE</t>
  </si>
  <si>
    <t>ARP.0060.01.2023.GOV.HUOC.PE</t>
  </si>
  <si>
    <t>Registro de Preços para eventual fornecimento de MEDICAMENTOS CLÍNICOS GERAIS (SEI nº 0040609437.000428/2022-01)</t>
  </si>
  <si>
    <t>A.001-ARP.0028.00.2023.GOV.HGV.PE</t>
  </si>
  <si>
    <t>A.001-ARP.0042.00.2023.GOV.HUOC.PE</t>
  </si>
  <si>
    <t>ARP.0042.00.2023.GOV.HUOC.PE</t>
  </si>
  <si>
    <t>REGISTRO DE PREÇO para eventual fornecimento de MATERIAIS MÉDICOS HOSPITALARES - KITS PARA GASTROSTOMIA ENDOSCÓPICA PERCUTÂNEA (SEI Nº 0040609459.000107/2022-41)</t>
  </si>
  <si>
    <t>A.001-ARP.0037.09.2023.GOV.PROCAPE.PE</t>
  </si>
  <si>
    <t>ARP.0037.09.2023.GOV.PROCAPE.PE</t>
  </si>
  <si>
    <t>A.004-ARP.0032.12.2023.GOV.PROCAPE.PE</t>
  </si>
  <si>
    <t>ARP.0032.12.2023.GOV.PROCAPE.PE</t>
  </si>
  <si>
    <t>A.001-ARP.0001.00.2023.GOV.DEFN.PE</t>
  </si>
  <si>
    <t>ARP.0001.00.2023.GOV.DEFN.PE</t>
  </si>
  <si>
    <t>REGISTRO DE PREÇOS PARA AQUISIÇÃO COM FORNECIMENTO PARCELADO DE MATERIAIS MÉDICO HOSPITALARES, PARA ATENDER DEMANDA DA POPULAÇÃO DO ARQUIPÉLAGO DE FERNANDO DE NORONHA.</t>
  </si>
  <si>
    <t>A.004-ARP.0047.06.2023.GOV.HUOC.PE</t>
  </si>
  <si>
    <t>A.001-ARP.0025.12.2023.GOV.HR.PE</t>
  </si>
  <si>
    <t>A.001-ARP.0009.00.2023.GOV.DASIS.PE</t>
  </si>
  <si>
    <t>ARP.0009.00.2023.GOV.DASIS.PE</t>
  </si>
  <si>
    <t>REGISTRO DE PREÇOS POR UM PERÍODO DE 12 (DOZE) MESES PARA EVENTUAL FORNECIMENTO DE KITS, REAGENTES, CONTROLE, CALIBRADORES E INSUMOS PARA REALIZAÇÃO DE DOSAGEM EM BIOQUÍMICA, IMUNOLOGIA, HORMÔNIOS, MARCADORES TUMORAIS E CARDÍACO, COM CESSÃO A TÍTULO DE COMODATO DE UM 01 (UM) EQUIPAMENTO PRINCIPAL E UM 01 (UM) EQUIPAMENTO BACKUP, NECESSÁRIOS AO SEU PROCESSAMENTO, VISANDO ATENDER ÀS NECESSIDADES DO SEACLIN DO CENTRO MÉDICO HOSPITALAR DA PMPE/CBMPE</t>
  </si>
  <si>
    <t>A.002-ARP.0015.00.2023.GOV.HAM.PE</t>
  </si>
  <si>
    <t>ARP.0015.00.2023.GOV.HAM.PE</t>
  </si>
  <si>
    <t>FORMAÇÃO DE REGISTRO DE PREÇOS, COM VALIDADE DE 12 (DOZE) MESES, PARA FORNECIMENTO EVENTUAL DE MATERIAIS TÉCNICOS DE USOS HOSPITALARES, VISANDO ATENDER AS NECESSIDADES DO HOSPITAL AGAMENON MAGALHÃES E RESTAURAÇÃO</t>
  </si>
  <si>
    <t>A.002-ARP.0003.00.2023.GOV.HRA.PE</t>
  </si>
  <si>
    <t>ARP.0003.00.2023.GOV.HRA.PE</t>
  </si>
  <si>
    <t>A.001-ARP.0003.00.2023.GOV.HRA.PE</t>
  </si>
  <si>
    <t>A.001-ARP.0003.01.2023.GOV.HRA.PE</t>
  </si>
  <si>
    <t>ARP.0003.01.2023.GOV.HRA.PE</t>
  </si>
  <si>
    <t>A.001-ARP.0003.08.2023.GOV.HRA.PE</t>
  </si>
  <si>
    <t>ARP.0003.08.2023.GOV.HRA.PE</t>
  </si>
  <si>
    <t>A.001-ARP.0003.06.2023.GOV.HRA.PE</t>
  </si>
  <si>
    <t>ARP.0003.06.2023.GOV.HRA.PE</t>
  </si>
  <si>
    <t>A.001-ARP.0003.05.2023.GOV.HRA.PE</t>
  </si>
  <si>
    <t>ARP.0003.05.2023.GOV.HRA.PE</t>
  </si>
  <si>
    <t>A.001-ARP.0003.04.2023.GOV.HRA.PE</t>
  </si>
  <si>
    <t>ARP.0003.04.2023.GOV.HRA.PE</t>
  </si>
  <si>
    <t>A.002-ARP.0003.03.2023.GOV.HRA.PE</t>
  </si>
  <si>
    <t>ARP.0003.03.2023.GOV.HRA.PE</t>
  </si>
  <si>
    <t>A.001-ARP.0003.02.2023.GOV.HRA.PE</t>
  </si>
  <si>
    <t>ARP.0003.02.2023.GOV.HRA.PE</t>
  </si>
  <si>
    <t>A.001-ARP.0011.00.2023.GOV.HUOC.PE</t>
  </si>
  <si>
    <t>ARP.0011.00.2023.GOV.HUOC.PE</t>
  </si>
  <si>
    <t>REGISTRO DE PREÇO para eventual fornecimento de MATERIAIS MÉDICOS HOSPITALARES - CAL SODADA EM PILULAS, REAGENTE VERDE BRILHANTE E DETERGENTE BACTERIOSTÁTICO (SEI Nº 0040609459.000034/2022-97)</t>
  </si>
  <si>
    <t>A.002-ARP.0015.00.2023.GOV.HUOC.PE</t>
  </si>
  <si>
    <t>ARP.0015.00.2023.GOV.HUOC.PE</t>
  </si>
  <si>
    <t>REGISTRO DE PREÇO para eventual fornecimento de MARCADORES PARA INSTRUMENTAIS CIRÚRGICOS (SEI Nº 0040609459.000093/2022-65)</t>
  </si>
  <si>
    <t>A.001-ARP.0004.02.2023.GOV.CISAM.PE</t>
  </si>
  <si>
    <t>ARP.0004.02.2023.GOV.CISAM.PE</t>
  </si>
  <si>
    <t>REGISTRO DE PREÇO PARA FORNECIMENTO EVENTUAL DE MATERIAL MÉDICO-HOSPITALAR (ESPECULO DESCARTÁVEL, ESCOVA CERVICAL ESTÉRIL, LAMINAS DE BISTURI, LAMINAS E LAMÍNULAS PARA MICROSCÓPIO, PINÇA DE CHERON, PRESERVATIVO SEM LUBRIFICANTE, PULSEIRA DE IDENTIFICAÇÃO) PARA O CISAM, POR UM PERÍODO DE 12 (DOZE) MESES</t>
  </si>
  <si>
    <t>A.001-ARP.0015.00.2023.GOV.HUOC.PE</t>
  </si>
  <si>
    <t>A.001-ARP.0016.00.2023.GOV.HUOC.PE</t>
  </si>
  <si>
    <t>ARP.0016.00.2023.GOV.HUOC.PE</t>
  </si>
  <si>
    <t>Registro de Preços para eventual fornecimento de MEDICAMENTOS ANTIMICROBIANOS</t>
  </si>
  <si>
    <t>A.002-ARP.0038.05.2023.GOV.HUOC.PE</t>
  </si>
  <si>
    <t>ARP.0038.05.2023.GOV.HUOC.PE</t>
  </si>
  <si>
    <t>REGISTRO DE PREÇO para eventual fornecimento de MATERIAIS MÉDICOS HOSPITALARES</t>
  </si>
  <si>
    <t>A.001-ARP.0006.11.2023.GOV.HOF.PE</t>
  </si>
  <si>
    <t>ARP.0006.11.2023.GOV.HOF.PE</t>
  </si>
  <si>
    <t>REGISTRO DE PREÇOS PARA EVENTUAL AQUISIÇÃO DE MEDICAMENTOS POR UM PERÍODO DE 12 MESES</t>
  </si>
  <si>
    <t>A.001-ARP.0016.08.2023.GOV.HUOC.PE</t>
  </si>
  <si>
    <t>ARP.0016.08.2023.GOV.HUOC.PE</t>
  </si>
  <si>
    <t>A.003-ARP.0016.01.2023.GOV.HUOC.PE</t>
  </si>
  <si>
    <t>ARP.0016.01.2023.GOV.HUOC.PE</t>
  </si>
  <si>
    <t>A.002-ARP.0021.02.2023.GOV.HUOC.PE</t>
  </si>
  <si>
    <t>ARP.0021.02.2023.GOV.HUOC.PE</t>
  </si>
  <si>
    <t>Registro de Preços para eventual fornecimento de MEDICAMENTOS CLÍNICOS GERAIS, por um período de 12 (doze) meses, conforme planilha de especi?cação do objeto.</t>
  </si>
  <si>
    <t>A.003-ARP.0012.03.2023.GOV.HUOC.PE</t>
  </si>
  <si>
    <t>ARP.0012.03.2023.GOV.HUOC.PE</t>
  </si>
  <si>
    <t>Registro de Preços para eventual fornecimento de MEDICAMENTOS ANTIMICROBIANOS, CONTROLADOS (Portaria 344/98) E CLÍNICOS (SEI Nº 0040609437.000316/2022-42)</t>
  </si>
  <si>
    <t>A.002-ARP.0036.05.2025.GOV.FES-PE.PE</t>
  </si>
  <si>
    <t>ARP.0036.05.2025.GOV.FES-PE.PE</t>
  </si>
  <si>
    <t>C.001-ARP.0115.06.2025.GOV.FES-PE.PE</t>
  </si>
  <si>
    <t>ARP.0115.06.2025.GOV.FES-PE.PE</t>
  </si>
  <si>
    <t>Formação de Registro de Preços para o fornecimento de Dispositivos Médicos do tipo Bolsas para Ostomizados, visando atender as necessidades do Hospital da Restauração, Hospital Correia Picanço, Hospital Regional do Agreste, Hospital Barão de Lucena, Hospital Otávio de Freitas, Hospital Belarmino Correia, Hospital Getúlio Vargas, Hospital Regional José Fernandes Salsa, e Diretoria Geral Assistência Saúde Prisional, conforme as condições, especificações, quantidades e exigências contidas nos Estudos Técnicos Preliminares e no Termo de Referência.</t>
  </si>
  <si>
    <t>C.001-ARPC.0044.00.2025.GOV.SAD.PE</t>
  </si>
  <si>
    <t>ARPC.0044.00.2025.GOV.SAD.PE</t>
  </si>
  <si>
    <t>formação de Ata de Registro de Preços Corporativa para o fornecimento eventual de MOBILIÁRIO HOSPITALAR, visando atender as necessidades dos órgãos da Administração Direta, dos Fundos Especiais Autarquias e Fundações Públicas integrantes do Poder Executivo do Estado de Pernambuco, conforme as condições, especificações, quantidades e exigências contidas no Estudo Técnico Preliminar e no Termo de Referência.</t>
  </si>
  <si>
    <t>C.001-ARP.0115.04.2025.GOV.FES-PE.PE</t>
  </si>
  <si>
    <t>ARP.0115.04.2025.GOV.FES-PE.PE</t>
  </si>
  <si>
    <t>Encaminhada para o ordenador</t>
  </si>
  <si>
    <t>C.001-ARP.0115.01.2025.GOV.FES-PE.PE</t>
  </si>
  <si>
    <t>ARP.0115.01.2025.GOV.FES-PE.PE</t>
  </si>
  <si>
    <t>C.002-ARP.0115.02.2025.GOV.FES-PE.PE</t>
  </si>
  <si>
    <t>ARP.0115.02.2025.GOV.FES-PE.PE</t>
  </si>
  <si>
    <t>C.002-ARP.0115.00.2025.GOV.FES-PE.PE</t>
  </si>
  <si>
    <t>ARP.0115.00.2025.GOV.FES-PE.PE</t>
  </si>
  <si>
    <t>C.003-ARP.0110.01.2025.GOV.FES-PE.PE</t>
  </si>
  <si>
    <t>ARP.0110.01.2025.GOV.FES-PE.PE</t>
  </si>
  <si>
    <t>Formação de Ata de Registro de Preços para o fornecimento eventual de medicamentos, visando atender as necessidades dos hospitais e estabelecimentos vinculados à Secretaria Estadual de Saúde de Pernambuco.</t>
  </si>
  <si>
    <t>C.002-ARP.0020.00.2025.GOV.FES-PE.PE</t>
  </si>
  <si>
    <t>ARP.0020.00.2025.GOV.FES-PE.PE</t>
  </si>
  <si>
    <t>C.013-ARP.0044.04.2025.GOV.FES-PE.PE</t>
  </si>
  <si>
    <t>ARP.0077.07.2025.GOV.FES-PE.PE</t>
  </si>
  <si>
    <t>C.005-ARP.0077.00.2025.GOV.FES-PE.PE</t>
  </si>
  <si>
    <t>C.008-ARP.0073.00.2025.GOV.FES-PE.PE</t>
  </si>
  <si>
    <t>ARP.0101.00.2025.GOV.FES-PE.PE</t>
  </si>
  <si>
    <t>ARP.0088.05.2025.GOV.FES-PE.PE</t>
  </si>
  <si>
    <t>C.003-ARP.0001.00.2024.FES-PE.PE</t>
  </si>
  <si>
    <t>ARP.0070.01.2025.GOV.FES-PE.PE</t>
  </si>
  <si>
    <t>ARP.0070.02.2025.GOV.FES-PE.PE</t>
  </si>
  <si>
    <t>ARP.0015.02.2025.GOV.FES-PE.PE</t>
  </si>
  <si>
    <t>ARP.0030.03.2025.GOV.CISAM.PE</t>
  </si>
  <si>
    <t>REGISTRO DE PREÇOS PARA FORNECIMENTO EVENTUAL DE MEDICAMENTOS MANIPULADOS VISANDO ATENDER AS NECESSIDADES DO CISAM/UPE E DEMAIS ÓRGÃOS PARTICIPANTES</t>
  </si>
  <si>
    <t>ARP.0096.02.2024.GOV.FES-PE.PE</t>
  </si>
  <si>
    <t>ARP.0002.00.2025.GOV.SES.PE</t>
  </si>
  <si>
    <t>ARP.0063.05.2024.GOV.CISAM.PE</t>
  </si>
  <si>
    <t>ARP.0074.00.2025.GOV.FES-PE.PE</t>
  </si>
  <si>
    <t>ARP.0088.02.2024.GOV.CISAM.PE</t>
  </si>
  <si>
    <t>ARPC.0018.00.2024.GOV.SAD.PE</t>
  </si>
  <si>
    <t>ARP.0036.07.2025.GOV.FES-PE.PE</t>
  </si>
  <si>
    <t>ARP.0019.02.2025.GOV.FES-PE.PE</t>
  </si>
  <si>
    <t>ARP.0092.04.2024.GOV.FES-PE.PE</t>
  </si>
  <si>
    <t>ARP.0075.01.2024.GOV.FES-PE.PE</t>
  </si>
  <si>
    <t>ARP.0094.03.2024.GOV.FES-PE.PE</t>
  </si>
  <si>
    <t>ARP.0054.04.2025.GOV.FES-PE.PE</t>
  </si>
  <si>
    <t>ARP.0050.00.2025.GOV.FES-PE.PE</t>
  </si>
  <si>
    <t>ARPC.0006.00.2025.GOV.SAD.PE</t>
  </si>
  <si>
    <t>ARP.0053.05.2025.GOV.FES-PE.PE</t>
  </si>
  <si>
    <t>ARP.0049.00.2024.GOV.FES-PE.PE</t>
  </si>
  <si>
    <t>ARP.0010.01.2025.GOV.FES-PE.PE</t>
  </si>
  <si>
    <t>ARP.0017.02.2025.GOV.FES-PE.PE</t>
  </si>
  <si>
    <t>ARP.0052.07.2025.GOV.FES-PE.PE</t>
  </si>
  <si>
    <t>ARP.0052.06.2025.GOV.FES-PE.PE</t>
  </si>
  <si>
    <t>ARP.0052.05.2025.GOV.FES-PE.PE</t>
  </si>
  <si>
    <t>ARP.0052.04.2025.GOV.FES-PE.PE</t>
  </si>
  <si>
    <t>ARP.0052.03.2025.GOV.FES-PE.PE</t>
  </si>
  <si>
    <t>ARP.0052.02.2025.GOV.FES-PE.PE</t>
  </si>
  <si>
    <t>ARP.0052.01.2025.GOV.FES-PE.PE</t>
  </si>
  <si>
    <t>ARP.0052.00.2025.GOV.FES-PE.PE</t>
  </si>
  <si>
    <t>ARP.0043.04.2025.GOV.FES-PE.PE</t>
  </si>
  <si>
    <t>ARP.0043.03.2025.GOV.FES-PE.PE</t>
  </si>
  <si>
    <t>ARP.0043.02.2025.GOV.FES-PE.PE</t>
  </si>
  <si>
    <t>ARP.0043.01.2025.GOV.FES-PE.PE</t>
  </si>
  <si>
    <t>ARP.0043.00.2025.GOV.FES-PE.PE</t>
  </si>
  <si>
    <t>ARP.0036.09.2025.GOV.FES-PE.PE</t>
  </si>
  <si>
    <t>ARP.0036.08.2025.GOV.FES-PE.PE</t>
  </si>
  <si>
    <t>ARP.0036.06.2025.GOV.FES-PE.PE</t>
  </si>
  <si>
    <t>ARP.0036.03.2025.GOV.FES-PE.PE</t>
  </si>
  <si>
    <t>ARP.0036.01.2025.GOV.FES-PE.PE</t>
  </si>
  <si>
    <t>ARP.0035.05.2025.GOV.FES-PE.PE</t>
  </si>
  <si>
    <t>ARP.0035.04.2025.GOV.FES-PE.PE</t>
  </si>
  <si>
    <t>ARP.0035.03.2025.GOV.FES-PE.PE</t>
  </si>
  <si>
    <t>ARP.0035.02.2025.GOV.FES-PE.PE</t>
  </si>
  <si>
    <t>ARP.0035.01.2025.GOV.FES-PE.PE</t>
  </si>
  <si>
    <t>ARP.0035.00.2025.GOV.FES-PE.PE</t>
  </si>
  <si>
    <t>ARP.0031.06.2025.GOV.FES-PE.PE</t>
  </si>
  <si>
    <t>ARP.0031.04.2025.GOV.FES-PE.PE</t>
  </si>
  <si>
    <t>ARP.0031.03.2025.GOV.FES-PE.PE</t>
  </si>
  <si>
    <t>ARP.0031.01.2025.GOV.FES-PE.PE</t>
  </si>
  <si>
    <t>ARP.0031.00.2025.GOV.FES-PE.PE</t>
  </si>
  <si>
    <t>ARP.0030.05.2025.GOV.FES-PE.PE</t>
  </si>
  <si>
    <t>ARP.0030.04.2025.GOV.FES-PE.PE</t>
  </si>
  <si>
    <t>ARP.0030.01.2025.GOV.FES-PE.PE</t>
  </si>
  <si>
    <t>ARP.0030.00.2025.GOV.FES-PE.PE</t>
  </si>
  <si>
    <t>ARP.0029.05.2025.GOV.FES-PE.PE</t>
  </si>
  <si>
    <t>ARP.0029.04.2025.GOV.FES-PE.PE</t>
  </si>
  <si>
    <t>ARP.0029.03.2025.GOV.FES-PE.PE</t>
  </si>
  <si>
    <t>ARP.0029.02.2025.GOV.FES-PE.PE</t>
  </si>
  <si>
    <t>ARP.0029.01.2025.GOV.FES-PE.PE</t>
  </si>
  <si>
    <t>ARP.0006.05.2025.GOV.HOF.PE</t>
  </si>
  <si>
    <t>ARP.0006.04.2025.GOV.HOF.PE</t>
  </si>
  <si>
    <t>ARP.0034.01.2025.GOV.FES-PE.PE</t>
  </si>
  <si>
    <t>ARP.0033.00.2025.GOV.FES-PE.PE</t>
  </si>
  <si>
    <t>ARP.0020.05.2025.GOV.FES-PE.PE</t>
  </si>
  <si>
    <t>ARP.0020.03.2025.GOV.FES-PE.PE</t>
  </si>
  <si>
    <t>Não autorizada</t>
  </si>
  <si>
    <t>ARP.0028.03.2025.GOV.FES-PE.PE</t>
  </si>
  <si>
    <t>ARP.0028.01.2025.GOV.FES-PE.PE</t>
  </si>
  <si>
    <t>ARP.0028.00.2025.GOV.FES-PE.PE</t>
  </si>
  <si>
    <t>ARP.0027.07.2025.GOV.FES-PE.PE</t>
  </si>
  <si>
    <t>ARP.0027.08.2025.GOV.FES-PE.PE</t>
  </si>
  <si>
    <t>ARP.0027.09.2025.GOV.FES-PE.PE</t>
  </si>
  <si>
    <t>ARP.0022.00.2025.GOV.FES-PE.PE</t>
  </si>
  <si>
    <t>ARP.0021.01.2025.GOV.FES-PE.PE</t>
  </si>
  <si>
    <t>ARP.0019.01.2025.GOV.FES-PE.PE</t>
  </si>
  <si>
    <t>ARP.0019.00.2025.GOV.FES-PE.PE</t>
  </si>
  <si>
    <t>ARP.0018.00.2025.GOV.FES-PE.PE</t>
  </si>
  <si>
    <t>ARP.0017.05.2025.GOV.FES-PE.PE</t>
  </si>
  <si>
    <t>ARP.0017.04.2025.GOV.FES-PE.PE</t>
  </si>
  <si>
    <t>ARP.0017.00.2025.GOV.FES-PE.PE</t>
  </si>
  <si>
    <t>ARP.0012.04.2025.GOV.FES-PE.PE</t>
  </si>
  <si>
    <t>ARP.0004.00.2025.GOV.FES-PE.PE</t>
  </si>
  <si>
    <t>ARP.0004.05.2025.GOV.FES-PE.PE</t>
  </si>
  <si>
    <t>ARP.0003.00.2025.GOV.FES-PE.PE</t>
  </si>
  <si>
    <t>ARP.0025.00.2024.GOV.FES-PE.PE</t>
  </si>
  <si>
    <t>ARP.0647.14.2024.GOV.FES-PE.PE</t>
  </si>
  <si>
    <t>ARPC.0006.00.2024.GOV.SAD.PE</t>
  </si>
  <si>
    <t>ARP.0050.00.2024.GOV.FES-PE.PE</t>
  </si>
  <si>
    <t>ARP.0061.03.2024.GOV.FES-PE.PE</t>
  </si>
  <si>
    <t>ARP.0088.01.2024.GOV.CISAM.PE</t>
  </si>
  <si>
    <t>ARP.0089.01.2024.GOV.CISAM.PE</t>
  </si>
  <si>
    <t>ARP.0087.00.2024.GOV.CISAM.PE</t>
  </si>
  <si>
    <t>ARP.0087.01.2024.GOV.CISAM.PE</t>
  </si>
  <si>
    <t>ARP.0087.03.2024.GOV.CISAM.PE</t>
  </si>
  <si>
    <t>ARP.0087.05.2024.GOV.CISAM.PE</t>
  </si>
  <si>
    <t>ARP.0088.03.2024.GOV.CISAM.PE</t>
  </si>
  <si>
    <t>ARP.0097.02.2024.GOV.FES-PE.PE</t>
  </si>
  <si>
    <t>ARP.0096.01.2024.GOV.FES-PE.PE</t>
  </si>
  <si>
    <t>ARPC.0029.00.2024.GOV.SAD.PE</t>
  </si>
  <si>
    <t>ARP.0065.06.2024.GOV.CISAM.PE</t>
  </si>
  <si>
    <t>ARP.0089.00.2024.GOV.FES-PE.PE</t>
  </si>
  <si>
    <t>ARP.0089.01.2024.GOV.FES-PE.PE</t>
  </si>
  <si>
    <t>ARP.0040.01.2024.GOV.FES-PE.PE</t>
  </si>
  <si>
    <t>ARP.0031.11.2024.GOV.FES-PE.PE</t>
  </si>
  <si>
    <t>ARP.0097.03.2024.GOV.FES-PE.PE</t>
  </si>
  <si>
    <t>ARP.0097.00.2024.GOV.FES-PE.PE</t>
  </si>
  <si>
    <t>ARP.0096.00.2024.GOV.FES-PE.PE</t>
  </si>
  <si>
    <t>ARP.0078.01.2024.GOV.FES-PE.PE</t>
  </si>
  <si>
    <t>ARP.0048.01.2024.GOV.FES-PE.PE</t>
  </si>
  <si>
    <t>ARP.0094.00.2024.GOV.FES-PE.PE</t>
  </si>
  <si>
    <t>ARP.0094.02.2024.GOV.FES-PE.PE</t>
  </si>
  <si>
    <t>ARP.0094.01.2024.GOV.FES-PE.PE</t>
  </si>
  <si>
    <t>ARP.0065.00.2024.GOV.CISAM.PE</t>
  </si>
  <si>
    <t>ARP.0065.05.2024.GOV.CISAM.PE</t>
  </si>
  <si>
    <t>ARP.0049.00.2024.GOV.CISAM.PE</t>
  </si>
  <si>
    <t>ARP.0092.02.2024.GOV.FES-PE.PE</t>
  </si>
  <si>
    <t>ARP.0092.03.2024.GOV.FES-PE.PE</t>
  </si>
  <si>
    <t>ARP.0063.04.2024.GOV.FES-PE.PE</t>
  </si>
  <si>
    <t>ARP.0025.06.2024.GOV.FES-PE.PE</t>
  </si>
  <si>
    <t>ARP.0025.04.2024.GOV.FES-PE.PE</t>
  </si>
  <si>
    <t>ARP.0025.03.2024.GOV.FES-PE.PE</t>
  </si>
  <si>
    <t>ARP.0018.01.2024.GOV.FES-PE.PE</t>
  </si>
  <si>
    <t>ARP.0024.01.2024.GOV.FES-PE.PE</t>
  </si>
  <si>
    <t>ARP.0083.04.2024.GOV.FES-PE.PE</t>
  </si>
  <si>
    <t>ARP.0088.07.2024.GOV.FES-PE.PE</t>
  </si>
  <si>
    <t>ARP.0088.00.2024.GOV.FES-PE.PE</t>
  </si>
  <si>
    <t>ARP.0090.05.2024.GOV.FES-PE.PE</t>
  </si>
  <si>
    <t>ARP.0090.02.2024.GOV.FES-PE.PE</t>
  </si>
  <si>
    <t>ARP.0052.08.2024.GOV.FES-PE.PE</t>
  </si>
  <si>
    <t>ARP.0043.02.2024.GOV.FES-PE.PE</t>
  </si>
  <si>
    <t>ARPC.0005.00.2024.GOV.SAD.PE</t>
  </si>
  <si>
    <t>ARP.0040.00.2024.GOV.FES-PE.PE</t>
  </si>
  <si>
    <t>ARP.0040.03.2024.GOV.FES-PE.PE</t>
  </si>
  <si>
    <t>ARP.0075.00.2024.GOV.FES-PE.PE</t>
  </si>
  <si>
    <t>ARP.0083.02.2024.GOV.FES-PE.PE</t>
  </si>
  <si>
    <t>ARP.0083.03.2024.GOV.FES-PE.PE</t>
  </si>
  <si>
    <t>ARPC.0021.00.2024.GOV.SAD.PE</t>
  </si>
  <si>
    <t>ARP.0065.01.2024.GOV.FES-PE.PE</t>
  </si>
  <si>
    <t>ARP.0024.00.2024.GOV.FES-PE.PE</t>
  </si>
  <si>
    <t>ARP.0022.01.2024.GOV.FES-PE.PE</t>
  </si>
  <si>
    <t>ARP.0031.16.2024.GOV.FES-PE.PE</t>
  </si>
  <si>
    <t>ARP.0066.03.2024.GOV.FES-PE.PE</t>
  </si>
  <si>
    <t>ARP.0066.01.2024.GOV.FES-PE.PE</t>
  </si>
  <si>
    <t>ARP.0066.08.2024.GOV.FES-PE.PE</t>
  </si>
  <si>
    <t>ARP.0066.04.2024.GOV.FES-PE.PE</t>
  </si>
  <si>
    <t>ARP.0066.06.2024.GOV.FES-PE.PE</t>
  </si>
  <si>
    <t>ARP.0063.03.2024.GOV.FES-PE.PE</t>
  </si>
  <si>
    <t>ARP.0052.10.2024.GOV.FES-PE.PE</t>
  </si>
  <si>
    <t>ARP.0064.00.2024.GOV.FES-PE.PE</t>
  </si>
  <si>
    <t>ARP.0022.00.2024.GOV.FES-PE.PE</t>
  </si>
  <si>
    <t>ARPC.0015.02.2024.GOV.SAD.PE</t>
  </si>
  <si>
    <t>ARP.0048.07.2024.GOV.FES-PE.PE</t>
  </si>
  <si>
    <t>ARP.0065.06.2024.GOV.FES-PE.PE</t>
  </si>
  <si>
    <t>ARP.0018.08.2024.GOV.FES-PE.PE</t>
  </si>
  <si>
    <t>ARP.0022.04.2024.GOV.FES-PE.PE</t>
  </si>
  <si>
    <t>ARP.0012.00.2024.GOV.FES-PE.PE</t>
  </si>
  <si>
    <t>ARP.0112.00.2023.GOV.FES-PE.PE</t>
  </si>
  <si>
    <t>ARP.0002.00.2024.GOV.HRA.PE</t>
  </si>
  <si>
    <t>ARP.0052.07.2024.GOV.CISAM.PE</t>
  </si>
  <si>
    <t>ARP.0064.04.2024.GOV.FES-PE.PE</t>
  </si>
  <si>
    <t>ARP.0063.06.2024.GOV.FES-PE.PE</t>
  </si>
  <si>
    <t>ARP.0064.05.2024.GOV.FES-PE.PE</t>
  </si>
  <si>
    <t>ARP.0018.07.2024.GOV.FES-PE.PE</t>
  </si>
  <si>
    <t>ARP.0048.06.2024.GOV.FES-PE.PE</t>
  </si>
  <si>
    <t>ARP.0038.01.2024.GOV.FES-PE.PE</t>
  </si>
  <si>
    <t>ARP.0061.06.2024.GOV.FES-PE.PE</t>
  </si>
  <si>
    <t>ARP.0040.02.2024.GOV.FES-PE.PE</t>
  </si>
  <si>
    <t>ARP.0031.10.2024.GOV.FES-PE.PE</t>
  </si>
  <si>
    <t>ARP.0052.12.2024.GOV.FES-PE.PE</t>
  </si>
  <si>
    <t>ARP.0058.03.2024.GOV.FES-PE.PE</t>
  </si>
  <si>
    <t>ARPC.0012.00.2023.GOV.SAD.PE</t>
  </si>
  <si>
    <t>ARP.0037.02.2024.GOV.FES-PE.PE</t>
  </si>
  <si>
    <t>ARP.0048.11.2024.GOV.FES-PE.PE</t>
  </si>
  <si>
    <t>ARP.0052.00.2024.GOV.FES-PE.PE</t>
  </si>
  <si>
    <t>ARP.0005.05.2023.GOV.HRA.PE</t>
  </si>
  <si>
    <t>ARP.0046.05.2024.GOV.FES-PE.PE</t>
  </si>
  <si>
    <t>ARP.0052.05.2024.GOV.FES-PE.PE</t>
  </si>
  <si>
    <t>ARP.0025.02.2024.GOV.FES-PE.PE</t>
  </si>
  <si>
    <t>ARP.0005.02.2023.GOV.HRA.PE</t>
  </si>
  <si>
    <t>ARP.0005.01.2023.GOV.HRA.PE</t>
  </si>
  <si>
    <t>ARP.0005.07.2023.GOV.HRA.PE</t>
  </si>
  <si>
    <t>ARP.0005.10.2023.GOV.HRA.PE</t>
  </si>
  <si>
    <t>ARP.0040.04.2024.GOV.FES-PE.PE</t>
  </si>
  <si>
    <t>ARPC.0003.00.2024.GOV.SAD.PE</t>
  </si>
  <si>
    <t>ARPC.0018.00.2023.GOV.SAD.PE</t>
  </si>
  <si>
    <t>ARP.0037.00.2024.GOV.FES-PE.PE</t>
  </si>
  <si>
    <t>ARPC.0008.00.2023.GOV.SAD.PE</t>
  </si>
  <si>
    <t>ARP.0005.08.2023.GOV.HRA.PE</t>
  </si>
  <si>
    <t>ARP.0001.00.2024.GOV.HRA.PE</t>
  </si>
  <si>
    <t>ARP.0005.04.2023.GOV.HRA.PE</t>
  </si>
  <si>
    <t>ARP.0005.00.2023.GOV.HRA.PE</t>
  </si>
  <si>
    <t>ARP.0018.06.2024.GOV.FES-PE.PE</t>
  </si>
  <si>
    <t>C.005-ARPC.0018.00.2023.GOV.SAD.PE</t>
  </si>
  <si>
    <t>C.007-ARP.0003.02.2023.GOV.HRA.PE</t>
  </si>
  <si>
    <t>C.003-ARP.0003.06.2023.GOV.HRA.PE</t>
  </si>
  <si>
    <t>C.004-ARP.0003.04.2023.GOV.HRA.PE</t>
  </si>
  <si>
    <t>C.005-ARP.0003.08.2023.GOV.HRA.PE</t>
  </si>
  <si>
    <t>C.004-ARP.0003.05.2023.GOV.HRA.PE</t>
  </si>
  <si>
    <t>C.006-ARP.0003.02.2023.GOV.HRA.PE</t>
  </si>
  <si>
    <t>C.003-ARP.0096.00.2023.GOV.FES-PE.PE</t>
  </si>
  <si>
    <t>ARP.0096.00.2023.GOV.FES-PE.PE</t>
  </si>
  <si>
    <t>PREGÃO ELETRÔNICO PARA REGISTRO DE PREÇOS COM VALIDADE DE 12 (DOZE) MESES PARA EVENTUAL FORNECIMENTO DE MATERIAL MÉDICO- HOSPITALAR- DESCARTÁVEIS DIVERSOS, VISANDO ATENDER O HOSPITAL DE CARUARU JESUS NAZARENO</t>
  </si>
  <si>
    <t>C.005-ARP.0003.03.2023.GOV.HRA.PE</t>
  </si>
  <si>
    <t>C.003-ARP.0003.04.2023.GOV.HRA.PE</t>
  </si>
  <si>
    <t>C.004-ARP.0003.08.2023.GOV.HRA.PE</t>
  </si>
  <si>
    <t>C.003-ARP.0003.05.2023.GOV.HRA.PE</t>
  </si>
  <si>
    <t>C.037-ARPC.0012.00.2023.GOV.SAD.PE</t>
  </si>
  <si>
    <t>C.025-ARPC.0003.00.2023.GOV.SAD.PE</t>
  </si>
  <si>
    <t>ARPC.0003.00.2023.GOV.SAD.PE</t>
  </si>
  <si>
    <t>Formação de Registro de Preços para a prestação de serviços de Copeiragem, conforme especificações e quantitativos previstos no Termo de Referência (Anexo I), para atender às demandas dos órgãos participantes indicados no mencionado Anexo.</t>
  </si>
  <si>
    <t>C.001-ARP.0006.00.2023.GOV.HRA.PE</t>
  </si>
  <si>
    <t>ARP.0006.00.2023.GOV.HRA.PE</t>
  </si>
  <si>
    <t>REGISTRO DE PREÇOS PARA EVENTUAL AQUISIÇÃO DE INSTRUMENTAIS CIRÚRGICOS</t>
  </si>
  <si>
    <t>C.002-ARP.0005.05.2023.GOV.HRA.PE</t>
  </si>
  <si>
    <t>C.002-ARP.0005.04.2023.GOV.HRA.PE</t>
  </si>
  <si>
    <t>C.002-ARP.0005.00.2023.GOV.HRA.PE</t>
  </si>
  <si>
    <t>C.003-ARP.0003.08.2023.GOV.HRA.PE</t>
  </si>
  <si>
    <t>C.002-ARP.0003.06.2023.GOV.HRA.PE</t>
  </si>
  <si>
    <t>C.002-ARP.0003.04.2023.GOV.HRA.PE</t>
  </si>
  <si>
    <t>C.002-ARP.0003.05.2023.GOV.HRA.PE</t>
  </si>
  <si>
    <t>C.004-ARP.0003.03.2023.GOV.HRA.PE</t>
  </si>
  <si>
    <t>C.005-ARP.0003.02.2023.GOV.HRA.PE</t>
  </si>
  <si>
    <t>C.003-ARP.0003.03.2023.GOV.HRA.PE</t>
  </si>
  <si>
    <t>C.004-ARP.0003.02.2023.GOV.HRA.PE</t>
  </si>
  <si>
    <t>C.020-ARPC.0006.00.2023.GOV.SAD.PE</t>
  </si>
  <si>
    <t>ARPC.0006.00.2023.GOV.SAD.PE</t>
  </si>
  <si>
    <t>Registro de Preços para o fornecimento eventual do(s) medicamento(s)/insumo(s) hospitalar(es), conforme especificações e quantitativos previstos no Anexo I, para atender às demandas dos órgãos participantes indicados no mencionado Anexo.</t>
  </si>
  <si>
    <t>C.003-ARP.0003.02.2023.GOV.HRA.PE</t>
  </si>
  <si>
    <t>C.002-ARP.0003.03.2023.GOV.HRA.PE</t>
  </si>
  <si>
    <t>C.035-ARPC.0005.00.2023.GOV.SAD.PE</t>
  </si>
  <si>
    <t>ARPC.0005.00.2023.GOV.SAD.PE</t>
  </si>
  <si>
    <t>Formação de Registro de Preços Corporativo para o fornecimento eventual de copos descartáveis, visando atender as necessidades dos órgãos da Administração Direta, Autarquias e Fundações Públicas integrantes do Poder Executivo do Estado de Pernambuco, nos termos da legislação vigente e conforme as condições, especificações, quantidades e exigências contidas no Termo de Referência.</t>
  </si>
  <si>
    <t>C.002-ARP.0003.08.2023.GOV.HRA.PE</t>
  </si>
  <si>
    <t>C.001-ARP.0004.00.2023.GOV.HRA.PE</t>
  </si>
  <si>
    <t>ARP.0004.00.2023.GOV.HRA.PE</t>
  </si>
  <si>
    <t>REGISTRO DE PREÇOS PARA FORNECIMENTO DE ÁGUA POTÁVEL PARA HEMODIÁLISE, EM METROS CÚBICOS ACONDICIONADA EM CARRO-PIPA</t>
  </si>
  <si>
    <t>C.001-ARP.0005.10.2023.GOV.HRA.PE</t>
  </si>
  <si>
    <t>C.001-ARP.0005.08.2023.GOV.HRA.PE</t>
  </si>
  <si>
    <t>C.001-ARP.0005.06.2023.GOV.HRA.PE</t>
  </si>
  <si>
    <t>ARP.0005.06.2023.GOV.HRA.PE</t>
  </si>
  <si>
    <t>C.001-ARP.0005.05.2023.GOV.HRA.PE</t>
  </si>
  <si>
    <t>C.001-ARP.0005.04.2023.GOV.HRA.PE</t>
  </si>
  <si>
    <t>C.001-ARP.0005.03.2023.GOV.HRA.PE</t>
  </si>
  <si>
    <t>ARP.0005.03.2023.GOV.HRA.PE</t>
  </si>
  <si>
    <t>C.001-ARP.0005.02.2023.GOV.HRA.PE</t>
  </si>
  <si>
    <t>C.001-ARP.0005.01.2023.GOV.HRA.PE</t>
  </si>
  <si>
    <t>C.001-ARP.0005.00.2023.GOV.HRA.PE</t>
  </si>
  <si>
    <t>C.001-ARP.0005.07.2023.GOV.HRA.PE</t>
  </si>
  <si>
    <t>C.002-ARPC.0012.00.2023.GOV.SAD.PE</t>
  </si>
  <si>
    <t>C.001-ARP.0008.00.2023.GOV.HRA.PE</t>
  </si>
  <si>
    <t>ARP.0008.00.2023.GOV.HRA.PE</t>
  </si>
  <si>
    <t>REGISTRO DE PREÇOS PARA AQUISIÇÃO DE ÓRTESES , PROTESES E MATERIAIS ESPECIAIS - OPME - PRÓTESES</t>
  </si>
  <si>
    <t>C.001-ARP.0007.00.2023.GOV.HRA.PE</t>
  </si>
  <si>
    <t>ARP.0007.00.2023.GOV.HRA.PE</t>
  </si>
  <si>
    <t>REGISTRO DE PREÇOS PARA CONTRATAÇÃO DE EMPRESSA ESPECIALIZADA NA PRESTAÇÃO DOS SERVIÇOS DE ANATOMIA PATOLÓGICA</t>
  </si>
  <si>
    <t>C.001-ARP.0003.08.2023.GOV.HRA.PE</t>
  </si>
  <si>
    <t>C.001-ARP.0003.07.2023.GOV.HRA.PE</t>
  </si>
  <si>
    <t>ARP.0003.07.2023.GOV.HRA.PE</t>
  </si>
  <si>
    <t>C.001-ARP.0003.06.2023.GOV.HRA.PE</t>
  </si>
  <si>
    <t>C.001-ARP.0003.05.2023.GOV.HRA.PE</t>
  </si>
  <si>
    <t>C.001-ARP.0003.04.2023.GOV.HRA.PE</t>
  </si>
  <si>
    <t>C.001-ARP.0003.03.2023.GOV.HRA.PE</t>
  </si>
  <si>
    <t>C.002-ARP.0003.02.2023.GOV.HRA.PE</t>
  </si>
  <si>
    <t>C.001-ARP.0003.01.2023.GOV.HRA.PE</t>
  </si>
  <si>
    <t>C.001-ARP.0003.00.2023.GOV.HRA.PE</t>
  </si>
  <si>
    <t>C.001-ARP.0077.04.2023.GOV.FES-PE.PE</t>
  </si>
  <si>
    <t>ARP.0077.04.2023.GOV.FES-PE.PE</t>
  </si>
  <si>
    <t>PREGÃO ELETRÔNICO PARA REGISTRO DE PREÇOS COM VALIDADE DE 12 (DOZE) MESES PARA EVENTUAL FORNECIMENTO DE MATERIAL LIMPEZA E PRODUTOS DE HIGIENIZAÇÃO, VISANDO ATENDER DO HOSPITAL DE CARUARU JESUS NAZARENO.</t>
  </si>
  <si>
    <t>C.012-ARPC.0009.00.2023.GOV.SAD.PE</t>
  </si>
  <si>
    <t>ARPC.0009.00.2023.GOV.SAD.PE</t>
  </si>
  <si>
    <t>C.001-ARP.0003.02.2023.GOV.HRA.PE</t>
  </si>
  <si>
    <t>C.011-ARP.0049.05.2023.GOV.FES-PE.PE</t>
  </si>
  <si>
    <t>ARP.0049.05.2023.GOV.FES-PE.PE</t>
  </si>
  <si>
    <t>Registro de preços para a eventual aquisição de seguintes medicamentos com a finalidade de atender os Hospitais de toda Rede Pública Estadual de Saúde</t>
  </si>
  <si>
    <t>C.004-ARPC.0006.00.2023.GOV.SAD.PE</t>
  </si>
  <si>
    <t>C.001-ARP.0002.00.2023.GOV.HRA.PE</t>
  </si>
  <si>
    <t>ARP.0002.00.2023.GOV.HRA.PE</t>
  </si>
  <si>
    <t>REGISTRO DE PREÇOS PARA EVENTUAL AQUISIÇÃO DE ÓRTESES, PRÓTESES E MATERIAIS ESPECIAIS - OPME - HASTES II</t>
  </si>
  <si>
    <t>C.014-ARPC.0004.00.2023.GOV.SAD.PE</t>
  </si>
  <si>
    <t>ARPC.0004.00.2023.GOV.SAD.PE</t>
  </si>
  <si>
    <t>Formação de Registro de Preços para o fornecimento eventual de material de expediente (papel), visando atender as necessidades dos órgãos da Administração Direta, Autarquias e Fundações Públicas integrantes do Poder Executivo do Estado de Pernambuco.</t>
  </si>
  <si>
    <t>(vazio)</t>
  </si>
  <si>
    <t>FES-PE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</si>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</sst>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dd/mm/yy"/>
  </numFmts>
  <fonts count="14" x14ac:knownFonts="1">
    <font>
      <sz val="10"/>
      <color rgb="FF000000"/>
      <name val="Arial"/>
      <scheme val="minor"/>
    </font>
    <font>
      <sz val="10"/>
      <color theme="1"/>
      <name val="Arial"/>
      <scheme val="minor"/>
    </font>
    <font>
      <sz val="10"/>
      <color rgb="FF434343"/>
      <name val="Roboto"/>
    </font>
    <font>
      <u/>
      <sz val="10"/>
      <color rgb="FF0000FF"/>
      <name val="Roboto"/>
    </font>
    <font>
      <sz val="12"/>
      <color theme="1"/>
      <name val="Calibri"/>
    </font>
    <font>
      <sz val="10"/>
      <color theme="1"/>
      <name val="Roboto"/>
    </font>
    <font>
      <sz val="12"/>
      <color rgb="FF000000"/>
      <name val="Calibri"/>
    </font>
    <font>
      <u/>
      <sz val="10"/>
      <color rgb="FF434343"/>
      <name val="Roboto"/>
    </font>
    <font>
      <u/>
      <sz val="10"/>
      <color rgb="FF0000FF"/>
      <name val="Roboto"/>
    </font>
    <font>
      <sz val="11"/>
      <color rgb="FF000000"/>
      <name val="Calibri"/>
    </font>
    <font>
      <sz val="10"/>
      <color rgb="FF434343"/>
      <name val="Arial"/>
      <scheme val="minor"/>
    </font>
    <font>
      <u/>
      <sz val="10"/>
      <color rgb="FF0000FF"/>
      <name val="Roboto"/>
    </font>
    <font>
      <b/>
      <sz val="10"/>
      <color theme="1"/>
      <name val="Arial"/>
      <scheme val="minor"/>
    </font>
    <font>
      <u/>
      <sz val="10"/>
      <color rgb="FF0000FF"/>
      <name val="Roboto"/>
    </font>
  </fonts>
  <fills count="5">
    <fill>
      <patternFill patternType="none"/>
    </fill>
    <fill>
      <patternFill patternType="gray125"/>
    </fill>
    <fill>
      <patternFill patternType="solid">
        <fgColor rgb="FFFF0000"/>
        <bgColor rgb="FFFF0000"/>
      </patternFill>
    </fill>
    <fill>
      <patternFill patternType="solid">
        <fgColor rgb="FFE8F0FE"/>
        <bgColor rgb="FFE8F0FE"/>
      </patternFill>
    </fill>
    <fill>
      <patternFill patternType="solid">
        <fgColor rgb="FFFFFFFF"/>
        <bgColor rgb="FFFFFFFF"/>
      </patternFill>
    </fill>
  </fills>
  <borders count="7">
    <border>
      <left/>
      <right/>
      <top/>
      <bottom/>
      <diagonal/>
    </border>
    <border>
      <left style="thin">
        <color rgb="FFF6F8F9"/>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3">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center" vertical="center"/>
    </xf>
    <xf numFmtId="49" fontId="1" fillId="0" borderId="0" xfId="0" applyNumberFormat="1"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wrapText="1"/>
    </xf>
    <xf numFmtId="0" fontId="1" fillId="0" borderId="0" xfId="0" applyFont="1" applyAlignment="1">
      <alignment vertical="center"/>
    </xf>
    <xf numFmtId="164" fontId="1" fillId="0" borderId="0" xfId="0" applyNumberFormat="1" applyFont="1" applyAlignment="1">
      <alignment horizontal="center" vertical="center"/>
    </xf>
    <xf numFmtId="14" fontId="1" fillId="0" borderId="0" xfId="0" applyNumberFormat="1"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4" fontId="9" fillId="0" borderId="0" xfId="0" applyNumberFormat="1" applyFont="1" applyAlignment="1">
      <alignment horizontal="center" vertical="center"/>
    </xf>
    <xf numFmtId="0" fontId="10" fillId="0" borderId="0" xfId="0" applyFont="1" applyAlignment="1">
      <alignment horizontal="center" vertical="center"/>
    </xf>
    <xf numFmtId="0" fontId="2" fillId="0" borderId="0" xfId="0" applyFont="1" applyAlignment="1">
      <alignment horizontal="center" vertical="center"/>
    </xf>
    <xf numFmtId="165" fontId="1" fillId="0" borderId="0" xfId="0" applyNumberFormat="1" applyFon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11"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horizontal="left" vertical="center"/>
    </xf>
    <xf numFmtId="0" fontId="2" fillId="0" borderId="0" xfId="0" applyFont="1" applyAlignment="1">
      <alignment horizontal="left" vertical="center"/>
    </xf>
    <xf numFmtId="0" fontId="13" fillId="0" borderId="0" xfId="0" applyFont="1" applyAlignment="1">
      <alignment horizontal="left" vertical="center"/>
    </xf>
    <xf numFmtId="14" fontId="1" fillId="0" borderId="0" xfId="0" applyNumberFormat="1" applyFont="1" applyAlignment="1">
      <alignment vertical="center"/>
    </xf>
    <xf numFmtId="164" fontId="1" fillId="0" borderId="0" xfId="0" applyNumberFormat="1" applyFont="1" applyAlignment="1">
      <alignment vertical="center"/>
    </xf>
    <xf numFmtId="0" fontId="0" fillId="0" borderId="3" xfId="0" pivotButton="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4" xfId="0" pivotButton="1" applyBorder="1"/>
    <xf numFmtId="0" fontId="0" fillId="0" borderId="0" xfId="0" applyAlignment="1">
      <alignment horizontal="center"/>
    </xf>
    <xf numFmtId="0" fontId="3" fillId="0" borderId="0" xfId="0" applyFont="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center" vertical="center" wrapText="1"/>
    </xf>
    <xf numFmtId="14" fontId="1" fillId="2" borderId="0" xfId="0" applyNumberFormat="1" applyFont="1" applyFill="1" applyAlignment="1">
      <alignment horizontal="center" vertical="center"/>
    </xf>
    <xf numFmtId="0" fontId="1" fillId="3" borderId="0" xfId="0" applyFont="1" applyFill="1" applyAlignment="1">
      <alignment horizontal="center" vertical="center"/>
    </xf>
    <xf numFmtId="0" fontId="2" fillId="3" borderId="0" xfId="0" applyFont="1" applyFill="1" applyAlignment="1">
      <alignment horizontal="center" vertical="center"/>
    </xf>
    <xf numFmtId="14" fontId="1" fillId="3" borderId="0" xfId="0" applyNumberFormat="1" applyFont="1" applyFill="1" applyAlignment="1">
      <alignment horizontal="center" vertical="center"/>
    </xf>
    <xf numFmtId="0" fontId="4" fillId="0" borderId="0" xfId="0" applyFont="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cellXfs>
  <cellStyles count="1">
    <cellStyle name="Normal" xfId="0" builtinId="0"/>
  </cellStyles>
  <dxfs count="36">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tableStyle name="MONITORAMENTO ADESÃOCONSUMO-style" pivot="0" count="4" xr9:uid="{00000000-0011-0000-FFFF-FFFF00000000}">
      <tableStyleElement type="wholeTable" size="0" dxfId="35"/>
      <tableStyleElement type="headerRow" dxfId="34"/>
      <tableStyleElement type="firstRowStripe" dxfId="33"/>
      <tableStyleElement type="secondRowStripe" dxfId="32"/>
    </tableStyle>
    <tableStyle name="MONITORAMENTO DE PROCESSO LICIT-style" pivot="0" count="4" xr9:uid="{00000000-0011-0000-FFFF-FFFF01000000}">
      <tableStyleElement type="wholeTable" size="0" dxfId="31"/>
      <tableStyleElement type="headerRow" dxfId="30"/>
      <tableStyleElement type="firstRowStripe" dxfId="29"/>
      <tableStyleElement type="secondRowStripe" dxfId="28"/>
    </tableStyle>
    <tableStyle name="PROCESSOS CONCLUIDOS-style" pivot="0" count="4" xr9:uid="{00000000-0011-0000-FFFF-FFFF02000000}">
      <tableStyleElement type="wholeTable" size="0" dxfId="27"/>
      <tableStyleElement type="headerRow" dxfId="26"/>
      <tableStyleElement type="firstRowStripe" dxfId="25"/>
      <tableStyleElement type="secondRowStripe" dxfId="24"/>
    </tableStyle>
    <tableStyle name="TODOS OS PROCESSOS ATUALIZADOS -style" pivot="0" count="4" xr9:uid="{00000000-0011-0000-FFFF-FFFF03000000}">
      <tableStyleElement type="wholeTable" size="0"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honathan lucas" refreshedDate="45978.382776157407" refreshedVersion="8" recordCount="1248" xr:uid="{00000000-000A-0000-FFFF-FFFF02000000}">
  <cacheSource type="worksheet">
    <worksheetSource ref="A1:Q1249" sheet="dados_solicitacoes"/>
  </cacheSource>
  <cacheFields count="17">
    <cacheField name="Número da Solicitação" numFmtId="0">
      <sharedItems containsBlank="1" count="1228">
        <s v="C.002-ARP.0080.00.2025.GOV.FES-PE.PE"/>
        <s v="A.031-ARP.0001.01.2025.GOV.HUOC.PE"/>
        <s v="A.029-ARP.0001.01.2025.GOV.HUOC.PE"/>
        <s v="A.027-ARP.0089.01.2024.GOV.HUOC.PE"/>
        <s v="A.024-ARP.0119.01.2024.GOV.HUOC.PE"/>
        <s v="A.019-ARP.0013.00.2025.GOV.FUNDARPE.PE"/>
        <s v="A.015-ARP.0017.00.2025.EXT.131763.PB"/>
        <s v="A.014-ARP.0017.00.2025.EXT.131763.PB"/>
        <s v="A.013-ARP.0084.05.2024.GOV.CISAM.PE"/>
        <s v="A.012-ARP.0013.02.2025.GOV.HOF.PE"/>
        <s v="A.012-ARP.0009.02.2025.GOV.FES-PE.PE"/>
        <s v="A.011-ARP.0080.00.2025.GOV.FES-PE.PE"/>
        <s v="A.010-ARP.0051.04.2025.GOV.PROCAPE.PE"/>
        <s v="A.008-ARP.0072.07.2025.GOV.HUOC.PE"/>
        <s v="A.008-ARP.0008.05.2025.GOV.HGV.PE"/>
        <s v="A.007-ARP.0072.07.2025.GOV.HUOC.PE"/>
        <s v="A.007-ARP.0057.00.2025.GOV.HUOC.PE"/>
        <s v="A.007-ARP.0013.06.2025.GOV.HOF.PE"/>
        <s v="A.007-ARP.0008.05.2025.GOV.HGV.PE"/>
        <s v="A.007-ARP.0005.00.2025.GOV.FEAS.PE"/>
        <s v="A.007-ARP.0001.00.2025.GOV.HR.PE"/>
        <s v="A.006-ARP.0008.05.2025.GOV.HGV.PE"/>
        <s v="A.006-ARP.0005.00.2025.GOV.FEAS.PE"/>
        <s v="A.005-ARP.0011.00.2025.GOV.HAM.PE"/>
        <s v="A.004-ARP.0010.05.2025.GOV.HAM.PE"/>
        <s v="A.003-ARP.0501.00.2025.EXT.HGJMM.RN"/>
        <s v="A.003-ARP.0118.05.2024.GOV.HUOC.PE"/>
        <s v="A.003-ARP.0118.01.2024.GOV.HUOC.PE"/>
        <s v="A.003-ARP.0073.05.2025.GOV.HUOC.PE"/>
        <s v="A.003-ARP.0073.00.2025.GOV.FES-PE.PE"/>
        <s v="A.003-ARP.0044.04.2025.GOV.FES-PE.PE"/>
        <s v="A.003-ARP.0009.01.2025.EXT.HMAR.PE"/>
        <s v="A.003-ARP.0008.02.2025.GOV.HGV.PE"/>
        <s v="A.003-ARP.0006.03.2025.GOV.PROCAPE.PE"/>
        <s v="A.002-ARP.1190.00.2025.EXT.158552.PB"/>
        <s v="A.002-ARP.0118.05.2024.GOV.HUOC.PE"/>
        <s v="A.002-ARP.0102.01.2025.GOV.HUOC.PE"/>
        <s v="A.002-ARP.0068.04.2025.GOV.FES-PE.PE"/>
        <s v="A.002-ARP.0045.02.2025.GOV.PROCAPE.PE"/>
        <s v="A.002-ARP.0044.04.2025.GOV.FES-PE.PE"/>
        <s v="A.002-ARP.0021.00.2025.GOV.HOF.PE"/>
        <s v="A.002-ARP.0009.03.2025.GOV.HGV.PE"/>
        <s v="A.002-ARP.0009.02.2025.GOV.HGV.PE"/>
        <s v="A.002-ARP.0009.01.2025.EXT.HMAR.PE"/>
        <s v="A.001-ARP.0089.06.2025.GOV.HUOC.PE"/>
        <s v="A.001-ARP.0068.04.2025.GOV.FES-PE.PE"/>
        <s v="A.001-ARP.0021.00.2025.GOV.HOF.PE"/>
        <s v="A.001-ARP.0020.00.2024.GOV.HOF.PE"/>
        <s v="A.001-ARP.0011.03.2025.GOV.HGV.PE"/>
        <s v="C.007-ARP.0073.00.2025.GOV.FES-PE.PE"/>
        <s v="A.026-ARP.0089.01.2024.GOV.HUOC.PE"/>
        <s v="A.025-ARP.0089.01.2024.GOV.HUOC.PE"/>
        <s v="A.022-ARP.0002.00.2025.GOV.FES-PE.PE"/>
        <s v="A.018-ARP.0038.03.2025.GOV.HUOC.PE"/>
        <s v="A.015-ARP.0017.00.2025.GOV.HUOC.PE"/>
        <s v="A.013-ARP.0122.00.2025.GOV.HUOC.PE"/>
        <s v="A.013-ARP.0021.01.2024.GOV.HOF.PE"/>
        <s v="A.013-ARP.0013.00.2024.GOV.HAM.PE"/>
        <s v="A.012-ARP.0004.00.2025.GOV.HR.PE"/>
        <s v="A.011-ARP.0017.00.2025.EXT.131763.PB"/>
        <s v="A.011-ARP.0013.02.2025.GOV.HOF.PE"/>
        <s v="A.011-ARP.0012.07.2025.GOV.HAM.PE"/>
        <s v="A.010-ARP.0106.00.2025.GOV.HUOC.PE"/>
        <s v="A.010-ARP.0059.02.2025.GOV.PROCAPE.PE"/>
        <s v="A.010-ARP.0012.07.2025.GOV.HAM.PE"/>
        <s v="A.009-ARP.0028.03.2025.GOV.PROCAPE.PE"/>
        <s v="A.008-ARP.0100.00.2024.GOV.HUOC.PE"/>
        <s v="A.008-ARP.0001.00.2025.GOV.SASSEPE.PE"/>
        <s v="A.007-ARP.0106.02.2025.GOV.HUOC.PE"/>
        <s v="A.007-ARP.0080.00.2025.GOV.FES-PE.PE"/>
        <s v="A.007-ARP.0079.03.2025.GOV.HUOC.PE"/>
        <s v="A.007-ARP.0079.00.2025.GOV.HUOC.PE"/>
        <s v="A.006-ARP.0010.02.2025.GOV.HAM.PE"/>
        <s v="A.005-ARP.0082.06.2025.GOV.HUOC.PE"/>
        <s v="A.005-ARP.0064.01.2025.GOV.HUOC.PE"/>
        <s v="A.005-ARP.0059.00.2025.GOV.FES-PE.PE"/>
        <s v="A.005-ARP.0038.02.2025.GOV.HUOC.PE"/>
        <s v="A.005-ARP.0012.02.2025.GOV.HUOC.PE"/>
        <s v="A.004-ARP.0090.04.2025.GOV.HUOC.PE"/>
        <s v="A.004-ARP.0059.00.2025.GOV.FES-PE.PE"/>
        <s v="A.004-ARP.0045.00.2024.GOV.HR.PE"/>
        <s v="A.004-ARP.0044.06.2025.GOV.FES-PE.PE"/>
        <s v="A.004-ARP.0012.01.2025.GOV.HEMOPE.PE"/>
        <s v="A.004-ARP.0010.00.2025.GOV.HR.PE"/>
        <s v="A.003-ARP.0328.01.2025.EXT.131763.PB"/>
        <s v="A.003-ARP.0093.00.2024.GOV.CISAM.PE"/>
        <s v="A.003-ARP.0059.00.2025.GOV.FES-PE.PE"/>
        <s v="A.003-ARP.0014.00.2025.GOV.HR.PE"/>
        <s v="A.003-ARP.0010.05.2025.GOV.HAM.PE"/>
        <s v="A.003-ARP.0005.00.2025.EXT.136144.ES"/>
        <s v="A.002-ARP.0059.00.2025.GOV.FES-PE.PE"/>
        <s v="A.002-ARP.0019.00.2025.EXT.131763.PB"/>
        <s v="A.002-ARP.0011.02.2025.GOV.HEMOPE.PE"/>
        <s v="A.002-ARP.0010.02.2025.GOV.HOF.PE"/>
        <s v="A.002-ARP.0010.02.2025.EXT.HMAR.PE"/>
        <s v="A.002-ARP.0001.01.2025.EXT.CDE.RN"/>
        <s v="A.001-ARP.0501.00.2025.EXT.HGJMM.RN"/>
        <s v="A.001-ARP.0068.00.2025.GOV.FES-PE.PE"/>
        <s v="A.001-ARP.0015.00.2025.EXT.151289.RN"/>
        <s v="A.036-ARP.0041.00.2024.GOV.HR.PE"/>
        <s v="A.034-ARP.0041.00.2024.GOV.HR.PE"/>
        <s v="A.033-ARP.0041.00.2024.GOV.HR.PE"/>
        <s v="A.030-ARP.0031.00.2024.GOV.HR.PE"/>
        <s v="A.029-ARP.0031.00.2024.GOV.HR.PE"/>
        <s v="A.028-ARP.0031.00.2024.GOV.HR.PE"/>
        <s v="A.024-ARP.0103.06.2024.GOV.PROCAPE.PE"/>
        <s v="A.023-ARP.0103.06.2024.GOV.PROCAPE.PE"/>
        <s v="A.019-ARP.0038.01.2025.GOV.HUOC.PE"/>
        <s v="A.019-ARP.0001.08.2025.GOV.HUOC.PE"/>
        <s v="A.018-ARP.0005.12.2025.GOV.HEMOPE.PE"/>
        <s v="A.016-ARP.0065.02.2024.GOV.CISAM.PE"/>
        <s v="A.015-ARP.0088.04.2024.GOV.HUOC.PE"/>
        <s v="A.013-ARP.0001.04.2025.GOV.HUOC.PE"/>
        <s v="A.012-ARP.0119.04.2024.GOV.HUOC.PE"/>
        <s v="A.011-ARP.0012.00.2025.GOV.CISAM.PE"/>
        <s v="A.010-ARP.0012.00.2025.GOV.CISAM.PE"/>
        <s v="A.010-ARP.0011.00.2025.GOV.FES-PE.PE"/>
        <s v="A.009-ARP.0038.05.2025.GOV.HUOC.PE"/>
        <s v="A.008-ARP.0028.03.2025.GOV.PROCAPE.PE"/>
        <s v="A.008-ARP.0005.09.2025.GOV.PROCAPE.PE"/>
        <s v="A.008-ARP.0004.00.2025.GOV.HR.PE"/>
        <s v="A.007-ARP.0090.01.2024.GOV.PROCAPE.PE"/>
        <s v="A.007-ARP.0080.02.2024.GOV.CISAM.PE"/>
        <s v="A.007-ARP.0007.00.2024.EXT.RN"/>
        <s v="A.007-ARP.0005.09.2025.GOV.PROCAPE.PE"/>
        <s v="A.006-ARP.0017.00.2025.EXT.131763.PB"/>
        <s v="A.005-ARP.0077.00.2024.GOV.HUOC.PE"/>
        <s v="A.005-ARP.0017.00.2025.EXT.131763.PB"/>
        <s v="A.005-ARP.0010.00.2025.GOV.CISAM.PE"/>
        <s v="A.004-ARP.0110.02.2024.GOV.HUOC.PE"/>
        <s v="A.004-ARP.0077.00.2024.GOV.HUOC.PE"/>
        <s v="A.004-ARP.0017.00.2025.EXT.131763.PB"/>
        <s v="A.004-ARP.0012.00.2025.EXT.131763.PB"/>
        <s v="A.004-ARP.0009.00.2025.GOV.FES-PE.PE"/>
        <s v="A.003-ARP.0076.04.2024.GOV.PROCAPE.PE"/>
        <s v="A.003-ARP.0074.00.2024.GOV.FES-PE.PE"/>
        <s v="A.003-ARP.0064.01.2025.GOV.HUOC.PE"/>
        <s v="A.003-ARP.0011.01.2025.GOV.HGV.PE"/>
        <s v="A.003-ARP.0010.00.2025.GOV.HR.PE"/>
        <s v="A.003-ARP.0004.00.2025.EXT.HMAR.PE"/>
        <s v="A.002-ARP.0064.01.2025.GOV.HUOC.PE"/>
        <s v="A.002-ARP.0009.00.2025.EXT.131763.PB"/>
        <s v="A.002-ARP.0007.00.2025.GOV.HEMOPE.PE"/>
        <s v="A.002-ARP.0005.00.2025.EXT.131763.PB"/>
        <s v="A.002-ARP.0003.00.2025.GOV.HGV.PE"/>
        <s v="A.001-ARP.0059.02.2025.GOV.FES-PE.PE"/>
        <s v="A.001-ARP.0010.02.2025.GOV.FES-PE.PE"/>
        <s v="A.001-ARP.0005.01.2025.GOV.HEMOPE.PE"/>
        <s v="A.001-ARP.0001.02.2025.GOV.DASIS.PE"/>
        <s v="A.032-ARP.0041.00.2024.GOV.HR.PE"/>
        <s v="A.031-ARP.0041.00.2024.GOV.HR.PE"/>
        <s v="A.030-ARP.0041.00.2024.GOV.HR.PE"/>
        <s v="A.028-ARP.0041.00.2024.GOV.HR.PE"/>
        <s v="A.027-ARP.0041.00.2024.GOV.HR.PE"/>
        <s v="A.026-ARP.0084.05.2024.GOV.PROCAPE.PE"/>
        <s v="A.026-ARP.0041.00.2024.GOV.HR.PE"/>
        <s v="A.025-ARP.0084.05.2024.GOV.PROCAPE.PE"/>
        <s v="A.025-ARP.0041.00.2024.GOV.HR.PE"/>
        <s v="A.025-ARP.0031.00.2024.GOV.HR.PE"/>
        <s v="A.024-ARP.0031.00.2024.GOV.HR.PE"/>
        <s v="A.018-ARP.0017.00.2025.GOV.HOF.PE"/>
        <s v="A.016-ARP.0006.00.2025.GOV.HR.PE"/>
        <s v="A.014-ARP.0006.00.2025.GOV.HR.PE"/>
        <s v="A.012-ARP.0078.02.2024.GOV.HUOC.PE"/>
        <s v="A.011-ARP.0076.01.2024.GOV.PROCAPE.PE"/>
        <s v="A.011-ARP.0006.00.2025.GOV.HR.PE"/>
        <s v="A.010-ARP.0076.01.2024.GOV.PROCAPE.PE"/>
        <s v="A.010-ARP.0011.00.2025.GOV.HR.PE"/>
        <s v="A.009-ARP.0076.01.2024.GOV.PROCAPE.PE"/>
        <s v="A.009-ARP.0004.00.2025.GOV.PROCAPE.PE"/>
        <s v="A.008-ARP.0050.00.2024.GOV.CISAM.PE"/>
        <s v="A.007-ARP.0108.01.2024.GOV.HUOC.PE"/>
        <s v="A.007-ARP.0004.00.2025.GOV.PROCAPE.PE"/>
        <s v="A.006-ARP.0044.00.2024.GOV.HR.PE"/>
        <s v="A.006-ARP.0013.02.2025.GOV.HOF.PE"/>
        <s v="A.006-ARP.0005.09.2025.GOV.PROCAPE.PE"/>
        <s v="A.006-ARP.0004.00.2025.GOV.HR.PE"/>
        <s v="A.005-ARP.0070.00.2024.GOV.HUOC.PE"/>
        <s v="A.005-ARP.0028.06.2024.GOV.HEMOPE.PE"/>
        <s v="A.005-ARP.0005.09.2025.GOV.PROCAPE.PE"/>
        <s v="A.004-ARP.0103.00.2024.GOV.PROCAPE.PE"/>
        <s v="A.004-ARP.0029.06.2025.GOV.PROCAPE.PE"/>
        <s v="A.004-ARP.0013.06.2025.GOV.HOF.PE"/>
        <s v="A.004-ARP.0012.02.2025.GOV.HUOC.PE"/>
        <s v="A.004-ARP.0010.01.2025.GOV.HGV.PE"/>
        <s v="A.003-ARP.0009.00.2025.GOV.FES-PE.PE"/>
        <s v="A.003-ARP.0008.05.2025.GOV.HGV.PE"/>
        <s v="A.003-ARP.0004.00.2025.EXT.161458.BA"/>
        <s v="A.002-ARP.0084.02.2024.GOV.FES-PE.PE"/>
        <s v="A.002-ARP.0069.00.2024.GOV.HUOC.PE"/>
        <s v="A.002-ARP.0051.00.2025.GOV.PROCAPE.PE"/>
        <s v="A.002-ARP.0034.00.2025.GOV.HUOC.PE"/>
        <s v="A.002-ARP.0021.00.2024.GOV.HGV.PE"/>
        <s v="A.002-ARP.0010.00.2025.GOV.HR.PE"/>
        <s v="A.002-ARP.0008.05.2025.GOV.HGV.PE"/>
        <s v="A.002-ARP.0006.03.2025.GOV.PROCAPE.PE"/>
        <s v="A.001-ARP.0045.02.2025.GOV.PROCAPE.PE"/>
        <s v="A.001-ARP.0006.06.2025.GOV.PROCAPE.PE"/>
        <s v="A.001-ARP.0002.02.2025.GOV.HEMOPE.PE"/>
        <s v="A.027-ARPC.0007.01.2024.GOV.SAD.PE"/>
        <s v="A.022-ARP.0041.00.2024.GOV.HR.PE"/>
        <s v="A.015-ARP.0028.00.2024.GOV.HR.PE"/>
        <s v="A.014-ARP.0010.00.2024.GOV.HOF.PE"/>
        <s v="A.013-ARP.0011.00.2024.GOV.HGV.PE"/>
        <s v="A.013-ARP.0010.00.2024.GOV.HOF.PE"/>
        <s v="A.012-ARP.0110.08.2024.GOV.HUOC.PE"/>
        <s v="A.012-ARP.0089.01.2024.GOV.HUOC.PE"/>
        <s v="A.012-ARP.0033.00.2024.GOV.HR.PE"/>
        <s v="A.012-ARP.0010.00.2024.GOV.HOF.PE"/>
        <s v="A.011-ARP.0089.01.2024.GOV.HUOC.PE"/>
        <s v="A.011-ARP.0010.00.2024.GOV.HOF.PE"/>
        <s v="A.010-ARP.0104.00.2024.GOV.HUOC.PE"/>
        <s v="A.010-ARP.0010.00.2024.GOV.HOF.PE"/>
        <s v="A.009-ARP.0010.00.2024.GOV.HOF.PE"/>
        <s v="A.008-ARP.0066.02.2024.GOV.FES-PE.PE"/>
        <s v="A.008-ARP.0022.00.2024.GOV.HR.PE"/>
        <s v="A.007-ARPC.0026.00.2024.GOV.SAD.PE"/>
        <s v="A.007-ARP.0104.01.2024.GOV.HUOC.PE"/>
        <s v="A.007-ARP.0091.06.2024.GOV.PROCAPE.PE"/>
        <s v="A.007-ARP.0066.02.2024.GOV.FES-PE.PE"/>
        <s v="A.007-ARP.0059.00.2024.GOV.CISAM.PE"/>
        <s v="A.007-ARP.0003.11.2025.GOV.PROCAPE.PE"/>
        <s v="A.006-ARP.0090.04.2024.GOV.PROCAPE.PE"/>
        <s v="A.006-ARP.0006.00.2025.GOV.HR.PE"/>
        <s v="A.006-ARP.0005.05.2025.GOV.CISAM.PE"/>
        <s v="A.005-ARP.0114.02.2024.GOV.HUOC.PE"/>
        <s v="A.005-ARP.0074.04.2024.GOV.HUOC.PE"/>
        <s v="A.005-ARP.0074.01.2024.GOV.HUOC.PE"/>
        <s v="A.005-ARP.0059.00.2024.GOV.CISAM.PE"/>
        <s v="A.005-ARP.0027.02.2024.GOV.HEMOPE.PE"/>
        <s v="A.004-ARP.0020.00.2024.GOV.HGV.PE"/>
        <s v="A.004-ARP.0007.00.2024.EXT.RN"/>
        <s v="A.004-ARP.0003.00.2024.EXT.AMGESP.AL"/>
        <s v="A.003-ARP.0020.04.2024.GOV.HAM.PE"/>
        <s v="A.003-ARP.0002.01.2025.GOV.HGV.PE"/>
        <s v="A.002-ARP.0093.03.2024.GOV.PROCAPE.PE"/>
        <s v="A.002-ARP.0093.00.2024.GOV.CISAM.PE"/>
        <s v="A.002-ARP.0027.01.2024.GOV.HEMOPE.PE"/>
        <s v="A.002-ARP.0020.03.2024.GOV.HAM.PE"/>
        <s v="A.002-ARP.0012.00.2025.GOV.HUOC.PE"/>
        <s v="A.002-ARP.0011.00.2025.GOV.HAM.PE"/>
        <s v="A.002-ARP.0004.01.2025.GOV.HGV.PE"/>
        <s v="A.001-ARP.0109.00.2024.GOV.PROCAPE.PE"/>
        <s v="A.001-ARP.0015.00.2024.GOV.HGV.PE"/>
        <s v="A.001-ARP.0009.00.2025.GOV.HGV.PE"/>
        <s v="A.001-ARP.0008.00.2025.GOV.CISAM.PE"/>
        <s v="A.001-ARP.0006.04.2025.GOV.PROCAPE.PE"/>
        <s v="A.001-ARP.0004.01.2025.GOV.HGV.PE"/>
        <s v="A.001-ARP.0004.00.2025.GOV.HGV.PE"/>
        <s v="A.123-ARPC.0007.00.2024.GOV.SAD.PE"/>
        <s v="A.030-ARP.0030.01.2024.GOV.CISAM.PE"/>
        <s v="A.028-ARP.0030.01.2024.GOV.CISAM.PE"/>
        <s v="A.027-ARP.0030.01.2024.GOV.CISAM.PE"/>
        <s v="A.020-ARP.0055.06.2024.GOV.CISAM.PE"/>
        <s v="A.012-ARP.0105.03.2024.GOV.PROCAPE.PE"/>
        <s v="A.012-ARP.0011.01.2024.EXT.HMAR.PE"/>
        <s v="A.012-ARP.0001.01.2024.EXT.CDE.RN"/>
        <s v="A.011-ARP.0084.05.2024.GOV.PROCAPE.PE"/>
        <s v="A.011-ARP.0001.01.2024.EXT.CDE.RN"/>
        <s v="A.010-ARPC.0014.00.2024.GOV.SAD.PE"/>
        <s v="A.010-ARP.0044.00.2024.GOV.PROCAPE.PE"/>
        <s v="A.010-ARP.0009.07.2024.GOV.HOF.PE"/>
        <s v="A.010-ARP.0002.03.2024.EXT.HMAR.PE"/>
        <s v="A.010-ARP.0001.01.2024.EXT.CDE.RN"/>
        <s v="A.009-ARP.0103.06.2024.GOV.PROCAPE.PE"/>
        <s v="A.009-ARP.0016.05.2024.GOV.HGV.PE"/>
        <s v="A.009-ARP.0002.03.2024.EXT.HMAR.PE"/>
        <s v="A.009-ARP.0001.01.2024.EXT.CDE.RN"/>
        <s v="A.008-ARP.0076.02.2024.GOV.HUOC.PE"/>
        <s v="A.008-ARP.0051.01.2024.GOV.CISAM.PE"/>
        <s v="A.008-ARP.0010.00.2024.GOV.HOF.PE"/>
        <s v="A.008-ARP.0003.01.2025.GOV.HUOC.PE"/>
        <s v="A.007-ARP.0091.00.2024.GOV.HUOC.PE"/>
        <s v="A.007-ARP.0001.01.2024.EXT.CDE.RN"/>
        <s v="A.006-ARP.0110.05.2024.GOV.HUOC.PE"/>
        <s v="A.006-ARP.0106.08.2024.GOV.HUOC.PE"/>
        <s v="A.005-ARPC.0004.00.2024.GOV.SAD.PE"/>
        <s v="A.005-ARP.0068.10.2024.GOV.FES-PE.PE"/>
        <s v="A.005-ARP.0012.01.2024.GOV.DASIS.PE"/>
        <s v="A.005-ARP.0001.00.2024.EXT.RS"/>
        <s v="A.004-ARP.0084.02.2024.GOV.PROCAPE.PE"/>
        <s v="A.004-ARP.0072.00.2024.GOV.PROCAPE.PE"/>
        <s v="A.004-ARP.0068.09.2024.GOV.FES-PE.PE"/>
        <s v="A.004-ARP.0017.00.2024.GOV.HGV.PE"/>
        <s v="A.004-ARP.0009.07.2024.GOV.SASSEPE.PE"/>
        <s v="A.004-ARP.0003.00.2025.GOV.HR.PE"/>
        <s v="A.003-ARP.0110.03.2024.GOV.HUOC.PE"/>
        <s v="A.003-ARP.0110.01.2024.GOV.HUOC.PE"/>
        <s v="A.003-ARP.0087.05.2024.GOV.HUOC.PE"/>
        <s v="A.003-ARP.0034.01.2024.GOV.FES-PE.PE"/>
        <s v="A.003-ARP.0010.00.2024.EXT.HMAR.PE"/>
        <s v="A.002-ARP.0107.05.2024.GOV.HUOC.PE"/>
        <s v="A.002-ARP.0087.05.2024.GOV.HUOC.PE"/>
        <s v="A.002-ARP.0045.00.2024.GOV.HR.PE"/>
        <s v="A.002-ARP.0001.00.2024.EXT.RS"/>
        <s v="A.001-ARP.0110.08.2024.GOV.HUOC.PE"/>
        <s v="A.001-ARP.0107.01.2024.GOV.HUOC.PE"/>
        <s v="A.001-ARP.0021.00.2024.GOV.HGV.PE"/>
        <s v="A.001-ARP.0011.00.2025.GOV.HAM.PE"/>
        <s v="A.048-ARP.0002.01.2024.GOV.FUNDARPE.PE"/>
        <s v="A.034-ARP.0005.00.2024.GOV.UPECMN.PE"/>
        <s v="A.030-ARP.0024.00.2024.GOV.HR.PE"/>
        <s v="A.026-ARP.0002.02.2024.GOV.SASSEPE.PE"/>
        <s v="A.025-ARP.0002.02.2024.GOV.SASSEPE.PE"/>
        <s v="A.024-ARP.0002.02.2024.GOV.SASSEPE.PE"/>
        <s v="A.023-ARP.0002.02.2024.GOV.SASSEPE.PE"/>
        <s v="A.022-ARP.0008.00.2024.GOV.HR.PE"/>
        <s v="A.015-ARP.0055.06.2024.GOV.CISAM.PE"/>
        <s v="A.014-ARP.0055.06.2024.GOV.CISAM.PE"/>
        <s v="A.012-ARP.0046.02.2024.GOV.HUOC.PE"/>
        <s v="A.011-ARP.0077.01.2024.GOV.HUOC.PE"/>
        <s v="A.010-ARP.0071.02.2024.GOV.HUOC.PE"/>
        <s v="A.010-ARP.0018.00.2024.GOV.FES-PE.PE"/>
        <s v="A.009-ARP.0025.01.2024.GOV.FES-PE.PE"/>
        <s v="A.009-ARP.0011.00.2024.GOV.HGV.PE"/>
        <s v="A.009-ARP.0004.00.2024.GOV.HGV.PE"/>
        <s v="A.008-ARP.0051.02.2024.GOV.CISAM.PE"/>
        <s v="A.008-ARP.0046.05.2024.GOV.HUOC.PE"/>
        <s v="A.008-ARP.0033.03.2024.GOV.CISAM.PE"/>
        <m/>
        <s v="A.008-ARP.0012.00.2023.GOV.UPEGARANHUNS.PE"/>
        <s v="A.007-ARP.0120.03.2023.GOV.PROCAPE.PE"/>
        <s v="A.007-ARP.0076.02.2024.GOV.HUOC.PE"/>
        <s v="A.006-ARP.0076.02.2024.GOV.HUOC.PE"/>
        <s v="A.006-ARP.0005.00.2024.GOV.SEMUL.PE"/>
        <s v="A.006-ARP.0001.01.2024.EXT.CDE.RN"/>
        <s v="A.005-ARP.0081.03.2024.GOV.HUOC.PE"/>
        <s v="A.005-ARP.0069.02.2024.GOV.HUOC.PE"/>
        <s v="A.005-ARP.0013.00.2024.EXT.HMAR.PE"/>
        <s v="A.005-ARP.0012.00.2024.GOV.HAM.PE"/>
        <s v="A.005-ARP.0004.00.2024.EXT.PB"/>
        <s v="A.005-ARP.0001.00.2024.GOV.HGV.PE"/>
        <s v="A.004-ARP.0069.02.2024.GOV.HUOC.PE"/>
        <s v="A.004-ARP.0044.00.2024.GOV.HUOC.PE"/>
        <s v="A.004-ARP.0012.00.2024.GOV.HAM.PE"/>
        <s v="A.003-ARP.0059.00.2024.GOV.PROCAPE.PE"/>
        <s v="A.003-ARP.0018.00.2024.OPD.MPPE.PE"/>
        <s v="A.003-ARP.0009.09.2024.GOV.HOF.PE"/>
        <s v="A.003-ARP.0004.00.2024.EXT.PB"/>
        <s v="A.002-ARP.0089.00.2024.GOV.HUOC.PE"/>
        <s v="A.002-ARP.0088.08.2024.GOV.HUOC.PE"/>
        <s v="A.002-ARP.0088.03.2024.GOV.FES-PE.PE"/>
        <s v="A.002-ARP.0046.05.2024.GOV.PROCAPE.PE"/>
        <s v="A.002-ARP.0038.02.2024.GOV.FES-PE.PE"/>
        <s v="A.002-ARP.0013.00.2024.GOV.HAM.PE"/>
        <s v="A.002-ARP.0012.11.2024.GOV.HOF.PE"/>
        <s v="A.002-ARP.0010.00.2024.EXT.HMAR.PE"/>
        <s v="A.002-ARP.0001.00.2024.EXT.HCFMU.SP"/>
        <s v="A.001-ARP.0074.01.2024.GOV.FES-PE.PE"/>
        <s v="A.019-ARP.0005.00.2024.GOV.HR.PE"/>
        <s v="A.014-ARP.0003.01.2024.EXT.HMAR.PE"/>
        <s v="A.011-ARP.0021.00.2024.GOV.HEMOPE.PE"/>
        <s v="A.011-ARP.0001.02.2024.GOV.HEMOPE.PE"/>
        <s v="A.011-ARP.0001.00.2024.EXT.SESR.RR"/>
        <s v="A.010-ARP.0025.00.2024.GOV.HR.PE"/>
        <s v="A.009-ARP.0102.00.2023.GOV.HUOC.PE"/>
        <s v="A.009-ARP.0021.00.2024.GOV.HEMOPE.PE"/>
        <s v="A.009-ARP.0009.00.2024.GOV.HOF.PE"/>
        <s v="A.009-ARP.0002.04.2024.GOV.HOF.PE"/>
        <s v="A.008-ARP.0077.01.2024.GOV.HUOC.PE"/>
        <s v="A.008-ARP.0028.01.2024.GOV.PROCAPE.PE"/>
        <s v="A.008-ARP.0002.00.2024.EXT.HMAR.PE"/>
        <s v="A.007-ARP.0046.05.2024.GOV.HUOC.PE"/>
        <s v="A.007-ARP.0046.01.2024.GOV.HUOC.PE"/>
        <s v="A.007-ARP.0009.03.2024.GOV.FES-PE.PE"/>
        <s v="A.007-ARP.0006.00.2023.GOV.UPEGARANHUNS.PE"/>
        <s v="A.006-ARP.0095.01.2023.GOV.HUOC.PE"/>
        <s v="A.006-ARP.0053.00.2024.GOV.CISAM.PE"/>
        <s v="A.006-ARP.0031.00.2024.GOV.HR.PE"/>
        <s v="A.005-ARP.0055.03.2024.GOV.CISAM.PE"/>
        <s v="A.005-ARP.0039.03.2024.GOV.PROCAPE.PE"/>
        <s v="A.005-ARP.0035.00.2024.GOV.HR.PE"/>
        <s v="A.005-ARP.0002.00.2024.GOV.HOF.PE"/>
        <s v="A.004-ARP.0130.00.2023.GOV.HUOC.PE"/>
        <s v="A.004-ARP.0063.08.2024.GOV.HUOC.PE"/>
        <s v="A.004-ARP.0039.04.2024.GOV.HUOC.PE"/>
        <s v="A.004-ARP.0033.00.2024.GOV.HR.PE"/>
        <s v="A.004-ARP.0028.00.2024.GOV.HR.PE"/>
        <s v="A.004-ARP.0006.00.2024.EXT.HMAR.PE"/>
        <s v="A.004-ARP.0004.02.2024.GOV.HGV.PE"/>
        <s v="A.003-ARP.0130.02.2023.GOV.HUOC.PE"/>
        <s v="A.003-ARP.0107.00.2023.GOV.FES-PE.PE"/>
        <s v="A.003-ARP.0068.02.2024.GOV.HUOC.PE"/>
        <s v="A.003-ARP.0063.06.2024.GOV.HUOC.PE"/>
        <s v="A.003-ARP.0044.08.2024.GOV.PROCAPE.PE"/>
        <s v="A.003-ARP.0027.00.2024.GOV.HR.PE"/>
        <s v="A.003-ARP.0009.04.2024.GOV.FES-PE.PE"/>
        <s v="A.003-ARP.0009.00.2024.GOV.SASSEPE.PE"/>
        <s v="A.003-ARP.0001.00.2024.GOV.HGV.PE"/>
        <s v="A.002-ARP.0113.00.2023.GOV.FES-PE.PE"/>
        <s v="A.002-ARP.0068.02.2024.GOV.HUOC.PE"/>
        <s v="A.002-ARP.0059.05.2024.GOV.HUOC.PE"/>
        <s v="A.002-ARP.0027.00.2024.GOV.HR.PE"/>
        <s v="A.002-ARP.0018.00.2024.OPD.MPPE.PE"/>
        <s v="A.002-ARP.0014.00.2024.GOV.FES-PE.PE"/>
        <s v="A.002-ARP.0001.00.2024.EXT.PE"/>
        <s v="A.001-ARP.0058.03.2024.GOV.HUOC.PE"/>
        <s v="A.001-ARP.0028.00.2024.GOV.HR.PE"/>
        <s v="A.001-ARP.0021.00.2023.GOV.SASSEPE.PE"/>
        <s v="A.016-ARP.0002.02.2024.GOV.DASIS.PE"/>
        <s v="A.015-ARP.0095.00.2023.GOV.HUOC.PE"/>
        <s v="A.014-ARP.0001.06.2024.GOV.HOF.PE"/>
        <s v="A.012-ARP.0024.00.2024.GOV.HR.PE"/>
        <s v="A.012-ARP.0003.01.2024.EXT.HMAR.PE"/>
        <s v="A.011-ARP.0003.01.2024.EXT.HMAR.PE"/>
        <s v="A.008-ARP.0001.07.2024.GOV.HOF.PE"/>
        <s v="A.007-ARP.0046.02.2024.GOV.HUOC.PE"/>
        <s v="A.007-ARP.0006.01.2024.GOV.HGV.PE"/>
        <s v="A.005-ARP.0102.02.2023.GOV.HUOC.PE"/>
        <s v="A.005-ARP.0057.01.2024.GOV.HUOC.PE"/>
        <s v="A.005-ARP.0051.01.2024.GOV.CISAM.PE"/>
        <s v="A.005-ARP.0022.06.2023.GOV.HAM.PE"/>
        <s v="A.005-ARP.0011.00.2024.GOV.HGV.PE"/>
        <s v="A.005-ARP.0008.02.2024.GOV.HUOC.PE"/>
        <s v="A.004-ARP.0130.09.2023.GOV.HUOC.PE"/>
        <s v="A.004-ARP.0108.04.2023.GOV.HUOC.PE"/>
        <s v="A.004-ARP.0050.00.2024.GOV.HUOC.PE"/>
        <s v="A.004-ARP.0048.03.2024.GOV.HUOC.PE"/>
        <s v="A.004-ARP.0008.02.2024.GOV.HUOC.PE"/>
        <s v="A.003-ARP.0126.01.2023.GOV.HUOC.PE"/>
        <s v="A.003-ARP.0087.00.2023.GOV.HUOC.PE"/>
        <s v="A.003-ARP.0059.01.2024.GOV.HUOC.PE"/>
        <s v="A.003-ARP.0050.06.2024.GOV.HUOC.PE"/>
        <s v="A.003-ARP.0048.03.2024.GOV.HUOC.PE"/>
        <s v="A.003-ARP.0036.00.2024.GOV.HUOC.PE"/>
        <s v="A.003-ARP.0009.10.2024.GOV.HOF.PE"/>
        <s v="A.003-ARP.0009.00.2024.GOV.HOF.PE"/>
        <s v="A.003-ARP.0006.00.2024.EXT.HMAR.PE"/>
        <s v="A.002-ARP.0063.04.2024.GOV.HUOC.PE"/>
        <s v="A.002-ARP.0063.03.2024.GOV.HUOC.PE"/>
        <s v="A.002-ARP.0059.07.2024.GOV.HUOC.PE"/>
        <s v="A.002-ARP.0057.09.2024.GOV.HUOC.PE"/>
        <s v="A.002-ARP.0057.07.2024.GOV.HUOC.PE"/>
        <s v="A.002-ARP.0057.03.2024.GOV.HUOC.PE"/>
        <s v="A.002-ARP.0057.02.2024.GOV.HUOC.PE"/>
        <s v="A.002-ARP.0057.00.2024.GOV.HUOC.PE"/>
        <s v="A.002-ARP.0050.03.2024.GOV.HUOC.PE"/>
        <s v="A.002-ARP.0011.07.2024.GOV.HGV.PE"/>
        <s v="A.002-ARP.0011.01.2024.GOV.DASIS.PE"/>
        <s v="A.002-ARP.0010.00.2024.GOV.CISAM.PE"/>
        <s v="A.002-ARP.0007.00.2024.GOV.HUOC.PE"/>
        <s v="A.001-ARP.0063.05.2024.GOV.HUOC.PE"/>
        <s v="A.001-ARP.0057.06.2024.GOV.HUOC.PE"/>
        <s v="A.001-ARP.0057.05.2024.GOV.HUOC.PE"/>
        <s v="A.001-ARP.0054.01.2024.GOV.HUOC.PE"/>
        <s v="A.001-ARP.0048.03.2024.GOV.HUOC.PE"/>
        <s v="A.001-ARP.0012.01.2024.GOV.DASIS.PE"/>
        <s v="A.001-ARP.0002.00.2024.GOV.HR.PE"/>
        <s v="A.001-ARP.0001.01.2024.GOV.HEMOPE.PE"/>
        <s v="A.010-ARP.0011.00.2023.GOV.UPEGARANHUNS.PE"/>
        <s v="A.010-ARP.0001.06.2024.GOV.HOF.PE"/>
        <s v="A.009-ARP.0011.00.2023.GOV.UPEGARANHUNS.PE"/>
        <s v="A.008-ARP.0011.00.2023.GOV.UPEGARANHUNS.PE"/>
        <s v="A.007-ARP.0004.00.2024.GOV.HGV.PE"/>
        <s v="A.007-ARP.0001.02.2024.GOV.HEMOPE.PE"/>
        <s v="A.006-ARP.0049.01.2024.GOV.HUOC.PE"/>
        <s v="A.006-ARP.0039.01.2024.GOV.HUOC.PE"/>
        <s v="A.006-ARP.0004.00.2024.GOV.HGV.PE"/>
        <s v="A.006-ARP.0003.01.2024.EXT.HMAR.PE"/>
        <s v="A.006-ARP.0001.07.2024.GOV.HOF.PE"/>
        <s v="A.005-ARP.0130.08.2023.GOV.HUOC.PE"/>
        <s v="A.005-ARP.0033.01.2024.GOV.CISAM.PE"/>
        <s v="A.005-ARP.0008.00.2024.GOV.HR.PE"/>
        <s v="A.005-ARP.0004.00.2024.GOV.HGV.PE"/>
        <s v="A.005-ARP.0003.01.2024.EXT.HMAR.PE"/>
        <s v="A.005-ARP.0001.02.2024.GOV.HEMOPE.PE"/>
        <s v="A.004-ARP.0130.08.2023.GOV.HUOC.PE"/>
        <s v="A.004-ARP.0102.02.2023.GOV.HUOC.PE"/>
        <s v="A.004-ARP.0049.04.2024.GOV.HUOC.PE"/>
        <s v="A.004-ARP.0049.00.2024.GOV.HUOC.PE"/>
        <s v="A.004-ARP.0035.00.2023.GOV.HOF.PE"/>
        <s v="A.004-ARP.0032.00.2023.GOV.HR.PE"/>
        <s v="A.004-ARP.0021.00.2024.GOV.HR.PE"/>
        <s v="A.004-ARP.0002.04.2024.GOV.HOF.PE"/>
        <s v="A.004-ARP.0001.02.2024.GOV.HEMOPE.PE"/>
        <s v="A.003-ARP.0130.09.2023.GOV.HUOC.PE"/>
        <s v="A.003-ARP.0102.02.2023.GOV.HUOC.PE"/>
        <s v="A.003-ARP.0057.08.2024.GOV.HUOC.PE"/>
        <s v="A.003-ARP.0049.04.2024.GOV.HUOC.PE"/>
        <s v="A.003-ARP.0049.03.2024.GOV.HUOC.PE"/>
        <s v="A.003-ARP.0032.00.2023.GOV.HR.PE"/>
        <s v="A.003-ARP.0029.01.2024.GOV.HUOC.PE"/>
        <s v="A.003-ARP.0022.00.2024.GOV.HR.PE"/>
        <s v="A.003-ARP.0021.00.2024.GOV.HR.PE"/>
        <s v="A.003-ARP.0008.02.2024.GOV.HUOC.PE"/>
        <s v="A.003-ARP.0001.02.2024.GOV.HEMOPE.PE"/>
        <s v="A.002-ARP.0130.09.2023.GOV.HUOC.PE"/>
        <s v="A.002-ARP.0114.00.2023.GOV.FES-PE.PE"/>
        <s v="A.002-ARP.0049.02.2024.GOV.HUOC.PE"/>
        <s v="A.002-ARP.0046.06.2024.GOV.HUOC.PE"/>
        <s v="A.002-ARP.0046.01.2024.GOV.HUOC.PE"/>
        <s v="A.002-ARP.0043.00.2024.GOV.PROCAPE.PE"/>
        <s v="A.002-ARP.0009.10.2024.GOV.HOF.PE"/>
        <s v="A.002-ARP.0009.01.2024.GOV.HOF.PE"/>
        <s v="A.002-ARP.0005.01.2024.GOV.SASSEPE.PE"/>
        <s v="A.002-ARP.0002.00.2024.GOV.HOF.PE"/>
        <s v="A.001-ARP.0130.09.2023.GOV.HUOC.PE"/>
        <s v="A.001-ARP.0059.02.2024.GOV.HUOC.PE"/>
        <s v="A.001-ARP.0046.03.2024.GOV.PROCAPE.PE"/>
        <s v="A.042-ARPC.0033.00.2023.GOV.SAD.PE"/>
        <s v="A.033-ARP.0035.00.2023.GOV.HR.PE"/>
        <s v="A.032-ARP.0035.00.2023.GOV.HR.PE"/>
        <s v="A.019-ARPC.0026.00.2023.GOV.SAD.PE"/>
        <s v="A.013-ARP.0101.05.2023.GOV.HUOC.PE"/>
        <s v="A.013-ARP.0064.08.2023.GOV.HUOC.PE"/>
        <s v="A.012-ARP.0120.01.2023.GOV.HUOC.PE"/>
        <s v="A.011-ARP.0085.05.2023.GOV.HUOC.PE"/>
        <s v="A.010-ARP.0069.00.2023.GOV.PROCAPE.PE"/>
        <s v="A.008-ARPC.0007.00.2024.GOV.SAD.PE"/>
        <s v="A.008-ARP.0085.12.2023.GOV.HUOC.PE"/>
        <s v="A.008-ARP.0085.08.2023.GOV.HUOC.PE"/>
        <s v="A.007-ARPC.0007.00.2024.GOV.SAD.PE"/>
        <s v="A.007-ARP.0030.05.2023.GOV.HR.PE"/>
        <s v="A.007-ARP.0030.01.2024.GOV.CISAM.PE"/>
        <s v="A.007-ARP.0021.00.2023.GOV.HGV.PE"/>
        <s v="A.007-ARP.0002.02.2024.GOV.SASSEPE.PE"/>
        <s v="A.006-ARP.0112.01.2023.GOV.HUOC.PE"/>
        <s v="A.006-ARP.0112.00.2023.GOV.HUOC.PE"/>
        <s v="A.006-ARP.0039.02.2024.GOV.HUOC.PE"/>
        <s v="A.005-ARP.0118.00.2023.GOV.HUOC.PE"/>
        <s v="A.005-ARP.0026.10.2023.GOV.HAM.PE"/>
        <s v="A.005-ARP.0002.03.2024.GOV.HOF.PE"/>
        <s v="A.004-ARP.0112.00.2023.GOV.HUOC.PE"/>
        <s v="A.004-ARP.0064.07.2023.GOV.HUOC.PE"/>
        <s v="A.004-ARP.0035.04.2023.GOV.HOF.PE"/>
        <s v="A.004-ARP.0029.01.2023.GOV.HOF.PE"/>
        <s v="A.004-ARP.0026.09.2023.GOV.HAM.PE"/>
        <s v="A.004-ARP.0026.07.2023.GOV.HAM.PE"/>
        <s v="A.004-ARP.0022.20.2023.GOV.HAM.PE"/>
        <s v="A.003-ARP.0119.00.2023.GOV.FES-PE.PE"/>
        <s v="A.003-ARP.0104.04.2023.GOV.PROCAPE.PE"/>
        <s v="A.003-ARP.0029.02.2024.GOV.HUOC.PE"/>
        <s v="A.003-ARP.0026.07.2023.GOV.HAM.PE"/>
        <s v="A.003-ARP.0022.02.2024.GOV.CISAM.PE"/>
        <s v="A.003-ARP.0008.00.2024.GOV.HUOC.PE"/>
        <s v="A.003-ARP.0004.02.2024.GOV.HGV.PE"/>
        <s v="A.002-ARPC.0019.00.2023.GOV.SAD.PE"/>
        <s v="A.002-ARP.0131.01.2023.GOV.HUOC.PE"/>
        <s v="A.002-ARP.0130.06.2023.GOV.HUOC.PE"/>
        <s v="A.002-ARP.0026.03.2023.GOV.HAM.PE"/>
        <s v="A.002-ARP.0025.03.2024.GOV.PROCAPE.PE"/>
        <s v="A.002-ARP.0013.00.2024.GOV.HR.PE"/>
        <s v="A.002-ARP.0004.02.2024.GOV.HGV.PE"/>
        <s v="A.001-ARP.0082.04.2023.GOV.HUOC.PE"/>
        <s v="A.001-ARP.0029.00.2023.GOV.HOF.PE"/>
        <s v="A.001-ARP.0023.00.2024.GOV.CISAM.PE"/>
        <s v="A.001-ARP.0013.00.2024.GOV.HR.PE"/>
        <s v="A.001-ARP.0001.00.2024.EXT.PE"/>
        <s v="A.001-ARP.0001.00.2024.EXT.CE"/>
        <s v="A.011-ARP.0022.00.2023.GOV.HUOC.PE"/>
        <s v="A.007-ARP.0071.14.2023.GOV.PROCAPE.PE"/>
        <s v="A.007-ARP.0012.01.2023.GOV.SASSEPE.PE"/>
        <s v="A.006-ARP.0025.12.2023.GOV.HR.PE"/>
        <s v="A.004-ARP.0025.04.2023.GOV.HUOC.PE"/>
        <s v="A.004-ARP.0014.10.2023.GOV.HR.PE"/>
        <s v="A.004-ARP.0003.00.2023.GOV.UPEGARANHUNS.PE"/>
        <s v="A.003-ARP.0094.00.2023.GOV.HUOC.PE"/>
        <s v="A.003-ARP.0086.00.2023.GOV.PROCAPE.PE"/>
        <s v="A.003-ARP.0064.07.2023.GOV.HUOC.PE"/>
        <s v="A.003-ARP.0001.00.2024.EXT.BA"/>
        <s v="A.002-ARP.0111.00.2023.GOV.HUOC.PE"/>
        <s v="A.002-ARP.0029.03.2023.GOV.HGV.PE"/>
        <s v="A.002-ARP.0012.04.2023.GOV.SASSEPE.PE"/>
        <s v="A.002-ARP.0011.00.2023.GOV.HGV.PE"/>
        <s v="A.002-ARP.0001.00.2024.EXT.BA"/>
        <s v="A.001-ARP.0014.08.2023.GOV.HGV.PE"/>
        <s v="A.001-ARP.0001.00.2024.EXT.BA"/>
        <s v="C.011-ARP.0003.01.2025.GOV.FES-PE.PE"/>
        <s v="C.002-ARP.0099.00.2025.GOV.FES-PE.PE"/>
        <s v="C.015-ARPC.0039.00.2025.GOV.SAD.PE"/>
        <s v="C.001-ARP.0101.00.2025.GOV.FES-PE.PE"/>
        <s v="C.004-ARP.0088.05.2025.GOV.FES-PE.PE"/>
        <s v="C.007-ARP.0049.03.2025.GOV.FES-PE.PE"/>
        <s v="C.008-ARP.0049.01.2025.GOV.FES-PE.PE"/>
        <s v="C.011-ARP.0049.04.2025.GOV.FES-PE.PE"/>
        <s v="C.011-ARP.0008.01.2025.GOV.HAM.PE"/>
        <s v="C.014-ARP.0067.01.2025.GOV.FES-PE.PE"/>
        <s v="C.006-ARP.0077.01.2025.GOV.FES-PE.PE"/>
        <s v="C.011-ARP.0044.04.2025.GOV.FES-PE.PE"/>
        <s v="C.009-ARP.0044.02.2025.GOV.FES-PE.PE"/>
        <s v="C.002-ARP.0022.02.2024.GOV.HOF.PE"/>
        <s v="C.004-ARP.0001.00.2024.FES-PE.PE"/>
        <s v="C.003-ARP.0001.00.2024.GOV.FES-PE.PE"/>
        <s v="C.007-ARP.0021.01.2024.GOV.HOF.PE"/>
        <s v="C.020-ARP.0070.01.2025.GOV.FES-PE.PE"/>
        <s v="C.007-ARP.0059.02.2025.GOV.FES-PE.PE"/>
        <s v="C.023-ARP.0070.03.2025.GOV.FES-PE.PE"/>
        <s v="C.004-ARP.0079.01.2025.GOV.FES-PE.PE"/>
        <s v="C.004-ARP.0079.00.2025.GOV.FES-PE.PE"/>
        <s v="C.015-ARP.0070.02.2025.GOV.FES-PE.PE"/>
        <s v="C.028-ARP.0015.06.2025.GOV.FES-PE.PE"/>
        <s v="C.007-ARP.0015.02.2025.GOV.FES-PE.PE"/>
        <s v="C.012-ARP.0070.02.2025.GOV.FES-PE.PE"/>
        <s v="C.005-ARP.0011.00.2025.GOV.FES-PE.PE"/>
        <s v="C.004-ARP.0012.07.2025.GOV.HAM.PE"/>
        <s v="C.004-ARP.0068.04.2025.GOV.FES-PE.PE"/>
        <s v="C.003-ARP.0012.07.2025.GOV.HAM.PE"/>
        <s v="C.010-ARP.0008.01.2025.GOV.HAM.PE"/>
        <s v="C.014-ARP.0044.06.2025.GOV.FES-PE.PE"/>
        <s v="C.008-ARP.0015.05.2025.GOV.FES-PE.PE"/>
        <s v="C.007-ARP.0015.05.2025.GOV.FES-PE.PE"/>
        <s v="C.007-ARP.0079.14.2025.GOV.FES-PE.PE"/>
        <s v="C.006-ARP.0068.00.2025.GOV.FES-PE.PE"/>
        <s v="C.003-ARP.0068.04.2025.GOV.FES-PE.PE"/>
        <s v="C.008-ARP.0068.01.2025.GOV.FES-PE.PE"/>
        <s v="C.007-ARP.0068.01.2025.GOV.FES-PE.PE"/>
        <s v="C.005-ARP.0068.00.2025.GOV.FES-PE.PE"/>
        <s v="C.002-ARP.0011.03.2025.GOV.HGV.PE"/>
        <s v="C.003-ARP.0079.04.2025.GOV.FES-PE.PE"/>
        <s v="C.002-ARP.0096.02.2024.GOV.FES-PE.PE"/>
        <s v="C.012-ARP.0044.06.2025.GOV.FES-PE.PE"/>
        <s v="C.011-ARP.0044.06.2025.GOV.FES-PE.PE"/>
        <s v="C.010-ARP.0044.06.2025.GOV.FES-PE.PE"/>
        <s v="C.014-ARP.0016.03.2025.GOV.FES-PE.PE"/>
        <s v="C.145-ARPC.0019.00.2024.GOV.SAD.PE"/>
        <s v="C.017-ARP.0009.00.2025.GOV.FES-PE.PE"/>
        <s v="C.003-ARP.0011.02.2025.GOV.HGV.PE"/>
        <s v="C.002-ARP.0077.00.2025.GOV.FES-PE.PE"/>
        <s v="C.014-ARP.0002.00.2025.GOV.SES.PE"/>
        <s v="C.012-ARP.0053.02.2025.GOV.FES-PE.PE"/>
        <s v="C.009-ARP.0008.01.2025.GOV.HAM.PE"/>
        <s v="C.016-ARP.0070.03.2025.GOV.FES-PE.PE"/>
        <s v="C.010-ARP.0010.00.2025.GOV.CISAM.PE"/>
        <s v="C.009-ARP.0003.01.2025.GOV.FES-PE.PE"/>
        <s v="C.011-ARP.0065.02.2024.GOV.CISAM.PE"/>
        <s v="C.015-ARP.0015.00.2025.GOV.FES-PE.PE"/>
        <s v="C.002-ARP.0011.01.2025.GOV.HGV.PE"/>
        <s v="C.005-ARP.0087.02.2024.GOV.CISAM.PE"/>
        <s v="C.011-ARP.0063.05.2024.GOV.CISAM.PE"/>
        <s v="C.007-ARP.0010.02.2025.GOV.FES-PE.PE"/>
        <s v="C.002-ARP.0006.03.2025.GOV.CISAM.PE"/>
        <s v="C.001-ARP.0006.03.2025.GOV.CISAM.PE"/>
        <s v="C.015-ARP.0009.00.2025.GOV.FES-PE.PE"/>
        <s v="C.007-ARP.0008.01.2025.GOV.HAM.PE"/>
        <s v="C.028-ARP.0064.02.2024.GOV.FES-PE.PE"/>
        <s v="C.004-ARP.0073.01.2025.GOV.FES-PE.PE"/>
        <s v="C.004-ARP.0073.00.2025.GOV.FES-PE.PE"/>
        <s v="C.001-ARP.0074.00.2025.GOV.FES-PE.PE"/>
        <s v="C.003-ARP.0084.02.2024.GOV.FES-PE.PE"/>
        <s v="C.002-ARP.0084.02.2024.GOV.FES-PE.PE"/>
        <s v="C.005-ARP.0045.00.2025.GOV.FES-PE.PE"/>
        <s v="C.012-ARP.0070.03.2025.GOV.FES-PE.PE"/>
        <s v="C.015-ARP.0088.02.2024.GOV.CISAM.PE"/>
        <s v="C.009-ARP.0010.00.2025.GOV.CISAM.PE"/>
        <s v="C.022-ARP.0015.06.2025.GOV.FES-PE.PE"/>
        <s v="C.002-ARP.0012.07.2025.GOV.HAM.PE"/>
        <s v="C.011-ARP.0067.03.2025.GOV.FES-PE.PE"/>
        <s v="C.007-ARP.0052.11.2024.GOV.CISAM.PE"/>
        <s v="C.052-ARPC.0018.00.2024.GOV.SAD.PE"/>
        <s v="C.006-ARP.0049.02.2025.GOV.FES-PE.PE"/>
        <s v="C.005-ARP.0036.07.2025.GOV.FES-PE.PE"/>
        <s v="C.009-ARP.0067.06.2025.GOV.FES-PE.PE"/>
        <s v="C.008-ARP.0067.06.2025.GOV.FES-PE.PE"/>
        <s v="C.008-ARP.0067.01.2025.GOV.FES-PE.PE"/>
        <s v="C.011-ARP.0010.05.2025.GOV.FES-PE.PE"/>
        <s v="C.003-ARP.0006.00.2025.GOV.CISAM.PE"/>
        <s v="C.005-ARP.0006.01.2025.GOV.CISAM.PE"/>
        <s v="C.006-ARP.0021.01.2024.GOV.HOF.PE"/>
        <s v="C.005-ARP.0021.01.2024.GOV.HOF.PE"/>
        <s v="C.006-ARP.0083.06.2024.GOV.FES-PE.PE"/>
        <s v="C.003-ARP.0021.06.2024.GOV.HOF.PE"/>
        <s v="C.004-ARP.0021.11.2024.GOV.HOF.PE"/>
        <s v="C.003-ARP.0021.11.2024.GOV.HOF.PE"/>
        <s v="C.002-ARP.0021.11.2024.GOV.HOF.PE"/>
        <s v="C.008-ARP.0067.03.2025.GOV.FES-PE.PE"/>
        <s v="C.008-ARP.0019.02.2025.GOV.FES-PE.PE"/>
        <s v="C.014-ARP.0009.01.2025.GOV.FES-PE.PE"/>
        <s v="C.011-ARP.0053.02.2025.GOV.FES-PE.PE"/>
        <s v="C.013-ARP.0092.04.2024.GOV.FES-PE.PE"/>
        <s v="C.012-ARP.0092.04.2024.GOV.FES-PE.PE"/>
        <s v="C.011-ARP.0092.04.2024.GOV.FES-PE.PE"/>
        <s v="C.009-ARP.0083.05.2024.GOV.FES-PE.PE"/>
        <s v="C.008-ARP.0083.05.2024.GOV.FES-PE.PE"/>
        <s v="C.007-ARP.0083.05.2024.GOV.FES-PE.PE"/>
        <s v="C.006-ARP.0083.05.2024.GOV.FES-PE.PE"/>
        <s v="C.015-ARP.0075.01.2024.GOV.FES-PE.PE"/>
        <s v="C.027-ARP.0063.00.2024.GOV.FES-PE.PE"/>
        <s v="C.010-ARP.0010.05.2025.GOV.FES-PE.PE"/>
        <s v="C.007-ARP.0019.02.2025.GOV.FES-PE.PE"/>
        <s v="C.016-ARP.0094.03.2024.GOV.FES-PE.PE"/>
        <s v="C.018-ARP.0061.02.2024.GOV.FES-PE.PE"/>
        <s v="C.004-ARP.0021.00.2024.GOV.HOF.PE"/>
        <s v="C.008-ARP.0010.04.2025.GOV.FES-PE.PE"/>
        <s v="C.006-ARP.0010.02.2025.GOV.FES-PE.PE"/>
        <s v="C.009-ARP.0010.05.2025.GOV.FES-PE.PE"/>
        <s v="C.013-ARP.0063.10.2024.GOV.FES-PE.PE"/>
        <s v="C.006-ARP.0067.03.2025.GOV.FES-PE.PE"/>
        <s v="C.001-ARP.0084.02.2024.GOV.FES-PE.PE"/>
        <s v="C.005-ARP.0067.03.2025.GOV.FES-PE.PE"/>
        <s v="C.002-ARP.0017.03.2024.GOV.HOF.PE"/>
        <s v="C.017-ARP.0061.00.2024.GOV.FES-PE.PE"/>
        <s v="C.016-ARP.0061.00.2024.GOV.FES-PE.PE"/>
        <s v="C.003-ARP.0047.00.2025.GOV.FES-PE.PE"/>
        <s v="C.031-ARP.0052.03.2024.GOV.FES-PE.PE"/>
        <s v="C.004-ARP.0021.01.2024.GOV.HOF.PE"/>
        <s v="C.019-ARP.0058.00.2024.GOV.FES-PE.PE"/>
        <s v="C.015-ARP.0068.09.2024.GOV.FES-PE.PE"/>
        <s v="C.008-ARP.0097.04.2024.GOV.FES-PE.PE"/>
        <s v="C.009-ARP.0052.12.2024.GOV.CISAM.PE"/>
        <s v="C.003-ARP.0054.04.2025.GOV.FES-PE.PE"/>
        <s v="C.001-ARP.0002.00.2025.GOV.SES.PE"/>
        <s v="C.005-ARP.0052.11.2024.GOV.CISAM.PE"/>
        <s v="C.004-ARP.0052.11.2024.GOV.CISAM.PE"/>
        <s v="C.003-ARP.0050.00.2025.GOV.FES-PE.PE"/>
        <s v="C.023-ARP.0063.00.2024.GOV.FES-PE.PE"/>
        <s v="C.002-ARP.0021.12.2024.GOV.HOF.PE"/>
        <s v="C.003-ARPC.0006.00.2025.GOV.SAD.PE"/>
        <s v="C.003-ARP.0053.05.2025.GOV.FES-PE.PE"/>
        <s v="C.014-ARP.0049.00.2024.GOV.FES-PE.PE"/>
        <s v="C.003-ARP.0003.00.2025.GOV.DASIS.PE"/>
        <s v="C.016-ARP.0046.01.2024.GOV.FES-PE.PE"/>
        <s v="C.022-ARP.0046.02.2024.GOV.FES-PE.PE"/>
        <s v="C.003-ARP.0044.04.2025.GOV.FES-PE.PE"/>
        <s v="C.001-ARP.0059.02.2025.GOV.FES-PE.PE"/>
        <s v="C.001-ARP.0003.00.2025.GOV.DASIS.PE"/>
        <s v="C.001-ARP.0059.00.2025.GOV.FES-PE.PE"/>
        <s v="C.003-ARP.0021.03.2024.GOV.HOF.PE"/>
        <s v="C.007-ARP.0010.05.2025.GOV.FES-PE.PE"/>
        <s v="C.006-ARP.0010.01.2025.GOV.FES-PE.PE"/>
        <s v="C.003-ARP.0021.00.2024.GOV.HOF.PE"/>
        <s v="C.004-ARP.0017.02.2025.GOV.FES-PE.PE"/>
        <s v="C.001-ARP.0052.07.2025.GOV.FES-PE.PE"/>
        <s v="C.001-ARP.0052.06.2025.GOV.FES-PE.PE"/>
        <s v="C.001-ARP.0052.05.2025.GOV.FES-PE.PE"/>
        <s v="C.002-ARP.0052.04.2025.GOV.FES-PE.PE"/>
        <s v="C.001-ARP.0052.03.2025.GOV.FES-PE.PE"/>
        <s v="C.001-ARP.0052.02.2025.GOV.FES-PE.PE"/>
        <s v="C.001-ARP.0052.01.2025.GOV.FES-PE.PE"/>
        <s v="C.001-ARP.0052.00.2025.GOV.FES-PE.PE"/>
        <s v="C.002-ARP.0043.04.2025.GOV.FES-PE.PE"/>
        <s v="C.003-ARP.0043.03.2025.GOV.FES-PE.PE"/>
        <s v="C.006-ARP.0043.02.2025.GOV.FES-PE.PE"/>
        <s v="C.003-ARP.0043.01.2025.GOV.FES-PE.PE"/>
        <s v="C.003-ARP.0043.00.2025.GOV.FES-PE.PE"/>
        <s v="C.106-ARPC.0019.00.2024.GOV.SAD.PE"/>
        <s v="C.004-ARP.0036.10.2025.GOV.FES-PE.PE"/>
        <s v="C.001-ARP.0036.09.2025.GOV.FES-PE.PE"/>
        <s v="C.001-ARP.0036.08.2025.GOV.FES-PE.PE"/>
        <s v="C.004-ARP.0036.07.2025.GOV.FES-PE.PE"/>
        <s v="C.004-ARP.0036.06.2025.GOV.FES-PE.PE"/>
        <s v="C.002-ARP.0036.05.2025.GOV.FES-PE.PE"/>
        <s v="C.003-ARP.0036.03.2025.GOV.FES-PE.PE"/>
        <s v="C.003-ARP.0036.01.2025.GOV.FES-PE.PE"/>
        <s v="C.004-ARP.0035.05.2025.GOV.FES-PE.PE"/>
        <s v="C.003-ARP.0035.04.2025.GOV.FES-PE.PE"/>
        <s v="C.006-ARP.0035.03.2025.GOV.FES-PE.PE"/>
        <s v="C.002-ARP.0035.02.2025.GOV.FES-PE.PE"/>
        <s v="C.008-ARP.0035.01.2025.GOV.FES-PE.PE"/>
        <s v="C.004-ARP.0035.00.2025.GOV.FES-PE.PE"/>
        <s v="C.001-ARP.0031.06.2025.GOV.FES-PE.PE"/>
        <s v="C.002-ARP.0031.04.2025.GOV.FES-PE.PE"/>
        <s v="C.003-ARP.0031.03.2025.GOV.FES-PE.PE"/>
        <s v="C.003-ARP.0031.02.2025.GOV.FES-PE.PE"/>
        <s v="C.002-ARP.0031.01.2025.GOV.FES-PE.PE"/>
        <s v="C.006-ARP.0031.00.2025.GOV.FES-PE.PE"/>
        <s v="C.004-ARP.0030.05.2025.GOV.FES-PE.PE"/>
        <s v="C.006-ARP.0030.04.2025.GOV.FES-PE.PE"/>
        <s v="C.009-ARP.0030.01.2025.GOV.FES-PE.PE"/>
        <s v="C.013-ARP.0068.09.2024.GOV.FES-PE.PE"/>
        <s v="C.012-ARP.0068.09.2024.GOV.FES-PE.PE"/>
        <s v="C.005-ARP.0030.00.2025.GOV.FES-PE.PE"/>
        <s v="C.003-ARP.0029.05.2025.GOV.FES-PE.PE"/>
        <s v="C.002-ARP.0029.05.2025.GOV.FES-PE.PE"/>
        <s v="C.003-ARP.0029.04.2025.GOV.FES-PE.PE"/>
        <s v="C.004-ARP.0029.03.2025.GOV.FES-PE.PE"/>
        <s v="C.003-ARP.0029.02.2025.GOV.FES-PE.PE"/>
        <s v="C.001-ARP.0029.01.2025.GOV.FES-PE.PE"/>
        <s v="C.004-ARP.0054.07.2025.GOV.FES-PE.PE"/>
        <s v="C.013-ARP.0009.00.2025.GOV.FES-PE.PE"/>
        <s v="C.011-ARP.0009.01.2025.GOV.FES-PE.PE"/>
        <s v="C.016-ARP.0009.02.2025.GOV.FES-PE.PE"/>
        <s v="C.021-ARP.0063.00.2024.GOV.FES-PE.PE"/>
        <s v="C.027-ARP.0064.01.2024.GOV.FES-PE.PE"/>
        <s v="C.010-ARP.0012.05.2025.GOV.FES-PE.PE"/>
        <s v="C.016-ARP.0022.01.2025.GOV.FES-PE.PE"/>
        <s v="C.002-ARPC.0006.00.2025.GOV.SAD.PE"/>
        <s v="C.002-ARP.0006.05.2025.GOV.HOF.PE"/>
        <s v="C.002-ARP.0006.04.2025.GOV.HOF.PE"/>
        <s v="C.002-ARP.0006.02.2025.GOV.HOF.PE"/>
        <s v="C.001-ARPC.0006.00.2025.GOV.SAD.PE"/>
        <s v="C.001-ARP.0048.03.2025.GOV.FES-PE.PE"/>
        <s v="C.002-ARP.0048.02.2025.GOV.FES-PE.PE"/>
        <s v="C.001-ARP.0048.02.2025.GOV.FES-PE.PE"/>
        <s v="C.013-ARP.0005.01.2025.GOV.FES-PE.PE"/>
        <s v="C.001-ARP.0048.01.2025.GOV.FES-PE.PE"/>
        <s v="C.001-ARP.0048.00.2025.GOV.FES-PE.PE"/>
        <s v="C.014-ARP.0009.02.2025.GOV.FES-PE.PE"/>
        <s v="C.006-ARP.0010.00.2025.GOV.CISAM.PE"/>
        <s v="C.015-ARPC.0001.00.2025.GOV.SAD.PE"/>
        <s v="C.002-ARPC.0011.00.2025.GOV.SAD.PE"/>
        <s v="C.018-ARPC.0002.00.2025.GOV.SAD.PE"/>
        <s v="C.004-ARP.0034.00.2025.GOV.FES-PE.PE"/>
        <s v="C.002-ARP.0034.01.2025.GOV.FES-PE.PE"/>
        <s v="C.003-ARP.0033.00.2025.GOV.FES-PE.PE"/>
        <s v="C.008-ARP.0020.05.2025.GOV.FES-PE.PE"/>
        <s v="C.001-ARP.0020.03.2025.GOV.FES-PE.PE"/>
        <s v="C.006-ARP.0003.01.2025.GOV.FES-PE.PE"/>
        <s v="C.005-ARP.0010.00.2025.GOV.CISAM.PE"/>
        <s v="C.004-ARP.0010.00.2025.GOV.CISAM.PE"/>
        <s v="C.001-ARP.0028.03.2025.GOV.FES-PE.PE"/>
        <s v="C.001-ARP.0028.02.2025.GOV.FES-PE.PE"/>
        <s v="C.002-ARP.0028.01.2025.GOV.FES-PE.PE"/>
        <s v="C.001-ARP.0028.01.2025.GOV.FES-PE.PE"/>
        <s v="C.002-ARP.0028.00.2025.GOV.FES-PE.PE"/>
        <s v="C.004-ARP.0022.03.2025.GOV.FES-PE.PE"/>
        <s v="C.005-ARP.0022.02.2025.GOV.FES-PE.PE"/>
        <s v="C.001-ARP.0027.00.2025.GOV.FES-PE.PE"/>
        <s v="C.001-ARP.0027.01.2025.GOV.FES-PE.PE"/>
        <s v="C.001-ARP.0027.04.2025.GOV.FES-PE.PE"/>
        <s v="C.001-ARP.0027.05.2025.GOV.FES-PE.PE"/>
        <s v="C.001-ARP.0027.06.2025.GOV.FES-PE.PE"/>
        <s v="C.001-ARP.0027.07.2025.GOV.FES-PE.PE"/>
        <s v="C.001-ARP.0027.08.2025.GOV.FES-PE.PE"/>
        <s v="C.001-ARP.0027.09.2025.GOV.FES-PE.PE"/>
        <s v="C.007-ARP.0022.01.2025.GOV.FES-PE.PE"/>
        <s v="C.004-ARP.0022.00.2025.GOV.FES-PE.PE"/>
        <s v="C.001-ARP.0021.05.2025.GOV.FES-PE.PE"/>
        <s v="C.003-ARP.0021.03.2025.GOV.FES-PE.PE"/>
        <s v="C.002-ARP.0021.02.2025.GOV.FES-PE.PE"/>
        <s v="C.003-ARP.0010.00.2025.GOV.CISAM.PE"/>
        <s v="C.003-ARP.0021.01.2025.GOV.FES-PE.PE"/>
        <s v="C.003-ARP.0019.02.2025.GOV.FES-PE.PE"/>
        <s v="C.006-ARP.0019.01.2025.GOV.FES-PE.PE"/>
        <s v="C.001-ARP.0019.00.2025.GOV.FES-PE.PE"/>
        <s v="C.001-ARP.0018.02.2025.GOV.FES-PE.PE"/>
        <s v="C.004-ARP.0018.01.2025.GOV.FES-PE.PE"/>
        <s v="C.003-ARP.0018.00.2025.GOV.FES-PE.PE"/>
        <s v="C.003-ARP.0017.06.2025.GOV.FES-PE.PE"/>
        <s v="C.001-ARP.0017.05.2025.GOV.FES-PE.PE"/>
        <s v="C.001-ARP.0017.02.2025.GOV.FES-PE.PE"/>
        <s v="C.007-ARP.0017.00.2025.GOV.FES-PE.PE"/>
        <s v="C.003-ARP.0013.04.2025.GOV.FES-PE.PE"/>
        <s v="C.005-ARP.0013.02.2025.GOV.FES-PE.PE"/>
        <s v="C.004-ARP.0013.01.2025.GOV.FES-PE.PE"/>
        <s v="C.006-ARP.0012.05.2025.GOV.FES-PE.PE"/>
        <s v="C.004-ARP.0012.04.2025.GOV.FES-PE.PE"/>
        <s v="C.007-ARP.0012.02.2025.GOV.FES-PE.PE"/>
        <s v="C.002-ARP.0008.01.2025.GOV.HAM.PE"/>
        <s v="C.005-ARP.0012.05.2025.GOV.FES-PE.PE"/>
        <s v="C.005-ARP.0012.02.2025.GOV.FES-PE.PE"/>
        <s v="C.004-ARP.0012.01.2025.GOV.FES-PE.PE"/>
        <s v="C.003-ARP.0012.00.2025.GOV.FES-PE.PE"/>
        <s v="C.006-ARP.0010.04.2025.GOV.FES-PE.PE"/>
        <s v="C.004-ARP.0004.00.2025.GOV.FES-PE.PE"/>
        <s v="C.003-ARP.0004.05.2025.GOV.FES-PE.PE"/>
        <s v="C.004-ARP.0003.00.2025.GOV.FES-PE.PE"/>
        <s v="C.010-ARPC.0001.00.2025.GOV.SAD.PE"/>
        <s v="C.005-ARP.0015.03.2025.GOV.FES-PE.PE"/>
        <s v="C.004-ARP.0015.03.2025.GOV.FES-PE.PE"/>
        <s v="C.010-ARP.0015.00.2025.GOV.FES-PE.PE"/>
        <s v="C.013-ARP.0046.00.2024.GOV.FES-PE.PE"/>
        <s v="C.012-ARP.0046.00.2024.GOV.FES-PE.PE"/>
        <s v="C.003-ARP.0100.03.2024.GOV.FES-PE.PE"/>
        <s v="C.006-ARP.0005.02.2025.GOV.FES-PE.PE"/>
        <s v="C.008-ARP.0005.00.2025.GOV.FES-PE.PE"/>
        <s v="C.008-ARP.0099.00.2024.GOV.FES-PE.PE"/>
        <s v="C.007-ARP.0005.01.2025.GOV.FES-PE.PE"/>
        <s v="C.077-ARPC.0019.00.2024.GOV.SAD.PE"/>
        <s v="C.006-ARP.0002.00.2025.GOV.CISAM.PE"/>
        <s v="C.005-ARP.0002.00.2025.GOV.CISAM.PE"/>
        <s v="C.004-ARP.0002.00.2025.GOV.CISAM.PE"/>
        <s v="C.003-ARP.0002.00.2025.GOV.CISAM.PE"/>
        <s v="C.027-ARP.0025.00.2024.GOV.FES-PE.PE"/>
        <s v="C.005-ARP.0015.05.2025.GOV.FES-PE.PE"/>
        <s v="C.004-ARP.0015.05.2025.GOV.FES-PE.PE"/>
        <s v="C.003-ARP.0015.05.2025.GOV.FES-PE.PE"/>
        <s v="C.005-ARP.0010.04.2025.GOV.FES-PE.PE"/>
        <s v="C.004-ARP.0010.03.2025.GOV.FES-PE.PE"/>
        <s v="C.075-ARPC.0019.00.2024.GOV.SAD.PE"/>
        <s v="C.009-ARP.0016.00.2025.GOV.FES-PE.PE"/>
        <s v="C.008-ARP.0016.00.2025.GOV.FES-PE.PE"/>
        <s v="C.038-ARP.0031.14.2024.GOV.FES-PE.PE"/>
        <s v="C.012-ARP.0015.06.2025.GOV.FES-PE.PE"/>
        <s v="C.011-ARP.0015.06.2025.GOV.FES-PE.PE"/>
        <s v="C.003-ARP.0015.02.2025.GOV.FES-PE.PE"/>
        <s v="C.006-ARP.0014.02.2025.GOV.FES-PE.PE"/>
        <s v="C.005-ARP.0014.02.2025.GOV.FES-PE.PE"/>
        <s v="C.004-ARP.0014.02.2025.GOV.FES-PE.PE"/>
        <s v="C.003-ARP.0014.02.2025.GOV.FES-PE.PE"/>
        <s v="C.005-ARP.0092.00.2024.GOV.FES-PE.PE"/>
        <s v="C.151-ARPC.0006.00.2024.GOV.SAD.PE"/>
        <s v="C.002-ARP.0001.00.2025.GOV.HOF.PE"/>
        <s v="C.009-ARP.0009.02.2025.GOV.FES-PE.PE"/>
        <s v="C.008-ARP.0009.02.2025.GOV.FES-PE.PE"/>
        <s v="C.007-ARP.0009.02.2025.GOV.FES-PE.PE"/>
        <s v="C.003-ARP.0003.00.2025.GOV.FES-PE.PE"/>
        <s v="C.004-ARP.0100.02.2024.GOV.FES-PE.PE"/>
        <s v="C.003-ARP.0100.02.2024.GOV.FES-PE.PE"/>
        <s v="C.003-ARP.0005.02.2025.GOV.FES-PE.PE"/>
        <s v="C.005-ARP.0005.01.2025.GOV.FES-PE.PE"/>
        <s v="C.004-ARP.0005.00.2025.GOV.FES-PE.PE"/>
        <s v="C.003-ARP.0005.00.2025.GOV.FES-PE.PE"/>
        <s v="C.003-ARP.0099.04.2024.GOV.FES-PE.PE"/>
        <s v="C.003-ARP.0099.03.2024.GOV.FES-PE.PE"/>
        <s v="C.002-ARP.0099.03.2024.GOV.FES-PE.PE"/>
        <s v="C.001-ARP.0099.02.2024.GOV.FES-PE.PE"/>
        <s v="C.002-ARP.0099.00.2024.GOV.FES-PE.PE"/>
        <s v="C.003-ARP.0098.02.2024.GOV.FES-PE.PE"/>
        <s v="C.001-ARP.0098.04.2024.GOV.FES-PE.PE"/>
        <s v="C.001-ARP.0098.01.2024.GOV.FES-PE.PE"/>
        <s v="C.001-ARP.0098.00.2024.GOV.FES-PE.PE"/>
        <s v="C.005-ARPC.0002.00.2025.GOV.SAD.PE"/>
        <s v="C.004-ARPC.0002.00.2025.GOV.SAD.PE"/>
        <s v="C.002-ARPC.0001.00.2025.GOV.SAD.PE"/>
        <s v="C.003-ARPC.0002.00.2025.GOV.SAD.PE"/>
        <s v="C.037-ARPC.0018.00.2024.GOV.SAD.PE"/>
        <s v="C.029-ARP.0050.00.2024.GOV.FES-PE.PE"/>
        <s v="C.020-ARP.0061.03.2024.GOV.FES-PE.PE"/>
        <s v="C.002-ARP.0088.01.2024.GOV.CISAM.PE"/>
        <s v="C.001-ARP.0088.01.2024.GOV.CISAM.PE"/>
        <s v="C.002-ARP.0089.01.2024.GOV.CISAM.PE"/>
        <s v="C.001-ARP.0089.01.2024.GOV.CISAM.PE"/>
        <s v="C.003-ARP.0087.00.2024.GOV.CISAM.PE"/>
        <s v="C.002-ARP.0087.00.2024.GOV.CISAM.PE"/>
        <s v="C.004-ARP.0087.01.2024.GOV.CISAM.PE"/>
        <s v="C.003-ARP.0087.01.2024.GOV.CISAM.PE"/>
        <s v="C.002-ARP.0087.01.2024.GOV.CISAM.PE"/>
        <s v="C.002-ARP.0087.02.2024.GOV.CISAM.PE"/>
        <s v="C.002-ARP.0087.03.2024.GOV.CISAM.PE"/>
        <s v="C.001-ARP.0087.05.2024.GOV.CISAM.PE"/>
        <s v="C.006-ARP.0088.02.2024.GOV.CISAM.PE"/>
        <s v="C.005-ARP.0088.02.2024.GOV.CISAM.PE"/>
        <s v="C.004-ARP.0088.02.2024.GOV.CISAM.PE"/>
        <s v="C.003-ARP.0088.02.2024.GOV.CISAM.PE"/>
        <s v="C.002-ARP.0088.02.2024.GOV.CISAM.PE"/>
        <s v="C.001-ARP.0088.02.2024.GOV.CISAM.PE"/>
        <s v="C.001-ARP.0088.03.2024.GOV.CISAM.PE"/>
        <s v="C.002-ARP.0097.02.2024.GOV.FES-PE.PE"/>
        <s v="C.004-ARP.0097.04.2024.GOV.FES-PE.PE"/>
        <s v="C.007-ARP.0052.12.2024.GOV.CISAM.PE"/>
        <s v="C.004-ARP.0096.01.2024.GOV.FES-PE.PE"/>
        <s v="C.009-ARP.0068.10.2024.GOV.FES-PE.PE"/>
        <s v="C.008-ARP.0068.10.2024.GOV.FES-PE.PE"/>
        <s v="C.048-ARPC.0004.00.2024.GOV.SAD.PE"/>
        <s v="C.005-ARPC.0029.00.2024.GOV.SAD.PE"/>
        <s v="C.001-ARP.0065.06.2024.GOV.CISAM.PE"/>
        <s v="C.002-ARP.0089.00.2024.GOV.FES-PE.PE"/>
        <s v="C.002-ARP.0089.01.2024.GOV.FES-PE.PE"/>
        <s v="C.009-ARP.0040.01.2024.GOV.FES-PE.PE"/>
        <s v="C.016-ARP.0031.11.2024.GOV.FES-PE.PE"/>
        <s v="C.026-ARP.0050.00.2024.GOV.FES-PE.PE"/>
        <s v="C.003-ARP.0097.03.2024.GOV.FES-PE.PE"/>
        <s v="C.001-ARP.0097.00.2024.GOV.FES-PE.PE"/>
        <s v="C.001-ARP.0096.02.2024.GOV.FES-PE.PE"/>
        <s v="C.003-ARP.0096.00.2024.GOV.FES-PE.PE"/>
        <s v="C.003-ARP.0078.01.2024.GOV.FES-PE.PE"/>
        <s v="C.021-ARP.0048.01.2024.GOV.FES-PE.PE"/>
        <s v="C.020-ARP.0048.01.2024.GOV.FES-PE.PE"/>
        <s v="C.001-ARP.0094.00.2024.GOV.FES-PE.PE"/>
        <s v="C.002-ARP.0094.03.2024.GOV.FES-PE.PE"/>
        <s v="C.001-ARP.0094.03.2024.GOV.FES-PE.PE"/>
        <s v="C.001-ARP.0094.02.2024.GOV.FES-PE.PE"/>
        <s v="C.002-ARP.0094.01.2024.GOV.FES-PE.PE"/>
        <s v="C.001-ARP.0094.01.2024.GOV.FES-PE.PE"/>
        <s v="C.004-ARP.0065.00.2024.GOV.CISAM.PE"/>
        <s v="C.001-ARP.0065.05.2024.GOV.CISAM.PE"/>
        <s v="C.003-ARP.0049.00.2024.GOV.CISAM.PE"/>
        <s v="C.001-ARP.0092.02.2024.GOV.FES-PE.PE"/>
        <s v="C.002-ARP.0092.03.2024.GOV.FES-PE.PE"/>
        <s v="C.002-ARP.0092.04.2024.GOV.FES-PE.PE"/>
        <s v="C.001-ARP.0092.04.2024.GOV.FES-PE.PE"/>
        <s v="C.001-ARP.0092.03.2024.GOV.FES-PE.PE"/>
        <s v="C.019-ARP.0063.00.2024.GOV.FES-PE.PE"/>
        <s v="C.018-ARP.0063.00.2024.GOV.FES-PE.PE"/>
        <s v="C.017-ARP.0063.00.2024.GOV.FES-PE.PE"/>
        <s v="C.010-ARP.0063.04.2024.GOV.FES-PE.PE"/>
        <s v="C.018-ARP.0025.06.2024.GOV.FES-PE.PE"/>
        <s v="C.022-ARP.0025.04.2024.GOV.FES-PE.PE"/>
        <s v="C.017-ARP.0025.03.2024.GOV.FES-PE.PE"/>
        <s v="C.022-ARP.0025.01.2024.GOV.FES-PE.PE"/>
        <s v="C.021-ARP.0018.01.2024.GOV.FES-PE.PE"/>
        <s v="C.039-ARP.0018.00.2024.GOV.FES-PE.PE"/>
        <s v="C.018-ARP.0024.01.2024.GOV.FES-PE.PE"/>
        <s v="C.009-ARP.0063.04.2024.GOV.FES-PE.PE"/>
        <s v="C.038-ARP.0018.00.2024.GOV.FES-PE.PE"/>
        <s v="C.005-ARP.0083.04.2024.GOV.FES-PE.PE"/>
        <s v="C.005-ARP.0088.07.2024.GOV.FES-PE.PE"/>
        <s v="C.004-ARP.0088.00.2024.GOV.FES-PE.PE"/>
        <s v="C.003-ARP.0088.00.2024.GOV.FES-PE.PE"/>
        <s v="C.002-ARP.0088.00.2024.GOV.FES-PE.PE"/>
        <s v="C.005-ARP.0090.05.2024.GOV.FES-PE.PE"/>
        <s v="C.006-ARP.0090.02.2024.GOV.FES-PE.PE"/>
        <s v="C.005-ARP.0090.02.2024.GOV.FES-PE.PE"/>
        <s v="C.010-ARP.0049.00.2024.GOV.FES-PE.PE"/>
        <s v="C.009-ARP.0049.00.2024.GOV.FES-PE.PE"/>
        <s v="C.016-ARP.0052.08.2024.GOV.FES-PE.PE"/>
        <s v="C.031-ARP.0031.14.2024.GOV.FES-PE.PE"/>
        <s v="C.015-ARP.0043.02.2024.GOV.FES-PE.PE"/>
        <s v="C.005-ARP.0063.05.2024.GOV.CISAM.PE"/>
        <s v="C.004-ARP.0063.05.2024.GOV.CISAM.PE"/>
        <s v="C.047-ARPC.0005.00.2024.GOV.SAD.PE"/>
        <s v="C.011-ARP.0040.00.2024.GOV.FES-PE.PE"/>
        <s v="C.014-ARP.0061.02.2024.GOV.FES-PE.PE"/>
        <s v="C.010-ARP.0040.03.2024.GOV.FES-PE.PE"/>
        <s v="C.011-ARP.0075.00.2024.GOV.FES-PE.PE"/>
        <s v="C.010-ARP.0075.00.2024.GOV.FES-PE.PE"/>
        <s v="C.004-ARP.0088.03.2024.GOV.FES-PE.PE"/>
        <s v="C.001-ARPC.0026.00.2024.GOV.SAD.PE"/>
        <s v="C.032-ARPC.0018.00.2024.GOV.SAD.PE"/>
        <s v="C.031-ARPC.0018.00.2024.GOV.SAD.PE"/>
        <s v="C.030-ARPC.0018.00.2024.GOV.SAD.PE"/>
        <s v="C.029-ARPC.0018.00.2024.GOV.SAD.PE"/>
        <s v="C.004-ARP.0083.04.2024.GOV.FES-PE.PE"/>
        <s v="C.009-ARP.0038.02.2024.GOV.FES-PE.PE"/>
        <s v="C.003-ARP.0083.02.2024.GOV.FES-PE.PE"/>
        <s v="C.004-ARP.0083.03.2024.GOV.FES-PE.PE"/>
        <s v="C.003-ARP.0083.03.2024.GOV.FES-PE.PE"/>
        <s v="C.004-ARP.0083.05.2024.GOV.FES-PE.PE"/>
        <s v="C.003-ARP.0065.00.2024.GOV.CISAM.PE"/>
        <s v="C.006-ARPC.0021.00.2024.GOV.SAD.PE"/>
        <s v="C.019-ARP.0065.01.2024.GOV.FES-PE.PE"/>
        <s v="C.001-ARP.0001.00.2024.FES-PE.PE"/>
        <s v="C.119-ARPC.0006.00.2024.GOV.SAD.PE"/>
        <s v="C.017-ARP.0018.01.2024.GOV.FES-PE.PE"/>
        <s v="C.003-ARP.0005.00.2024.GOV.UPECMN.PE"/>
        <s v="C.012-ARP.0024.00.2024.GOV.FES-PE.PE"/>
        <s v="C.010-ARP.0075.01.2024.GOV.FES-PE.PE"/>
        <s v="C.009-ARP.0075.01.2024.GOV.FES-PE.PE"/>
        <s v="C.014-ARP.0022.01.2024.GOV.FES-PE.PE"/>
        <s v="C.039-ARP.0031.16.2024.GOV.FES-PE.PE"/>
        <s v="C.038-ARP.0031.16.2024.GOV.FES-PE.PE"/>
        <s v="C.037-ARP.0031.16.2024.GOV.FES-PE.PE"/>
        <s v="C.036-ARP.0031.16.2024.GOV.FES-PE.PE"/>
        <s v="C.014-ARP.0034.01.2024.GOV.FES-PE.PE"/>
        <s v="C.002-ARP.0063.05.2024.GOV.CISAM.PE"/>
        <s v="C.035-ARP.0031.16.2024.GOV.FES-PE.PE"/>
        <s v="C.034-ARP.0031.16.2024.GOV.FES-PE.PE"/>
        <s v="C.033-ARP.0031.16.2024.GOV.FES-PE.PE"/>
        <s v="C.032-ARP.0031.16.2024.GOV.FES-PE.PE"/>
        <s v="C.034-ARP.0018.00.2024.GOV.FES-PE.PE"/>
        <s v="C.004-ARP.0066.03.2024.GOV.FES-PE.PE"/>
        <s v="C.004-ARP.0066.02.2024.GOV.FES-PE.PE"/>
        <s v="C.001-ARP.0066.01.2024.GOV.FES-PE.PE"/>
        <s v="C.031-ARP.0031.16.2024.GOV.FES-PE.PE"/>
        <s v="C.002-ARP.0066.08.2024.GOV.FES-PE.PE"/>
        <s v="C.002-ARP.0066.04.2024.GOV.FES-PE.PE"/>
        <s v="C.002-ARP.0066.06.2024.GOV.FES-PE.PE"/>
        <s v="C.020-ARP.0025.01.2024.GOV.FES-PE.PE"/>
        <s v="C.004-ARP.0063.03.2024.GOV.FES-PE.PE"/>
        <s v="C.030-ARP.0031.16.2024.GOV.FES-PE.PE"/>
        <s v="C.003-ARP.0052.10.2024.GOV.FES-PE.PE"/>
        <s v="C.002-ARP.0052.10.2024.GOV.FES-PE.PE"/>
        <s v="C.015-ARP.0025.06.2024.GOV.FES-PE.PE"/>
        <s v="C.022-ARPC.0018.00.2024.GOV.SAD.PE"/>
        <s v="C.023-ARP.0052.03.2024.GOV.FES-PE.PE"/>
        <s v="C.022-ARP.0052.03.2024.GOV.FES-PE.PE"/>
        <s v="C.001-ARP.0063.05.2024.GOV.CISAM.PE"/>
        <s v="C.009-ARP.0064.00.2024.GOV.FES-PE.PE"/>
        <s v="C.002-ARP.0022.00.2024.GOV.FES-PE.PE"/>
        <s v="C.029-ARP.0031.16.2024.GOV.FES-PE.PE"/>
        <s v="C.028-ARP.0031.16.2024.GOV.FES-PE.PE"/>
        <s v="C.027-ARP.0031.16.2024.GOV.FES-PE.PE"/>
        <s v="C.026-ARP.0031.16.2024.GOV.FES-PE.PE"/>
        <s v="C.025-ARP.0031.16.2024.GOV.FES-PE.PE"/>
        <s v="C.003-ARPC.0015.02.2024.GOV.SAD.PE"/>
        <s v="C.002-ARPC.0015.02.2024.GOV.SAD.PE"/>
        <s v="C.024-ARP.0031.16.2024.GOV.FES-PE.PE"/>
        <s v="C.023-ARP.0031.16.2024.GOV.FES-PE.PE"/>
        <s v="C.012-ARP.0022.01.2024.GOV.FES-PE.PE"/>
        <s v="C.011-ARP.0022.01.2024.GOV.FES-PE.PE"/>
        <s v="C.022-ARP.0031.16.2024.GOV.FES-PE.PE"/>
        <s v="C.021-ARP.0031.16.2024.GOV.FES-PE.PE"/>
        <s v="C.004-ARPC.0018.00.2024.GOV.SAD.PE"/>
        <s v="C.003-ARPC.0018.00.2024.GOV.SAD.PE"/>
        <s v="C.033-ARP.0018.00.2024.GOV.FES-PE.PE"/>
        <s v="C.032-ARP.0018.00.2024.GOV.FES-PE.PE"/>
        <s v="C.019-ARP.0048.07.2024.GOV.FES-PE.PE"/>
        <s v="C.031-ARP.0018.00.2024.GOV.FES-PE.PE"/>
        <s v="C.016-ARP.0065.01.2024.GOV.FES-PE.PE"/>
        <s v="C.015-ARP.0065.01.2024.GOV.FES-PE.PE"/>
        <s v="C.014-ARP.0065.01.2024.GOV.FES-PE.PE"/>
        <s v="C.030-ARP.0018.00.2024.GOV.FES-PE.PE"/>
        <s v="C.014-ARP.0065.06.2024.GOV.FES-PE.PE"/>
        <s v="C.013-ARP.0065.06.2024.GOV.FES-PE.PE"/>
        <s v="C.001-ARP.0065.02.2024.GOV.CISAM.PE"/>
        <s v="C.018-ARPC.0014.00.2024.GOV.SAD.PE"/>
        <s v="C.020-ARP.0018.08.2024.GOV.FES-PE.PE"/>
        <s v="C.008-ARP.0022.04.2024.GOV.FES-PE.PE"/>
        <s v="C.028-ARP.0018.00.2024.GOV.FES-PE.PE"/>
        <s v="C.013-ARP.0048.01.2024.GOV.FES-PE.PE"/>
        <s v="C.015-ARP.0031.11.2024.GOV.FES-PE.PE"/>
        <s v="C.027-ARP.0018.00.2024.GOV.FES-PE.PE"/>
        <s v="C.020-ARP.0031.16.2024.GOV.FES-PE.PE"/>
        <s v="C.019-ARP.0031.16.2024.GOV.FES-PE.PE"/>
        <s v="C.016-ARP.0046.02.2024.GOV.FES-PE.PE"/>
        <s v="C.017-ARP.0064.01.2024.GOV.FES-PE.PE"/>
        <s v="C.003-ARP.0107.00.2023.GOV.FES-PE.PE"/>
        <s v="C.016-ARP.0064.01.2024.GOV.FES-PE.PE"/>
        <s v="C.014-ARP.0031.11.2024.GOV.FES-PE.PE"/>
        <s v="C.018-ARP.0031.16.2024.GOV.FES-PE.PE"/>
        <s v="C.015-ARP.0046.02.2024.GOV.FES-PE.PE"/>
        <s v="C.014-ARP.0046.02.2024.GOV.FES-PE.PE"/>
        <s v="C.012-ARP.0064.02.2024.GOV.FES-PE.PE"/>
        <s v="C.004-ARP.0012.00.2024.GOV.FES-PE.PE"/>
        <s v="C.012-ARP.0065.01.2024.GOV.FES-PE.PE"/>
        <s v="C.025-ARP.0018.00.2024.GOV.FES-PE.PE"/>
        <s v="C.002-ARP.0112.00.2023.GOV.FES-PE.PE"/>
        <s v="C.001-ARP.0112.00.2023.GOV.FES-PE.PE"/>
        <s v="C.018-ARP.0048.07.2024.GOV.FES-PE.PE"/>
        <s v="C.019-ARP.0018.08.2024.GOV.FES-PE.PE"/>
        <s v="C.020-ARP.0031.14.2024.GOV.FES-PE.PE"/>
        <s v="C.013-ARP.0046.02.2024.GOV.FES-PE.PE"/>
        <s v="C.001-ARP.0002.00.2024.GOV.HRA.PE"/>
        <s v="C.013-ARP.0064.01.2024.GOV.FES-PE.PE"/>
        <s v="C.012-ARP.0064.01.2024.GOV.FES-PE.PE"/>
        <s v="C.011-ARP.0064.01.2024.GOV.FES-PE.PE"/>
        <s v="C.011-ARP.0048.01.2024.GOV.FES-PE.PE"/>
        <s v="C.013-ARP.0031.11.2024.GOV.FES-PE.PE"/>
        <s v="C.014-ARP.0031.16.2024.GOV.FES-PE.PE"/>
        <s v="C.007-ARP.0063.10.2024.GOV.FES-PE.PE"/>
        <s v="C.081-ARPC.0033.00.2023.GOV.SAD.PE"/>
        <s v="C.038-ARPC.0005.00.2024.GOV.SAD.PE"/>
        <s v="C.002-ARP.0052.07.2024.GOV.CISAM.PE"/>
        <s v="C.003-ARP.0065.06.2024.GOV.FES-PE.PE"/>
        <s v="C.005-ARP.0064.04.2024.GOV.FES-PE.PE"/>
        <s v="C.021-ARP.0018.00.2024.GOV.FES-PE.PE"/>
        <s v="C.020-ARP.0018.00.2024.GOV.FES-PE.PE"/>
        <s v="C.001-ARP.0052.11.2024.GOV.CISAM.PE"/>
        <s v="C.001-ARP.0052.12.2024.GOV.CISAM.PE"/>
        <s v="C.007-ARP.0063.06.2024.GOV.FES-PE.PE"/>
        <s v="C.001-ARP.0052.07.2024.GOV.CISAM.PE"/>
        <s v="C.006-ARP.0063.00.2024.GOV.FES-PE.PE"/>
        <s v="C.147-ARPC.0026.00.2023.GOV.SAD.PE"/>
        <s v="C.006-ARP.0064.05.2024.GOV.FES-PE.PE"/>
        <s v="C.010-ARP.0048.07.2024.GOV.FES-PE.PE"/>
        <s v="C.012-ARP.0025.04.2024.GOV.FES-PE.PE"/>
        <s v="C.012-ARP.0018.07.2024.GOV.FES-PE.PE"/>
        <s v="C.010-ARP.0046.02.2024.GOV.FES-PE.PE"/>
        <s v="C.011-ARP.0025.04.2024.GOV.FES-PE.PE"/>
        <s v="C.009-ARP.0048.07.2024.GOV.FES-PE.PE"/>
        <s v="C.006-ARP.0048.06.2024.GOV.FES-PE.PE"/>
        <s v="C.007-ARP.0061.02.2024.GOV.FES-PE.PE"/>
        <s v="C.005-ARP.0038.01.2024.GOV.FES-PE.PE"/>
        <s v="C.004-ARP.0038.01.2024.GOV.FES-PE.PE"/>
        <s v="C.006-ARP.0061.06.2024.GOV.FES-PE.PE"/>
        <s v="C.007-ARP.0040.02.2024.GOV.FES-PE.PE"/>
        <s v="C.006-ARP.0040.03.2024.GOV.FES-PE.PE"/>
        <s v="C.010-ARP.0031.10.2024.GOV.FES-PE.PE"/>
        <s v="C.003-ARP.0038.01.2024.GOV.FES-PE.PE"/>
        <s v="C.013-ARP.0031.14.2024.GOV.FES-PE.PE"/>
        <s v="C.002-ARP.0038.01.2024.GOV.FES-PE.PE"/>
        <s v="C.026-ARPC.0005.00.2024.GOV.SAD.PE"/>
        <s v="C.011-ARP.0024.01.2024.GOV.FES-PE.PE"/>
        <s v="C.009-ARP.0052.12.2024.GOV.FES-PE.PE"/>
        <s v="C.007-ARP.0046.01.2024.GOV.FES-PE.PE"/>
        <s v="C.012-ARP.0025.01.2024.GOV.FES-PE.PE"/>
        <s v="C.011-ARP.0031.14.2024.GOV.FES-PE.PE"/>
        <s v="C.009-ARP.0058.03.2024.GOV.FES-PE.PE"/>
        <s v="C.024-ARPC.0005.00.2024.GOV.SAD.PE"/>
        <s v="C.003-ARP.0058.00.2024.GOV.FES-PE.PE"/>
        <s v="C.008-ARP.0031.16.2024.GOV.FES-PE.PE"/>
        <s v="C.006-ARP.0031.11.2024.GOV.FES-PE.PE"/>
        <s v="C.076-ARPC.0012.00.2023.GOV.SAD.PE"/>
        <s v="C.016-ARP.0018.00.2024.GOV.FES-PE.PE"/>
        <s v="C.009-ARP.0050.00.2024.GOV.FES-PE.PE"/>
        <s v="C.004-ARP.0037.02.2024.GOV.FES-PE.PE"/>
        <s v="C.123-ARPC.0026.00.2023.GOV.SAD.PE"/>
        <s v="C.006-ARP.0048.11.2024.GOV.FES-PE.PE"/>
        <s v="C.002-ARP.0052.00.2024.GOV.FES-PE.PE"/>
        <s v="C.004-ARP.0005.05.2023.GOV.HRA.PE"/>
        <s v="C.009-ARP.0046.05.2024.GOV.FES-PE.PE"/>
        <s v="C.001-ARP.0052.05.2024.GOV.FES-PE.PE"/>
        <s v="C.007-ARP.0025.02.2024.GOV.FES-PE.PE"/>
        <s v="C.055-ARPC.0006.00.2024.GOV.SAD.PE"/>
        <s v="C.116-ARPC.0026.00.2023.GOV.SAD.PE"/>
        <s v="C.005-ARP.0031.14.2024.GOV.FES-PE.PE"/>
        <s v="C.002-ARP.0005.02.2023.GOV.HRA.PE"/>
        <s v="C.002-ARP.0005.01.2023.GOV.HRA.PE"/>
        <s v="C.008-ARP.0046.05.2024.GOV.FES-PE.PE"/>
        <s v="C.050-ARPC.0006.00.2024.GOV.SAD.PE"/>
        <s v="C.002-ARP.0005.07.2023.GOV.HRA.PE"/>
        <s v="C.002-ARP.0005.10.2023.GOV.HRA.PE"/>
        <s v="C.046-ARPC.0006.00.2024.GOV.SAD.PE"/>
        <s v="C.002-ARP.0046.05.2024.GOV.FES-PE.PE"/>
        <s v="C.036-ARPC.0007.00.2024.GOV.SAD.PE"/>
        <s v="C.026-ARPC.0007.00.2024.GOV.SAD.PE"/>
        <s v="C.001-ARP.0040.03.2024.GOV.FES-PE.PE"/>
        <s v="C.001-ARP.0040.04.2024.GOV.FES-PE.PE"/>
        <s v="C.025-ARPC.0003.00.2024.GOV.SAD.PE"/>
        <s v="C.007-ARPC.0018.00.2023.GOV.SAD.PE"/>
        <s v="C.008-ARP.0025.04.2024.GOV.FES-PE.PE"/>
        <s v="C.008-ARP.0024.01.2024.GOV.FES-PE.PE"/>
        <s v="C.001-ARP.0037.00.2024.GOV.FES-PE.PE"/>
        <s v="C.010-ARP.0018.00.2024.GOV.FES-PE.PE"/>
        <s v="C.041-ARPC.0008.00.2023.GOV.SAD.PE"/>
        <s v="C.004-ARP.0005.08.2023.GOV.HRA.PE"/>
        <s v="C.003-ARP.0005.08.2023.GOV.HRA.PE"/>
        <s v="C.100-ARPC.0026.00.2023.GOV.SAD.PE"/>
        <s v="C.023-ARPC.0003.00.2024.GOV.SAD.PE"/>
        <s v="C.009-ARPC.0006.00.2024.GOV.SAD.PE"/>
        <s v="C.001-ARP.0001.00.2024.GOV.HRA.PE"/>
        <s v="C.003-ARP.0005.05.2023.GOV.HRA.PE"/>
        <s v="C.003-ARP.0005.04.2023.GOV.HRA.PE"/>
        <s v="C.003-ARP.0005.00.2023.GOV.HRA.PE"/>
        <s v="C.004-ARP.0003.06.2023.GOV.HRA.PE"/>
        <s v="C.005-ARP.0003.05.2023.GOV.HRA.PE"/>
        <s v="C.005-ARP.0003.04.2023.GOV.HRA.PE"/>
        <s v="C.007-ARP.0003.08.2023.GOV.HRA.PE"/>
        <s v="C.002-ARPC.0005.00.2024.GOV.SAD.PE"/>
        <s v="C.001-ARPC.0005.00.2024.GOV.SAD.PE"/>
        <s v="C.003-ARP.0025.06.2024.GOV.FES-PE.PE"/>
        <s v="C.002-ARP.0025.03.2024.GOV.FES-PE.PE"/>
        <s v="C.001-ARP.0025.02.2024.GOV.FES-PE.PE"/>
        <s v="C.002-ARP.0025.01.2024.GOV.FES-PE.PE"/>
        <s v="C.002-ARP.0018.06.2024.GOV.FES-PE.PE"/>
        <s v="C.003-ARP.0018.01.2024.GOV.FES-PE.PE"/>
        <s v="C.003-ARP.0018.00.2024.GOV.FES-PE.PE"/>
        <s v="C.002-ARP.0005.08.2023.GOV.HRA.PE"/>
        <s v="C.006-ARP.0003.08.2023.GOV.HRA.PE"/>
        <s v="C.008-ARP.0003.02.2023.GOV.HRA.PE"/>
        <s v="C.006-ARP.0017.04.2025.GOV.FES-PE.PE"/>
        <s v="A.002-ARP.0189.00.2025.GOV.HUOC.PE"/>
        <s v="A.014-ARP.0004.00.2025.GOV.HR.PE"/>
        <s v="C.005-ARP.0077.07.2025.GOV.FES-PE.PE"/>
        <s v="C.006-ARP.0010.03.2025.GOV.FES-PE.PE"/>
        <s v="A.013-ARP.0013.02.2025.GOV.HOF.PE"/>
        <s v="A.026-ARP.0005.12.2025.GOV.HEMOPE.PE"/>
        <s v="C.002-ARP.0030.03.2025.GOV.CISAM.PE"/>
        <s v=" SC - 530409000232025000023"/>
        <s v="C.012-ARP.0008.01.2025.GOV.HAM.PE"/>
        <s v="SC-530409000232025000010"/>
        <s v="ARP.0036.00.2024.GOV.HR.PE"/>
        <s v="ARP.0020.04.2023.GOV.HEMOPE.PE"/>
        <s v="ARP.0006.12.2023.GOV.HAM.PE"/>
        <s v="ARP.0061.00.2022.GOV.HAM.PE"/>
        <s v="ARP.0072.05.2022.GOV.HAM.PE"/>
        <s v="ARP.0072.00.2022.GOV.HAM.PE"/>
        <s v="SC-530409000232025000032"/>
      </sharedItems>
    </cacheField>
    <cacheField name="Orgão" numFmtId="0">
      <sharedItems count="38">
        <s v="FES-PE"/>
        <s v="HUOC"/>
        <s v="FUNDARPE"/>
        <s v="131763"/>
        <s v="CISAM"/>
        <s v="HOF"/>
        <s v="PROCAPE"/>
        <s v="HGV"/>
        <s v="FEAS"/>
        <s v="HR"/>
        <s v="HAM"/>
        <s v="HGJMM"/>
        <s v="HMAR"/>
        <s v="158552"/>
        <s v="SASSEPE"/>
        <s v="HEMOPE"/>
        <s v="136144"/>
        <s v="CDE"/>
        <s v="151289"/>
        <s v="RN"/>
        <s v="DASIS"/>
        <s v="161458"/>
        <s v="SAD"/>
        <s v="AMGESP"/>
        <s v="RS"/>
        <s v="UPECMN"/>
        <s v="#N/A"/>
        <s v="UPEGARANHUNS"/>
        <s v="SEMUL"/>
        <s v="PB"/>
        <s v="HCFMU"/>
        <s v="SESR"/>
        <s v="PE"/>
        <s v="CE"/>
        <s v="BA"/>
        <s v="SES"/>
        <s v="HRA"/>
        <e v="#N/A" u="1"/>
      </sharedItems>
    </cacheField>
    <cacheField name="Unidade gestora" numFmtId="0">
      <sharedItems containsBlank="1"/>
    </cacheField>
    <cacheField name="Tipo da solicitação" numFmtId="0">
      <sharedItems containsBlank="1"/>
    </cacheField>
    <cacheField name="Número da ata" numFmtId="0">
      <sharedItems containsBlank="1"/>
    </cacheField>
    <cacheField name="Objeto" numFmtId="0">
      <sharedItems containsBlank="1"/>
    </cacheField>
    <cacheField name="Núcleo Pertencente" numFmtId="0">
      <sharedItems containsBlank="1"/>
    </cacheField>
    <cacheField name="Data da solicitação" numFmtId="0">
      <sharedItems containsNonDate="0" containsDate="1" containsString="0" containsBlank="1" minDate="2023-05-08T00:00:00" maxDate="2025-11-17T00:00:00"/>
    </cacheField>
    <cacheField name="Situação  do Processo" numFmtId="0">
      <sharedItems containsBlank="1" count="8">
        <s v="Cancelada"/>
        <s v="Concluído"/>
        <s v="Em configuração"/>
        <s v="Encaminhada para anuência do gestor"/>
        <s v="Em revisão"/>
        <s v="Encaminhada para o gestor central de ata"/>
        <s v="Encaminhada para o gestor de ata"/>
        <m/>
      </sharedItems>
    </cacheField>
    <cacheField name="Situação Atual" numFmtId="0">
      <sharedItems/>
    </cacheField>
    <cacheField name="Andamento no PE Integrado" numFmtId="0">
      <sharedItems containsBlank="1"/>
    </cacheField>
    <cacheField name="Comparação" numFmtId="0">
      <sharedItems/>
    </cacheField>
    <cacheField name="Responsável" numFmtId="0">
      <sharedItems containsBlank="1"/>
    </cacheField>
    <cacheField name="Andamento SEI" numFmtId="0">
      <sharedItems containsBlank="1"/>
    </cacheField>
    <cacheField name="Encaminhado / Setor" numFmtId="0">
      <sharedItems containsBlank="1"/>
    </cacheField>
    <cacheField name="SEI" numFmtId="0">
      <sharedItems containsBlank="1" containsMixedTypes="1" containsNumber="1" containsInteger="1" minValue="0" maxValue="0"/>
    </cacheField>
    <cacheField name="Status da Coluna M"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8">
  <r>
    <x v="0"/>
    <x v="0"/>
    <s v="HOSPITAL REGIONAL DO AGRESTE DR.WALDEMIRO FERREIRA"/>
    <s v="Adesão"/>
    <s v="ARP.0080.00.2025.GOV.FES-PE.PE"/>
    <s v="Formação de Registro de Preços para o fornecimento eventual de MEDICAMENTOS INJETÁVEIS VOL. 1 visando atender as necessidades do Hospital Jaboatão Prazeres."/>
    <s v="NFOCPO"/>
    <d v="2025-10-03T00:00:00"/>
    <x v="0"/>
    <s v="Cancelada"/>
    <s v="Cancelado"/>
    <s v="Item não atualizado"/>
    <m/>
    <s v="Cancelado"/>
    <s v="SEI não localizado"/>
    <m/>
    <m/>
  </r>
  <r>
    <x v="1"/>
    <x v="1"/>
    <s v="HOSPITAL REGIONAL DO AGRESTE DR.WALDEMIRO FERREIRA"/>
    <s v="Adesão"/>
    <s v="ARP.0001.01.2025.GOV.HUOC.PE"/>
    <s v="Registro de Preços para o fornecimento eventual de MEDICAMENTOS CONTROLADOS, CLÍNICOS RESPIRATÓRIOS E MANIPULADOS (SEI Nº 0040609437.000157/2024-48)"/>
    <s v="NFOCPO"/>
    <d v="2025-10-13T00:00:00"/>
    <x v="0"/>
    <s v="Em configuração"/>
    <s v="Cancelar Com o Suporte"/>
    <s v="Item atualizado"/>
    <m/>
    <s v="Cancelar Com o Suporte"/>
    <s v="SEI não localizado"/>
    <m/>
    <m/>
  </r>
  <r>
    <x v="2"/>
    <x v="1"/>
    <s v="HOSPITAL REGIONAL DO AGRESTE DR.WALDEMIRO FERREIRA"/>
    <s v="Adesão"/>
    <s v="ARP.0001.01.2025.GOV.HUOC.PE"/>
    <s v="Registro de Preços para o fornecimento eventual de MEDICAMENTOS CONTROLADOS, CLÍNICOS RESPIRATÓRIOS E MANIPULADOS (SEI Nº 0040609437.000157/2024-48)"/>
    <s v="NFOCPO"/>
    <d v="2025-10-03T00:00:00"/>
    <x v="1"/>
    <s v="Autorizada Sucesso"/>
    <s v="Concluído"/>
    <s v="Item atualizado"/>
    <m/>
    <s v="Em andamento"/>
    <s v="Enviado ao JURIDICO"/>
    <s v="2300001213.000370/2025-49"/>
    <m/>
  </r>
  <r>
    <x v="3"/>
    <x v="1"/>
    <s v="HOSPITAL REGIONAL DO AGRESTE DR.WALDEMIRO FERREIRA"/>
    <s v="Adesão"/>
    <s v="ARP.0089.01.2024.GOV.HUOC.PE"/>
    <s v="Registro de Preços para o fornecimento eventual de MEDICAMENTOS ANTIMICROBIANOS (SEI Nº 0040609437.000129/2024-21)"/>
    <m/>
    <d v="2025-09-12T00:00:00"/>
    <x v="0"/>
    <s v="Cancelada por fim vigencia ATA"/>
    <s v="Cancelado"/>
    <s v="Item atualizado"/>
    <m/>
    <s v="Cancelado"/>
    <s v="SEI não localizado"/>
    <m/>
    <m/>
  </r>
  <r>
    <x v="4"/>
    <x v="1"/>
    <s v="HOSPITAL REGIONAL DO AGRESTE DR.WALDEMIRO FERREIRA"/>
    <s v="Adesão"/>
    <s v="ARP.0119.01.2024.GOV.HUOC.PE"/>
    <s v="Registro de Preços para a eventual aquisição de Medicamentos Clínicos Gerais 4 (SEI Nº 0040609437.000172/2024-96)"/>
    <s v="NFOCPO"/>
    <d v="2025-09-23T00:00:00"/>
    <x v="1"/>
    <s v="Autorizada Sucesso"/>
    <s v="Concluído"/>
    <s v="Item atualizado"/>
    <m/>
    <s v="Concluído"/>
    <s v="Enviado ao NOF"/>
    <s v="2300001213.000405/2025-40"/>
    <m/>
  </r>
  <r>
    <x v="5"/>
    <x v="2"/>
    <s v="HOSPITAL REGIONAL DO AGRESTE DR.WALDEMIRO FERREIRA"/>
    <s v="Adesão"/>
    <s v="ARP.0013.00.2025.GOV.FUNDARPE.PE"/>
    <s v="Formação de Registro de Preços para contratação eventual de prestação de serviços de Alimentação Pronta (marmitex e lanche) e Buffet (coffee break, coquetel volante e self-service), sem a locação de espaço para atender as demandas dos projetos, eventos, c"/>
    <s v="NAMP"/>
    <d v="2025-10-13T00:00:00"/>
    <x v="1"/>
    <s v="Autorizada Sucesso"/>
    <s v="Concluído"/>
    <s v="Item atualizado"/>
    <m/>
    <s v="Em andamento"/>
    <s v="Enviado a GCONTRATOS"/>
    <s v="2300002942.000003/2025-73"/>
    <m/>
  </r>
  <r>
    <x v="6"/>
    <x v="3"/>
    <s v="HOSPITAL REGIONAL DO AGRESTE DR.WALDEMIRO FERREIRA"/>
    <s v="Adesão"/>
    <s v="ARP.0017.00.2025.EXT.131763.PB"/>
    <s v="A presente Ata tem por objetivo o registro de preços PARA REGISTRO DE PREÇO PARA AQUISIÇÃO DE MEDICAMENTOS ANTIBACTERIANOS INJETÁVEIS especificado, no item 1.1 do Termo de Referência, anexo no edital de Pregão 173/2024 que é parte integrante desta Ata, as"/>
    <s v="NFOCPO"/>
    <d v="2025-09-29T00:00:00"/>
    <x v="1"/>
    <s v="Autorizada Integrado"/>
    <s v="Concluído"/>
    <s v="Item atualizado"/>
    <s v="Daniele"/>
    <s v="Em andamento"/>
    <s v="Enviado a NFOCPO"/>
    <s v="2300001213.000259/2025-52"/>
    <m/>
  </r>
  <r>
    <x v="7"/>
    <x v="3"/>
    <s v="HOSPITAL REGIONAL DO AGRESTE DR.WALDEMIRO FERREIRA"/>
    <s v="Adesão"/>
    <s v="ARP.0017.00.2025.EXT.131763.PB"/>
    <s v="A presente Ata tem por objetivo o registro de preços PARA REGISTRO DE PREÇO PARA AQUISIÇÃO DE MEDICAMENTOS ANTIBACTERIANOS INJETÁVEIS especificado, no item 1.1 do Termo de Referência, anexo no edital de Pregão 173/2024 que é parte integrante desta Ata, as"/>
    <m/>
    <d v="2025-09-17T00:00:00"/>
    <x v="1"/>
    <s v="Autorizada Integrado"/>
    <s v="Concluído"/>
    <s v="Item atualizado"/>
    <s v="Daniele"/>
    <s v="Em andamento"/>
    <s v="Enviado a GCONTRATOS"/>
    <s v="2300001213.000190/2025-67"/>
    <s v="solicitação em duplicidade com A.014-ARP.0017.00.2025.EXT.131763.PB - sem efeito para conlcusão da compra"/>
  </r>
  <r>
    <x v="8"/>
    <x v="4"/>
    <s v="HOSPITAL REGIONAL DO AGRESTE DR.WALDEMIRO FERREIRA"/>
    <s v="Adesão"/>
    <s v="ARP.0084.05.2024.GOV.CISAM.PE"/>
    <s v="REGISTRO DE PREÇOS PARA FORNECIMENTO EVENTUAL DE MOBILIARIOS MEDICO-HOSPITALAR PARA O CENTRO DE PARTO NORMAL E CASA DA GESTANTE BEBE E PUERPERA PARA RECÉM NASCIDOS, VISANDO ATENDER AS NECESSIDADES DO CISAM/UPE E DEMAIS ÓRGÃO PARTICIPANTES."/>
    <s v="NAMP"/>
    <d v="2025-09-23T00:00:00"/>
    <x v="1"/>
    <s v="Autorizada Sucesso"/>
    <s v="Concluído"/>
    <s v="Item atualizado"/>
    <m/>
    <s v="Em andamento"/>
    <s v="Enviado ao JURIDICO"/>
    <s v="2300002544.000075/2025-11"/>
    <m/>
  </r>
  <r>
    <x v="9"/>
    <x v="5"/>
    <s v="HOSPITAL REGIONAL DO AGRESTE DR.WALDEMIRO FERREIRA"/>
    <s v="Adesão"/>
    <s v="ARP.0013.02.2025.GOV.HOF.PE"/>
    <s v="REGISTRO DE PREÇOS PARA O FORNECIMENTO DE DISPOSITIVOS MÉDICOS DO TIPO INSUMOS PARA OXIGENOTERAPIA, VISANDO ATENDER AS NECESSIDADES DO HOSPITAL OTÁVIO DE FREITAS."/>
    <s v="NAEN"/>
    <d v="2025-09-24T00:00:00"/>
    <x v="2"/>
    <s v="Em configuração"/>
    <s v="Em andamento"/>
    <s v="Item não atualizado"/>
    <s v="Elisangela"/>
    <s v="Em andamento"/>
    <s v="SEI não localizado"/>
    <s v="Revisar com Papa"/>
    <s v="Finalizar com o nucleo"/>
  </r>
  <r>
    <x v="10"/>
    <x v="0"/>
    <s v="HOSPITAL REGIONAL DO AGRESTE DR.WALDEMIRO FERREIRA"/>
    <s v="Adesão"/>
    <s v="ARP.0009.02.2025.GOV.FES-PE.PE"/>
    <s v="Registro de Preços para aquisição de Material Médico Hospitalar - Luvas (Unificado)"/>
    <s v="NFOCPO"/>
    <d v="2025-10-13T00:00:00"/>
    <x v="1"/>
    <s v="Autorizada Sucesso"/>
    <s v="Concluído"/>
    <s v="Item atualizado"/>
    <m/>
    <s v="Concluído"/>
    <s v="Enviado ao NOF"/>
    <s v="2300001213.000385/2025-15"/>
    <m/>
  </r>
  <r>
    <x v="11"/>
    <x v="0"/>
    <s v="HOSPITAL REGIONAL DO AGRESTE DR.WALDEMIRO FERREIRA"/>
    <s v="Adesão"/>
    <s v="ARP.0080.00.2025.GOV.FES-PE.PE"/>
    <s v="Formação de Registro de Preços para o fornecimento eventual de MEDICAMENTOS INJETÁVEIS VOL. 1 visando atender as necessidades do Hospital Jaboatão Prazeres."/>
    <s v="NFOCPO"/>
    <d v="2025-10-03T00:00:00"/>
    <x v="1"/>
    <s v="Autorizada Sucesso"/>
    <s v="Concluído"/>
    <s v="Item atualizado"/>
    <m/>
    <s v="Em andamento"/>
    <s v="Enviado a NFOCPO"/>
    <s v="2300001213.000402/2025-14"/>
    <m/>
  </r>
  <r>
    <x v="12"/>
    <x v="6"/>
    <s v="HOSPITAL REGIONAL DO AGRESTE DR.WALDEMIRO FERREIRA"/>
    <s v="Adesão"/>
    <s v="ARP.0051.04.2025.GOV.PROCAPE.PE"/>
    <s v="REGISTRO DE PREÇOS PARA EVENTUAL FORNECIMENTO DE MATERIAL DE CONSUMO HOSPITALAR (MATERIAL PENSO)"/>
    <s v="NFOCPO"/>
    <d v="2025-09-25T00:00:00"/>
    <x v="1"/>
    <s v="Autorizada Sucesso"/>
    <s v="Concluído"/>
    <s v="Item atualizado"/>
    <m/>
    <s v="Em andamento"/>
    <s v="Enviado ao JURIDICO"/>
    <s v="2300001213.000360/2025-11"/>
    <m/>
  </r>
  <r>
    <x v="13"/>
    <x v="1"/>
    <s v="HOSPITAL REGIONAL DO AGRESTE DR.WALDEMIRO FERREIRA"/>
    <s v="Adesão"/>
    <s v="ARP.0072.07.2025.GOV.HUOC.PE"/>
    <s v="Registro de Preços para o eventual fornecimento de MEDICAMENTOS CLÍNICOS GERAIS 6 - 18 ITENS - SEI: 0040609437.000009/2025-12"/>
    <s v="NFOCPO"/>
    <d v="2025-09-24T00:00:00"/>
    <x v="0"/>
    <s v="Em configuração"/>
    <s v="Cancelar Com o Suporte"/>
    <s v="Item atualizado"/>
    <m/>
    <s v="Cancelar Com o Suporte"/>
    <s v="SEI não localizado"/>
    <s v="j"/>
    <m/>
  </r>
  <r>
    <x v="14"/>
    <x v="7"/>
    <s v="HOSPITAL REGIONAL DO AGRESTE DR.WALDEMIRO FERREIRA"/>
    <s v="Adesão"/>
    <s v="ARP.0008.05.2025.GOV.HGV.PE"/>
    <s v="Registro de Preços para o fornecimento eventual de MATERIAIS ESPECIAIS PARA ENDOSCOPIA"/>
    <s v="NSADRE"/>
    <d v="2025-10-16T00:00:00"/>
    <x v="0"/>
    <s v="Cancelada"/>
    <s v="Cancelado"/>
    <s v="Item não atualizado"/>
    <m/>
    <s v="Cancelado"/>
    <s v="SEI não localizado"/>
    <m/>
    <m/>
  </r>
  <r>
    <x v="1"/>
    <x v="1"/>
    <s v="HOSPITAL REGIONAL DO AGRESTE DR.WALDEMIRO FERREIRA"/>
    <s v="Adesão"/>
    <s v="ARP.0001.01.2025.GOV.HUOC.PE"/>
    <s v="Registro de Preços para o eventual fornecimento de ÓRTESES, PRÓTESES E MATERIAIS ESPECIAIS - OPME’S (TRAUMATO I), visando atender as necessidades do Hospital da Restauração."/>
    <s v="NFOCPO"/>
    <d v="2025-10-13T00:00:00"/>
    <x v="1"/>
    <s v="Em configuração"/>
    <s v="Concluído"/>
    <s v="Item atualizado"/>
    <m/>
    <s v="Em andamento"/>
    <s v="Enviado ao GFIN"/>
    <s v="2300001213.000385/2025-15"/>
    <s v="Finalizar com o nucleo"/>
  </r>
  <r>
    <x v="15"/>
    <x v="1"/>
    <s v="HOSPITAL REGIONAL DO AGRESTE DR.WALDEMIRO FERREIRA"/>
    <s v="Adesão"/>
    <s v="ARP.0072.07.2025.GOV.HUOC.PE"/>
    <s v="Registro de Preços para o eventual fornecimento de MEDICAMENTOS CLÍNICOS GERAIS 6 - 18 ITENS - SEI: 0040609437.000009/2025-12"/>
    <m/>
    <d v="2025-09-18T00:00:00"/>
    <x v="1"/>
    <s v="Autorizada Sucesso"/>
    <s v="Concluído"/>
    <s v="Item atualizado"/>
    <m/>
    <s v="Em andamento"/>
    <s v="Enviado ao GFIN"/>
    <s v="2300001213.000376/2025-16"/>
    <m/>
  </r>
  <r>
    <x v="16"/>
    <x v="1"/>
    <s v="HOSPITAL REGIONAL DO AGRESTE DR.WALDEMIRO FERREIRA"/>
    <s v="Adesão"/>
    <s v="ARP.0057.00.2025.GOV.HUOC.PE"/>
    <s v="Registro de Preços para o fornecimento eventual de MATERIAIS MÉDICOS HOSPITALARES - SONDA FOLEYS E CATETER INTRAVENOSO (SEI: 0040609912.000190/2024-15)"/>
    <s v="NFOCPO"/>
    <d v="2025-09-25T00:00:00"/>
    <x v="0"/>
    <s v="Em configuração"/>
    <s v="Cancelar Com o Suporte"/>
    <s v="Item atualizado"/>
    <m/>
    <s v="Cancelar Com o Suporte"/>
    <s v="SEI não localizado"/>
    <m/>
    <m/>
  </r>
  <r>
    <x v="17"/>
    <x v="5"/>
    <s v="HOSPITAL REGIONAL DO AGRESTE DR.WALDEMIRO FERREIRA"/>
    <s v="Adesão"/>
    <s v="ARP.0013.06.2025.GOV.HOF.PE"/>
    <s v="REGISTRO DE PREÇOS PARA O FORNECIMENTO DE DISPOSITIVOS MÉDICOS DO TIPO INSUMOS PARA OXIGENOTERAPIA, VISANDO ATENDER AS NECESSIDADES DO HOSPITAL OTÁVIO DE FREITAS."/>
    <s v="NAEN"/>
    <d v="2025-09-18T00:00:00"/>
    <x v="0"/>
    <s v="Em configuração"/>
    <s v="Cancelar Com o Suporte"/>
    <s v="Item atualizado"/>
    <m/>
    <s v="Cancelar Com o Suporte"/>
    <s v="SEI não localizado"/>
    <m/>
    <m/>
  </r>
  <r>
    <x v="18"/>
    <x v="7"/>
    <s v="HOSPITAL REGIONAL DO AGRESTE DR.WALDEMIRO FERREIRA"/>
    <s v="Adesão"/>
    <s v="ARP.0008.05.2025.GOV.HGV.PE"/>
    <s v="Registro de Preços para o fornecimento eventual de MATERIAIS ESPECIAIS PARA ENDOSCOPIA"/>
    <s v="NSADRE"/>
    <d v="2025-10-02T00:00:00"/>
    <x v="0"/>
    <s v="Cancelada"/>
    <s v="Cancelado"/>
    <s v="Item não atualizado"/>
    <m/>
    <s v="Cancelado"/>
    <s v="SEI não localizado"/>
    <m/>
    <m/>
  </r>
  <r>
    <x v="19"/>
    <x v="8"/>
    <s v="HOSPITAL REGIONAL DO AGRESTE DR.WALDEMIRO FERREIRA"/>
    <s v="Adesão"/>
    <s v="ARP.0005.00.2025.GOV.FEAS.PE"/>
    <s v="Formação de Registro de Preços para o fornecimento eventual de MATERIAL DE LIMPEZA e MATERIAL HIGIENE PESSOAL visando atender as necessidades dos municípios que possam vir a ser afetados por desastre, e acolhida pela Secretária de Assistência Social, Comb"/>
    <s v="NAMP"/>
    <d v="2025-09-23T00:00:00"/>
    <x v="1"/>
    <s v="Autorizada Sucesso"/>
    <s v="Concluído"/>
    <s v="Item atualizado"/>
    <m/>
    <s v="Em andamento"/>
    <s v="Enviado ao JURIDICO"/>
    <s v="2300001213.000381/2025-29"/>
    <m/>
  </r>
  <r>
    <x v="20"/>
    <x v="9"/>
    <s v="HOSPITAL REGIONAL DO AGRESTE DR.WALDEMIRO FERREIRA"/>
    <s v="Adesão"/>
    <s v="ARP.0001.00.2025.GOV.HR.PE"/>
    <s v="Registro de Preços para o eventual fornecimento de ÓRTESES, PRÓTESES E MATERIAIS ESPECIAIS - OPME’S (TRAUMATO I), visando atender as necessidades do Hospital da Restauração."/>
    <s v="NFOCPO"/>
    <d v="2025-10-13T00:00:00"/>
    <x v="1"/>
    <s v="Autorizada Sucesso"/>
    <s v="Concluído"/>
    <s v="Item atualizado"/>
    <m/>
    <s v="Em andamento"/>
    <s v="Enviado a GCONTRATOS"/>
    <s v="2300002944.000002/2025-17"/>
    <m/>
  </r>
  <r>
    <x v="21"/>
    <x v="7"/>
    <s v="HOSPITAL REGIONAL DO AGRESTE DR.WALDEMIRO FERREIRA"/>
    <s v="Adesão"/>
    <s v="ARP.0008.05.2025.GOV.HGV.PE"/>
    <s v="Registro de Preços para o fornecimento eventual de MATERIAIS ESPECIAIS PARA ENDOSCOPIA"/>
    <s v="NSADRE"/>
    <d v="2025-09-25T00:00:00"/>
    <x v="0"/>
    <s v="Cancelada"/>
    <s v="Cancelado"/>
    <s v="Item não atualizado"/>
    <m/>
    <s v="Cancelado"/>
    <s v="SEI não localizado"/>
    <m/>
    <m/>
  </r>
  <r>
    <x v="22"/>
    <x v="8"/>
    <s v="HOSPITAL REGIONAL DO AGRESTE DR.WALDEMIRO FERREIRA"/>
    <s v="Adesão"/>
    <s v="ARP.0005.00.2025.GOV.FEAS.PE"/>
    <s v="Formação de Registro de Preços para o fornecimento eventual de MATERIAL DE LIMPEZA e MATERIAL HIGIENE PESSOAL visando atender as necessidades dos municípios que possam vir a ser afetados por desastre, e acolhida pela Secretária de Assistência Social, Comb"/>
    <s v="NAMP"/>
    <d v="2025-09-17T00:00:00"/>
    <x v="0"/>
    <s v="Em configuração"/>
    <s v="Cancelar Com o Suporte"/>
    <s v="Item atualizado"/>
    <m/>
    <s v="Cancelar Com o Suporte"/>
    <s v="SEI não localizado"/>
    <m/>
    <m/>
  </r>
  <r>
    <x v="23"/>
    <x v="10"/>
    <s v="HOSPITAL REGIONAL DO AGRESTE DR.WALDEMIRO FERREIRA"/>
    <s v="Adesão"/>
    <s v="ARP.0011.00.2025.GOV.HAM.PE"/>
    <s v="REGISTRO DE PREÇOS PARA EVENTUAL FORNECIMENTO DE MATERIAL DE CONSUMO HOSPITALAR ( AQUISIÇÃO DE MATERIAL KIT DE CURATIVO P/ TERAPIA POR PRESSÃO NEGATIVA )"/>
    <s v="NFOCPO"/>
    <d v="2025-09-17T00:00:00"/>
    <x v="1"/>
    <s v="Autorizada Sucesso"/>
    <s v="Concluído"/>
    <s v="Item atualizado"/>
    <s v="Hannah"/>
    <s v="Em andamento"/>
    <s v="Enviado a GCONTRATOS"/>
    <s v="2300002541.000001/2025-05"/>
    <m/>
  </r>
  <r>
    <x v="24"/>
    <x v="10"/>
    <s v="HOSPITAL REGIONAL DO AGRESTE DR.WALDEMIRO FERREIRA"/>
    <s v="Adesão"/>
    <s v="ARP.0010.05.2025.GOV.HAM.PE"/>
    <s v="Registro de Preços para o fornecimento eventual de material médico hospitalar destinado ao serviço de anestesia, visando atender as necessidades do Hospital Agamenon Magalhães"/>
    <s v="NFOCPO"/>
    <d v="2025-09-16T00:00:00"/>
    <x v="1"/>
    <s v="Autorizada Sucesso"/>
    <s v="Concluído"/>
    <s v="Item atualizado"/>
    <s v="Hannah"/>
    <s v="Em andamento"/>
    <s v="Enviado a GCONTRATOS"/>
    <s v="2300001213.000369/2025-14"/>
    <m/>
  </r>
  <r>
    <x v="25"/>
    <x v="11"/>
    <s v="HOSPITAL REGIONAL DO AGRESTE DR.WALDEMIRO FERREIRA"/>
    <s v="Adesão"/>
    <s v="ARP.0501.00.2025.EXT.HGJMM.RN"/>
    <s v="Aquisição de Medicamentos - ANTIMICROBIANOS , conforme condições e exigências estabelecidas neste instrumento."/>
    <s v="NFOCPO"/>
    <d v="2025-09-24T00:00:00"/>
    <x v="0"/>
    <s v="Cancelada por fim vigencia ATA"/>
    <s v="Cancelado"/>
    <s v="Item atualizado"/>
    <m/>
    <s v="Cancelado"/>
    <s v="SEI não localizado"/>
    <m/>
    <m/>
  </r>
  <r>
    <x v="26"/>
    <x v="1"/>
    <s v="HOSPITAL REGIONAL DO AGRESTE DR.WALDEMIRO FERREIRA"/>
    <s v="Adesão"/>
    <s v="ARP.0118.05.2024.GOV.HUOC.PE"/>
    <s v="Registro de Preços para eventual fornecimento de MATERIAIS MÉDICOS HOSPITALARES PARA O SERVIÇO DE ENDOSCOPIA (SEI Nº0040609912.000069/2024-93)"/>
    <m/>
    <d v="2025-09-25T00:00:00"/>
    <x v="1"/>
    <s v="Autorizada Sucesso"/>
    <s v="Concluído"/>
    <s v="Item atualizado"/>
    <m/>
    <s v="Concluído"/>
    <s v="Enviado ao NOF"/>
    <s v="2300001213.000404/2025-03"/>
    <m/>
  </r>
  <r>
    <x v="27"/>
    <x v="1"/>
    <s v="HOSPITAL REGIONAL DO AGRESTE DR.WALDEMIRO FERREIRA"/>
    <s v="Adesão"/>
    <s v="ARP.0118.01.2024.GOV.HUOC.PE"/>
    <s v="Registro de Preços para eventual fornecimento de MATERIAIS MÉDICOS HOSPITALARES PARA O SERVIÇO DE ENDOSCOPIA (SEI Nº0040609912.000069/2024-93)"/>
    <m/>
    <d v="2025-09-25T00:00:00"/>
    <x v="1"/>
    <s v="Autorizada Sucesso"/>
    <s v="Concluído"/>
    <s v="Item atualizado"/>
    <m/>
    <s v="Concluído"/>
    <s v="Enviado ao NOF"/>
    <s v="2300001213.000342/2025-21"/>
    <m/>
  </r>
  <r>
    <x v="28"/>
    <x v="1"/>
    <s v="HOSPITAL REGIONAL DO AGRESTE DR.WALDEMIRO FERREIRA"/>
    <s v="Adesão"/>
    <s v="ARP.0073.05.2025.GOV.HUOC.PE"/>
    <s v="Registro de Preços para o eventual fornecimento de MEDICAMENTOS ANTINEOPLÁSICOS E ADJUVANTES (13 ITENS) (SEI: 0040609437.000263/2024-21)"/>
    <m/>
    <d v="2025-09-16T00:00:00"/>
    <x v="1"/>
    <s v="Autorizada Sucesso"/>
    <s v="Concluído"/>
    <s v="Item atualizado"/>
    <m/>
    <s v="Concluído"/>
    <s v="Enviado ao NOF"/>
    <s v="2300001213.000362/2025-01"/>
    <m/>
  </r>
  <r>
    <x v="29"/>
    <x v="0"/>
    <s v="HOSPITAL REGIONAL DO AGRESTE DR.WALDEMIRO FERREIRA"/>
    <s v="Adesão"/>
    <s v="ARP.0073.00.2025.GOV.FES-PE.PE"/>
    <s v="Registro de Preços para o fornecimento eventual de Dispositivos Médicos do tipo Materiais Médicos (Indicadores, cera, e cimento cirúrgico), conforme especificações e quantitativos previstos no Termo de Referência, visando atender as necessidades dos hospi"/>
    <s v="NFOCPO"/>
    <d v="2025-10-16T00:00:00"/>
    <x v="1"/>
    <s v="Autorizada Sucesso"/>
    <s v="Concluído"/>
    <s v="Item atualizado"/>
    <m/>
    <s v="Concluído"/>
    <s v="Enviado ao NOF"/>
    <s v="2300001213.000239/2025-81"/>
    <m/>
  </r>
  <r>
    <x v="30"/>
    <x v="0"/>
    <s v="HOSPITAL REGIONAL DO AGRESTE DR.WALDEMIRO FERREIRA"/>
    <s v="Adesão"/>
    <s v="ARP.0044.04.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m/>
    <d v="2025-09-24T00:00:00"/>
    <x v="0"/>
    <s v="Cancelada"/>
    <s v="Cancelado"/>
    <s v="Item não atualizado"/>
    <m/>
    <s v="Cancelado"/>
    <s v="SEI não localizado"/>
    <m/>
    <m/>
  </r>
  <r>
    <x v="31"/>
    <x v="12"/>
    <s v="HOSPITAL REGIONAL DO AGRESTE DR.WALDEMIRO FERREIRA"/>
    <s v="Adesão"/>
    <s v="ARP.0009.01.2025.EXT.HMAR.PE"/>
    <s v="Registro de preços para eventual aquisição de produtos para saúde - MMH4 , visando atenderas necessidades do Hospital do Hospital Militar de Área de Recife (HMAR)"/>
    <m/>
    <d v="2025-09-23T00:00:00"/>
    <x v="0"/>
    <s v="Cancelada"/>
    <s v="Cancelado"/>
    <s v="Item não atualizado"/>
    <m/>
    <s v="Cancelado"/>
    <s v="SEI não localizado"/>
    <m/>
    <m/>
  </r>
  <r>
    <x v="32"/>
    <x v="7"/>
    <s v="HOSPITAL REGIONAL DO AGRESTE DR.WALDEMIRO FERREIRA"/>
    <s v="Adesão"/>
    <s v="ARP.0008.02.2025.GOV.HGV.PE"/>
    <s v="Registro de Preços para o fornecimento eventual de MATERIAIS ESPECIAIS PARA ENDOSCOPIA"/>
    <m/>
    <d v="2025-09-17T00:00:00"/>
    <x v="1"/>
    <s v="Autorizada Sucesso"/>
    <s v="Concluído"/>
    <s v="Item atualizado"/>
    <m/>
    <s v="Em andamento"/>
    <s v="Enviado ao GFIN"/>
    <s v="2300001213.000313/2025-60"/>
    <m/>
  </r>
  <r>
    <x v="33"/>
    <x v="6"/>
    <s v="HOSPITAL REGIONAL DO AGRESTE DR.WALDEMIRO FERREIRA"/>
    <s v="Adesão"/>
    <s v="ARP.0006.03.2025.GOV.PROCAPE.PE"/>
    <s v="REGISTRO DE PREÇOS PARA EVENTUAL FORNECIMENTO DE MATERIAL DE CONSUMO HOSPITALAR (MEDICAMENTOS)"/>
    <m/>
    <d v="2025-09-29T00:00:00"/>
    <x v="1"/>
    <s v="Autorizada Sucesso"/>
    <s v="Concluído"/>
    <s v="Item atualizado"/>
    <m/>
    <s v="Concluído"/>
    <s v="Enviado ao NOF"/>
    <s v="2300001213.000119/2025-84"/>
    <m/>
  </r>
  <r>
    <x v="34"/>
    <x v="13"/>
    <s v="HOSPITAL REGIONAL DO AGRESTE DR.WALDEMIRO FERREIRA"/>
    <s v="Adesão"/>
    <s v="ARP.1190.00.2025.EXT.158552.PB"/>
    <s v="MIDAZOLAM 1 mg/mL (5 mg) solução injetável (ampola 5 mL)."/>
    <m/>
    <d v="2025-09-17T00:00:00"/>
    <x v="1"/>
    <s v="Autorizada Integrado"/>
    <s v="Concluído"/>
    <s v="Item atualizado"/>
    <m/>
    <s v="Concluído"/>
    <s v="Enviado ao NOF"/>
    <s v="2300001213.000237/2025-92"/>
    <m/>
  </r>
  <r>
    <x v="35"/>
    <x v="1"/>
    <s v="HOSPITAL REGIONAL DO AGRESTE DR.WALDEMIRO FERREIRA"/>
    <s v="Adesão"/>
    <s v="ARP.0118.05.2024.GOV.HUOC.PE"/>
    <s v="Registro de Preços para eventual fornecimento de MATERIAIS MÉDICOS HOSPITALARES PARA O SERVIÇO DE ENDOSCOPIA (SEI Nº0040609912.000069/2024-93)"/>
    <m/>
    <d v="2025-09-23T00:00:00"/>
    <x v="1"/>
    <s v="Autorizada Sucesso"/>
    <s v="Concluído"/>
    <s v="Item atualizado"/>
    <m/>
    <s v="Concluído"/>
    <s v="Enviado ao NOF"/>
    <s v="2300001213.000341/2025-87"/>
    <m/>
  </r>
  <r>
    <x v="36"/>
    <x v="1"/>
    <s v="HOSPITAL REGIONAL DO AGRESTE DR.WALDEMIRO FERREIRA"/>
    <s v="Adesão"/>
    <s v="ARP.0102.01.2025.GOV.HUOC.PE"/>
    <s v="Registro de Preços para o eventual fornecimento de GRAMPEADORES E CARGAR LINEARES E CIRCULARES (SEI Nº 0040609912.000126/2024-34)"/>
    <s v="NAMP"/>
    <d v="2025-10-13T00:00:00"/>
    <x v="1"/>
    <s v="Autorizada Sucesso"/>
    <s v="Concluído"/>
    <s v="Item atualizado"/>
    <m/>
    <s v="Em andamento"/>
    <s v="Enviado ao GFIN"/>
    <s v="2300001213.000398/2025-86"/>
    <m/>
  </r>
  <r>
    <x v="37"/>
    <x v="0"/>
    <s v="HOSPITAL REGIONAL DO AGRESTE DR.WALDEMIRO FERREIRA"/>
    <s v="Adesão"/>
    <s v="ARP.0068.04.2025.GOV.FES-PE.PE"/>
    <s v="FORMAÇÃO DE REGISTRO DE PREÇOS PARA O FORNECIMENTO DE DISPOSITIVOS MÉDICOS, DO TIPO INSUMOS PARA OSTOMIA, VISANDO ATENDER AS NECESSIDADES DOS HOSPITAIS E ESTABELECIMENTOS VINCULADOS À SECRETARIA ESTADUAL DE SAÚDE DE PERNAMBUCO"/>
    <s v="NFOCPO"/>
    <d v="2025-09-18T00:00:00"/>
    <x v="0"/>
    <s v="Em configuração"/>
    <s v="Cancelar Com o Suporte"/>
    <s v="Item atualizado"/>
    <m/>
    <s v="Cancelar Com o Suporte"/>
    <s v="SEI não localizado"/>
    <m/>
    <m/>
  </r>
  <r>
    <x v="38"/>
    <x v="6"/>
    <s v="HOSPITAL REGIONAL DO AGRESTE DR.WALDEMIRO FERREIRA"/>
    <s v="Adesão"/>
    <s v="ARP.0045.02.2025.GOV.PROCAPE.PE"/>
    <s v="REGISTRO DE PREÇOS PARA EVENTUAL FORNECIMENTO DE MATERIAL DE CONSUMO HOSPITALAR (MATERIAL PENSO)"/>
    <m/>
    <d v="2025-09-18T00:00:00"/>
    <x v="1"/>
    <s v="Autorizada Sucesso"/>
    <s v="Concluído"/>
    <s v="Item atualizado"/>
    <m/>
    <s v="Concluído"/>
    <s v="Enviado ao NOF"/>
    <s v="2300001209.000037/2025-07"/>
    <m/>
  </r>
  <r>
    <x v="39"/>
    <x v="0"/>
    <s v="HOSPITAL REGIONAL DO AGRESTE DR.WALDEMIRO FERREIRA"/>
    <s v="Adesão"/>
    <s v="ARP.0044.04.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s v="NFOCPO"/>
    <d v="2025-09-23T00:00:00"/>
    <x v="3"/>
    <s v="Encaminhada para anuência do gestor"/>
    <s v="Em andamento"/>
    <s v="Item não atualizado"/>
    <s v="Jean"/>
    <s v="Em andamento"/>
    <s v="Enviado a NFOCPO"/>
    <s v="2300001213.000401/2025-61"/>
    <s v="Finalizar com o nucleo"/>
  </r>
  <r>
    <x v="40"/>
    <x v="5"/>
    <s v="HOSPITAL REGIONAL DO AGRESTE DR.WALDEMIRO FERREIRA"/>
    <s v="Adesão"/>
    <s v="ARP.0021.00.2025.GOV.HOF.PE"/>
    <s v="Formação de Registro de Preços para o fornecimento de OPME(s)do tipo Medicina Esportiva, sob sistema de consignação, visando atender as necessidades do Hospital Otávio de Freitas - HOF e Hospital Regional do Agreste - HRA, conforme as condições, especific"/>
    <s v="NFOCPO"/>
    <d v="2025-10-13T00:00:00"/>
    <x v="1"/>
    <s v="Autorizada Sucesso"/>
    <s v="Concluído"/>
    <s v="Item atualizado"/>
    <m/>
    <s v="Em andamento"/>
    <s v="Enviado ao JURIDICO"/>
    <s v="2300002944.000001/2025-64"/>
    <m/>
  </r>
  <r>
    <x v="41"/>
    <x v="7"/>
    <s v="HOSPITAL REGIONAL DO AGRESTE DR.WALDEMIRO FERREIRA"/>
    <s v="Adesão"/>
    <s v="ARP.0009.03.2025.GOV.HGV.PE"/>
    <s v="Formação de Registro de Preços para o fornecimento de OPME(s) do tipo GRAMPEADOR CIRURGICO, visando atender as necessidades dos HOSPITAL GETULIO VARGAS, conforme as condições, especificações, quantidades e exigências contidas no anexo I do Edital."/>
    <s v="NFOCPO"/>
    <d v="2025-09-25T00:00:00"/>
    <x v="1"/>
    <s v="Autorizada Sucesso"/>
    <s v="Concluído"/>
    <s v="Item atualizado"/>
    <m/>
    <s v="Em andamento"/>
    <s v="Enviado a NFOCPO"/>
    <s v="2300001213.000396/2025-97"/>
    <m/>
  </r>
  <r>
    <x v="42"/>
    <x v="7"/>
    <s v="HOSPITAL REGIONAL DO AGRESTE DR.WALDEMIRO FERREIRA"/>
    <s v="Adesão"/>
    <s v="ARP.0009.02.2025.GOV.HGV.PE"/>
    <s v="Formação de Registro de Preços para o fornecimento de OPME(s) do tipo GRAMPEADOR CIRURGICO, visando atender as necessidades dos HOSPITAL GETULIO VARGAS, conforme as condições, especificações, quantidades e exigências contidas no anexo I do Edital."/>
    <m/>
    <d v="2025-09-17T00:00:00"/>
    <x v="1"/>
    <s v="Autorizada Sucesso"/>
    <s v="Concluído"/>
    <s v="Item atualizado"/>
    <m/>
    <s v="Concluído"/>
    <s v="Enviado ao NOF"/>
    <s v="2300001213.000394/2025-06"/>
    <m/>
  </r>
  <r>
    <x v="43"/>
    <x v="12"/>
    <s v="HOSPITAL REGIONAL DO AGRESTE DR.WALDEMIRO FERREIRA"/>
    <s v="Adesão"/>
    <s v="ARP.0009.01.2025.EXT.HMAR.PE"/>
    <s v="Registro de preços para eventual aquisição de produtos para saúde - MMH4 , visando atenderas necessidades do Hospital do Hospital Militar de Área de Recife (HMAR)"/>
    <s v="NFOCPO"/>
    <d v="2025-09-18T00:00:00"/>
    <x v="4"/>
    <s v="Cancelada"/>
    <s v="Em andamento"/>
    <s v="Item atualizado"/>
    <s v="Polyana"/>
    <s v="Em andamento"/>
    <s v="Enviado a NFOCPO"/>
    <s v="2300001213.000378/2025-13"/>
    <s v="Finalizar com o nucleo"/>
  </r>
  <r>
    <x v="44"/>
    <x v="1"/>
    <s v="HOSPITAL REGIONAL DO AGRESTE DR.WALDEMIRO FERREIRA"/>
    <s v="Adesão"/>
    <s v="ARP.0089.06.2025.GOV.HUOC.PE"/>
    <s v="Registro de Preços para a eventual fornecimento de MATERIAIS MÉDICOS HOSPITALARES - CATETERES DIVERSOS (SEI: 0040609912.000101/2024-31)"/>
    <m/>
    <d v="2025-10-03T00:00:00"/>
    <x v="1"/>
    <s v="Autorizada Sucesso"/>
    <s v="Concluído"/>
    <s v="Item atualizado"/>
    <m/>
    <s v="Em andamento"/>
    <s v="Enviado ao GFIN"/>
    <s v="2300001213.000373/2025-82"/>
    <m/>
  </r>
  <r>
    <x v="45"/>
    <x v="0"/>
    <s v="HOSPITAL REGIONAL DO AGRESTE DR.WALDEMIRO FERREIRA"/>
    <s v="Adesão"/>
    <s v="ARP.0068.04.2025.GOV.FES-PE.PE"/>
    <s v="FORMAÇÃO DE REGISTRO DE PREÇOS PARA O FORNECIMENTO DE DISPOSITIVOS MÉDICOS, DO TIPO INSUMOS PARA OSTOMIA, VISANDO ATENDER AS NECESSIDADES DOS HOSPITAIS E ESTABELECIMENTOS VINCULADOS À SECRETARIA ESTADUAL DE SAÚDE DE PERNAMBUCO"/>
    <s v="NFOCPO"/>
    <d v="2025-09-18T00:00:00"/>
    <x v="1"/>
    <s v="Autorizada Sucesso"/>
    <s v="Concluído"/>
    <s v="Item atualizado"/>
    <m/>
    <s v="Em andamento"/>
    <s v="Enviado ao GFIN"/>
    <s v="2300001213.000384/2025-62"/>
    <m/>
  </r>
  <r>
    <x v="46"/>
    <x v="5"/>
    <s v="HOSPITAL REGIONAL DO AGRESTE DR.WALDEMIRO FERREIRA"/>
    <s v="Adesão"/>
    <s v="ARP.0021.00.2025.GOV.HOF.PE"/>
    <s v="Formação de Registro de Preços para o fornecimento de OPME(s)do tipo Medicina Esportiva, sob sistema de consignação, visando atender as necessidades do Hospital Otávio de Freitas - HOF e Hospital Regional do Agreste - HRA, conforme as condições, especific"/>
    <m/>
    <d v="2025-10-13T00:00:00"/>
    <x v="0"/>
    <s v="Cancelada"/>
    <s v="Cancelado"/>
    <s v="Item não atualizado"/>
    <m/>
    <s v="Cancelado"/>
    <s v="SEI não localizado"/>
    <m/>
    <m/>
  </r>
  <r>
    <x v="47"/>
    <x v="5"/>
    <s v="HOSPITAL REGIONAL DO AGRESTE DR.WALDEMIRO FERREIRA"/>
    <s v="Adesão"/>
    <s v="ARP.0020.00.2024.GOV.HOF.PE"/>
    <s v="Formação de registro de preços para o fornecimento eventual dos insumos de Órtese, Próteses e Materiais Especiais para cirurgias de coluna - Deformidades Infantil, em sistema de consignação, para atender demandas judiciais e necessidades específicas de cr"/>
    <s v="NFOCPO"/>
    <d v="2025-10-10T00:00:00"/>
    <x v="1"/>
    <s v="Autorizada Sucesso"/>
    <s v="Concluído"/>
    <s v="Item atualizado"/>
    <m/>
    <s v="Em andamento"/>
    <s v="Enviado ao JURIDICO"/>
    <s v="2300001213.000420/2025-98"/>
    <m/>
  </r>
  <r>
    <x v="48"/>
    <x v="7"/>
    <s v="HOSPITAL REGIONAL DO AGRESTE DR.WALDEMIRO FERREIRA"/>
    <s v="Adesão"/>
    <s v="ARP.0011.03.2025.GOV.HGV.PE"/>
    <s v="Formação de Registro de Preços para o fornecimento eventual de SMS - EMBALAGENS DESCARTÁVEIS PARA ESTERILIZAÇÃO visando atender a demanda do Hospital Getúlio Vargas conforme condições, especificações, quantidades e exigências contidas neste Termo de Refer"/>
    <s v="NAEN"/>
    <d v="2025-09-18T00:00:00"/>
    <x v="1"/>
    <s v="Autorizada Sucesso"/>
    <s v="Concluído"/>
    <s v="Item atualizado"/>
    <s v="Hannah"/>
    <s v="Em andamento"/>
    <s v="Enviado ao GFIN"/>
    <s v="2300001213.000387/2025-04"/>
    <m/>
  </r>
  <r>
    <x v="49"/>
    <x v="0"/>
    <s v="HOSPITAL REGIONAL DO AGRESTE DR.WALDEMIRO FERREIRA"/>
    <s v="Adesão"/>
    <s v="ARP.0073.00.2025.GOV.FES-PE.PE"/>
    <s v="Registro de Preços para o fornecimento eventual de Dispositivos Médicos do tipo Materiais Médicos (Indicadores, cera, e cimento cirúrgico), conforme especificações e quantitativos previstos no Termo de Referência, visando atender as necessidades dos hospi"/>
    <s v="NFOCPO"/>
    <d v="2025-08-14T00:00:00"/>
    <x v="0"/>
    <s v="Cancelada"/>
    <s v="Cancelado"/>
    <s v="Item não atualizado"/>
    <m/>
    <s v="Cancelado"/>
    <m/>
    <m/>
    <m/>
  </r>
  <r>
    <x v="50"/>
    <x v="1"/>
    <s v="HOSPITAL REGIONAL DO AGRESTE DR.WALDEMIRO FERREIRA"/>
    <s v="Adesão"/>
    <s v="ARP.0089.01.2024.GOV.HUOC.PE"/>
    <s v="Registro de Preços para o fornecimento eventual de MEDICAMENTOS ANTIMICROBIANOS (SEI Nº 0040609437.000129/2024-21)"/>
    <m/>
    <d v="2025-09-11T00:00:00"/>
    <x v="0"/>
    <s v="Cancelada por fim vigencia ATA"/>
    <s v="Cancelado"/>
    <s v="Item atualizado"/>
    <m/>
    <s v="Cancelado"/>
    <s v="SEI não localizado"/>
    <m/>
    <m/>
  </r>
  <r>
    <x v="51"/>
    <x v="1"/>
    <s v="HOSPITAL REGIONAL DO AGRESTE DR.WALDEMIRO FERREIRA"/>
    <s v="Adesão"/>
    <s v="ARP.0089.01.2024.GOV.HUOC.PE"/>
    <s v="Registro de Preços para o fornecimento eventual de MEDICAMENTOS ANTIMICROBIANOS (SEI Nº 0040609437.000129/2024-21)"/>
    <m/>
    <d v="2025-09-10T00:00:00"/>
    <x v="0"/>
    <s v="Cancelada por fim vigencia ATA"/>
    <s v="Cancelado"/>
    <s v="Item atualizado"/>
    <m/>
    <s v="Cancelado"/>
    <s v="SEI não localizado"/>
    <m/>
    <m/>
  </r>
  <r>
    <x v="52"/>
    <x v="0"/>
    <s v="HOSPITAL REGIONAL DO AGRESTE DR.WALDEMIRO FERREIRA"/>
    <s v="Adesão"/>
    <s v="ARP.0002.00.2025.GOV.FES-PE.PE"/>
    <s v="REGISTRO DE PREÇOS (ARP) PARA FORNECIMENTO DE MEDICAMENTOS DIVERSOS ORAIS/TÓPICOS - VOLUME 2 PARA ATENDER AO HOSPITAL JABOATÃO PRAZERES"/>
    <m/>
    <d v="2025-08-14T00:00:00"/>
    <x v="1"/>
    <s v="Autorizada Sucesso"/>
    <s v="Concluído"/>
    <s v="Item atualizado"/>
    <m/>
    <s v="Concluído"/>
    <s v="Enviado ao NOF"/>
    <s v="2300001213.000329/2025-72"/>
    <m/>
  </r>
  <r>
    <x v="53"/>
    <x v="1"/>
    <s v="HOSPITAL REGIONAL DO AGRESTE DR.WALDEMIRO FERREIRA"/>
    <s v="Adesão"/>
    <s v="ARP.0038.03.2025.GOV.HUOC.PE"/>
    <s v="Registro de Preços para a eventual fornecimento de Medicamentos Clínicos Gerais (3) SEI 0040609437.000169/2024-72"/>
    <m/>
    <d v="2025-08-15T00:00:00"/>
    <x v="1"/>
    <s v="Autorizada Sucesso"/>
    <s v="Concluído"/>
    <s v="Item atualizado"/>
    <m/>
    <s v="Concluído"/>
    <s v="Enviado ao NOF"/>
    <s v="2300001213.000282/2025-47"/>
    <m/>
  </r>
  <r>
    <x v="54"/>
    <x v="1"/>
    <s v="HOSPITAL REGIONAL DO AGRESTE DR.WALDEMIRO FERREIRA"/>
    <s v="Adesão"/>
    <s v="ARP.0017.00.2025.GOV.HUOC.PE"/>
    <s v="Registro de Preços para a eventual fornecimento de REAGENTES PARA O LABORATÓRIO CLINICO COM CESSÃO DE EQUIPAMENTOS EM REGIME DE COMODATO PARA REALIZAÇÃO DE DOSAGEM EM BIOQUÍMICA, HORMÔNIOS E MARCADORES TUMORAIS (SEI Nº 0040609536.000028/2024-31)"/>
    <s v="NSADRE"/>
    <d v="2025-09-04T00:00:00"/>
    <x v="5"/>
    <s v="Aguardando aprovação do gestor de ata"/>
    <s v="Em andamento"/>
    <s v="Item atualizado"/>
    <s v="Elsia "/>
    <s v="Em andamento"/>
    <s v="Enviado a GCONTRATOS"/>
    <s v="2300001209.000065/2025-16"/>
    <s v="Finalizar com o nucleo"/>
  </r>
  <r>
    <x v="55"/>
    <x v="1"/>
    <s v="HOSPITAL REGIONAL DO AGRESTE DR.WALDEMIRO FERREIRA"/>
    <s v="Adesão"/>
    <s v="ARP.0122.00.2025.GOV.HUOC.PE"/>
    <s v="Registro de Preços para o eventual fornecimento de MEDICAMENTOS CONTROLADOS ORAIS (PORTARIA 344/98) (SEI Nº 0040609437.000080/2025-97)"/>
    <m/>
    <d v="2025-09-10T00:00:00"/>
    <x v="1"/>
    <s v="Autorizada Sucesso"/>
    <s v="Concluído"/>
    <s v="Item atualizado"/>
    <m/>
    <s v="Concluído"/>
    <s v="Enviado ao NOF"/>
    <s v="2300001213.000352/2025-67"/>
    <m/>
  </r>
  <r>
    <x v="56"/>
    <x v="5"/>
    <s v="HOSPITAL REGIONAL DO AGRESTE DR.WALDEMIRO FERREIRA"/>
    <s v="Adesão"/>
    <s v="ARP.0021.01.2024.GOV.HOF.PE"/>
    <s v="Formação de Registro de Preços para o fornecimento eventual de Material Médico Hospitalar INSUMOS PARA HIGIENE E PROTEÇÃO, visando atender a necessidade do do Hospital Otávio de Freitas (HOF), Hospital Regional do Agreste (HRA), Hospital Getúlio Vargas (H"/>
    <m/>
    <d v="2025-08-28T00:00:00"/>
    <x v="1"/>
    <s v="Autorizada Sucesso"/>
    <s v="Concluído"/>
    <s v="Item atualizado"/>
    <m/>
    <s v="Em andamento"/>
    <s v="Enviado ao JURIDICO"/>
    <s v="2300001213.000336/2025-74"/>
    <m/>
  </r>
  <r>
    <x v="57"/>
    <x v="10"/>
    <s v="HOSPITAL REGIONAL DO AGRESTE DR.WALDEMIRO FERREIRA"/>
    <s v="Adesão"/>
    <s v="ARP.0013.00.2024.GOV.HAM.PE"/>
    <s v="REGISTRO DE PREÇOS PARA EVENTUAL AQUISIÇÃO DE EQUIPAMENTO PARA UNITARIZAÇÃO DE MEDICAMENTOS"/>
    <m/>
    <d v="2025-08-15T00:00:00"/>
    <x v="1"/>
    <s v="Autorizada Sucesso"/>
    <s v="Concluído"/>
    <s v="Item atualizado"/>
    <m/>
    <s v="Concluído"/>
    <s v="Enviado ao NOF"/>
    <s v="2300001213.000176/2025-63"/>
    <m/>
  </r>
  <r>
    <x v="58"/>
    <x v="9"/>
    <s v="HOSPITAL REGIONAL DO AGRESTE DR.WALDEMIRO FERREIRA"/>
    <s v="Adesão"/>
    <s v="ARP.0004.00.2025.GOV.HR.PE"/>
    <s v="Formação de Ata de Registro de Preços para o fornecimento eventual de produtos médicos (MATERIAL MÉDICO HOSPITALAR), com cessão de equipamentos em regime de comodato, visando atender as necessidades do Hospital da Restauração Gov. Paulo Guerra."/>
    <m/>
    <d v="2025-09-04T00:00:00"/>
    <x v="1"/>
    <s v="Autorizada Sucesso"/>
    <s v="Concluído"/>
    <s v="Item atualizado"/>
    <m/>
    <s v="Concluído"/>
    <s v="Enviado ao NOF"/>
    <s v="2300001213.000359/2025-89"/>
    <m/>
  </r>
  <r>
    <x v="59"/>
    <x v="3"/>
    <s v="HOSPITAL REGIONAL DO AGRESTE DR.WALDEMIRO FERREIRA"/>
    <s v="Adesão"/>
    <s v="ARP.0017.00.2025.EXT.131763.PB"/>
    <s v="A presente Ata tem por objetivo o registro de preços PARA REGISTRO DE PREÇO PARA AQUISIÇÃO DE MEDICAMENTOS ANTIBACTERIANOS INJETÁVEIS especificado, no item 1.1 do Termo de Referência, anexo no edital de Pregão 173/2024 que é parte integrante desta Ata, as"/>
    <m/>
    <d v="2025-09-10T00:00:00"/>
    <x v="1"/>
    <s v="Autorizada Integrado"/>
    <s v="Concluído"/>
    <s v="Item atualizado"/>
    <m/>
    <s v="Cancelado"/>
    <s v="Enviado a NFOCPO"/>
    <s v="2300001213.000190/2025-67"/>
    <m/>
  </r>
  <r>
    <x v="60"/>
    <x v="5"/>
    <s v="HOSPITAL REGIONAL DO AGRESTE DR.WALDEMIRO FERREIRA"/>
    <s v="Adesão"/>
    <s v="ARP.0013.02.2025.GOV.HOF.PE"/>
    <s v="REGISTRO DE PREÇOS PARA O FORNECIMENTO DE DISPOSITIVOS MÉDICOS DO TIPO INSUMOS PARA OXIGENOTERAPIA, VISANDO ATENDER AS NECESSIDADES DO HOSPITAL OTÁVIO DE FREITAS."/>
    <s v="NAEN"/>
    <d v="2025-09-09T00:00:00"/>
    <x v="0"/>
    <s v="Em configuração"/>
    <s v="Cancelar Com o Suporte"/>
    <s v="Item atualizado"/>
    <m/>
    <s v="Cancelar Com o Suporte"/>
    <s v="SEI não localizado"/>
    <m/>
    <m/>
  </r>
  <r>
    <x v="61"/>
    <x v="10"/>
    <s v="HOSPITAL REGIONAL DO AGRESTE DR.WALDEMIRO FERREIRA"/>
    <s v="Adesão"/>
    <s v="ARP.0012.07.2025.GOV.HAM.PE"/>
    <s v="Registro de Preços para o fornecimento eventual de material de consumo (aquisição de materiais de almoxarifado) visando atender as necessidades do Hospital Agamenon Magalhães, Hospital Otávio de Freitas, Hospital Regional do Agreste e da Secretaria de Saú"/>
    <s v="NAMP"/>
    <d v="2025-08-29T00:00:00"/>
    <x v="1"/>
    <s v="Autorizada Sucesso"/>
    <s v="Concluído"/>
    <s v="Item atualizado"/>
    <s v="Elsia "/>
    <s v="Em andamento"/>
    <s v="Enviado ao JURIDICO"/>
    <s v="2300002544.000068/2025-10"/>
    <m/>
  </r>
  <r>
    <x v="62"/>
    <x v="1"/>
    <s v="HOSPITAL REGIONAL DO AGRESTE DR.WALDEMIRO FERREIRA"/>
    <s v="Adesão"/>
    <s v="ARP.0106.00.2025.GOV.HUOC.PE"/>
    <s v="Registro de Preços para o eventual fornecimento de MEDICAMENTOS CONTROLADOS INJETÁVEIS - Portaria 344/98 (SEI Nº 0040609437.000073/2025-95)"/>
    <m/>
    <d v="2025-08-25T00:00:00"/>
    <x v="1"/>
    <s v="Autorizada Sucesso"/>
    <s v="Concluído"/>
    <s v="Item atualizado"/>
    <m/>
    <s v="Em andamento"/>
    <s v="Enviado a GCONTRATOS"/>
    <s v="2300001213.000308/2025-57"/>
    <m/>
  </r>
  <r>
    <x v="63"/>
    <x v="6"/>
    <s v="HOSPITAL REGIONAL DO AGRESTE DR.WALDEMIRO FERREIRA"/>
    <s v="Adesão"/>
    <s v="ARP.0059.02.2025.GOV.PROCAPE.PE"/>
    <s v="REGISTRO DE PREÇOS PARA EVENTUAL FORNECIMENTO DE MATERIAL DE CONSUMO HOSPITALAR (MATERIAL PENSO)"/>
    <m/>
    <d v="2025-08-27T00:00:00"/>
    <x v="1"/>
    <s v="Autorizada Sucesso"/>
    <s v="Concluído"/>
    <s v="Item atualizado"/>
    <m/>
    <s v="Concluído"/>
    <s v="Enviado ao NOF"/>
    <s v="2300001213.000275/2025-45"/>
    <m/>
  </r>
  <r>
    <x v="64"/>
    <x v="10"/>
    <s v="HOSPITAL REGIONAL DO AGRESTE DR.WALDEMIRO FERREIRA"/>
    <s v="Adesão"/>
    <s v="ARP.0012.07.2025.GOV.HAM.PE"/>
    <s v="Registro de Preços para o fornecimento eventual de material de consumo (aquisição de materiais de almoxarifado) visando atender as necessidades do Hospital Agamenon Magalhães, Hospital Otávio de Freitas, Hospital Regional do Agreste e da Secretaria de Saú"/>
    <s v="NAMP"/>
    <d v="2025-08-19T00:00:00"/>
    <x v="0"/>
    <s v="Cancelada"/>
    <s v="Cancelado"/>
    <s v="Item não atualizado"/>
    <m/>
    <s v="Cancelado"/>
    <s v="SEI não localizado"/>
    <m/>
    <m/>
  </r>
  <r>
    <x v="65"/>
    <x v="6"/>
    <s v="HOSPITAL REGIONAL DO AGRESTE DR.WALDEMIRO FERREIRA"/>
    <s v="Adesão"/>
    <s v="ARP.0028.03.2025.GOV.PROCAPE.PE"/>
    <s v="REGISTRO DE PREÇOS PARA EVENTUAL FORNECIMENTO DE MATERIAL DE CONSUMO HOSPITALAR (MEDICAMENTOS)"/>
    <m/>
    <d v="2025-08-15T00:00:00"/>
    <x v="1"/>
    <s v="Autorizada Sucesso"/>
    <s v="Concluído"/>
    <s v="Item atualizado"/>
    <m/>
    <s v="Concluído"/>
    <s v="Enviado ao NOF"/>
    <s v="2300001213.000309/2025-00"/>
    <m/>
  </r>
  <r>
    <x v="66"/>
    <x v="1"/>
    <s v="HOSPITAL REGIONAL DO AGRESTE DR.WALDEMIRO FERREIRA"/>
    <s v="Adesão"/>
    <s v="ARP.0100.00.2024.GOV.HUOC.PE"/>
    <s v="Registro de Preços para a eventual fornecimento de REAGENTES PARA O LABORATÓRIO CLINICO COM CESSÃO DE EQUIPAMENTOS EM REGIME DE COMODATO PARA REALIZAÇÃO DE TESTES EM HEMOSTASIA (SEI Nº 0040609536.000027/2024-97)"/>
    <m/>
    <d v="2025-09-04T00:00:00"/>
    <x v="1"/>
    <s v="Autorizada Sucesso"/>
    <s v="Concluído"/>
    <s v="Item atualizado"/>
    <m/>
    <s v="Concluído"/>
    <s v="Enviado ao NOF"/>
    <s v="2300001209.000057/2025-70"/>
    <m/>
  </r>
  <r>
    <x v="67"/>
    <x v="14"/>
    <s v="HOSPITAL REGIONAL DO AGRESTE DR.WALDEMIRO FERREIRA"/>
    <s v="Adesão"/>
    <s v="ARP.0001.00.2025.GOV.SASSEPE.PE"/>
    <s v="Formação de Registro de Preços para o fornecimento de OPME(s) do tipo Material Cirúrgico do Vídeo Cirurgia – Lapsus com cessão em comodato de equipamentos , visando atender as necessidades do Hospital dos Servidores do Estado de Pernambuco – HSE, nos term"/>
    <s v="NFOCPO"/>
    <d v="2025-09-04T00:00:00"/>
    <x v="1"/>
    <s v="Autorizada Sucesso"/>
    <s v="Concluído"/>
    <s v="Item atualizado"/>
    <m/>
    <s v="Em andamento"/>
    <s v="Enviado ao GFIN"/>
    <s v="2300002544.000074/2025-69"/>
    <m/>
  </r>
  <r>
    <x v="68"/>
    <x v="1"/>
    <s v="HOSPITAL REGIONAL DO AGRESTE DR.WALDEMIRO FERREIRA"/>
    <s v="Adesão"/>
    <s v="ARP.0106.02.2025.GOV.HUOC.PE"/>
    <s v="Registro de Preços para o eventual fornecimento de MEDICAMENTOS CONTROLADOS INJETÁVEIS - Portaria 344/98 (SEI Nº 0040609437.000073/2025-95)"/>
    <m/>
    <d v="2025-08-13T00:00:00"/>
    <x v="1"/>
    <s v="Autorizada Sucesso"/>
    <s v="Concluído"/>
    <s v="Item atualizado"/>
    <m/>
    <s v="Concluído"/>
    <s v="Enviado ao NOF"/>
    <s v="2300001213.000289/2025-69"/>
    <m/>
  </r>
  <r>
    <x v="69"/>
    <x v="0"/>
    <s v="HOSPITAL REGIONAL DO AGRESTE DR.WALDEMIRO FERREIRA"/>
    <s v="Adesão"/>
    <s v="ARP.0080.00.2025.GOV.FES-PE.PE"/>
    <s v="Formação de Registro de Preços para o fornecimento eventual de MEDICAMENTOS INJETÁVEIS VOL. 1 visando atender as necessidades do Hospital Jaboatão Prazeres."/>
    <m/>
    <d v="2025-09-11T00:00:00"/>
    <x v="1"/>
    <s v="Autorizada Sucesso"/>
    <s v="Concluído"/>
    <s v="Item atualizado"/>
    <m/>
    <s v="Concluído"/>
    <s v="Enviado ao NOF"/>
    <s v="2300001213.000383/2025-18"/>
    <m/>
  </r>
  <r>
    <x v="70"/>
    <x v="1"/>
    <s v="HOSPITAL REGIONAL DO AGRESTE DR.WALDEMIRO FERREIRA"/>
    <s v="Adesão"/>
    <s v="ARP.0079.03.2025.GOV.HUOC.PE"/>
    <s v="Registro de Preços para o eventual fornecimento de MEDICAMENTOS MEDICAMENTOS CONTROLADOS (SEI: 0040609437.000303/2024-35)"/>
    <m/>
    <d v="2025-09-10T00:00:00"/>
    <x v="1"/>
    <s v="Autorizada Sucesso"/>
    <s v="Concluído"/>
    <s v="Item atualizado"/>
    <m/>
    <s v="Concluído"/>
    <s v="Enviado ao NOF"/>
    <s v="2300001213.000345/2025-65"/>
    <m/>
  </r>
  <r>
    <x v="71"/>
    <x v="1"/>
    <s v="HOSPITAL REGIONAL DO AGRESTE DR.WALDEMIRO FERREIRA"/>
    <s v="Adesão"/>
    <s v="ARP.0079.00.2025.GOV.HUOC.PE"/>
    <s v="Registro de Preços para o eventual fornecimento de MEDICAMENTOS MEDICAMENTOS CONTROLADOS (SEI: 0040609437.000303/2024-35)"/>
    <m/>
    <d v="2025-09-10T00:00:00"/>
    <x v="1"/>
    <s v="Autorizada Sucesso"/>
    <s v="Concluído"/>
    <s v="Item atualizado"/>
    <m/>
    <s v="Concluído"/>
    <s v="Enviado ao NOF"/>
    <s v="2300001213.000354/2025-56"/>
    <m/>
  </r>
  <r>
    <x v="72"/>
    <x v="10"/>
    <s v="HOSPITAL REGIONAL DO AGRESTE DR.WALDEMIRO FERREIRA"/>
    <s v="Adesão"/>
    <s v="ARP.0010.02.2025.GOV.HAM.PE"/>
    <s v="Registro de Preços para o fornecimento eventual de material médico hospitalar destinado ao serviço de anestesia, visando atender as necessidades do Hospital Agamenon Magalhães"/>
    <m/>
    <d v="2025-08-08T00:00:00"/>
    <x v="1"/>
    <s v="Autorizada Sucesso"/>
    <s v="Concluído"/>
    <s v="Item atualizado"/>
    <m/>
    <s v="Concluído"/>
    <s v="Enviado ao NOF"/>
    <s v="2300001213.000244/2025-94"/>
    <m/>
  </r>
  <r>
    <x v="73"/>
    <x v="1"/>
    <s v="HOSPITAL REGIONAL DO AGRESTE DR.WALDEMIRO FERREIRA"/>
    <s v="Adesão"/>
    <s v="ARP.0082.06.2025.GOV.HUOC.PE"/>
    <s v="Registro de Preços para o eventual fornecimento de MEDICAMENTOS CLÍNICOS GERAIS (SEI 0040609437.000017/2025-51)"/>
    <m/>
    <d v="2025-08-15T00:00:00"/>
    <x v="1"/>
    <s v="Autorizada Sucesso"/>
    <s v="Concluído"/>
    <s v="Item atualizado"/>
    <m/>
    <s v="Em andamento"/>
    <s v="Enviado a NFOCPO"/>
    <s v="2300001213.000293/2025-27"/>
    <m/>
  </r>
  <r>
    <x v="74"/>
    <x v="1"/>
    <s v="HOSPITAL REGIONAL DO AGRESTE DR.WALDEMIRO FERREIRA"/>
    <s v="Adesão"/>
    <s v="ARP.0064.01.2025.GOV.HUOC.PE"/>
    <s v="Registro de Preços para o eventual fornecimento de MEDICAMENTOS CLÍNICOS GERAIS 4 (12 ITENS) SEI: 0040609437.000004/2025-81"/>
    <s v="NFOCPO"/>
    <d v="2025-08-18T00:00:00"/>
    <x v="0"/>
    <s v="Em configuração"/>
    <s v="Cancelar Com o Suporte"/>
    <s v="Item atualizado"/>
    <m/>
    <s v="Cancelar Com o Suporte"/>
    <s v="SEI não localizado"/>
    <m/>
    <m/>
  </r>
  <r>
    <x v="75"/>
    <x v="0"/>
    <s v="HOSPITAL REGIONAL DO AGRESTE DR.WALDEMIRO FERREIRA"/>
    <s v="Adesão"/>
    <s v="ARP.0059.00.2025.GOV.FES-PE.PE"/>
    <s v="FORMAÇÃO DE REGISTRO DE PREÇOS PARA O FORNECIMENTO DE DISPOSITIVOS MÉDICOS, DO TIPO BOLSAS PARA OSTOMIA, VISANDO ATENDER AS NECESSIDADES DOS HOSPITAIS E ESTABELECIMENTOS VINCULADOS À SECRETARIA ESTADUAL DE SAÚDE DE PERNAMBUCO."/>
    <m/>
    <d v="2025-09-11T00:00:00"/>
    <x v="0"/>
    <s v="Cancelada"/>
    <s v="Cancelado"/>
    <s v="Item não atualizado"/>
    <m/>
    <s v="Cancelado"/>
    <s v="SEI não localizado"/>
    <m/>
    <m/>
  </r>
  <r>
    <x v="76"/>
    <x v="1"/>
    <s v="HOSPITAL REGIONAL DO AGRESTE DR.WALDEMIRO FERREIRA"/>
    <s v="Adesão"/>
    <s v="ARP.0038.02.2025.GOV.HUOC.PE"/>
    <s v="Registro de Preços para a eventual fornecimento de Medicamentos Clínicos Gerais (3) SEI 0040609437.000169/2024-72"/>
    <m/>
    <d v="2025-09-04T00:00:00"/>
    <x v="1"/>
    <s v="Autorizada Sucesso"/>
    <s v="Concluído"/>
    <s v="Item atualizado"/>
    <m/>
    <s v="Em andamento"/>
    <s v="Enviado ao GFIN"/>
    <s v="2300001213.000261/2025-21"/>
    <m/>
  </r>
  <r>
    <x v="77"/>
    <x v="1"/>
    <s v="HOSPITAL REGIONAL DO AGRESTE DR.WALDEMIRO FERREIRA"/>
    <s v="Adesão"/>
    <s v="ARP.0012.02.2025.GOV.HUOC.PE"/>
    <s v="Registro de Preço para o eventual fornecimento de REAGENTES E OUTROS INSUMOS DESTINADOS A AGÊNCIA TRANSFUSIONAL COM CESSÃO DE EQUIPAMENTOS A TÍTULO DE COMODATO, visando atender a necessidade das Unidades do Complexo Hospitalar da UPE - UCH/UPE (SEI Nº 004"/>
    <m/>
    <d v="2025-09-11T00:00:00"/>
    <x v="1"/>
    <s v="Autorizada Sucesso"/>
    <s v="Concluído"/>
    <s v="Item atualizado"/>
    <m/>
    <s v="Concluído"/>
    <s v="Enviado ao NOF"/>
    <s v="2300002544.000050/2025-18"/>
    <m/>
  </r>
  <r>
    <x v="78"/>
    <x v="1"/>
    <s v="HOSPITAL REGIONAL DO AGRESTE DR.WALDEMIRO FERREIRA"/>
    <s v="Adesão"/>
    <s v="ARP.0090.04.2025.GOV.HUOC.PE"/>
    <s v="Registro de Preços para a eventual fornecimento de Aquisição de materiais de expediente (SEI:0040609438.000048/2024-11)"/>
    <m/>
    <d v="2025-08-15T00:00:00"/>
    <x v="1"/>
    <s v="Autorizada Sucesso"/>
    <s v="Concluído"/>
    <s v="Item atualizado"/>
    <m/>
    <s v="Concluído"/>
    <s v="Enviado ao NOF"/>
    <s v="2300001213.000315/2025-59"/>
    <m/>
  </r>
  <r>
    <x v="79"/>
    <x v="0"/>
    <s v="HOSPITAL REGIONAL DO AGRESTE DR.WALDEMIRO FERREIRA"/>
    <s v="Adesão"/>
    <s v="ARP.0059.00.2025.GOV.FES-PE.PE"/>
    <s v="FORMAÇÃO DE REGISTRO DE PREÇOS PARA O FORNECIMENTO DE DISPOSITIVOS MÉDICOS, DO TIPO BOLSAS PARA OSTOMIA, VISANDO ATENDER AS NECESSIDADES DOS HOSPITAIS E ESTABELECIMENTOS VINCULADOS À SECRETARIA ESTADUAL DE SAÚDE DE PERNAMBUCO."/>
    <m/>
    <d v="2025-09-11T00:00:00"/>
    <x v="0"/>
    <s v="Cancelada"/>
    <s v="Cancelado"/>
    <s v="Item não atualizado"/>
    <m/>
    <s v="Cancelado"/>
    <s v="SEI não localizado"/>
    <m/>
    <m/>
  </r>
  <r>
    <x v="80"/>
    <x v="9"/>
    <s v="HOSPITAL REGIONAL DO AGRESTE DR.WALDEMIRO FERREIRA"/>
    <s v="Adesão"/>
    <s v="ARP.0045.00.2024.GOV.HR.PE"/>
    <s v="Formação de Registro de Preços para o eventual fornecimento de ÓRTESES, PRÓTESES E MATERIAIS ESPECIAIS – OPME’S (GRUPO COLUNA IV), visando atender as necessidades do Hospital da Restauração, nos termos da legislação vigente e do Documento de Formalização "/>
    <m/>
    <d v="2025-08-27T00:00:00"/>
    <x v="1"/>
    <s v="Autorizada Sucesso"/>
    <s v="Concluído"/>
    <s v="Item atualizado"/>
    <m/>
    <s v="Em andamento"/>
    <s v="Enviado a NFOCPO"/>
    <s v="2300002544.000069/2025-56"/>
    <m/>
  </r>
  <r>
    <x v="81"/>
    <x v="0"/>
    <s v="HOSPITAL REGIONAL DO AGRESTE DR.WALDEMIRO FERREIRA"/>
    <s v="Adesão"/>
    <s v="ARP.0044.06.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s v="NFOCPO"/>
    <d v="2025-08-19T00:00:00"/>
    <x v="0"/>
    <s v="Em revisão"/>
    <s v="Cancelar Com o Suporte"/>
    <s v="Item atualizado"/>
    <m/>
    <s v="Cancelar Com o Suporte"/>
    <m/>
    <s v="2300001213.000196/2025-34"/>
    <s v="Cancelado Devido a não Autorização do Gestor"/>
  </r>
  <r>
    <x v="82"/>
    <x v="15"/>
    <s v="HOSPITAL REGIONAL DO AGRESTE DR.WALDEMIRO FERREIRA"/>
    <s v="Adesão"/>
    <s v="ARP.0012.01.2025.GOV.HEMOPE.PE"/>
    <s v="Registro de Preços para o fornecimento eventual de insumos para Saúde GRUPO 2 , visando atender as necessidades do Hospital HEMOPE – Fundação de Hematologia e Hemoterapia de Pernambuco"/>
    <m/>
    <d v="2025-08-27T00:00:00"/>
    <x v="1"/>
    <s v="Autorizada Sucesso"/>
    <s v="Concluído"/>
    <s v="Item atualizado"/>
    <m/>
    <s v="Concluído"/>
    <s v="Enviado ao NOF"/>
    <s v="2300001213.000326/2025-39"/>
    <m/>
  </r>
  <r>
    <x v="83"/>
    <x v="9"/>
    <s v="HOSPITAL REGIONAL DO AGRESTE DR.WALDEMIRO FERREIRA"/>
    <s v="Adesão"/>
    <s v="ARP.0010.00.2025.GOV.HR.PE"/>
    <s v="Registro de Preços para o fornecimento eventual de BENS (MATERIAL E UTENSÍLIO CULINÁRIO DE USO DOMESTICO E PESSOAL), visando atender as necessidades do Hospital da Restauração e do Hospital Agamenon Magalhães"/>
    <s v="NAMP"/>
    <d v="2025-08-18T00:00:00"/>
    <x v="1"/>
    <s v="Autorizada Sucesso"/>
    <s v="Concluído"/>
    <s v="Item atualizado"/>
    <m/>
    <s v="Concluído"/>
    <s v="Enviado ao NOF"/>
    <s v="2300002544.000065/2025-78"/>
    <m/>
  </r>
  <r>
    <x v="84"/>
    <x v="3"/>
    <s v="HOSPITAL REGIONAL DO AGRESTE DR.WALDEMIRO FERREIRA"/>
    <s v="Adesão"/>
    <s v="ARP.0328.01.2025.EXT.131763.PB"/>
    <s v="Registro de Preços para a eventual aquisição de sondas urinárias."/>
    <m/>
    <d v="2025-08-27T00:00:00"/>
    <x v="1"/>
    <s v="Autorizada Integrado"/>
    <s v="Concluído"/>
    <s v="Item atualizado"/>
    <m/>
    <s v="Concluído"/>
    <s v="Enviado ao NOF"/>
    <s v="2300001213.000245/2025-39"/>
    <m/>
  </r>
  <r>
    <x v="85"/>
    <x v="4"/>
    <s v="HOSPITAL REGIONAL DO AGRESTE DR.WALDEMIRO FERREIRA"/>
    <s v="Adesão"/>
    <s v="ARP.0093.00.2024.GOV.CISAM.PE"/>
    <s v="REGISTRO DE PREÇOS PARA O EVENTUAL FORNECIMENTO DE MEDICAMENTOS, VISANDO ATENDER AS NECESSIDADES DO CISAM/UPE E DEMAIS ÓRGÃOS PARTICIPANTES"/>
    <m/>
    <d v="2025-08-15T00:00:00"/>
    <x v="1"/>
    <s v="Autorizada Sucesso"/>
    <s v="Concluído"/>
    <s v="Item atualizado"/>
    <m/>
    <s v="Concluído"/>
    <s v="Enviado ao NOF"/>
    <s v="2300001213.000004/2025-90"/>
    <m/>
  </r>
  <r>
    <x v="86"/>
    <x v="0"/>
    <s v="HOSPITAL REGIONAL DO AGRESTE DR.WALDEMIRO FERREIRA"/>
    <s v="Adesão"/>
    <s v="ARP.0059.00.2025.GOV.FES-PE.PE"/>
    <s v="FORMAÇÃO DE REGISTRO DE PREÇOS PARA O FORNECIMENTO DE DISPOSITIVOS MÉDICOS, DO TIPO BOLSAS PARA OSTOMIA, VISANDO ATENDER AS NECESSIDADES DOS HOSPITAIS E ESTABELECIMENTOS VINCULADOS À SECRETARIA ESTADUAL DE SAÚDE DE PERNAMBUCO."/>
    <m/>
    <d v="2025-09-11T00:00:00"/>
    <x v="0"/>
    <s v="Cancelada"/>
    <s v="Cancelado"/>
    <s v="Item não atualizado"/>
    <m/>
    <s v="Cancelado"/>
    <s v="SEI não localizado"/>
    <m/>
    <m/>
  </r>
  <r>
    <x v="87"/>
    <x v="9"/>
    <s v="HOSPITAL REGIONAL DO AGRESTE DR.WALDEMIRO FERREIRA"/>
    <s v="Adesão"/>
    <s v="ARP.0014.00.2025.GOV.HR.PE"/>
    <s v="Registro de Preços para o fornecimento eventual de PRODUTOS MÉDICOS HOSPITALARES PARA ENDOSCOPIA"/>
    <m/>
    <d v="2025-08-08T00:00:00"/>
    <x v="1"/>
    <s v="Autorizada Sucesso"/>
    <s v="Concluído"/>
    <s v="Item atualizado"/>
    <m/>
    <s v="Em andamento"/>
    <s v="Enviado ao JURIDICO"/>
    <s v="2300001213.000300/2025-91"/>
    <m/>
  </r>
  <r>
    <x v="88"/>
    <x v="10"/>
    <s v="HOSPITAL REGIONAL DO AGRESTE DR.WALDEMIRO FERREIRA"/>
    <s v="Adesão"/>
    <s v="ARP.0010.05.2025.GOV.HAM.PE"/>
    <s v="Registro de Preços para o fornecimento eventual de material médico hospitalar destinado ao serviço de anestesia, visando atender as necessidades do Hospital Agamenon Magalhães"/>
    <m/>
    <d v="2025-09-11T00:00:00"/>
    <x v="0"/>
    <s v="Cancelada"/>
    <s v="Cancelado"/>
    <s v="Item não atualizado"/>
    <m/>
    <s v="Cancelado"/>
    <s v="SEI não localizado"/>
    <m/>
    <m/>
  </r>
  <r>
    <x v="89"/>
    <x v="16"/>
    <s v="HOSPITAL REGIONAL DO AGRESTE DR.WALDEMIRO FERREIRA"/>
    <s v="Adesão"/>
    <s v="ARP.0005.00.2025.EXT.136144.ES"/>
    <s v="A presente Ata tem por objeto o registro de preços para a eventual aquisição de MEDICAMENTOS-PERP, especificado no Termo de Referência, anexo do Edital de Licitação nº 133/2025, que é parte integrante desta Ata, assim como as propostas cujos preços tenham"/>
    <m/>
    <d v="2025-08-29T00:00:00"/>
    <x v="1"/>
    <s v="Autorizada Integrado"/>
    <s v="Concluído"/>
    <s v="Item atualizado"/>
    <m/>
    <s v="Concluído"/>
    <s v="Enviado ao NOF"/>
    <s v="2300001213.000314/2025-12"/>
    <m/>
  </r>
  <r>
    <x v="90"/>
    <x v="0"/>
    <s v="HOSPITAL REGIONAL DO AGRESTE DR.WALDEMIRO FERREIRA"/>
    <s v="Adesão"/>
    <s v="ARP.0059.00.2025.GOV.FES-PE.PE"/>
    <s v="FORMAÇÃO DE REGISTRO DE PREÇOS PARA O FORNECIMENTO DE DISPOSITIVOS MÉDICOS, DO TIPO BOLSAS PARA OSTOMIA, VISANDO ATENDER AS NECESSIDADES DOS HOSPITAIS E ESTABELECIMENTOS VINCULADOS À SECRETARIA ESTADUAL DE SAÚDE DE PERNAMBUCO."/>
    <s v="NFOCPO"/>
    <d v="2025-08-15T00:00:00"/>
    <x v="1"/>
    <s v="Autorizada Sucesso"/>
    <s v="Concluído"/>
    <s v="Item atualizado"/>
    <m/>
    <s v="Em andamento"/>
    <s v="Enviado a GCONTRATOS"/>
    <s v="2300001213.000229/2025-46"/>
    <m/>
  </r>
  <r>
    <x v="91"/>
    <x v="3"/>
    <s v="HOSPITAL REGIONAL DO AGRESTE DR.WALDEMIRO FERREIRA"/>
    <s v="Adesão"/>
    <s v="ARP.0019.00.2025.EXT.131763.PB"/>
    <s v="A presente Ata tem por objeto o registro de preços para a eventual aquisição de medicamentos (sistema cardiovascular), especificado (s) no item 1.1 do Termo de Referência, anexo do edital de Pregão nº 114/2024, que é parte integrante desta Ata, assim como"/>
    <m/>
    <d v="2025-08-19T00:00:00"/>
    <x v="1"/>
    <s v="Autorizada Integrado"/>
    <s v="Concluído"/>
    <s v="Item atualizado"/>
    <m/>
    <s v="Em andamento"/>
    <s v="Enviado a NFOCPO"/>
    <s v="2300001213.000246/2025-83"/>
    <m/>
  </r>
  <r>
    <x v="92"/>
    <x v="15"/>
    <s v="HOSPITAL REGIONAL DO AGRESTE DR.WALDEMIRO FERREIRA"/>
    <s v="Adesão"/>
    <s v="ARP.0011.02.2025.GOV.HEMOPE.PE"/>
    <s v="Registro de Preços para o fornecimento eventual de dispositivos médicos do tipo ponteiras, pipetas, lâminas e tubos de ensaio diversos, com cessão gratuita em comodato de equipamentos e acessórios"/>
    <m/>
    <d v="2025-08-27T00:00:00"/>
    <x v="1"/>
    <s v="Autorizada Sucesso"/>
    <s v="Concluído"/>
    <s v="Item atualizado"/>
    <m/>
    <s v="Concluído"/>
    <s v="Enviado ao NOF"/>
    <s v="2300001213.000321/2025-14"/>
    <m/>
  </r>
  <r>
    <x v="93"/>
    <x v="5"/>
    <s v="HOSPITAL REGIONAL DO AGRESTE DR.WALDEMIRO FERREIRA"/>
    <s v="Adesão"/>
    <s v="ARP.0010.02.2025.GOV.HOF.PE"/>
    <s v="Registro de Preços para eventual fornecimento de dispositivos médicos INSUMOS PARA O SERVIÇO DE ENDOSCOPIA."/>
    <m/>
    <d v="2025-09-05T00:00:00"/>
    <x v="1"/>
    <s v="Autorizada Sucesso"/>
    <s v="Concluído"/>
    <s v="Item atualizado"/>
    <m/>
    <s v="Em andamento"/>
    <s v="Enviado a GCONTRATOS"/>
    <s v="2300001213.000339/2025-16"/>
    <m/>
  </r>
  <r>
    <x v="94"/>
    <x v="12"/>
    <s v="HOSPITAL REGIONAL DO AGRESTE DR.WALDEMIRO FERREIRA"/>
    <s v="Adesão"/>
    <s v="ARP.0010.02.2025.EXT.HMAR.PE"/>
    <s v="Aquisição de Medicamentos – Antibióticos, soros e eletrólitos - GCALC - BENZILPENICILINA."/>
    <m/>
    <d v="2025-08-13T00:00:00"/>
    <x v="1"/>
    <s v="Autorizada Integrado"/>
    <s v="Concluído"/>
    <s v="Item atualizado"/>
    <m/>
    <s v="Concluído"/>
    <s v="Enviado ao NOF"/>
    <s v="2300001213.000135/2025-77"/>
    <m/>
  </r>
  <r>
    <x v="95"/>
    <x v="17"/>
    <s v="HOSPITAL REGIONAL DO AGRESTE DR.WALDEMIRO FERREIRA"/>
    <s v="Adesão"/>
    <s v="ARP.0001.01.2025.EXT.CDE.RN"/>
    <s v="A presente Ata tem por objeto o registro de preços para a eventual aquisição de materiais médicos hospitalares diversos (incluindo curativos, fios, OPME, CME e outros), para atender as necessidades do Hospital de Guarnição de Natal (HGuN), especificado(s)"/>
    <m/>
    <d v="2025-08-20T00:00:00"/>
    <x v="1"/>
    <s v="Autorizada Integrado"/>
    <s v="Concluído"/>
    <s v="Item atualizado"/>
    <m/>
    <s v="Concluído"/>
    <s v="Enviado ao NOF"/>
    <s v="2300001213.000270/2025-12"/>
    <m/>
  </r>
  <r>
    <x v="96"/>
    <x v="11"/>
    <s v="HOSPITAL REGIONAL DO AGRESTE DR.WALDEMIRO FERREIRA"/>
    <s v="Adesão"/>
    <s v="ARP.0501.00.2025.EXT.HGJMM.RN"/>
    <s v="Aquisição de Medicamentos - ANTIMICROBIANOS , conforme condições e exigências estabelecidas neste instrumento."/>
    <m/>
    <d v="2025-08-28T00:00:00"/>
    <x v="1"/>
    <s v="Autorizada Integrado"/>
    <s v="Concluído"/>
    <s v="Item atualizado"/>
    <m/>
    <s v="Concluído"/>
    <s v="Enviado ao NOF"/>
    <s v="2300001213.000197/2025-89"/>
    <m/>
  </r>
  <r>
    <x v="97"/>
    <x v="0"/>
    <s v="HOSPITAL REGIONAL DO AGRESTE DR.WALDEMIRO FERREIRA"/>
    <s v="Adesão"/>
    <s v="ARP.0068.00.2025.GOV.FES-PE.PE"/>
    <s v="FORMAÇÃO DE REGISTRO DE PREÇOS PARA O FORNECIMENTO DE DISPOSITIVOS MÉDICOS, DO TIPO INSUMOS PARA OSTOMIA, VISANDO ATENDER AS NECESSIDADES DOS HOSPITAIS E ESTABELECIMENTOS VINCULADOS À SECRETARIA ESTADUAL DE SAÚDE DE PERNAMBUCO"/>
    <s v="NFOCPO"/>
    <d v="2025-08-29T00:00:00"/>
    <x v="1"/>
    <s v="Autorizada Sucesso"/>
    <s v="Concluído"/>
    <s v="Item atualizado"/>
    <m/>
    <s v="Em andamento"/>
    <s v="Enviado a GCONTRATOS"/>
    <s v="2300001213.000348/2025-07"/>
    <m/>
  </r>
  <r>
    <x v="98"/>
    <x v="18"/>
    <s v="HOSPITAL REGIONAL DO AGRESTE DR.WALDEMIRO FERREIRA"/>
    <s v="Adesão"/>
    <s v="ARP.0015.00.2025.EXT.151289.RN"/>
    <s v="Aquisição de Medicamentos - PENICILINAS E CEFALOSPORINAS nos termos da tabela abaixo, conforme condições e exigências estabelecidas neste instrumento."/>
    <m/>
    <d v="2025-08-21T00:00:00"/>
    <x v="1"/>
    <s v="Autorizada Integrado"/>
    <s v="Concluído"/>
    <s v="Item atualizado"/>
    <m/>
    <s v="Concluído"/>
    <s v="Enviado ao NOF"/>
    <s v="2300001213.000121/2025-53"/>
    <m/>
  </r>
  <r>
    <x v="99"/>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m/>
    <d v="2025-07-16T00:00:00"/>
    <x v="1"/>
    <s v="Autorizada Sucesso"/>
    <s v="Concluído"/>
    <s v="Item atualizado"/>
    <m/>
    <s v="Concluído"/>
    <s v="Enviado ao NOF"/>
    <s v="2300001213.000159/2025-26"/>
    <m/>
  </r>
  <r>
    <x v="100"/>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s v="NFOCPO"/>
    <d v="2025-07-09T00:00:00"/>
    <x v="1"/>
    <s v="Autorizada Sucesso"/>
    <s v="Concluído"/>
    <s v="Item atualizado"/>
    <m/>
    <s v="Concluído"/>
    <s v="Enviado ao NOF"/>
    <s v="2300001213.000079/2025-71"/>
    <m/>
  </r>
  <r>
    <x v="101"/>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m/>
    <d v="2025-07-02T00:00:00"/>
    <x v="1"/>
    <s v="Autorizada Sucesso"/>
    <s v="Concluído"/>
    <s v="Item atualizado"/>
    <m/>
    <s v="Concluído"/>
    <s v="Enviado ao NOF"/>
    <s v="2300001213.000137/2025-66"/>
    <m/>
  </r>
  <r>
    <x v="102"/>
    <x v="9"/>
    <s v="HOSPITAL REGIONAL DO AGRESTE DR.WALDEMIRO FERREIRA"/>
    <s v="Adesão"/>
    <s v="ARP.0031.00.2024.GOV.HR.PE"/>
    <s v="PREGÃO ELETRÔNICO PARA REGISTRO DE PREÇOS COM VALIDADE DE 12 (DOZE) MESES PARA EVENTUAL FORNECIMENTO DE PRODUTOS MÉDICOS (MATERIAL MÉDICO HOSPITALAR), VISANDO ATENDER ÀS NECESSIDADES DO HOSPITAL DA RESTAURAÇÃO"/>
    <m/>
    <d v="2025-07-30T00:00:00"/>
    <x v="0"/>
    <s v="Cancelada por fim vigencia ATA"/>
    <s v="Cancelado"/>
    <s v="Item atualizado"/>
    <m/>
    <s v="Cancelado"/>
    <s v="SEI não localizado"/>
    <m/>
    <m/>
  </r>
  <r>
    <x v="103"/>
    <x v="9"/>
    <s v="HOSPITAL REGIONAL DO AGRESTE DR.WALDEMIRO FERREIRA"/>
    <s v="Adesão"/>
    <s v="ARP.0031.00.2024.GOV.HR.PE"/>
    <s v="PREGÃO ELETRÔNICO PARA REGISTRO DE PREÇOS COM VALIDADE DE 12 (DOZE) MESES PARA EVENTUAL FORNECIMENTO DE PRODUTOS MÉDICOS (MATERIAL MÉDICO HOSPITALAR), VISANDO ATENDER ÀS NECESSIDADES DO HOSPITAL DA RESTAURAÇÃO"/>
    <m/>
    <d v="2025-07-30T00:00:00"/>
    <x v="1"/>
    <s v="Autorizada Sucesso"/>
    <s v="Concluído"/>
    <s v="Item atualizado"/>
    <m/>
    <s v="Em andamento"/>
    <s v="Enviado a NFOCPO"/>
    <s v="2300001213.000291/2025-38"/>
    <m/>
  </r>
  <r>
    <x v="104"/>
    <x v="9"/>
    <s v="HOSPITAL REGIONAL DO AGRESTE DR.WALDEMIRO FERREIRA"/>
    <s v="Adesão"/>
    <s v="ARP.0031.00.2024.GOV.HR.PE"/>
    <s v="PREGÃO ELETRÔNICO PARA REGISTRO DE PREÇOS COM VALIDADE DE 12 (DOZE) MESES PARA EVENTUAL FORNECIMENTO DE PRODUTOS MÉDICOS (MATERIAL MÉDICO HOSPITALAR), VISANDO ATENDER ÀS NECESSIDADES DO HOSPITAL DA RESTAURAÇÃO"/>
    <m/>
    <d v="2025-07-23T00:00:00"/>
    <x v="0"/>
    <s v="Cancelada"/>
    <s v="Cancelado"/>
    <s v="Item não atualizado"/>
    <m/>
    <s v="Cancelado"/>
    <s v="SEI não localizado"/>
    <m/>
    <m/>
  </r>
  <r>
    <x v="105"/>
    <x v="6"/>
    <s v="HOSPITAL REGIONAL DO AGRESTE DR.WALDEMIRO FERREIRA"/>
    <s v="Adesão"/>
    <s v="ARP.0103.06.2024.GOV.PROCAPE.PE"/>
    <s v="REGISTRO DE PREÇOS PARA EVENTUAL FORNECIMENTO DE MATERIAL DE CONSUMO HOSPITALAR (MEDICAMENTOS)"/>
    <m/>
    <d v="2025-08-07T00:00:00"/>
    <x v="1"/>
    <s v="Autorizada Sucesso"/>
    <s v="Concluído"/>
    <s v="Item atualizado"/>
    <m/>
    <s v="Concluído"/>
    <s v="Enviado ao NOF"/>
    <s v="2300001213.000292/2025-82"/>
    <m/>
  </r>
  <r>
    <x v="106"/>
    <x v="6"/>
    <s v="HOSPITAL REGIONAL DO AGRESTE DR.WALDEMIRO FERREIRA"/>
    <s v="Adesão"/>
    <s v="ARP.0103.06.2024.GOV.PROCAPE.PE"/>
    <s v="REGISTRO DE PREÇOS PARA EVENTUAL FORNECIMENTO DE MATERIAL DE CONSUMO HOSPITALAR (MEDICAMENTOS)"/>
    <m/>
    <d v="2025-08-07T00:00:00"/>
    <x v="0"/>
    <s v="Cancelada"/>
    <s v="Cancelado"/>
    <s v="Item não atualizado"/>
    <m/>
    <s v="Cancelado"/>
    <s v="SEI não localizado"/>
    <m/>
    <m/>
  </r>
  <r>
    <x v="107"/>
    <x v="1"/>
    <s v="HOSPITAL REGIONAL DO AGRESTE DR.WALDEMIRO FERREIRA"/>
    <s v="Adesão"/>
    <s v="ARP.0038.01.2025.GOV.HUOC.PE"/>
    <s v="Registro de Preços para a eventual fornecimento de Medicamentos Clínicos Gerais (3) SEI 0040609437.000169/2024-72"/>
    <m/>
    <d v="2025-07-25T00:00:00"/>
    <x v="1"/>
    <s v="Autorizada Sucesso"/>
    <s v="Concluído"/>
    <s v="Item atualizado"/>
    <m/>
    <s v="Concluído"/>
    <s v="Enviado ao NOF"/>
    <s v="2300001213.000202/2025-53"/>
    <m/>
  </r>
  <r>
    <x v="108"/>
    <x v="1"/>
    <s v="HOSPITAL REGIONAL DO AGRESTE DR.WALDEMIRO FERREIRA"/>
    <s v="Adesão"/>
    <s v="ARP.0001.08.2025.GOV.HUOC.PE"/>
    <s v="Registro de Preços para o fornecimento eventual de MEDICAMENTOS CONTROLADOS, CLÍNICOS RESPIRATÓRIOS E MANIPULADOS (SEI Nº 0040609437.000157/2024-48)"/>
    <m/>
    <d v="2025-06-25T00:00:00"/>
    <x v="1"/>
    <s v="Autorizada Sucesso"/>
    <s v="Concluído"/>
    <s v="Item atualizado"/>
    <m/>
    <s v="Em andamento"/>
    <s v="Enviado a NFOCPO"/>
    <s v="2300001213.000220/2025-35"/>
    <m/>
  </r>
  <r>
    <x v="109"/>
    <x v="15"/>
    <s v="HOSPITAL REGIONAL DO AGRESTE DR.WALDEMIRO FERREIRA"/>
    <s v="Adesão"/>
    <s v="ARP.0005.12.2025.GOV.HEMOPE.PE"/>
    <s v="Formação de Ata de Registro de Preços para o fornecimento eventual de Material Médico Hospitalar - MMH Grupo 3 (eletrodos, equipos para alimentação enteral, parenteral, transfusão de sangue, escovas para limpeza de material, fios, fitas, lâmina de bisturi"/>
    <m/>
    <d v="2025-07-16T00:00:00"/>
    <x v="1"/>
    <s v="Autorizada Sucesso"/>
    <s v="Concluído"/>
    <s v="Item atualizado"/>
    <m/>
    <s v="Concluído"/>
    <s v="Enviado ao NOF"/>
    <s v="2300001213.000238/2025-37"/>
    <m/>
  </r>
  <r>
    <x v="110"/>
    <x v="4"/>
    <s v="HOSPITAL REGIONAL DO AGRESTE DR.WALDEMIRO FERREIRA"/>
    <s v="Adesão"/>
    <s v="ARP.0065.02.2024.GOV.CISAM.PE"/>
    <s v="REGISTRO DE PREÇOS PARA FORNECIMENTO EVENTUAL DE MEDICAMENTOS (DIVERSOS), VISANDO ATENDER ÀS NECESSIDADES DO CISAM/UPE E DEMAIS ÓRGÃOS PARTICIPANTES."/>
    <m/>
    <d v="2025-07-04T00:00:00"/>
    <x v="0"/>
    <s v="Cancelada por fim vigencia ATA"/>
    <s v="Cancelado"/>
    <s v="Item atualizado"/>
    <m/>
    <s v="Cancelado"/>
    <s v="SEI não localizado"/>
    <m/>
    <m/>
  </r>
  <r>
    <x v="111"/>
    <x v="1"/>
    <s v="HOSPITAL REGIONAL DO AGRESTE DR.WALDEMIRO FERREIRA"/>
    <s v="Adesão"/>
    <s v="ARP.0088.04.2024.GOV.HUOC.PE"/>
    <s v="Registro de Preços para a eventual fornecimento de Medicamentos Clínicos Gerais 7 (SEI Nº 0040609437.000097/2024-63)"/>
    <m/>
    <d v="2025-07-29T00:00:00"/>
    <x v="1"/>
    <s v="Autorizada Sucesso"/>
    <s v="Concluído"/>
    <s v="Item atualizado"/>
    <m/>
    <s v="Concluído"/>
    <s v="Enviado ao NOF"/>
    <s v="2300001213.000139/2025-55"/>
    <m/>
  </r>
  <r>
    <x v="112"/>
    <x v="1"/>
    <s v="HOSPITAL REGIONAL DO AGRESTE DR.WALDEMIRO FERREIRA"/>
    <s v="Adesão"/>
    <s v="ARP.0001.04.2025.GOV.HUOC.PE"/>
    <s v="Registro de Preços para o fornecimento eventual de MEDICAMENTOS CONTROLADOS, CLÍNICOS RESPIRATÓRIOS E MANIPULADOS (SEI Nº 0040609437.000157/2024-48)"/>
    <m/>
    <d v="2025-08-07T00:00:00"/>
    <x v="0"/>
    <s v="Cancelada"/>
    <s v="Cancelado"/>
    <s v="Item não atualizado"/>
    <m/>
    <s v="Cancelado"/>
    <s v="SEI não localizado"/>
    <m/>
    <m/>
  </r>
  <r>
    <x v="113"/>
    <x v="1"/>
    <s v="HOSPITAL REGIONAL DO AGRESTE DR.WALDEMIRO FERREIRA"/>
    <s v="Adesão"/>
    <s v="ARP.0119.04.2024.GOV.HUOC.PE"/>
    <s v="Registro de Preços para a eventual aquisição de Medicamentos Clínicos Gerais 4 (SEI Nº 0040609437.000172/2024-96)"/>
    <m/>
    <d v="2025-07-23T00:00:00"/>
    <x v="1"/>
    <s v="Autorizada Sucesso"/>
    <s v="Concluído"/>
    <s v="Item atualizado"/>
    <m/>
    <s v="Concluído"/>
    <s v="Enviado ao NOF"/>
    <s v="2300001213.000161/2025-03"/>
    <m/>
  </r>
  <r>
    <x v="114"/>
    <x v="4"/>
    <s v="HOSPITAL REGIONAL DO AGRESTE DR.WALDEMIRO FERREIRA"/>
    <s v="Adesão"/>
    <s v="ARP.0012.00.2025.GOV.CISAM.PE"/>
    <s v="REGISTRO DE PREÇOS PARA FORNECIMENTO EVENTUAL DE MEDICAMENTOS VISANDO ATENDER AS NECESSIDADES DO CISAM/UPE E DEMAIS ÓRGÃOS PARTICIPANTES"/>
    <s v="NFOCPO"/>
    <d v="2025-07-14T00:00:00"/>
    <x v="1"/>
    <s v="Autorizada Sucesso"/>
    <s v="Concluído"/>
    <s v="Item atualizado"/>
    <m/>
    <s v="Concluído"/>
    <s v="Enviado ao NOF"/>
    <s v="2300001213.000158/2025-81"/>
    <m/>
  </r>
  <r>
    <x v="115"/>
    <x v="4"/>
    <s v="HOSPITAL REGIONAL DO AGRESTE DR.WALDEMIRO FERREIRA"/>
    <s v="Adesão"/>
    <s v="ARP.0012.00.2025.GOV.CISAM.PE"/>
    <s v="REGISTRO DE PREÇOS PARA FORNECIMENTO EVENTUAL DE MEDICAMENTOS VISANDO ATENDER AS NECESSIDADES DO CISAM/UPE E DEMAIS ÓRGÃOS PARTICIPANTES"/>
    <s v="NFOCPO"/>
    <d v="2025-07-09T00:00:00"/>
    <x v="0"/>
    <s v="Em configuração"/>
    <s v="Cancelar Com o Suporte"/>
    <s v="Item atualizado"/>
    <m/>
    <s v="Cancelar Com o Suporte"/>
    <s v="SEI não localizado"/>
    <m/>
    <m/>
  </r>
  <r>
    <x v="116"/>
    <x v="0"/>
    <s v="HOSPITAL REGIONAL DO AGRESTE DR.WALDEMIRO FERREIRA"/>
    <s v="Adesão"/>
    <s v="ARP.0011.00.2025.GOV.FES-PE.PE"/>
    <s v="REGISTRO DE PREÇOS (ARP) PARA FORNECIMENTO DE MEDICAMENTOS INJETÁVEIS - VOLUME 2, VISANDO ATENDER AS NECESSIDADES DO HOSPITAL JABOATÃO PRAZERES."/>
    <m/>
    <d v="2025-07-30T00:00:00"/>
    <x v="1"/>
    <s v="Autorizada Sucesso"/>
    <s v="Concluído"/>
    <s v="Item atualizado"/>
    <m/>
    <s v="Concluído"/>
    <s v="Enviado ao NOF"/>
    <s v="2300001213.000273/2025-56"/>
    <m/>
  </r>
  <r>
    <x v="117"/>
    <x v="1"/>
    <s v="HOSPITAL REGIONAL DO AGRESTE DR.WALDEMIRO FERREIRA"/>
    <s v="Adesão"/>
    <s v="ARP.0038.05.2025.GOV.HUOC.PE"/>
    <s v="Registro de Preços para a eventual fornecimento de Medicamentos Clínicos Gerais (3) SEI 0040609437.000169/2024-72"/>
    <m/>
    <d v="2025-06-30T00:00:00"/>
    <x v="1"/>
    <s v="Autorizada Sucesso"/>
    <s v="Concluído"/>
    <s v="Item atualizado"/>
    <m/>
    <s v="Em andamento"/>
    <s v="Enviado a GCONTRATOS"/>
    <s v="2300001213.000213/2025-33"/>
    <m/>
  </r>
  <r>
    <x v="118"/>
    <x v="6"/>
    <s v="HOSPITAL REGIONAL DO AGRESTE DR.WALDEMIRO FERREIRA"/>
    <s v="Adesão"/>
    <s v="ARP.0028.03.2025.GOV.PROCAPE.PE"/>
    <s v="REGISTRO DE PREÇOS PARA EVENTUAL FORNECIMENTO DE MATERIAL DE CONSUMO HOSPITALAR (MEDICAMENTOS)"/>
    <m/>
    <d v="2025-08-07T00:00:00"/>
    <x v="0"/>
    <s v="Cancelada"/>
    <s v="Cancelado"/>
    <s v="Item não atualizado"/>
    <m/>
    <s v="Cancelado"/>
    <s v="SEI não localizado"/>
    <m/>
    <m/>
  </r>
  <r>
    <x v="119"/>
    <x v="6"/>
    <s v="HOSPITAL REGIONAL DO AGRESTE DR.WALDEMIRO FERREIRA"/>
    <s v="Adesão"/>
    <s v="ARP.0005.09.2025.GOV.PROCAPE.PE"/>
    <s v="REGISTRO DE PREÇOS PARA EVENTUAL FORNECIMENTO DE MATERIAL DE CONSUMO HOSPITALAR (MATERIAL PENSO)"/>
    <m/>
    <d v="2025-06-26T00:00:00"/>
    <x v="0"/>
    <s v="Cancelada"/>
    <s v="Cancelado"/>
    <s v="Item não atualizado"/>
    <m/>
    <s v="Cancelado"/>
    <s v="SEI não localizado"/>
    <m/>
    <m/>
  </r>
  <r>
    <x v="120"/>
    <x v="9"/>
    <s v="HOSPITAL REGIONAL DO AGRESTE DR.WALDEMIRO FERREIRA"/>
    <s v="Adesão"/>
    <s v="ARP.0004.00.2025.GOV.HR.PE"/>
    <s v="Formação de Ata de Registro de Preços para o fornecimento eventual de produtos médicos (MATERIAL MÉDICO HOSPITALAR), com cessão de equipamentos em regime de comodato, visando atender as necessidades do Hospital da Restauração Gov. Paulo Guerra."/>
    <m/>
    <d v="2025-06-26T00:00:00"/>
    <x v="1"/>
    <s v="Autorizada Sucesso"/>
    <s v="Concluído"/>
    <s v="Item atualizado"/>
    <m/>
    <s v="Concluído"/>
    <s v="Enviado ao NOF"/>
    <s v="2300001213.000174/2025-74"/>
    <m/>
  </r>
  <r>
    <x v="121"/>
    <x v="6"/>
    <s v="HOSPITAL REGIONAL DO AGRESTE DR.WALDEMIRO FERREIRA"/>
    <s v="Adesão"/>
    <s v="ARP.0090.01.2024.GOV.PROCAPE.PE"/>
    <s v="REGISTRO DE PREÇOS PARA EVENTUAL FORNECIMENTO DE MATERIAL DE CONSUMO HOSPITALAR (MEDICAMENTOS)"/>
    <m/>
    <d v="2025-07-11T00:00:00"/>
    <x v="1"/>
    <s v="Autorizada Sucesso"/>
    <s v="Concluído"/>
    <s v="Item atualizado"/>
    <m/>
    <s v="Concluído"/>
    <s v="Enviado ao NOF"/>
    <s v="2300001213.000134/2025-22"/>
    <m/>
  </r>
  <r>
    <x v="122"/>
    <x v="4"/>
    <s v="HOSPITAL REGIONAL DO AGRESTE DR.WALDEMIRO FERREIRA"/>
    <s v="Adesão"/>
    <s v="ARP.0080.02.2024.GOV.CISAM.PE"/>
    <s v="REGISTRO DE PREÇOS PARA FORNECIMENTO EVENTUAL DE MEDICAMENTOS VISANDO ATENDER AS NECESSIDADES DO CISAM/UPE E DEMAIS ÓRGÃOS PARTICIPANTES"/>
    <m/>
    <d v="2025-07-10T00:00:00"/>
    <x v="1"/>
    <s v="Autorizada Sucesso"/>
    <s v="Concluído"/>
    <s v="Item atualizado"/>
    <m/>
    <s v="Concluído"/>
    <s v="Enviado ao NOF"/>
    <s v="2300001213.000181/2025-76"/>
    <m/>
  </r>
  <r>
    <x v="123"/>
    <x v="19"/>
    <s v="HOSPITAL REGIONAL DO AGRESTE DR.WALDEMIRO FERREIRA"/>
    <s v="Adesão"/>
    <s v="ARP.0007.00.2024.EXT.RN"/>
    <s v="Aquisição de Medicamentos - PENICILINAS E CEFALOSPORINAS nos termos da tabela abaixo, conforme condições e exigências estabelecidas neste instrumento."/>
    <m/>
    <d v="2025-07-21T00:00:00"/>
    <x v="1"/>
    <s v="Autorizada Integrado"/>
    <s v="Concluído"/>
    <s v="Item atualizado"/>
    <m/>
    <s v="Cancelado"/>
    <s v="Enviado a GCONTRATOS"/>
    <s v="2300001213.000104/2025-16"/>
    <s v="Processo cancelado por venciemento de Ata"/>
  </r>
  <r>
    <x v="124"/>
    <x v="6"/>
    <s v="HOSPITAL REGIONAL DO AGRESTE DR.WALDEMIRO FERREIRA"/>
    <s v="Adesão"/>
    <s v="ARP.0005.09.2025.GOV.PROCAPE.PE"/>
    <s v="REGISTRO DE PREÇOS PARA EVENTUAL FORNECIMENTO DE MATERIAL DE CONSUMO HOSPITALAR (MATERIAL PENSO)"/>
    <m/>
    <d v="2025-06-25T00:00:00"/>
    <x v="1"/>
    <s v="Autorizada Sucesso"/>
    <s v="Concluído"/>
    <s v="Item atualizado"/>
    <m/>
    <s v="Concluído"/>
    <s v="Enviado ao NOF"/>
    <s v="2300001213.000185/2025-54"/>
    <m/>
  </r>
  <r>
    <x v="125"/>
    <x v="3"/>
    <s v="HOSPITAL REGIONAL DO AGRESTE DR.WALDEMIRO FERREIRA"/>
    <s v="Adesão"/>
    <s v="ARP.0017.00.2025.EXT.131763.PB"/>
    <s v="A presente Ata tem por objetivo o registro de preços PARA REGISTRO DE PREÇO PARA AQUISIÇÃO DE MEDICAMENTOS ANTIBACTERIANOS INJETÁVEIS especificado, no item 1.1 do Termo de Referência, anexo no edital de Pregão 173/2024 que é parte integrante desta Ata, as"/>
    <m/>
    <d v="2025-07-29T00:00:00"/>
    <x v="1"/>
    <s v="Autorizada Integrado"/>
    <s v="Concluído"/>
    <s v="Item atualizado"/>
    <m/>
    <s v="Concluído"/>
    <s v="Enviado ao NOF"/>
    <s v="2300001213.000225/2025-68"/>
    <m/>
  </r>
  <r>
    <x v="126"/>
    <x v="1"/>
    <s v="HOSPITAL REGIONAL DO AGRESTE DR.WALDEMIRO FERREIRA"/>
    <s v="Adesão"/>
    <s v="ARP.0077.00.2024.GOV.HUOC.PE"/>
    <s v="REGISTRO DE PREÇO para eventual fornecimento de MATERIAIS MÉDICOS DESCARTÁVEIS (SEI Nº 0040609459.000086/2023-44)"/>
    <m/>
    <d v="2025-07-07T00:00:00"/>
    <x v="1"/>
    <s v="Autorizada Sucesso"/>
    <s v="Concluído"/>
    <s v="Item atualizado"/>
    <m/>
    <s v="Em andamento"/>
    <s v="Enviado a GCONTRATOS"/>
    <s v="2300001213.000222/2025-24"/>
    <m/>
  </r>
  <r>
    <x v="127"/>
    <x v="3"/>
    <s v="HOSPITAL REGIONAL DO AGRESTE DR.WALDEMIRO FERREIRA"/>
    <s v="Adesão"/>
    <s v="ARP.0017.00.2025.EXT.131763.PB"/>
    <s v="A presente Ata tem por objetivo o registro de preços PARA REGISTRO DE PREÇO PARA AQUISIÇÃO DE MEDICAMENTOS ANTIBACTERIANOS INJETÁVEIS especificado, no item 1.1 do Termo de Referência, anexo no edital de Pregão 173/2024 que é parte integrante desta Ata, as"/>
    <m/>
    <d v="2025-07-29T00:00:00"/>
    <x v="1"/>
    <s v="Autorizada Integrado"/>
    <s v="Concluído"/>
    <s v="Item atualizado"/>
    <m/>
    <s v="Concluído"/>
    <s v="Enviado ao NOF"/>
    <s v="2300001213.000230/2025-71"/>
    <m/>
  </r>
  <r>
    <x v="128"/>
    <x v="4"/>
    <s v="HOSPITAL REGIONAL DO AGRESTE DR.WALDEMIRO FERREIRA"/>
    <s v="Adesão"/>
    <s v="ARP.0010.00.2025.GOV.CISAM.PE"/>
    <s v="REGISTRO DE PREÇOS PARA FORNECIMENTO EVENTUAL DE MATERIAIS MÉDICO-HOSPITALARES (DIVERSOS), VISANDO ATENDER AS NECESSIDADES DO CISAM/UPE E DEMAIS ÓRGÃOS PARTICIPANTES ."/>
    <m/>
    <d v="2025-07-10T00:00:00"/>
    <x v="1"/>
    <s v="Autorizada Sucesso"/>
    <s v="Concluído"/>
    <s v="Item atualizado"/>
    <m/>
    <s v="Concluído"/>
    <s v="Enviado ao NOF"/>
    <s v="2300001213.000195/2025-90"/>
    <m/>
  </r>
  <r>
    <x v="129"/>
    <x v="1"/>
    <s v="HOSPITAL REGIONAL DO AGRESTE DR.WALDEMIRO FERREIRA"/>
    <s v="Adesão"/>
    <s v="ARP.0110.02.2024.GOV.HUOC.PE"/>
    <s v="Registro de Preços para a eventual fornecimento de SOLUÇÕES ANTISEPTICAS E OUTRAS (SEI Nº 0040609437.000126/2024-97)"/>
    <m/>
    <d v="2025-07-23T00:00:00"/>
    <x v="1"/>
    <s v="Autorizada Sucesso"/>
    <s v="Concluído"/>
    <s v="Item atualizado"/>
    <m/>
    <s v="Em andamento"/>
    <s v="Enviado a GCONTRATOS"/>
    <s v="2300001213.000203/2025-06"/>
    <m/>
  </r>
  <r>
    <x v="130"/>
    <x v="1"/>
    <s v="HOSPITAL REGIONAL DO AGRESTE DR.WALDEMIRO FERREIRA"/>
    <s v="Adesão"/>
    <s v="ARP.0077.00.2024.GOV.HUOC.PE"/>
    <s v="REGISTRO DE PREÇO para eventual fornecimento de MATERIAIS MÉDICOS DESCARTÁVEIS (SEI Nº 0040609459.000086/2023-44)"/>
    <m/>
    <d v="2025-06-26T00:00:00"/>
    <x v="0"/>
    <s v="Cancelada"/>
    <s v="Cancelado"/>
    <s v="Item não atualizado"/>
    <m/>
    <s v="Cancelado"/>
    <s v="SEI não localizado"/>
    <m/>
    <m/>
  </r>
  <r>
    <x v="131"/>
    <x v="3"/>
    <s v="HOSPITAL REGIONAL DO AGRESTE DR.WALDEMIRO FERREIRA"/>
    <s v="Adesão"/>
    <s v="ARP.0017.00.2025.EXT.131763.PB"/>
    <s v="A presente Ata tem por objetivo o registro de preços PARA REGISTRO DE PREÇO PARA AQUISIÇÃO DE MEDICAMENTOS ANTIBACTERIANOS INJETÁVEIS especificado, no item 1.1 do Termo de Referência, anexo no edital de Pregão 173/2024 que é parte integrante desta Ata, as"/>
    <m/>
    <d v="2025-07-29T00:00:00"/>
    <x v="1"/>
    <s v="Autorizada Integrado"/>
    <s v="Concluído"/>
    <s v="Item atualizado"/>
    <m/>
    <s v="Concluído"/>
    <s v="Enviado ao NOF"/>
    <s v="2300001213.000231/2025-15"/>
    <m/>
  </r>
  <r>
    <x v="132"/>
    <x v="3"/>
    <s v="HOSPITAL REGIONAL DO AGRESTE DR.WALDEMIRO FERREIRA"/>
    <s v="Adesão"/>
    <s v="ARP.0012.00.2025.EXT.131763.PB"/>
    <s v="REGISTRO DE PREÇO PARA AQUISIÇÃO DE SONDAS URINÁRIAS."/>
    <m/>
    <d v="2025-08-05T00:00:00"/>
    <x v="1"/>
    <s v="Autorizada Integrado"/>
    <s v="Concluído"/>
    <s v="Item atualizado"/>
    <s v="Jean"/>
    <s v="Em andamento"/>
    <s v="Enviado a NFOCPO"/>
    <s v="2300001213.000236/2025-48"/>
    <m/>
  </r>
  <r>
    <x v="133"/>
    <x v="0"/>
    <s v="HOSPITAL REGIONAL DO AGRESTE DR.WALDEMIRO FERREIRA"/>
    <s v="Adesão"/>
    <s v="ARP.0009.00.2025.GOV.FES-PE.PE"/>
    <s v="Registro de Preços para aquisição de Material Médico Hospitalar - Luvas (Unificado)"/>
    <s v="NFOCPO"/>
    <d v="2025-07-04T00:00:00"/>
    <x v="0"/>
    <s v="Em configuração"/>
    <s v="Cancelar Com o Suporte"/>
    <s v="Item atualizado"/>
    <m/>
    <s v="Cancelar Com o Suporte"/>
    <s v="SEI não localizado"/>
    <m/>
    <m/>
  </r>
  <r>
    <x v="134"/>
    <x v="6"/>
    <s v="HOSPITAL REGIONAL DO AGRESTE DR.WALDEMIRO FERREIRA"/>
    <s v="Adesão"/>
    <s v="ARP.0076.04.2024.GOV.PROCAPE.PE"/>
    <s v="REGISTRO DE PREÇOS PARA AVENTUAL FORNECIMENTO DE MATERIAL DE CONSUMO HOSPITALAR (MEDICAMENTOS)"/>
    <m/>
    <d v="2025-07-11T00:00:00"/>
    <x v="0"/>
    <s v="cancelado"/>
    <s v="Cancelado"/>
    <s v="Item atualizado"/>
    <s v="Laís"/>
    <s v="Cancelado"/>
    <s v="Enviado a GCONTRATOS"/>
    <m/>
    <s v="Processo Cancelado Devido a Perda do Prazo da Ata"/>
  </r>
  <r>
    <x v="135"/>
    <x v="0"/>
    <s v="HOSPITAL REGIONAL DO AGRESTE DR.WALDEMIRO FERREIRA"/>
    <s v="Adesão"/>
    <s v="ARP.0074.00.2024.GOV.FES-PE.PE"/>
    <s v="Registro de Preço, para o fornecimento eventual de mobiliário com instalação, visando atender o Hospital da mulher do Agreste e o Centro Administrativo da Secretaria Estadual de Saúde de Pernambuco(SES/PE)."/>
    <m/>
    <d v="2025-07-18T00:00:00"/>
    <x v="1"/>
    <s v="Autorizada Sucesso"/>
    <s v="Concluído"/>
    <s v="Item atualizado"/>
    <m/>
    <s v="Concluído"/>
    <s v="Enviado ao NOF"/>
    <s v="2300002544.000045/2025-05"/>
    <m/>
  </r>
  <r>
    <x v="136"/>
    <x v="1"/>
    <s v="HOSPITAL REGIONAL DO AGRESTE DR.WALDEMIRO FERREIRA"/>
    <s v="Adesão"/>
    <s v="ARP.0064.01.2025.GOV.HUOC.PE"/>
    <s v="Registro de Preços para o eventual fornecimento de MEDICAMENTOS CLÍNICOS GERAIS 4 (12 ITENS) SEI: 0040609437.000004/2025-81"/>
    <s v="NFOCPO"/>
    <d v="2025-07-11T00:00:00"/>
    <x v="0"/>
    <s v="Em configuração"/>
    <s v="Cancelar Com o Suporte"/>
    <s v="Item atualizado"/>
    <m/>
    <s v="Cancelar Com o Suporte"/>
    <s v="SEI não localizado"/>
    <m/>
    <m/>
  </r>
  <r>
    <x v="137"/>
    <x v="7"/>
    <s v="HOSPITAL REGIONAL DO AGRESTE DR.WALDEMIRO FERREIRA"/>
    <s v="Adesão"/>
    <s v="ARP.0011.01.2025.GOV.HGV.PE"/>
    <s v="Formação de Registro de Preços para o fornecimento eventual de SMS - EMBALAGENS DESCARTÁVEIS PARA ESTERILIZAÇÃO visando atender a demanda do Hospital Getúlio Vargas conforme condições, especificações, quantidades e exigências contidas neste Termo de Refer"/>
    <s v="NAEN"/>
    <d v="2025-07-22T00:00:00"/>
    <x v="1"/>
    <s v="Autorizada Sucesso"/>
    <s v="Concluído"/>
    <s v="Item atualizado"/>
    <m/>
    <s v="Concluído"/>
    <s v="Enviado ao NOF"/>
    <s v="2300001213.000266/2025-54"/>
    <m/>
  </r>
  <r>
    <x v="138"/>
    <x v="9"/>
    <s v="HOSPITAL REGIONAL DO AGRESTE DR.WALDEMIRO FERREIRA"/>
    <s v="Adesão"/>
    <s v="ARP.0010.00.2025.GOV.HR.PE"/>
    <s v="Registro de Preços para o fornecimento eventual de BENS (MATERIAL E UTENSÍLIO CULINÁRIO DE USO DOMESTICO E PESSOAL), visando atender as necessidades do Hospital da Restauração e do Hospital Agamenon Magalhães"/>
    <m/>
    <d v="2025-08-06T00:00:00"/>
    <x v="1"/>
    <s v="Autorizada Sucesso"/>
    <s v="Concluído"/>
    <s v="Item atualizado"/>
    <m/>
    <s v="Concluído"/>
    <s v="Enviado ao NOF"/>
    <s v="2300002544.000054/2025-98"/>
    <m/>
  </r>
  <r>
    <x v="139"/>
    <x v="12"/>
    <s v="HOSPITAL REGIONAL DO AGRESTE DR.WALDEMIRO FERREIRA"/>
    <s v="Adesão"/>
    <s v="ARP.0004.00.2025.EXT.HMAR.PE"/>
    <s v="Registro de preço para eventual aquisição de Produtos para saúde curativos para atender as necessidades do Hospital Militar de Área de Recife (HMAR). Termo de Referência, anexo I do Edital de Licitação de n° 900021/2024, que é parte integrante desta Ata, "/>
    <s v="NFOCPO"/>
    <d v="2025-08-05T00:00:00"/>
    <x v="0"/>
    <s v="Em configuração"/>
    <s v="Cancelar Com o Suporte"/>
    <s v="Item atualizado"/>
    <m/>
    <s v="Cancelar Com o Suporte"/>
    <s v="SEI não localizado"/>
    <m/>
    <m/>
  </r>
  <r>
    <x v="140"/>
    <x v="1"/>
    <s v="HOSPITAL REGIONAL DO AGRESTE DR.WALDEMIRO FERREIRA"/>
    <s v="Adesão"/>
    <s v="ARP.0064.01.2025.GOV.HUOC.PE"/>
    <s v="Registro de Preços para o eventual fornecimento de MEDICAMENTOS CLÍNICOS GERAIS 4 (12 ITENS) SEI: 0040609437.000004/2025-81"/>
    <m/>
    <d v="2025-07-08T00:00:00"/>
    <x v="1"/>
    <s v="Autorizada Sucesso"/>
    <s v="Concluído"/>
    <s v="Item atualizado"/>
    <m/>
    <s v="Concluído"/>
    <s v="Enviado ao NOF"/>
    <s v="2300001213.000241/2025-51"/>
    <m/>
  </r>
  <r>
    <x v="141"/>
    <x v="3"/>
    <s v="HOSPITAL REGIONAL DO AGRESTE DR.WALDEMIRO FERREIRA"/>
    <s v="Adesão"/>
    <s v="ARP.0009.00.2025.EXT.131763.PB"/>
    <s v="Registro de Preços para a eventual aquisição de sondas gástricas, enterais e retais."/>
    <s v="NFOCPO"/>
    <d v="2025-08-01T00:00:00"/>
    <x v="1"/>
    <s v="Autorizada Integrado"/>
    <s v="Concluído"/>
    <s v="Item atualizado"/>
    <m/>
    <s v="Concluído"/>
    <s v="Enviado ao NOF"/>
    <s v="2300001213.000283/2025-91"/>
    <m/>
  </r>
  <r>
    <x v="142"/>
    <x v="15"/>
    <s v="HOSPITAL REGIONAL DO AGRESTE DR.WALDEMIRO FERREIRA"/>
    <s v="Adesão"/>
    <s v="ARP.0007.00.2025.GOV.HEMOPE.PE"/>
    <s v="Registro de Preços para o fornecimento de FRASCOS PARA HEMOCULTURA com cessão gratuita de equipamento, em regime de comodato, visando atender as necessidades da Fundação HEMOPE"/>
    <m/>
    <d v="2025-07-03T00:00:00"/>
    <x v="1"/>
    <s v="Autorizada Sucesso"/>
    <s v="Concluído"/>
    <s v="Item atualizado"/>
    <m/>
    <s v="Concluído"/>
    <s v="Enviado ao NOF"/>
    <s v="2300001209.000055/2025-81"/>
    <m/>
  </r>
  <r>
    <x v="143"/>
    <x v="3"/>
    <s v="HOSPITAL REGIONAL DO AGRESTE DR.WALDEMIRO FERREIRA"/>
    <s v="Adesão"/>
    <s v="ARP.0005.00.2025.EXT.131763.PB"/>
    <s v="Aquisição de sondas respiratórias."/>
    <m/>
    <d v="2025-08-06T00:00:00"/>
    <x v="1"/>
    <s v="Autorizada Integrado"/>
    <s v="Concluído"/>
    <s v="Item atualizado"/>
    <s v="Maria Júlia"/>
    <s v="Em andamento"/>
    <s v="Enviado a NFOCPO"/>
    <s v="2300001213.000219/2025-19"/>
    <m/>
  </r>
  <r>
    <x v="144"/>
    <x v="7"/>
    <s v="HOSPITAL REGIONAL DO AGRESTE DR.WALDEMIRO FERREIRA"/>
    <s v="Adesão"/>
    <s v="ARP.0003.00.2025.GOV.HGV.PE"/>
    <s v="PREGÃO ELETRÔNICO PARA REGISTRO DE PREÇOS COM VALIDADE DE 12 (DOZE) MESES PARA EVENTUAL FORNECIMENTO DE EQUIPAMENTOS ARCO CIRÚRGICO, VISANDO ATENDER AS NECESSIDADES DO HOSPITAL GETULIO VARGAS."/>
    <m/>
    <d v="2025-07-10T00:00:00"/>
    <x v="1"/>
    <s v="Autorizada Sucesso"/>
    <s v="Concluído"/>
    <s v="Item atualizado"/>
    <m/>
    <s v="Concluído"/>
    <s v="Enviado ao NOF"/>
    <s v="2300001205.000063/2025-67"/>
    <m/>
  </r>
  <r>
    <x v="145"/>
    <x v="0"/>
    <s v="HOSPITAL REGIONAL DO AGRESTE DR.WALDEMIRO FERREIRA"/>
    <s v="Adesão"/>
    <s v="ARP.0059.02.2025.GOV.FES-PE.PE"/>
    <s v="FORMAÇÃO DE REGISTRO DE PREÇOS PARA O FORNECIMENTO DE DISPOSITIVOS MÉDICOS, DO TIPO BOLSAS PARA OSTOMIA, VISANDO ATENDER AS NECESSIDADES DOS HOSPITAIS E ESTABELECIMENTOS VINCULADOS À SECRETARIA ESTADUAL DE SAÚDE DE PERNAMBUCO."/>
    <m/>
    <d v="2025-06-26T00:00:00"/>
    <x v="1"/>
    <s v="Autorizada Sucesso"/>
    <s v="Concluído"/>
    <s v="Item atualizado"/>
    <m/>
    <s v="Em andamento"/>
    <s v="Enviado a GCONTRATOS"/>
    <s v="2300002544.000062/2025-34"/>
    <m/>
  </r>
  <r>
    <x v="146"/>
    <x v="0"/>
    <s v="HOSPITAL REGIONAL DO AGRESTE DR.WALDEMIRO FERREIRA"/>
    <s v="Adesão"/>
    <s v="ARP.0010.02.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6-26T00:00:00"/>
    <x v="1"/>
    <s v="Autorizada Sucesso"/>
    <s v="Concluído"/>
    <s v="Item atualizado"/>
    <m/>
    <s v="Concluído"/>
    <s v="Enviado ao NOF"/>
    <s v="2300001213.000217/2025-11"/>
    <m/>
  </r>
  <r>
    <x v="147"/>
    <x v="15"/>
    <s v="HOSPITAL REGIONAL DO AGRESTE DR.WALDEMIRO FERREIRA"/>
    <s v="Adesão"/>
    <s v="ARP.0005.01.2025.GOV.HEMOPE.PE"/>
    <s v="Formação de Ata de Registro de Preços para o fornecimento eventual de Material Médico Hospitalar - MMH Grupo 3 (eletrodos, equipos para alimentação enteral, parenteral, transfusão de sangue, escovas para limpeza de material, fios, fitas, lâmina de bisturi"/>
    <m/>
    <d v="2025-07-18T00:00:00"/>
    <x v="1"/>
    <s v="Autorizada Sucesso"/>
    <s v="Cancelar Com o Suporte"/>
    <s v="Item atualizado"/>
    <m/>
    <s v="Cancelar Com o Suporte"/>
    <s v="Enviado ao GFIN"/>
    <s v="2300001213.000268/2025-43"/>
    <m/>
  </r>
  <r>
    <x v="148"/>
    <x v="20"/>
    <s v="HOSPITAL REGIONAL DO AGRESTE DR.WALDEMIRO FERREIRA"/>
    <s v="Adesão"/>
    <s v="ARP.0001.02.2025.GOV.DASIS.PE"/>
    <s v="Registro de Preços para o fornecimento eventual de MEDICAMENTOS ANTIMICROBIANOS DE ALTO CUSTO, visando atender as necessidades do CENTRO MEDICO HOSPITALAR DA PMPE/CBMPE"/>
    <m/>
    <d v="2025-07-02T00:00:00"/>
    <x v="1"/>
    <s v="Autorizada Sucesso"/>
    <s v="Concluído"/>
    <s v="Item atualizado"/>
    <m/>
    <s v="Em andamento"/>
    <s v="Enviado a NFOCPO"/>
    <s v="2300001213.000154/2025-01"/>
    <m/>
  </r>
  <r>
    <x v="149"/>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m/>
    <d v="2025-06-17T00:00:00"/>
    <x v="1"/>
    <s v="Autorizada Sucesso"/>
    <s v="Concluído"/>
    <s v="Item atualizado"/>
    <m/>
    <s v="Concluído"/>
    <s v="Enviado ao NOF"/>
    <s v="2300001213.000115/2025-04"/>
    <m/>
  </r>
  <r>
    <x v="150"/>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m/>
    <d v="2025-06-17T00:00:00"/>
    <x v="0"/>
    <s v="Cancelada"/>
    <s v="Cancelado"/>
    <s v="Item não atualizado"/>
    <m/>
    <s v="Cancelado"/>
    <s v="SEI não localizado"/>
    <m/>
    <m/>
  </r>
  <r>
    <x v="151"/>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s v="NFOCPO"/>
    <d v="2025-06-09T00:00:00"/>
    <x v="0"/>
    <s v="Cancelada por fim vigencia ATA"/>
    <s v="Cancelado"/>
    <s v="Item atualizado"/>
    <m/>
    <s v="Cancelado"/>
    <m/>
    <m/>
    <m/>
  </r>
  <r>
    <x v="152"/>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s v="NFOCPO"/>
    <d v="2025-05-20T00:00:00"/>
    <x v="0"/>
    <s v="Cancelada por fim vigencia ATA"/>
    <s v="Cancelado"/>
    <s v="Item atualizado"/>
    <m/>
    <s v="Cancelado"/>
    <s v="SEI não localizado"/>
    <m/>
    <m/>
  </r>
  <r>
    <x v="153"/>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s v="NFOCPO"/>
    <d v="2025-05-20T00:00:00"/>
    <x v="0"/>
    <s v="Cancelada por fim vigencia ATA"/>
    <s v="Cancelado"/>
    <s v="Item atualizado"/>
    <m/>
    <s v="Cancelado"/>
    <s v="SEI não localizado"/>
    <m/>
    <m/>
  </r>
  <r>
    <x v="154"/>
    <x v="6"/>
    <s v="HOSPITAL REGIONAL DO AGRESTE DR.WALDEMIRO FERREIRA"/>
    <s v="Adesão"/>
    <s v="ARP.0084.05.2024.GOV.PROCAPE.PE"/>
    <s v="REGISTRO DE PREÇOS PARA EVENTUAL FORNECIMENTO DE MATERIAL DE CONSUMO HOSPITALAR (MEDICAMENTOS)"/>
    <m/>
    <d v="2025-06-18T00:00:00"/>
    <x v="1"/>
    <s v="Autorizada Sucesso"/>
    <s v="Concluído"/>
    <s v="Item atualizado"/>
    <m/>
    <s v="Concluído"/>
    <s v="Enviado ao NOF"/>
    <s v="2300001213.000001/2025-56"/>
    <m/>
  </r>
  <r>
    <x v="155"/>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s v="NFOCPO"/>
    <d v="2025-05-20T00:00:00"/>
    <x v="0"/>
    <s v="Cancelada por fim vigencia ATA"/>
    <s v="Cancelado"/>
    <s v="Item atualizado"/>
    <m/>
    <s v="Cancelado"/>
    <s v="SEI não localizado"/>
    <m/>
    <m/>
  </r>
  <r>
    <x v="156"/>
    <x v="6"/>
    <s v="HOSPITAL REGIONAL DO AGRESTE DR.WALDEMIRO FERREIRA"/>
    <s v="Adesão"/>
    <s v="ARP.0084.05.2024.GOV.PROCAPE.PE"/>
    <s v="REGISTRO DE PREÇOS PARA EVENTUAL FORNECIMENTO DE MATERIAL DE CONSUMO HOSPITALAR (MEDICAMENTOS)"/>
    <m/>
    <d v="2025-06-18T00:00:00"/>
    <x v="0"/>
    <s v="Cancelada por fim vigencia ATA"/>
    <s v="Cancelado"/>
    <s v="Item atualizado"/>
    <m/>
    <s v="Cancelado"/>
    <s v="SEI não localizado"/>
    <m/>
    <m/>
  </r>
  <r>
    <x v="157"/>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s v="NFOCPO"/>
    <d v="2025-05-20T00:00:00"/>
    <x v="0"/>
    <s v="Cancelada por fim vigencia ATA"/>
    <s v="Cancelado"/>
    <s v="Item atualizado"/>
    <m/>
    <s v="Cancelado"/>
    <s v="SEI não localizado"/>
    <m/>
    <m/>
  </r>
  <r>
    <x v="158"/>
    <x v="9"/>
    <s v="HOSPITAL REGIONAL DO AGRESTE DR.WALDEMIRO FERREIRA"/>
    <s v="Adesão"/>
    <s v="ARP.0031.00.2024.GOV.HR.PE"/>
    <s v="PREGÃO ELETRÔNICO PARA REGISTRO DE PREÇOS COM VALIDADE DE 12 (DOZE) MESES PARA EVENTUAL FORNECIMENTO DE PRODUTOS MÉDICOS (MATERIAL MÉDICO HOSPITALAR), VISANDO ATENDER ÀS NECESSIDADES DO HOSPITAL DA RESTAURAÇÃO"/>
    <m/>
    <d v="2025-05-20T00:00:00"/>
    <x v="0"/>
    <s v="Cancelada"/>
    <s v="Cancelado"/>
    <s v="Item não atualizado"/>
    <m/>
    <s v="Cancelado"/>
    <s v="SEI não localizado"/>
    <m/>
    <m/>
  </r>
  <r>
    <x v="159"/>
    <x v="9"/>
    <s v="HOSPITAL REGIONAL DO AGRESTE DR.WALDEMIRO FERREIRA"/>
    <s v="Adesão"/>
    <s v="ARP.0031.00.2024.GOV.HR.PE"/>
    <s v="PREGÃO ELETRÔNICO PARA REGISTRO DE PREÇOS COM VALIDADE DE 12 (DOZE) MESES PARA EVENTUAL FORNECIMENTO DE PRODUTOS MÉDICOS (MATERIAL MÉDICO HOSPITALAR), VISANDO ATENDER ÀS NECESSIDADES DO HOSPITAL DA RESTAURAÇÃO"/>
    <m/>
    <d v="2025-05-20T00:00:00"/>
    <x v="0"/>
    <s v="Cancelada por fim vigencia ATA"/>
    <s v="Cancelado"/>
    <s v="Item atualizado"/>
    <m/>
    <s v="Cancelado"/>
    <s v="SEI não localizado"/>
    <m/>
    <m/>
  </r>
  <r>
    <x v="160"/>
    <x v="5"/>
    <s v="HOSPITAL REGIONAL DO AGRESTE DR.WALDEMIRO FERREIRA"/>
    <s v="Adesão"/>
    <s v="ARP.0017.00.2025.GOV.HOF.PE"/>
    <s v="Registro de Preços para o fornecimento eventual de Dispositivos Médicos do tipo CATETER DIVERSOS E LÂMINA DE BISTURI para o abastecimento por um período de 12 meses, visando atender as necessidades do Hospital Otávio de Freitas conforme as condições, espe"/>
    <m/>
    <d v="2025-06-03T00:00:00"/>
    <x v="1"/>
    <s v="Autorizada Sucesso"/>
    <s v="Concluído"/>
    <s v="Item atualizado"/>
    <m/>
    <s v="Concluído"/>
    <s v="Enviado ao NOF"/>
    <s v="2300001213.000090/2025-31"/>
    <m/>
  </r>
  <r>
    <x v="161"/>
    <x v="9"/>
    <s v="HOSPITAL REGIONAL DO AGRESTE DR.WALDEMIRO FERREIRA"/>
    <s v="Adesão"/>
    <s v="ARP.0006.00.2025.GOV.HR.PE"/>
    <s v="Registro de Preços para o fornecimento de PRODUTOS MÉDICOS HOSPITALARES (CURATIVOS), visando atender as necessidades do Hospital da Restauração, nos termos da legislação vigente e conforme as condições, especificações, quantidades e exigências contidas ne"/>
    <m/>
    <d v="2025-06-03T00:00:00"/>
    <x v="1"/>
    <s v="Autorizada Sucesso"/>
    <s v="Concluído"/>
    <s v="Item atualizado"/>
    <m/>
    <s v="Concluído"/>
    <s v="Enviado ao NOF"/>
    <s v="2300002544.000052/2025-07"/>
    <m/>
  </r>
  <r>
    <x v="162"/>
    <x v="9"/>
    <s v="HOSPITAL REGIONAL DO AGRESTE DR.WALDEMIRO FERREIRA"/>
    <s v="Adesão"/>
    <s v="ARP.0006.00.2025.GOV.HR.PE"/>
    <s v="Registro de Preços para o fornecimento de PRODUTOS MÉDICOS HOSPITALARES (CURATIVOS), visando atender as necessidades do Hospital da Restauração, nos termos da legislação vigente e conforme as condições, especificações, quantidades e exigências contidas ne"/>
    <m/>
    <d v="2025-05-21T00:00:00"/>
    <x v="1"/>
    <s v="Autorizada Sucesso"/>
    <s v="Concluído"/>
    <s v="Item atualizado"/>
    <m/>
    <s v="Concluído"/>
    <s v="Enviado ao NOF"/>
    <s v="2300002544.000048/2025-31"/>
    <m/>
  </r>
  <r>
    <x v="163"/>
    <x v="1"/>
    <s v="HOSPITAL REGIONAL DO AGRESTE DR.WALDEMIRO FERREIRA"/>
    <s v="Adesão"/>
    <s v="ARP.0078.02.2024.GOV.HUOC.PE"/>
    <s v="REGISTRO DE PREÇO para eventual fornecimento de MATERIAIS MÉDICOS HOSPITALARES - CATETERES INTRAVENOSOS, DISPOSITIVOS PARA INFUSÃO VENOSA (SEI Nº 0040609459.000096/2023-80)"/>
    <m/>
    <d v="2025-06-04T00:00:00"/>
    <x v="1"/>
    <s v="Autorizada Sucesso"/>
    <s v="Concluído"/>
    <s v="Item atualizado"/>
    <m/>
    <s v="Concluído"/>
    <s v="Enviado ao NOF"/>
    <s v="2300001213.000096/2025-16"/>
    <m/>
  </r>
  <r>
    <x v="164"/>
    <x v="6"/>
    <s v="HOSPITAL REGIONAL DO AGRESTE DR.WALDEMIRO FERREIRA"/>
    <s v="Adesão"/>
    <s v="ARP.0076.01.2024.GOV.PROCAPE.PE"/>
    <s v="REGISTRO DE PREÇOS PARA AVENTUAL FORNECIMENTO DE MATERIAL DE CONSUMO HOSPITALAR (MEDICAMENTOS)"/>
    <m/>
    <d v="2025-06-20T00:00:00"/>
    <x v="1"/>
    <s v="Autorizada Sucesso"/>
    <s v="Concluído"/>
    <s v="Item atualizado"/>
    <m/>
    <s v="Concluído"/>
    <s v="Enviado ao NOF"/>
    <s v="2300001213.000062/2025-13"/>
    <m/>
  </r>
  <r>
    <x v="165"/>
    <x v="9"/>
    <s v="HOSPITAL REGIONAL DO AGRESTE DR.WALDEMIRO FERREIRA"/>
    <s v="Adesão"/>
    <s v="ARP.0006.00.2025.GOV.HR.PE"/>
    <s v="Registro de Preços para o fornecimento de PRODUTOS MÉDICOS HOSPITALARES (CURATIVOS), visando atender as necessidades do Hospital da Restauração, nos termos da legislação vigente e conforme as condições, especificações, quantidades e exigências contidas ne"/>
    <m/>
    <d v="2025-05-19T00:00:00"/>
    <x v="1"/>
    <s v="Autorizada Sucesso"/>
    <s v="Concluído"/>
    <s v="Item atualizado"/>
    <m/>
    <s v="Concluído"/>
    <s v="Enviado ao NOF"/>
    <s v="2300002544.0000512025-54"/>
    <m/>
  </r>
  <r>
    <x v="166"/>
    <x v="6"/>
    <s v="HOSPITAL REGIONAL DO AGRESTE DR.WALDEMIRO FERREIRA"/>
    <s v="Adesão"/>
    <s v="ARP.0076.01.2024.GOV.PROCAPE.PE"/>
    <s v="REGISTRO DE PREÇOS PARA AVENTUAL FORNECIMENTO DE MATERIAL DE CONSUMO HOSPITALAR (MEDICAMENTOS)"/>
    <m/>
    <d v="2025-06-16T00:00:00"/>
    <x v="0"/>
    <s v="Cancelada"/>
    <s v="Cancelado"/>
    <s v="Item não atualizado"/>
    <m/>
    <s v="Cancelado"/>
    <s v="SEI não localizado"/>
    <m/>
    <m/>
  </r>
  <r>
    <x v="167"/>
    <x v="9"/>
    <s v="HOSPITAL REGIONAL DO AGRESTE DR.WALDEMIRO FERREIRA"/>
    <s v="Adesão"/>
    <s v="ARP.0011.00.2025.GOV.HR.PE"/>
    <s v="Registro de Preços para o fornecimento eventual de MATERIAL MÉDICO HOSPITALAR – MMH (LUVAS CIRÚRGICAS E PARA PROCEDIMENTOS)"/>
    <m/>
    <d v="2025-06-20T00:00:00"/>
    <x v="1"/>
    <s v="Autorizada Sucesso"/>
    <s v="Concluído"/>
    <s v="Item atualizado"/>
    <m/>
    <s v="Concluído"/>
    <s v="Enviado ao NOF"/>
    <s v="2300001213.000168/2025-17"/>
    <m/>
  </r>
  <r>
    <x v="168"/>
    <x v="6"/>
    <s v="HOSPITAL REGIONAL DO AGRESTE DR.WALDEMIRO FERREIRA"/>
    <s v="Adesão"/>
    <s v="ARP.0076.01.2024.GOV.PROCAPE.PE"/>
    <s v="REGISTRO DE PREÇOS PARA AVENTUAL FORNECIMENTO DE MATERIAL DE CONSUMO HOSPITALAR (MEDICAMENTOS)"/>
    <m/>
    <d v="2025-06-16T00:00:00"/>
    <x v="0"/>
    <s v="Cancelada"/>
    <s v="Cancelado"/>
    <s v="Item não atualizado"/>
    <m/>
    <s v="Cancelado"/>
    <s v="SEI não localizado"/>
    <m/>
    <m/>
  </r>
  <r>
    <x v="169"/>
    <x v="6"/>
    <s v="HOSPITAL REGIONAL DO AGRESTE DR.WALDEMIRO FERREIRA"/>
    <s v="Adesão"/>
    <s v="ARP.0004.00.2025.GOV.PROCAPE.PE"/>
    <s v="REGISTRO DE PREÇOS PARA EVENTUAL FORNECIMENTO DE MATERIAL DE CONSUMO HOSPITALAR (MATERIAL PENSO)"/>
    <m/>
    <d v="2025-06-12T00:00:00"/>
    <x v="1"/>
    <s v="Autorizada Sucesso"/>
    <s v="Concluído"/>
    <s v="Item atualizado"/>
    <m/>
    <s v="Concluído"/>
    <s v="Enviado ao NOF"/>
    <s v="2300001213.000189/2025-32"/>
    <m/>
  </r>
  <r>
    <x v="170"/>
    <x v="4"/>
    <s v="HOSPITAL REGIONAL DO AGRESTE DR.WALDEMIRO FERREIRA"/>
    <s v="Adesão"/>
    <s v="ARP.0050.00.2024.GOV.CISAM.PE"/>
    <s v="REGISTRO DE PREÇO PARA FORNECIMENTO EVENTUAL DE MATERIAL MÉDICO-HOSPITALAR (AVENTAL CIRÚRGICO MANGA LONGA, AVENTAL SEM MANGA, MASCARA CIRÚRGICA DESCARTÁVEL, MASCARA N95, AGULHA PERIDURAL, FÓRCEPS EXTRATOR OBSTÉTRICO À VÁCUO, CATÉTER CENTRAL DUPLO LÚMEN 7F"/>
    <m/>
    <d v="2025-05-22T00:00:00"/>
    <x v="0"/>
    <s v="Cancelada por fim vigencia ATA"/>
    <s v="Cancelado"/>
    <s v="Item atualizado"/>
    <m/>
    <s v="Cancelado"/>
    <s v="SEI não localizado"/>
    <m/>
    <m/>
  </r>
  <r>
    <x v="171"/>
    <x v="1"/>
    <s v="HOSPITAL REGIONAL DO AGRESTE DR.WALDEMIRO FERREIRA"/>
    <s v="Adesão"/>
    <s v="ARP.0108.01.2024.GOV.HUOC.PE"/>
    <s v="Registro de Preços para a eventual fornecimento de materiais de escritório (SEI Nº 0040609438.000027/2024-03)"/>
    <m/>
    <d v="2025-06-20T00:00:00"/>
    <x v="1"/>
    <s v="Autorizada Sucesso"/>
    <s v="Concluído"/>
    <s v="Item atualizado"/>
    <m/>
    <s v="Concluído"/>
    <s v="Enviado ao NOF"/>
    <s v="2300002544.000059/2025-11"/>
    <m/>
  </r>
  <r>
    <x v="172"/>
    <x v="6"/>
    <s v="HOSPITAL REGIONAL DO AGRESTE DR.WALDEMIRO FERREIRA"/>
    <s v="Adesão"/>
    <s v="ARP.0004.00.2025.GOV.PROCAPE.PE"/>
    <s v="REGISTRO DE PREÇOS PARA EVENTUAL FORNECIMENTO DE MATERIAL DE CONSUMO HOSPITALAR (MATERIAL PENSO)"/>
    <s v="NAEN"/>
    <d v="2025-05-28T00:00:00"/>
    <x v="0"/>
    <s v="Em configuração"/>
    <s v="Cancelar Com o Suporte"/>
    <s v="Item atualizado"/>
    <m/>
    <s v="Cancelar Com o Suporte"/>
    <s v="SEI não localizado"/>
    <m/>
    <m/>
  </r>
  <r>
    <x v="173"/>
    <x v="9"/>
    <s v="HOSPITAL REGIONAL DO AGRESTE DR.WALDEMIRO FERREIRA"/>
    <s v="Adesão"/>
    <s v="ARP.0044.00.2024.GOV.HR.PE"/>
    <s v="PREGÃO ELETRÔNICO PARA REGISTRO DE PREÇOS COM VALIDADE DE 12 (DOZE) MESES PARA EVENTUAL FORNECIMENTO DE MATERIAIS PARA DESINFECÇÃO E BIOSSEGURANÇA VISANDO ATENDER AS NECESSIDADES DO HOSPITAL DA RESTAURAÇÃO E HOSPITAL AGAMENOM MAGALHÃES"/>
    <m/>
    <d v="2025-05-29T00:00:00"/>
    <x v="1"/>
    <s v="Autorizada Sucesso"/>
    <s v="Concluído"/>
    <s v="Item atualizado"/>
    <m/>
    <s v="Concluído"/>
    <s v="Enviado ao NOF"/>
    <s v="2300001213.000117/2025-95"/>
    <m/>
  </r>
  <r>
    <x v="174"/>
    <x v="5"/>
    <s v="HOSPITAL REGIONAL DO AGRESTE DR.WALDEMIRO FERREIRA"/>
    <s v="Adesão"/>
    <s v="ARP.0013.02.2025.GOV.HOF.PE"/>
    <s v="REGISTRO DE PREÇOS PARA O FORNECIMENTO DE DISPOSITIVOS MÉDICOS DO TIPO INSUMOS PARA OXIGENOTERAPIA, VISANDO ATENDER AS NECESSIDADES DO HOSPITAL OTÁVIO DE FREITAS."/>
    <m/>
    <d v="2025-05-22T00:00:00"/>
    <x v="0"/>
    <s v="Cancelada Sucesso"/>
    <s v="Cancelado"/>
    <s v="Item atualizado"/>
    <m/>
    <s v="Cancelado"/>
    <s v="SEI não localizado"/>
    <m/>
    <m/>
  </r>
  <r>
    <x v="175"/>
    <x v="6"/>
    <s v="HOSPITAL REGIONAL DO AGRESTE DR.WALDEMIRO FERREIRA"/>
    <s v="Adesão"/>
    <s v="ARP.0005.09.2025.GOV.PROCAPE.PE"/>
    <s v="REGISTRO DE PREÇOS PARA EVENTUAL FORNECIMENTO DE MATERIAL DE CONSUMO HOSPITALAR (MATERIAL PENSO)"/>
    <s v="NAEN"/>
    <d v="2025-06-20T00:00:00"/>
    <x v="0"/>
    <s v="Em configuração"/>
    <s v="Cancelar Com o Suporte"/>
    <s v="Item atualizado"/>
    <m/>
    <s v="Cancelar Com o Suporte"/>
    <s v="SEI não localizado"/>
    <m/>
    <m/>
  </r>
  <r>
    <x v="176"/>
    <x v="9"/>
    <s v="HOSPITAL REGIONAL DO AGRESTE DR.WALDEMIRO FERREIRA"/>
    <s v="Adesão"/>
    <s v="ARP.0004.00.2025.GOV.HR.PE"/>
    <s v="Formação de Ata de Registro de Preços para o fornecimento eventual de produtos médicos (MATERIAL MÉDICO HOSPITALAR), com cessão de equipamentos em regime de comodato, visando atender as necessidades do Hospital da Restauração Gov. Paulo Guerra."/>
    <s v="NAEN"/>
    <d v="2025-06-03T00:00:00"/>
    <x v="1"/>
    <s v="Autorizada Sucesso"/>
    <s v="Concluído"/>
    <s v="Item atualizado"/>
    <m/>
    <s v="Em andamento"/>
    <s v="Enviado a GCONTRATOS"/>
    <s v="2300001213.000130/2025-44"/>
    <m/>
  </r>
  <r>
    <x v="177"/>
    <x v="1"/>
    <s v="HOSPITAL REGIONAL DO AGRESTE DR.WALDEMIRO FERREIRA"/>
    <s v="Adesão"/>
    <s v="ARP.0070.00.2024.GOV.HUOC.PE"/>
    <s v="Registro de Preços para a eventual fornecimento de MATERIAIS MÉDICOS HOSPITALARES - LANCETA E AGULHA DE BOTOX DESCARTÁVEIS (SEI Nº 0040609912.000045/2024-34)"/>
    <m/>
    <d v="2025-05-28T00:00:00"/>
    <x v="1"/>
    <s v="Autorizada Sucesso"/>
    <s v="Cancelar Com o Suporte"/>
    <s v="Item atualizado"/>
    <m/>
    <s v="Cancelar Com o Suporte"/>
    <s v="Enviado a SADM SUPRI"/>
    <s v="2300001213.000082/2025-94"/>
    <m/>
  </r>
  <r>
    <x v="178"/>
    <x v="15"/>
    <s v="HOSPITAL REGIONAL DO AGRESTE DR.WALDEMIRO FERREIRA"/>
    <s v="Adesão"/>
    <s v="ARP.0028.06.2024.GOV.HEMOPE.PE"/>
    <s v="Registro de Preços para eventual fornecimento de Medicamentos Grupo A - Antimicrobianos 2023 visando atender as necessidades do Hospital HEMOPE – Fundação de Hematologia e Hemoterapia de Pernambuco."/>
    <m/>
    <d v="2025-05-26T00:00:00"/>
    <x v="1"/>
    <s v="Autorizada Sucesso"/>
    <s v="Concluído"/>
    <s v="Item atualizado"/>
    <m/>
    <s v="Concluído"/>
    <s v="Enviado ao NOF"/>
    <s v="2300001213.000127/2025-21"/>
    <m/>
  </r>
  <r>
    <x v="179"/>
    <x v="6"/>
    <s v="HOSPITAL REGIONAL DO AGRESTE DR.WALDEMIRO FERREIRA"/>
    <s v="Adesão"/>
    <s v="ARP.0005.09.2025.GOV.PROCAPE.PE"/>
    <s v="REGISTRO DE PREÇOS PARA EVENTUAL FORNECIMENTO DE MATERIAL DE CONSUMO HOSPITALAR (MATERIAL PENSO)"/>
    <m/>
    <d v="2025-06-20T00:00:00"/>
    <x v="0"/>
    <s v="Cancelada"/>
    <s v="Cancelado"/>
    <s v="Item não atualizado"/>
    <m/>
    <s v="Cancelado"/>
    <s v="SEI não localizado"/>
    <m/>
    <m/>
  </r>
  <r>
    <x v="180"/>
    <x v="6"/>
    <s v="HOSPITAL REGIONAL DO AGRESTE DR.WALDEMIRO FERREIRA"/>
    <s v="Adesão"/>
    <s v="ARP.0103.00.2024.GOV.PROCAPE.PE"/>
    <s v="REGISTRO DE PREÇOS PARA EVENTUAL FORNECIMENTO DE MATERIAL DE CONSUMO HOSPITALAR (MEDICAMENTOS)"/>
    <m/>
    <d v="2025-06-03T00:00:00"/>
    <x v="1"/>
    <s v="Autorizada Sucesso"/>
    <s v="Concluído"/>
    <s v="Item atualizado"/>
    <m/>
    <s v="Concluído"/>
    <s v="Enviado ao NOF"/>
    <s v="2300001213.000140/2025-80"/>
    <m/>
  </r>
  <r>
    <x v="181"/>
    <x v="6"/>
    <s v="HOSPITAL REGIONAL DO AGRESTE DR.WALDEMIRO FERREIRA"/>
    <s v="Adesão"/>
    <s v="ARP.0029.06.2025.GOV.PROCAPE.PE"/>
    <s v="REGISTRO DE PREÇOS PARA EVENTUAL FORNECIMENTO DE MATERIAL DE CONSUMO HOSPITALAR (MATERIAL PENSO)"/>
    <m/>
    <d v="2025-06-16T00:00:00"/>
    <x v="1"/>
    <s v="Autorizada Sucesso"/>
    <s v="Concluído"/>
    <s v="Item atualizado"/>
    <m/>
    <s v="Concluído"/>
    <s v="Enviado ao NOF"/>
    <s v="2300001213.000113/2025-15"/>
    <m/>
  </r>
  <r>
    <x v="182"/>
    <x v="5"/>
    <s v="HOSPITAL REGIONAL DO AGRESTE DR.WALDEMIRO FERREIRA"/>
    <s v="Adesão"/>
    <s v="ARP.0013.06.2025.GOV.HOF.PE"/>
    <s v="REGISTRO DE PREÇOS PARA O FORNECIMENTO DE DISPOSITIVOS MÉDICOS DO TIPO INSUMOS PARA OXIGENOTERAPIA, VISANDO ATENDER AS NECESSIDADES DO HOSPITAL OTÁVIO DE FREITAS."/>
    <m/>
    <d v="2025-06-03T00:00:00"/>
    <x v="1"/>
    <s v="Autorizada Sucesso"/>
    <s v="Concluído"/>
    <s v="Item atualizado"/>
    <m/>
    <s v="Concluído"/>
    <s v="Enviado ao NOF"/>
    <s v="2300001213.000132/2025-33"/>
    <m/>
  </r>
  <r>
    <x v="183"/>
    <x v="1"/>
    <s v="HOSPITAL REGIONAL DO AGRESTE DR.WALDEMIRO FERREIRA"/>
    <s v="Adesão"/>
    <s v="ARP.0012.02.2025.GOV.HUOC.PE"/>
    <s v="Registro de Preço para o eventual fornecimento de REAGENTES E OUTROS INSUMOS DESTINADOS A AGÊNCIA TRANSFUSIONAL COM CESSÃO DE EQUIPAMENTOS A TÍTULO DE COMODATO, visando atender a necessidade das Unidades do Complexo Hospitalar da UPE - UCH/UPE (SEI Nº 004"/>
    <m/>
    <d v="2025-06-04T00:00:00"/>
    <x v="0"/>
    <s v="Cancelada Sucesso"/>
    <s v="Cancelado"/>
    <s v="Item atualizado"/>
    <m/>
    <s v="Cancelado"/>
    <s v="SEI não localizado"/>
    <m/>
    <m/>
  </r>
  <r>
    <x v="184"/>
    <x v="7"/>
    <s v="HOSPITAL REGIONAL DO AGRESTE DR.WALDEMIRO FERREIRA"/>
    <s v="Adesão"/>
    <s v="ARP.0010.01.2025.GOV.HGV.PE"/>
    <s v="Formação de Registro de Preço, para eventual fornecimento de Produtos para Saúde (Luvas Descartáveis), visando atender as necessidades dos Hospitais Getúlio Vargas, Agamenon Magalhaes e Restauração."/>
    <m/>
    <d v="2025-06-17T00:00:00"/>
    <x v="1"/>
    <s v="Autorizada Sucesso"/>
    <s v="Concluído"/>
    <s v="Item atualizado"/>
    <m/>
    <s v="Concluído"/>
    <s v="Enviado ao NOF"/>
    <s v="2300001213.000129/2025-10"/>
    <m/>
  </r>
  <r>
    <x v="185"/>
    <x v="0"/>
    <s v="HOSPITAL REGIONAL DO AGRESTE DR.WALDEMIRO FERREIRA"/>
    <s v="Adesão"/>
    <s v="ARP.0009.00.2025.GOV.FES-PE.PE"/>
    <s v="Registro de Preços para aquisição de Material Médico Hospitalar - Luvas (Unificado)"/>
    <m/>
    <d v="2025-06-20T00:00:00"/>
    <x v="1"/>
    <s v="Autorizada Sucesso"/>
    <s v="Concluído"/>
    <s v="Item atualizado"/>
    <m/>
    <s v="Em andamento"/>
    <s v="Enviado a GCONTRATOS"/>
    <s v="2300001213.000188/2025-98"/>
    <m/>
  </r>
  <r>
    <x v="186"/>
    <x v="7"/>
    <s v="HOSPITAL REGIONAL DO AGRESTE DR.WALDEMIRO FERREIRA"/>
    <s v="Adesão"/>
    <s v="ARP.0008.05.2025.GOV.HGV.PE"/>
    <s v="Registro de Preços para o fornecimento eventual de MATERIAIS ESPECIAIS PARA ENDOSCOPIA"/>
    <s v="NSADRE"/>
    <d v="2025-06-05T00:00:00"/>
    <x v="0"/>
    <s v="Cancelada"/>
    <s v="Cancelado"/>
    <s v="Item não atualizado"/>
    <m/>
    <s v="Cancelado"/>
    <s v="SEI não localizado"/>
    <m/>
    <m/>
  </r>
  <r>
    <x v="187"/>
    <x v="21"/>
    <s v="HOSPITAL REGIONAL DO AGRESTE DR.WALDEMIRO FERREIRA"/>
    <s v="Adesão"/>
    <s v="ARP.0004.00.2025.EXT.161458.BA"/>
    <s v="AQUISIÇÃO DE MEDICAMENTOS"/>
    <m/>
    <d v="2025-06-13T00:00:00"/>
    <x v="1"/>
    <s v="Autorizada Integrado"/>
    <s v="Concluído"/>
    <s v="Item atualizado"/>
    <s v="Jean"/>
    <s v="Em andamento"/>
    <s v="Enviado a NFOCPO"/>
    <s v="2300001213.000164/2025-39"/>
    <m/>
  </r>
  <r>
    <x v="188"/>
    <x v="0"/>
    <s v="HOSPITAL REGIONAL DO AGRESTE DR.WALDEMIRO FERREIRA"/>
    <s v="Adesão"/>
    <s v="ARP.0084.02.2024.GOV.FES-PE.PE"/>
    <s v="Registro de Preços para o eventual fornecimento de EQUIPAMENTOS MÉDICO-HOSPITALARES, visando atender as necessidades da Secretaria Estadual de Saúde de Pernambuco (SES/PE), nos termos da legislação vigente e do Documento de Formalização da Demanda present"/>
    <m/>
    <d v="2025-06-10T00:00:00"/>
    <x v="1"/>
    <s v="Autorizada Sucesso"/>
    <s v="Concluído"/>
    <s v="Item atualizado"/>
    <m/>
    <s v="Concluído"/>
    <s v="Enviado ao NOF"/>
    <s v="2300001205.000009/2025-11"/>
    <m/>
  </r>
  <r>
    <x v="189"/>
    <x v="1"/>
    <s v="HOSPITAL REGIONAL DO AGRESTE DR.WALDEMIRO FERREIRA"/>
    <s v="Adesão"/>
    <s v="ARP.0069.00.2024.GOV.HUOC.PE"/>
    <s v="REGISTRO DE PREÇO para eventual fornecimento de CURATIVOS HOSPITALARES (SEI Nº 0040609459.000025/2023-87)"/>
    <m/>
    <d v="2025-06-17T00:00:00"/>
    <x v="0"/>
    <s v="Cancelada"/>
    <s v="Cancelado"/>
    <s v="Item não atualizado"/>
    <m/>
    <s v="Cancelado"/>
    <s v="SEI não localizado"/>
    <m/>
    <m/>
  </r>
  <r>
    <x v="190"/>
    <x v="6"/>
    <s v="HOSPITAL REGIONAL DO AGRESTE DR.WALDEMIRO FERREIRA"/>
    <s v="Adesão"/>
    <s v="ARP.0051.00.2025.GOV.PROCAPE.PE"/>
    <s v="REGISTRO DE PREÇOS PARA EVENTUAL FORNECIMENTO DE MATERIAL DE CONSUMO HOSPITALAR (MATERIAL PENSO)"/>
    <m/>
    <d v="2025-06-09T00:00:00"/>
    <x v="1"/>
    <s v="Autorizada Sucesso"/>
    <s v="Concluído"/>
    <s v="Item atualizado"/>
    <m/>
    <s v="Concluído"/>
    <s v="Enviado ao NOF"/>
    <s v="2300001213.000155/2025-48"/>
    <m/>
  </r>
  <r>
    <x v="191"/>
    <x v="1"/>
    <s v="HOSPITAL REGIONAL DO AGRESTE DR.WALDEMIRO FERREIRA"/>
    <s v="Adesão"/>
    <s v="ARP.0034.00.2025.GOV.HUOC.PE"/>
    <s v="Registro de Preços para o eventual fornecimento de MATERIAIS MÉDICOS HOSPITALARES - SERINGAS E AGULHAS DESCARTÁVEIS DIVERSAS (SEI 0040609912.000054/2024-25)"/>
    <m/>
    <d v="2025-06-09T00:00:00"/>
    <x v="1"/>
    <s v="Autorizada Sucesso"/>
    <s v="Concluído"/>
    <s v="Item atualizado"/>
    <m/>
    <s v="Concluído"/>
    <s v="Enviado ao NOF"/>
    <s v="2300001213.000167/2025-72"/>
    <m/>
  </r>
  <r>
    <x v="192"/>
    <x v="7"/>
    <s v="HOSPITAL REGIONAL DO AGRESTE DR.WALDEMIRO FERREIRA"/>
    <s v="Adesão"/>
    <s v="ARP.0021.00.2024.GOV.HGV.PE"/>
    <s v="Registro de Preços para o eventual fornecimento de MATERIAIS ESPECIAIS PARA NEUROCIRURGIA, SOB SISTEMA DE CONSIGNAÇÃO, por um período de 12 meses, visando atender as necessidades do HOSPITAL GETÚLIO VARGAS."/>
    <s v="NFOCPO"/>
    <d v="2025-05-19T00:00:00"/>
    <x v="0"/>
    <s v="Cancelada por fim vigencia ATA"/>
    <s v="Cancelado"/>
    <s v="Item atualizado"/>
    <m/>
    <s v="Cancelado"/>
    <s v="SEI não localizado"/>
    <m/>
    <m/>
  </r>
  <r>
    <x v="193"/>
    <x v="9"/>
    <s v="HOSPITAL REGIONAL DO AGRESTE DR.WALDEMIRO FERREIRA"/>
    <s v="Adesão"/>
    <s v="ARP.0010.00.2025.GOV.HR.PE"/>
    <s v="Registro de Preços para o fornecimento eventual de BENS (MATERIAL E UTENSÍLIO CULINÁRIO DE USO DOMESTICO E PESSOAL), visando atender as necessidades do Hospital da Restauração e do Hospital Agamenon Magalhães"/>
    <m/>
    <d v="2025-06-18T00:00:00"/>
    <x v="1"/>
    <s v="Autorizada Sucesso"/>
    <s v="Concluído"/>
    <s v="Item atualizado"/>
    <m/>
    <s v="Concluído"/>
    <s v="Enviado ao NOF"/>
    <s v="2300002544.000057/2025-21"/>
    <m/>
  </r>
  <r>
    <x v="194"/>
    <x v="7"/>
    <s v="HOSPITAL REGIONAL DO AGRESTE DR.WALDEMIRO FERREIRA"/>
    <s v="Adesão"/>
    <s v="ARP.0008.05.2025.GOV.HGV.PE"/>
    <s v="Registro de Preços para o fornecimento eventual de MATERIAIS ESPECIAIS PARA ENDOSCOPIA"/>
    <m/>
    <d v="2025-06-05T00:00:00"/>
    <x v="1"/>
    <s v="Autorizada Sucesso"/>
    <s v="Concluído"/>
    <s v="Item atualizado"/>
    <m/>
    <s v="Em andamento"/>
    <s v="Enviado a NFOCPO"/>
    <s v="2300002544.000060/2025-45"/>
    <m/>
  </r>
  <r>
    <x v="195"/>
    <x v="6"/>
    <s v="HOSPITAL REGIONAL DO AGRESTE DR.WALDEMIRO FERREIRA"/>
    <s v="Adesão"/>
    <s v="ARP.0006.03.2025.GOV.PROCAPE.PE"/>
    <s v="REGISTRO DE PREÇOS PARA EVENTUAL FORNECIMENTO DE MATERIAL DE CONSUMO HOSPITALAR (MEDICAMENTOS)"/>
    <m/>
    <d v="2025-06-17T00:00:00"/>
    <x v="0"/>
    <s v="Cancelada Sucesso"/>
    <s v="Cancelado"/>
    <s v="Item atualizado"/>
    <m/>
    <s v="Cancelado"/>
    <s v="SEI não localizado"/>
    <m/>
    <m/>
  </r>
  <r>
    <x v="196"/>
    <x v="6"/>
    <s v="HOSPITAL REGIONAL DO AGRESTE DR.WALDEMIRO FERREIRA"/>
    <s v="Adesão"/>
    <s v="ARP.0045.02.2025.GOV.PROCAPE.PE"/>
    <s v="REGISTRO DE PREÇOS PARA EVENTUAL FORNECIMENTO DE MATERIAL DE CONSUMO HOSPITALAR (MATERIAL PENSO)"/>
    <m/>
    <d v="2025-06-12T00:00:00"/>
    <x v="0"/>
    <s v="Cancelada Sucesso"/>
    <s v="Cancelado"/>
    <s v="Item atualizado"/>
    <m/>
    <s v="Cancelado"/>
    <s v="SEI não localizado"/>
    <m/>
    <m/>
  </r>
  <r>
    <x v="197"/>
    <x v="6"/>
    <s v="HOSPITAL REGIONAL DO AGRESTE DR.WALDEMIRO FERREIRA"/>
    <s v="Adesão"/>
    <s v="ARP.0006.06.2025.GOV.PROCAPE.PE"/>
    <s v="REGISTRO DE PREÇOS PARA EVENTUAL FORNECIMENTO DE MATERIAL DE CONSUMO HOSPITALAR (MEDICAMENTOS)"/>
    <m/>
    <d v="2025-06-03T00:00:00"/>
    <x v="1"/>
    <s v="Autorizada Sucesso"/>
    <s v="Concluído"/>
    <s v="Item atualizado"/>
    <m/>
    <s v="Concluído"/>
    <s v="Enviado ao NOF"/>
    <s v="2300001213.000133/2025-88"/>
    <m/>
  </r>
  <r>
    <x v="198"/>
    <x v="15"/>
    <s v="HOSPITAL REGIONAL DO AGRESTE DR.WALDEMIRO FERREIRA"/>
    <s v="Adesão"/>
    <s v="ARP.0002.02.2025.GOV.HEMOPE.PE"/>
    <s v="Formação de Registro de Preços para o fornecimento eventual de Reagentes e Ponteiras para Testes Imuno-hematológicos, com Cessão em Comodato de Equipamentos e Fornecimento de Acessórios para Testes em Microtubos visando abastecimento do Hemocentro Recife "/>
    <m/>
    <d v="2025-05-19T00:00:00"/>
    <x v="1"/>
    <s v="Autorizada Sucesso"/>
    <s v="Concluído"/>
    <s v="Item atualizado"/>
    <m/>
    <s v="Concluído"/>
    <s v="Enviado ao NOF"/>
    <s v="2300002544.000055/2025-32"/>
    <m/>
  </r>
  <r>
    <x v="199"/>
    <x v="22"/>
    <s v="HOSPITAL REGIONAL DO AGRESTE DR.WALDEMIRO FERREIRA"/>
    <s v="Adesão"/>
    <s v="ARPC.0007.01.2024.GOV.SAD.PE"/>
    <s v="Formação de Registro de Preços Corporativo para o fornecimento eventual de material de higiene pessoal, visando atender as necessidades dos órgãos da Administração Direta, Autarquias e Fundações Públicas integrantes do Poder Executivo do Estado de Pernamb"/>
    <m/>
    <d v="2025-04-02T00:00:00"/>
    <x v="1"/>
    <s v="Autorizada Sucesso"/>
    <s v="Concluído"/>
    <s v="Item atualizado"/>
    <m/>
    <s v="Concluído"/>
    <s v="Enviado ao NOF"/>
    <s v="2300002544.000023/2025-37"/>
    <m/>
  </r>
  <r>
    <x v="200"/>
    <x v="9"/>
    <s v="HOSPITAL REGIONAL DO AGRESTE DR.WALDEMIRO FERREIRA"/>
    <s v="Adesão"/>
    <s v="ARP.0041.00.2024.GOV.HR.PE"/>
    <s v="Registro de Preços para o fornecimento eventual de PRODUTOS MÉDICOS (MATERIAL MÉDICO-HOSPITALAR PARA DRENAGEM E COLETA DE FLUIDOS CORPORAIS), visando atender as necessidades do HOSPITAL DA RESTAURAÇÃO GOV. PAULO GUERRA nos termos da legislação vigente e c"/>
    <m/>
    <d v="2025-03-19T00:00:00"/>
    <x v="1"/>
    <s v="Autorizada Sucesso"/>
    <s v="Concluído"/>
    <s v="Item atualizado"/>
    <m/>
    <s v="Concluído"/>
    <s v="Enviado ao NOF"/>
    <s v="2300001213.000008/2025-78"/>
    <m/>
  </r>
  <r>
    <x v="201"/>
    <x v="9"/>
    <s v="HOSPITAL REGIONAL DO AGRESTE DR.WALDEMIRO FERREIRA"/>
    <s v="Adesão"/>
    <s v="ARP.0028.00.2024.GOV.HR.PE"/>
    <s v="PREGÃO ELETRÓNICO para REGISTRO DE PREÇOS, com validade de 12 (doze) meses, para eventual fornecimento de BENS (MOBILIÁRIO HOSPITALAR), visando atender as necessidades do Hospital da Restauração."/>
    <m/>
    <d v="2025-04-30T00:00:00"/>
    <x v="0"/>
    <s v="Autorizada Sucesso"/>
    <s v="Cancelado"/>
    <s v="Item atualizado"/>
    <s v="Laís"/>
    <s v="Cancelado"/>
    <s v="Enviado a GCONTRATOS"/>
    <s v="2300002544.000018/2024-43"/>
    <s v="Processo Cancelado Devido a Perda do Prazo da Ata"/>
  </r>
  <r>
    <x v="202"/>
    <x v="5"/>
    <s v="HOSPITAL REGIONAL DO AGRESTE DR.WALDEMIRO FERREIRA"/>
    <s v="Adesão"/>
    <s v="ARP.0010.00.2024.GOV.HOF.PE"/>
    <s v="Registro de Preços para o eventual fornecimento de órtese e prótese e materiais especiais para cirurgias ortopédicas, por consignação, visando atender as necessidades do Hospital Otávio de Freitas"/>
    <m/>
    <d v="2025-05-05T00:00:00"/>
    <x v="0"/>
    <s v="Cancelada"/>
    <s v="Cancelado"/>
    <s v="Item não atualizado"/>
    <m/>
    <s v="Cancelado"/>
    <s v="SEI não localizado"/>
    <m/>
    <m/>
  </r>
  <r>
    <x v="203"/>
    <x v="7"/>
    <s v="HOSPITAL REGIONAL DO AGRESTE DR.WALDEMIRO FERREIRA"/>
    <s v="Adesão"/>
    <s v="ARP.0011.00.2024.GOV.HGV.PE"/>
    <s v="Formação de Registro de Preços para o eventual fornecimento de CURATIVOS ESPECIAIS, visando atender as necessidades dos Hospitais Getúlio Vargas, Agamenon"/>
    <m/>
    <d v="2025-03-20T00:00:00"/>
    <x v="0"/>
    <s v="Autorizada Sucesso"/>
    <s v="Cancelado"/>
    <s v="Item atualizado"/>
    <s v="Laís"/>
    <s v="Cancelado"/>
    <s v="Enviado a SADM SUPRI"/>
    <s v="2300001207.000120/2024-15"/>
    <s v="Processo Cancelado Devido a Perda do Prazo da Ata"/>
  </r>
  <r>
    <x v="204"/>
    <x v="5"/>
    <s v="HOSPITAL REGIONAL DO AGRESTE DR.WALDEMIRO FERREIRA"/>
    <s v="Adesão"/>
    <s v="ARP.0010.00.2024.GOV.HOF.PE"/>
    <s v="Registro de Preços para o eventual fornecimento de órtese e prótese e materiais especiais para cirurgias ortopédicas, por consignação, visando atender as necessidades do Hospital Otávio de Freitas"/>
    <m/>
    <d v="2025-04-29T00:00:00"/>
    <x v="0"/>
    <s v="Cancelada por fim vigencia ATA"/>
    <s v="Cancelado"/>
    <s v="Item atualizado"/>
    <m/>
    <s v="Cancelado"/>
    <s v="SEI não localizado"/>
    <m/>
    <m/>
  </r>
  <r>
    <x v="205"/>
    <x v="1"/>
    <s v="HOSPITAL REGIONAL DO AGRESTE DR.WALDEMIRO FERREIRA"/>
    <s v="Adesão"/>
    <s v="ARP.0110.08.2024.GOV.HUOC.PE"/>
    <s v="Registro de Preços para a eventual fornecimento de SOLUÇÕES ANTISEPTICAS E OUTRAS (SEI Nº 0040609437.000126/2024-97)"/>
    <m/>
    <d v="2025-03-24T00:00:00"/>
    <x v="1"/>
    <s v="Autorizada Sucesso"/>
    <s v="Concluído"/>
    <s v="Item atualizado"/>
    <m/>
    <s v="Concluído"/>
    <s v="Enviado ao NOF"/>
    <s v="2300001213.000555/2024-72"/>
    <m/>
  </r>
  <r>
    <x v="206"/>
    <x v="1"/>
    <s v="HOSPITAL REGIONAL DO AGRESTE DR.WALDEMIRO FERREIRA"/>
    <s v="Adesão"/>
    <s v="ARP.0089.01.2024.GOV.HUOC.PE"/>
    <s v="Registro de Preços para o fornecimento eventual de MEDICAMENTOS ANTIMICROBIANOS (SEI Nº 0040609437.000129/2024-21)"/>
    <m/>
    <d v="2025-04-30T00:00:00"/>
    <x v="0"/>
    <s v="Cancelada Sucesso"/>
    <s v="Cancelado"/>
    <s v="Item atualizado"/>
    <m/>
    <s v="Cancelado"/>
    <s v="SEI não localizado"/>
    <m/>
    <m/>
  </r>
  <r>
    <x v="207"/>
    <x v="9"/>
    <s v="HOSPITAL REGIONAL DO AGRESTE DR.WALDEMIRO FERREIRA"/>
    <s v="Adesão"/>
    <s v="ARP.0033.00.2024.GOV.HR.PE"/>
    <s v="Registro de Preços para o fornecimento eventual de BENS (MATERIAIS DE LIMPEZA E OUTROS), visando atender as necessidades do HOSPITAL DA RESTAURAÇÃO GOV. PAULO GUERRA"/>
    <m/>
    <d v="2025-04-01T00:00:00"/>
    <x v="1"/>
    <s v="Autorizada Sucesso"/>
    <s v="Concluído"/>
    <s v="Item atualizado"/>
    <m/>
    <s v="Concluído"/>
    <s v="Enviado ao NOF"/>
    <s v="2300002544.000027/2025-15"/>
    <m/>
  </r>
  <r>
    <x v="208"/>
    <x v="5"/>
    <s v="HOSPITAL REGIONAL DO AGRESTE DR.WALDEMIRO FERREIRA"/>
    <s v="Adesão"/>
    <s v="ARP.0010.00.2024.GOV.HOF.PE"/>
    <s v="Registro de Preços para o eventual fornecimento de órtese e prótese e materiais especiais para cirurgias ortopédicas, por consignação, visando atender as necessidades do Hospital Otávio de Freitas"/>
    <m/>
    <d v="2025-04-29T00:00:00"/>
    <x v="0"/>
    <s v="Cancelada"/>
    <s v="Cancelado"/>
    <s v="Item não atualizado"/>
    <m/>
    <s v="Cancelado"/>
    <s v="SEI não localizado"/>
    <m/>
    <m/>
  </r>
  <r>
    <x v="209"/>
    <x v="1"/>
    <s v="HOSPITAL REGIONAL DO AGRESTE DR.WALDEMIRO FERREIRA"/>
    <s v="Adesão"/>
    <s v="ARP.0089.01.2024.GOV.HUOC.PE"/>
    <s v="Registro de Preços para o fornecimento eventual de MEDICAMENTOS ANTIMICROBIANOS (SEI Nº 0040609437.000129/2024-21)"/>
    <m/>
    <d v="2025-04-22T00:00:00"/>
    <x v="0"/>
    <s v="Cancelada por fim vigencia ATA"/>
    <s v="Cancelado"/>
    <s v="Item atualizado"/>
    <m/>
    <s v="Cancelado"/>
    <s v="SEI não localizado"/>
    <m/>
    <m/>
  </r>
  <r>
    <x v="210"/>
    <x v="5"/>
    <s v="HOSPITAL REGIONAL DO AGRESTE DR.WALDEMIRO FERREIRA"/>
    <s v="Adesão"/>
    <s v="ARP.0010.00.2024.GOV.HOF.PE"/>
    <s v="Registro de Preços para o eventual fornecimento de órtese e prótese e materiais especiais para cirurgias ortopédicas, por consignação, visando atender as necessidades do Hospital Otávio de Freitas"/>
    <m/>
    <d v="2025-04-22T00:00:00"/>
    <x v="0"/>
    <s v="Cancelada por fim vigencia ATA"/>
    <s v="Cancelado"/>
    <s v="Item atualizado"/>
    <m/>
    <s v="Cancelado"/>
    <s v="SEI não localizado"/>
    <m/>
    <m/>
  </r>
  <r>
    <x v="211"/>
    <x v="1"/>
    <s v="HOSPITAL REGIONAL DO AGRESTE DR.WALDEMIRO FERREIRA"/>
    <s v="Adesão"/>
    <s v="ARP.0104.00.2024.GOV.HUOC.PE"/>
    <s v="Registro de Preços para eventual fornecimento de MATERIAIS DE HIGIENE PESSOAL - PAPEL TOALHA E SABONETE LÍQUIDO (SEI Nº 0040609405.000018/2024-91)"/>
    <m/>
    <d v="2025-04-24T00:00:00"/>
    <x v="1"/>
    <s v="Autorizada Sucesso"/>
    <s v="Concluído"/>
    <s v="Item atualizado"/>
    <m/>
    <s v="Concluído"/>
    <s v="Enviado ao NOF"/>
    <s v="2300002544.000040/2025-74"/>
    <m/>
  </r>
  <r>
    <x v="212"/>
    <x v="5"/>
    <s v="HOSPITAL REGIONAL DO AGRESTE DR.WALDEMIRO FERREIRA"/>
    <s v="Adesão"/>
    <s v="ARP.0010.00.2024.GOV.HOF.PE"/>
    <s v="Registro de Preços para o eventual fornecimento de órtese e prótese e materiais especiais para cirurgias ortopédicas, por consignação, visando atender as necessidades do Hospital Otávio de Freitas"/>
    <m/>
    <d v="2025-04-14T00:00:00"/>
    <x v="0"/>
    <s v="Cancelada por fim vigencia ATA"/>
    <s v="Cancelado"/>
    <s v="Item atualizado"/>
    <m/>
    <s v="Cancelado"/>
    <s v="SEI não localizado"/>
    <m/>
    <m/>
  </r>
  <r>
    <x v="213"/>
    <x v="5"/>
    <s v="HOSPITAL REGIONAL DO AGRESTE DR.WALDEMIRO FERREIRA"/>
    <s v="Adesão"/>
    <s v="ARP.0010.00.2024.GOV.HOF.PE"/>
    <s v="Registro de Preços para o eventual fornecimento de órtese e prótese e materiais especiais para cirurgias ortopédicas, por consignação, visando atender as necessidades do Hospital Otávio de Freitas"/>
    <m/>
    <d v="2025-04-09T00:00:00"/>
    <x v="0"/>
    <s v="Cancelada"/>
    <s v="Cancelado"/>
    <s v="Item não atualizado"/>
    <m/>
    <s v="Cancelado"/>
    <s v="SEI não localizado"/>
    <m/>
    <m/>
  </r>
  <r>
    <x v="214"/>
    <x v="0"/>
    <s v="HOSPITAL REGIONAL DO AGRESTE DR.WALDEMIRO FERREIRA"/>
    <s v="Adesão"/>
    <s v="ARP.0066.02.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5-04-01T00:00:00"/>
    <x v="1"/>
    <s v="Autorizada Sucesso"/>
    <s v="Concluído"/>
    <s v="Item atualizado"/>
    <m/>
    <s v="Concluído"/>
    <s v="Enviado ao NOF"/>
    <s v="2300002544.000003/2025-66"/>
    <m/>
  </r>
  <r>
    <x v="215"/>
    <x v="9"/>
    <s v="HOSPITAL REGIONAL DO AGRESTE DR.WALDEMIRO FERREIRA"/>
    <s v="Adesão"/>
    <s v="ARP.0022.00.2024.GOV.HR.PE"/>
    <s v="Pregão Eletrônico para Registro de Preços para fornecimento de PRODUTOS MÉDICOS (MATERIAL MÉDICO HOSPITALAR), visando atender as necessidades do Hospital da Restauração - HR/SES/PE."/>
    <m/>
    <d v="2025-05-05T00:00:00"/>
    <x v="0"/>
    <s v="Cancelada"/>
    <s v="Cancelado"/>
    <s v="Item não atualizado"/>
    <m/>
    <s v="Cancelado"/>
    <s v="SEI não localizado"/>
    <m/>
    <m/>
  </r>
  <r>
    <x v="216"/>
    <x v="22"/>
    <s v="HOSPITAL REGIONAL DO AGRESTE DR.WALDEMIRO FERREIRA"/>
    <s v="Adesão"/>
    <s v="ARPC.0026.00.2024.GOV.SAD.PE"/>
    <s v="Formação de Registro de Preços Corporativo para o fornecimento eventual de MATERIAL DE LIMPEZA, visando atender as necessidades dos órgãos da Administração Direta, dos Fundos Especiais, Autarquias e Fundações Públicas integrantes do Poder Executivo do Est"/>
    <m/>
    <d v="2025-04-10T00:00:00"/>
    <x v="0"/>
    <s v="Autorizada Sucesso"/>
    <s v="Cancelado"/>
    <s v="Item atualizado"/>
    <s v="Laís"/>
    <s v="Cancelado"/>
    <s v="Enviado a SADM SUPRI"/>
    <s v="2300002544.000028/2025-60"/>
    <s v="Processo Cancelado Devido a Perda do Prazo da Ata"/>
  </r>
  <r>
    <x v="217"/>
    <x v="1"/>
    <s v="HOSPITAL REGIONAL DO AGRESTE DR.WALDEMIRO FERREIRA"/>
    <s v="Adesão"/>
    <s v="ARP.0104.01.2024.GOV.HUOC.PE"/>
    <s v="Registro de Preços para eventual fornecimento de MATERIAIS DE HIGIENE PESSOAL - PAPEL TOALHA E SABONETE LÍQUIDO (SEI Nº 0040609405.000018/2024-91)"/>
    <m/>
    <d v="2025-05-05T00:00:00"/>
    <x v="1"/>
    <s v="Autorizada Sucesso"/>
    <s v="Concluído"/>
    <s v="Item atualizado"/>
    <m/>
    <s v="Concluído"/>
    <s v="Enviado ao NOF"/>
    <s v="2300002544.000036/2025-14"/>
    <m/>
  </r>
  <r>
    <x v="218"/>
    <x v="6"/>
    <s v="HOSPITAL REGIONAL DO AGRESTE DR.WALDEMIRO FERREIRA"/>
    <s v="Adesão"/>
    <s v="ARP.0091.06.2024.GOV.PROCAPE.PE"/>
    <s v="REGISTRO DE PREÇOS PARA EVENTUAL FORNECIMENTO DE MATERIAL DE CONSUMO HOSPITALAR (MEDICAMENTOS)"/>
    <m/>
    <d v="2025-03-27T00:00:00"/>
    <x v="1"/>
    <s v="Autorizada Sucesso"/>
    <s v="Concluído"/>
    <s v="Item atualizado"/>
    <m/>
    <s v="Concluído"/>
    <s v="Enviado ao NOF"/>
    <s v="2300001213.000065/2025-57"/>
    <m/>
  </r>
  <r>
    <x v="219"/>
    <x v="0"/>
    <s v="HOSPITAL REGIONAL DO AGRESTE DR.WALDEMIRO FERREIRA"/>
    <s v="Adesão"/>
    <s v="ARP.0066.02.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5-04-01T00:00:00"/>
    <x v="0"/>
    <s v="Cancelada por fim vigencia ATA"/>
    <s v="Cancelado"/>
    <s v="Item atualizado"/>
    <m/>
    <s v="Cancelado"/>
    <s v="SEI não localizado"/>
    <m/>
    <m/>
  </r>
  <r>
    <x v="220"/>
    <x v="4"/>
    <s v="HOSPITAL REGIONAL DO AGRESTE DR.WALDEMIRO FERREIRA"/>
    <s v="Adesão"/>
    <s v="ARP.0059.00.2024.GOV.CISAM.PE"/>
    <s v="REGISTRO DE PREÇOS PARA O FORNECIMENTO EVENTUAL DE MEDICAMENTOS (DIVERSOS) PARA O CISAM/UPE"/>
    <m/>
    <d v="2025-04-11T00:00:00"/>
    <x v="1"/>
    <s v="Autorizada Sucesso"/>
    <s v="Concluído"/>
    <s v="Item atualizado"/>
    <m/>
    <s v="Concluído"/>
    <s v="Enviado ao NOF"/>
    <s v="2300001213.000007/2025-23"/>
    <m/>
  </r>
  <r>
    <x v="221"/>
    <x v="6"/>
    <s v="HOSPITAL REGIONAL DO AGRESTE DR.WALDEMIRO FERREIRA"/>
    <s v="Adesão"/>
    <s v="ARP.0003.11.2025.GOV.PROCAPE.PE"/>
    <s v="REGISTRO DE PREÇOS PARA EVENTUAL FORNECIMENTO DE MATERIAL DE CONSUMO HOSPITALAR (MATERIAL PENSO)"/>
    <m/>
    <d v="2025-04-03T00:00:00"/>
    <x v="1"/>
    <s v="Autorizada Sucesso"/>
    <s v="Concluído"/>
    <s v="Item atualizado"/>
    <m/>
    <s v="Concluído"/>
    <s v="Enviado ao NOF"/>
    <s v="2300001213.000067/2025-46"/>
    <m/>
  </r>
  <r>
    <x v="222"/>
    <x v="6"/>
    <s v="HOSPITAL REGIONAL DO AGRESTE DR.WALDEMIRO FERREIRA"/>
    <s v="Adesão"/>
    <s v="ARP.0090.04.2024.GOV.PROCAPE.PE"/>
    <s v="REGISTRO DE PREÇOS PARA EVENTUAL FORNECIMENTO DE MATERIAL DE CONSUMO HOSPITALAR (MEDICAMENTOS)"/>
    <m/>
    <d v="2025-03-28T00:00:00"/>
    <x v="1"/>
    <s v="Autorizada Sucesso"/>
    <s v="Concluído"/>
    <s v="Item atualizado"/>
    <m/>
    <s v="Concluído"/>
    <s v="Enviado ao NOF"/>
    <s v="2300001213.000063/2025-68"/>
    <m/>
  </r>
  <r>
    <x v="223"/>
    <x v="9"/>
    <s v="HOSPITAL REGIONAL DO AGRESTE DR.WALDEMIRO FERREIRA"/>
    <s v="Adesão"/>
    <s v="ARP.0006.00.2025.GOV.HR.PE"/>
    <s v="Registro de Preços para o fornecimento de PRODUTOS MÉDICOS HOSPITALARES (CURATIVOS), visando atender as necessidades do Hospital da Restauração, nos termos da legislação vigente e conforme as condições, especificações, quantidades e exigências contidas ne"/>
    <m/>
    <d v="2025-04-09T00:00:00"/>
    <x v="1"/>
    <s v="Autorizada Sucesso"/>
    <s v="Concluído"/>
    <s v="Item atualizado"/>
    <m/>
    <s v="Concluído"/>
    <s v="Enviado ao NOF"/>
    <s v="2300002544.000030/2025-39"/>
    <m/>
  </r>
  <r>
    <x v="224"/>
    <x v="4"/>
    <s v="HOSPITAL REGIONAL DO AGRESTE DR.WALDEMIRO FERREIRA"/>
    <s v="Adesão"/>
    <s v="ARP.0005.05.2025.GOV.CISAM.PE"/>
    <s v="REGISTRO DE PREÇOS PARA FORNECIMENTO EVENTUAL DE MATERIAIS MÉDICO-HOSPITALARES (DIVERSOS), VISANDO ATENDER AS NECESSIDADES DO CISAM/UPE E DEMAIS ÓRGAOS PARTICIPANTES."/>
    <m/>
    <d v="2025-03-24T00:00:00"/>
    <x v="1"/>
    <s v="Autorizada Sucesso"/>
    <s v="Concluído"/>
    <s v="Item atualizado"/>
    <m/>
    <s v="Concluído"/>
    <s v="Enviado ao NOF"/>
    <s v="2300001213.000042/2025-42"/>
    <m/>
  </r>
  <r>
    <x v="225"/>
    <x v="1"/>
    <s v="HOSPITAL REGIONAL DO AGRESTE DR.WALDEMIRO FERREIRA"/>
    <s v="Adesão"/>
    <s v="ARP.0114.02.2024.GOV.HUOC.PE"/>
    <s v="Registro de Preços para a eventual fornecimento de MOBILIÁRIOS PARA AMBIENTES HOSPITALARES E AMBULATORIAIS (SEI Nº 0040609438.000033/2024-52)"/>
    <m/>
    <d v="2025-04-29T00:00:00"/>
    <x v="1"/>
    <s v="Autorizada Sucesso"/>
    <s v="Concluído"/>
    <s v="Item atualizado"/>
    <m/>
    <s v="Concluído"/>
    <s v="Enviado ao NOF"/>
    <s v="2300002544.000005/2025-55"/>
    <m/>
  </r>
  <r>
    <x v="226"/>
    <x v="1"/>
    <s v="HOSPITAL REGIONAL DO AGRESTE DR.WALDEMIRO FERREIRA"/>
    <s v="Adesão"/>
    <s v="ARP.0074.04.2024.GOV.HUOC.PE"/>
    <s v="REGISTRO DE PREÇO para eventual fornecimento de MATERIAIS MÉDICOS HOSPITALARES - SONDAS DE FOLEYS (SEI Nº 0040609459.000065/2023-29)"/>
    <m/>
    <d v="2025-03-24T00:00:00"/>
    <x v="1"/>
    <s v="Autorizada Sucesso"/>
    <s v="Concluído"/>
    <s v="Item atualizado"/>
    <m/>
    <s v="Concluído"/>
    <s v="Enviado ao NOF"/>
    <s v="2300001213.000010/2025-47"/>
    <m/>
  </r>
  <r>
    <x v="227"/>
    <x v="1"/>
    <s v="HOSPITAL REGIONAL DO AGRESTE DR.WALDEMIRO FERREIRA"/>
    <s v="Adesão"/>
    <s v="ARP.0074.01.2024.GOV.HUOC.PE"/>
    <s v="REGISTRO DE PREÇO para eventual fornecimento de MATERIAIS MÉDICOS HOSPITALARES - SONDAS DE FOLEYS (SEI Nº 0040609459.000065/2023-29)"/>
    <m/>
    <d v="2025-04-10T00:00:00"/>
    <x v="1"/>
    <s v="Autorizada Sucesso"/>
    <s v="Concluído"/>
    <s v="Item atualizado"/>
    <m/>
    <s v="Concluído"/>
    <s v="Enviado ao NOF"/>
    <s v="2300001213.000011/2025-91"/>
    <m/>
  </r>
  <r>
    <x v="228"/>
    <x v="4"/>
    <s v="HOSPITAL REGIONAL DO AGRESTE DR.WALDEMIRO FERREIRA"/>
    <s v="Adesão"/>
    <s v="ARP.0059.00.2024.GOV.CISAM.PE"/>
    <s v="REGISTRO DE PREÇOS PARA O FORNECIMENTO EVENTUAL DE MEDICAMENTOS (DIVERSOS) PARA O CISAM/UPE"/>
    <m/>
    <d v="2025-03-24T00:00:00"/>
    <x v="0"/>
    <s v="Cancelada"/>
    <s v="Cancelado"/>
    <s v="Item não atualizado"/>
    <m/>
    <s v="Cancelado"/>
    <s v="SEI não localizado"/>
    <m/>
    <m/>
  </r>
  <r>
    <x v="229"/>
    <x v="15"/>
    <s v="HOSPITAL REGIONAL DO AGRESTE DR.WALDEMIRO FERREIRA"/>
    <s v="Adesão"/>
    <s v="ARP.0027.02.2024.GOV.HEMOPE.PE"/>
    <s v="Formação de Registro de Preços para o fornecimento eventual de Reagentes Imunohematológicos: Antissoros, Soros, Albumina Bovina e Solução de Baixa Força Iônica visando atender as necessidades dos Laboratórios de Imunohematologia da Fundação HEMOPE e HEMOR"/>
    <m/>
    <d v="2025-05-15T00:00:00"/>
    <x v="1"/>
    <s v="Autorizada Sucesso"/>
    <s v="Concluído"/>
    <s v="Item atualizado"/>
    <m/>
    <s v="Concluído"/>
    <s v="Enviado ao NOF"/>
    <s v="2300002544.000046/2025-41"/>
    <m/>
  </r>
  <r>
    <x v="230"/>
    <x v="7"/>
    <s v="HOSPITAL REGIONAL DO AGRESTE DR.WALDEMIRO FERREIRA"/>
    <s v="Adesão"/>
    <s v="ARP.0020.00.2024.GOV.HGV.PE"/>
    <s v="FORMALIZAÇÃO DE ATA DE REGISTRO DE PREÇOS PARA AQUISIÇÃO DE PERFURADOR OSSEO PARA UTILIZAÇÃO EM CIRÚRGIAS TRAUMATO-ORTOPÉDICAS NO HOSPITAL GETÚLIO VARGAS."/>
    <m/>
    <d v="2025-04-24T00:00:00"/>
    <x v="1"/>
    <s v="Autorizada Sucesso"/>
    <s v="Concluído"/>
    <s v="Item atualizado"/>
    <m/>
    <s v="Concluído"/>
    <s v="Enviado ao NOF"/>
    <s v="2300001205.000038/2025-83"/>
    <m/>
  </r>
  <r>
    <x v="231"/>
    <x v="19"/>
    <s v="HOSPITAL REGIONAL DO AGRESTE DR.WALDEMIRO FERREIRA"/>
    <s v="Adesão"/>
    <s v="ARP.0007.00.2024.EXT.RN"/>
    <s v="Aquisição de Medicamentos - PENICILINAS E CEFALOSPORINAS nos termos da tabela abaixo, conforme condições e exigências estabelecidas neste instrumento."/>
    <m/>
    <d v="2025-05-14T00:00:00"/>
    <x v="1"/>
    <s v="Autorizada Integrado"/>
    <s v="Concluído"/>
    <s v="Item atualizado"/>
    <m/>
    <s v="Cancelado"/>
    <s v="Enviado a GCONTRATOS"/>
    <s v="2300001213.000105/2025-61"/>
    <s v="Processo cancelado por venciemento de Ata"/>
  </r>
  <r>
    <x v="232"/>
    <x v="23"/>
    <s v="HOSPITAL REGIONAL DO AGRESTE DR.WALDEMIRO FERREIRA"/>
    <s v="Adesão"/>
    <s v="ARP.0003.00.2024.EXT.AMGESP.AL"/>
    <s v="Registro de preços para a futura e eventual AQUISIÇÃO DE CORRELATOS (COLETORES E DRENOS) – PLS Nº 144/2023, especificado no Item de nº08 do Termo de Referência anexo ao Edital de Pregão Eletrônico nº AMGESP10.654/2023, que é parte integrante da Ata, assim"/>
    <m/>
    <d v="2025-03-26T00:00:00"/>
    <x v="1"/>
    <s v="Autorizada Integrado"/>
    <s v="Concluído"/>
    <s v="Item atualizado"/>
    <m/>
    <s v="Concluído"/>
    <s v="Enviado ao NOF"/>
    <s v="2300001207.000246/2024-81"/>
    <m/>
  </r>
  <r>
    <x v="233"/>
    <x v="10"/>
    <s v="HOSPITAL REGIONAL DO AGRESTE DR.WALDEMIRO FERREIRA"/>
    <s v="Adesão"/>
    <s v="ARP.0020.04.2024.GOV.HAM.PE"/>
    <s v="PREGÃO ELETRÔNICO PARA REGISTRO DE PREÇOS COM VALIDADE DE 12 (DOZE) MESES PARA EVENTUAL FORNECIMENTO DE MEDICAMENTOS, VISANDO ATENDER AS NECESSIDADES DO HOSPITAL AGAMENOM MAGALHÃES"/>
    <m/>
    <d v="2025-04-14T00:00:00"/>
    <x v="1"/>
    <s v="Autorizada Sucesso"/>
    <s v="Concluído"/>
    <s v="Item atualizado"/>
    <m/>
    <s v="Em andamento"/>
    <s v="Enviado a NFOCPO"/>
    <s v="2300001213.000048/2025-10"/>
    <m/>
  </r>
  <r>
    <x v="234"/>
    <x v="7"/>
    <s v="HOSPITAL REGIONAL DO AGRESTE DR.WALDEMIRO FERREIRA"/>
    <s v="Adesão"/>
    <s v="ARP.0002.01.2025.GOV.HGV.PE"/>
    <s v="Registro de Preços para o fornecimento eventual de EQUIPAMENTO MÉDICO, por um período de 12 meses, visando atender as necessidades do Hospital Getúlio Vargas."/>
    <m/>
    <d v="2025-05-08T00:00:00"/>
    <x v="1"/>
    <s v="Autorizada Sucesso"/>
    <s v="Concluído"/>
    <s v="Item atualizado"/>
    <m/>
    <s v="Concluído"/>
    <s v="Enviado ao NOF"/>
    <s v="2300001205.000036/2025-94"/>
    <m/>
  </r>
  <r>
    <x v="235"/>
    <x v="6"/>
    <s v="HOSPITAL REGIONAL DO AGRESTE DR.WALDEMIRO FERREIRA"/>
    <s v="Adesão"/>
    <s v="ARP.0093.03.2024.GOV.PROCAPE.PE"/>
    <s v="REGISTRO DE PREÇOS PARA EVENTUAL FORNECIMENTO DE MATERIAL DE CONSUMO HOSPITALAR (MEDICAMENTOS)"/>
    <m/>
    <d v="2025-04-15T00:00:00"/>
    <x v="1"/>
    <s v="Autorizada Sucesso"/>
    <s v="Concluído"/>
    <s v="Item atualizado"/>
    <m/>
    <s v="Concluído"/>
    <s v="Enviado ao NOF"/>
    <s v="2300001213.000066/2025-00"/>
    <m/>
  </r>
  <r>
    <x v="236"/>
    <x v="4"/>
    <s v="HOSPITAL REGIONAL DO AGRESTE DR.WALDEMIRO FERREIRA"/>
    <s v="Adesão"/>
    <s v="ARP.0093.00.2024.GOV.CISAM.PE"/>
    <s v="REGISTRO DE PREÇOS PARA O EVENTUAL FORNECIMENTO DE MEDICAMENTOS, VISANDO ATENDER AS NECESSIDADES DO CISAM/UPE E DEMAIS ÓRGÃOS PARTICIPANTES"/>
    <m/>
    <d v="2025-03-24T00:00:00"/>
    <x v="0"/>
    <s v="Cancelada Sucesso"/>
    <s v="Cancelado"/>
    <s v="Item atualizado"/>
    <m/>
    <s v="Cancelado"/>
    <s v="SEI não localizado"/>
    <m/>
    <m/>
  </r>
  <r>
    <x v="237"/>
    <x v="15"/>
    <s v="HOSPITAL REGIONAL DO AGRESTE DR.WALDEMIRO FERREIRA"/>
    <s v="Adesão"/>
    <s v="ARP.0027.01.2024.GOV.HEMOPE.PE"/>
    <s v="Formação de Registro de Preços para o fornecimento eventual de Reagentes Imunohematológicos: Antissoros, Soros, Albumina Bovina e Solução de Baixa Força Iônica visando atender as necessidades dos Laboratórios de Imunohematologia da Fundação HEMOPE e HEMOR"/>
    <m/>
    <d v="2025-05-15T00:00:00"/>
    <x v="1"/>
    <s v="Autorizada Sucesso"/>
    <s v="Concluído"/>
    <s v="Item atualizado"/>
    <m/>
    <s v="Concluído"/>
    <s v="Enviado ao NOF"/>
    <s v="2300002544.000039/2025-40"/>
    <m/>
  </r>
  <r>
    <x v="238"/>
    <x v="10"/>
    <s v="HOSPITAL REGIONAL DO AGRESTE DR.WALDEMIRO FERREIRA"/>
    <s v="Adesão"/>
    <s v="ARP.0020.03.2024.GOV.HAM.PE"/>
    <s v="PREGÃO ELETRÔNICO PARA REGISTRO DE PREÇOS COM VALIDADE DE 12 (DOZE) MESES PARA EVENTUAL FORNECIMENTO DE MEDICAMENTOS, VISANDO ATENDER AS NECESSIDADES DO HOSPITAL AGAMENOM MAGALHÃES"/>
    <m/>
    <d v="2025-05-19T00:00:00"/>
    <x v="1"/>
    <s v="Autorizada Sucesso"/>
    <s v="Concluído"/>
    <s v="Item atualizado"/>
    <m/>
    <s v="Concluído"/>
    <s v="Enviado ao NOF"/>
    <s v="2300002544.000043/2025-16"/>
    <m/>
  </r>
  <r>
    <x v="239"/>
    <x v="1"/>
    <s v="HOSPITAL REGIONAL DO AGRESTE DR.WALDEMIRO FERREIRA"/>
    <s v="Adesão"/>
    <s v="ARP.0012.00.2025.GOV.HUOC.PE"/>
    <s v="Registro de Preço para o eventual fornecimento de REAGENTES E OUTROS INSUMOS DESTINADOS A AGÊNCIA TRANSFUSIONAL COM CESSÃO DE EQUIPAMENTOS A TÍTULO DE COMODATO, visando atender a necessidade das Unidades do Complexo Hospitalar da UPE - UCH/UPE (SEI Nº 004"/>
    <m/>
    <d v="2025-05-12T00:00:00"/>
    <x v="1"/>
    <s v="Autorizada Sucesso"/>
    <s v="Concluído"/>
    <s v="Item atualizado"/>
    <m/>
    <s v="Concluído"/>
    <s v="Enviado ao NOF"/>
    <s v="2300002544.000042/2025-63"/>
    <m/>
  </r>
  <r>
    <x v="240"/>
    <x v="10"/>
    <s v="HOSPITAL REGIONAL DO AGRESTE DR.WALDEMIRO FERREIRA"/>
    <s v="Adesão"/>
    <s v="ARP.0011.00.2025.GOV.HAM.PE"/>
    <s v="REGISTRO DE PREÇOS PARA EVENTUAL FORNECIMENTO DE MATERIAL DE CONSUMO HOSPITALAR ( AQUISIÇÃO DE MATERIAL KIT DE CURATIVO P/ TERAPIA POR PRESSÃO NEGATIVA )"/>
    <m/>
    <d v="2025-04-01T00:00:00"/>
    <x v="0"/>
    <s v="Cancelada Sucesso"/>
    <s v="Cancelado"/>
    <s v="Item atualizado"/>
    <m/>
    <s v="Cancelado"/>
    <s v="SEI não localizado"/>
    <m/>
    <m/>
  </r>
  <r>
    <x v="241"/>
    <x v="7"/>
    <s v="HOSPITAL REGIONAL DO AGRESTE DR.WALDEMIRO FERREIRA"/>
    <s v="Adesão"/>
    <s v="ARP.0004.01.2025.GOV.HGV.PE"/>
    <s v="ormação de Registro de Preços para o eventual fornecimento eventual de MATERIAIS ESPECIAIS PARA NEUROCIRURGIA (VALVULAS), SOB SISTEMA DE CONSIGNAÇÃO, visando atender as necessidades do Hospital Getúlio Vargas, nos termos da legislação vigente e do Documen"/>
    <m/>
    <d v="2025-04-11T00:00:00"/>
    <x v="0"/>
    <s v="Cancelada"/>
    <s v="Cancelado"/>
    <s v="Item não atualizado"/>
    <m/>
    <s v="Cancelado"/>
    <s v="SEI não localizado"/>
    <m/>
    <m/>
  </r>
  <r>
    <x v="242"/>
    <x v="6"/>
    <s v="HOSPITAL REGIONAL DO AGRESTE DR.WALDEMIRO FERREIRA"/>
    <s v="Adesão"/>
    <s v="ARP.0109.00.2024.GOV.PROCAPE.PE"/>
    <s v="REGISTRO DE PREÇOS PARA EVENTUAL FORNECIMENTO DE MATERIAL DE CONSUMO HOSPITALAR (MATERIAL PENSO)"/>
    <m/>
    <d v="2025-04-11T00:00:00"/>
    <x v="1"/>
    <s v="Autorizada Sucesso"/>
    <s v="Concluído"/>
    <s v="Item atualizado"/>
    <m/>
    <s v="Concluído"/>
    <s v="Enviado ao NOF"/>
    <s v="2300001213.000061/2025-79"/>
    <m/>
  </r>
  <r>
    <x v="243"/>
    <x v="7"/>
    <s v="HOSPITAL REGIONAL DO AGRESTE DR.WALDEMIRO FERREIRA"/>
    <s v="Adesão"/>
    <s v="ARP.0015.00.2024.GOV.HGV.PE"/>
    <s v="Formação de Registro de Preços para eventual fornecimento de Material de órteses, próteses sob sistema de consignação (CIRURGIA DA COLUNA CERVICAL ANTERIOR e COLUNA CERVICAL POSTERIOR), para as cirurgias da clinica traumato-ortopedia, por um período de 12"/>
    <m/>
    <d v="2025-04-22T00:00:00"/>
    <x v="1"/>
    <s v="Autorizada Sucesso"/>
    <s v="Concluído"/>
    <s v="Item atualizado"/>
    <m/>
    <s v="Concluído"/>
    <s v="Enviado ao NOF"/>
    <s v="2300002544.000007/2025-44"/>
    <m/>
  </r>
  <r>
    <x v="244"/>
    <x v="7"/>
    <s v="HOSPITAL REGIONAL DO AGRESTE DR.WALDEMIRO FERREIRA"/>
    <s v="Adesão"/>
    <s v="ARP.0009.00.2025.GOV.HGV.PE"/>
    <s v="Formação de Registro de Preços para o fornecimento de OPME(s) do tipo GRAMPEADOR CIRURGICO, visando atender as necessidades dos HOSPITAL GETULIO VARGAS, conforme as condições, especificações, quantidades e exigências contidas no anexo I do Edital."/>
    <m/>
    <d v="2025-05-12T00:00:00"/>
    <x v="1"/>
    <s v="Autorizada Sucesso"/>
    <s v="Concluído"/>
    <s v="Item atualizado"/>
    <m/>
    <s v="Em andamento"/>
    <s v="Enviado a NFOCPO"/>
    <s v="2300002544.000038/2025-03"/>
    <m/>
  </r>
  <r>
    <x v="245"/>
    <x v="4"/>
    <s v="HOSPITAL REGIONAL DO AGRESTE DR.WALDEMIRO FERREIRA"/>
    <s v="Adesão"/>
    <s v="ARP.0008.00.2025.GOV.CISAM.PE"/>
    <s v="REGISTRO DE PREÇOS PARA FORNECIMENTO EVENTUAL DE PULSEIRA DE IDENTIFICAÇÃO DE PACIENTES COM CESSÃO EM REGIME DE COMODATO DE IMPRESSORA TÉRMICA SEM ÔNUS PARA O CISAM"/>
    <m/>
    <d v="2025-04-03T00:00:00"/>
    <x v="1"/>
    <s v="Autorizada Sucesso"/>
    <s v="Concluído"/>
    <s v="Item atualizado"/>
    <m/>
    <s v="Concluído"/>
    <s v="Enviado ao NOF"/>
    <s v="2300002544.000025/2025-26"/>
    <m/>
  </r>
  <r>
    <x v="246"/>
    <x v="6"/>
    <s v="HOSPITAL REGIONAL DO AGRESTE DR.WALDEMIRO FERREIRA"/>
    <s v="Adesão"/>
    <s v="ARP.0006.04.2025.GOV.PROCAPE.PE"/>
    <s v="REGISTRO DE PREÇOS PARA EVENTUAL FORNECIMENTO DE MATERIAL DE CONSUMO HOSPITALAR (MEDICAMENTOS)"/>
    <m/>
    <d v="2025-04-24T00:00:00"/>
    <x v="1"/>
    <s v="Autorizada Sucesso"/>
    <s v="Concluído"/>
    <s v="Item atualizado"/>
    <m/>
    <s v="Concluído"/>
    <s v="Enviado ao NOF"/>
    <s v="2300001213.000068/2025-91"/>
    <m/>
  </r>
  <r>
    <x v="247"/>
    <x v="7"/>
    <s v="HOSPITAL REGIONAL DO AGRESTE DR.WALDEMIRO FERREIRA"/>
    <s v="Adesão"/>
    <s v="ARP.0004.01.2025.GOV.HGV.PE"/>
    <s v="ormação de Registro de Preços para o eventual fornecimento eventual de MATERIAIS ESPECIAIS PARA NEUROCIRURGIA (VALVULAS), SOB SISTEMA DE CONSIGNAÇÃO, visando atender as necessidades do Hospital Getúlio Vargas, nos termos da legislação vigente e do Documen"/>
    <m/>
    <d v="2025-03-24T00:00:00"/>
    <x v="1"/>
    <s v="Autorizada Sucesso"/>
    <s v="Concluído"/>
    <s v="Item atualizado"/>
    <m/>
    <s v="Concluído"/>
    <s v="Enviado ao NOF"/>
    <s v="2300002544.000013/2025-00"/>
    <m/>
  </r>
  <r>
    <x v="248"/>
    <x v="7"/>
    <s v="HOSPITAL REGIONAL DO AGRESTE DR.WALDEMIRO FERREIRA"/>
    <s v="Adesão"/>
    <s v="ARP.0004.00.2025.GOV.HGV.PE"/>
    <s v="ormação de Registro de Preços para o eventual fornecimento eventual de MATERIAIS ESPECIAIS PARA NEUROCIRURGIA (VALVULAS), SOB SISTEMA DE CONSIGNAÇÃO, visando atender as necessidades do Hospital Getúlio Vargas, nos termos da legislação vigente e do Documen"/>
    <m/>
    <d v="2025-05-09T00:00:00"/>
    <x v="1"/>
    <s v="Autorizada Sucesso"/>
    <s v="Concluído"/>
    <s v="Item atualizado"/>
    <m/>
    <s v="Em andamento"/>
    <s v="Enviado a NFOCPO"/>
    <s v="2300002544.000031/2025-83"/>
    <m/>
  </r>
  <r>
    <x v="249"/>
    <x v="22"/>
    <s v="HOSPITAL REGIONAL DO AGRESTE DR.WALDEMIRO FERREIRA"/>
    <s v="Adesão"/>
    <s v="ARPC.0007.00.2024.GOV.SAD.PE"/>
    <s v="Formação de Registro de Preços Corporativo para o fornecimento eventual de material de higiene pessoal, visando atender as necessidades dos órgãos da Administração Direta, Autarquias e Fundações Públicas integrantes do Poder Executivo do Estado de Pernamb"/>
    <m/>
    <d v="2025-02-18T00:00:00"/>
    <x v="1"/>
    <s v="Autorizada Sucesso"/>
    <s v="Concluído"/>
    <s v="Item atualizado"/>
    <m/>
    <s v="Concluído"/>
    <s v="Enviado ao NOF"/>
    <s v="2300002544.000004/2025-19"/>
    <m/>
  </r>
  <r>
    <x v="250"/>
    <x v="4"/>
    <s v="HOSPITAL REGIONAL DO AGRESTE DR.WALDEMIRO FERREIRA"/>
    <s v="Adesão"/>
    <s v="ARP.0030.01.2024.GOV.CISAM.PE"/>
    <s v="REGISTRO DE PREÇO PARA FORNECIMENTO EVENTUAL DE ANTI-HIPERTENSIVOS, ANTIMICROBIANOS, ANESTÉSICOS E DIVERSOS MEDICAMENTOS USADOS NA CLÍNICA GERAL, VISANDO ATENDER AS NECESSIDADE DO CISAM POR UM PERÍODO DE 12 (DOZE) MESES"/>
    <m/>
    <d v="2025-02-12T00:00:00"/>
    <x v="0"/>
    <s v="Cancelada"/>
    <s v="Cancelado"/>
    <s v="Item não atualizado"/>
    <m/>
    <s v="Cancelado"/>
    <s v="SEI não localizado"/>
    <m/>
    <m/>
  </r>
  <r>
    <x v="251"/>
    <x v="4"/>
    <s v="HOSPITAL REGIONAL DO AGRESTE DR.WALDEMIRO FERREIRA"/>
    <s v="Adesão"/>
    <s v="ARP.0030.01.2024.GOV.CISAM.PE"/>
    <s v="REGISTRO DE PREÇO PARA FORNECIMENTO EVENTUAL DE ANTI-HIPERTENSIVOS, ANTIMICROBIANOS, ANESTÉSICOS E DIVERSOS MEDICAMENTOS USADOS NA CLÍNICA GERAL, VISANDO ATENDER AS NECESSIDADE DO CISAM POR UM PERÍODO DE 12 (DOZE) MESES"/>
    <m/>
    <d v="2024-12-12T00:00:00"/>
    <x v="0"/>
    <s v="Cancelada"/>
    <s v="Cancelado"/>
    <s v="Item não atualizado"/>
    <m/>
    <s v="Processo 2024"/>
    <m/>
    <m/>
    <m/>
  </r>
  <r>
    <x v="252"/>
    <x v="4"/>
    <s v="HOSPITAL REGIONAL DO AGRESTE DR.WALDEMIRO FERREIRA"/>
    <s v="Adesão"/>
    <s v="ARP.0030.01.2024.GOV.CISAM.PE"/>
    <s v="REGISTRO DE PREÇO PARA FORNECIMENTO EVENTUAL DE ANTI-HIPERTENSIVOS, ANTIMICROBIANOS, ANESTÉSICOS E DIVERSOS MEDICAMENTOS USADOS NA CLÍNICA GERAL, VISANDO ATENDER AS NECESSIDADE DO CISAM POR UM PERÍODO DE 12 (DOZE) MESES"/>
    <m/>
    <d v="2024-12-10T00:00:00"/>
    <x v="0"/>
    <s v="Cancelada"/>
    <s v="Cancelado"/>
    <s v="Item não atualizado"/>
    <m/>
    <s v="Processo 2024"/>
    <m/>
    <m/>
    <m/>
  </r>
  <r>
    <x v="253"/>
    <x v="4"/>
    <s v="HOSPITAL REGIONAL DO AGRESTE DR.WALDEMIRO FERREIRA"/>
    <s v="Adesão"/>
    <s v="ARP.0055.06.2024.GOV.CISAM.PE"/>
    <s v="REGISTRO DE PREÇOS PARA O EVENTUAL FORNECIMENTO DE MEDICAMENTOS, VISANDO ATENDER AS NECESSIDADES DO CISAM/UPE"/>
    <s v="NFOCPO"/>
    <d v="2024-12-11T00:00:00"/>
    <x v="1"/>
    <s v="Autorizada Sucesso"/>
    <s v="Concluído"/>
    <s v="Item atualizado"/>
    <s v="Mylla"/>
    <s v="Processo 2024"/>
    <s v="Enviado ao GFIN"/>
    <s v="2300001213.000445/2024-19"/>
    <s v="PAGAMENTO DE  NOTA DE EMPENHO"/>
  </r>
  <r>
    <x v="254"/>
    <x v="6"/>
    <s v="HOSPITAL REGIONAL DO AGRESTE DR.WALDEMIRO FERREIRA"/>
    <s v="Adesão"/>
    <s v="ARP.0105.03.2024.GOV.PROCAPE.PE"/>
    <s v="REGISTRO DE PREÇOS PARA EVENTUAL FORNECIMENTO DE MATERIAL DE CONSUMO HOSPITALAR (MEDICAMENTOS)"/>
    <m/>
    <d v="2025-02-26T00:00:00"/>
    <x v="1"/>
    <s v="Autorizada Sucesso"/>
    <s v="Concluído"/>
    <s v="Item atualizado"/>
    <m/>
    <s v="Concluído"/>
    <s v="Enviado ao NOF"/>
    <s v="2300001213.000009/2025-12"/>
    <m/>
  </r>
  <r>
    <x v="255"/>
    <x v="12"/>
    <s v="HOSPITAL REGIONAL DO AGRESTE DR.WALDEMIRO FERREIRA"/>
    <s v="Adesão"/>
    <s v="ARP.0011.01.2024.EXT.HMAR.PE"/>
    <s v="Registro de preços para eventual aquisição de medicamentos gerais I - (GCALC), visando atender as necessidades das clínicas (unidades) de internação, emergência, ambulatório e centro cirúrgico do hospital militar de área de Recife (HMAR) e órgãos particip"/>
    <m/>
    <d v="2025-02-19T00:00:00"/>
    <x v="1"/>
    <s v="Autorizada Integrado"/>
    <s v="Concluído"/>
    <s v="Item atualizado"/>
    <m/>
    <s v="Concluído"/>
    <s v="Enviado ao NOF"/>
    <s v="2300001209.000007/2025-92"/>
    <s v="Processo cancelado por venciemento de Ata"/>
  </r>
  <r>
    <x v="256"/>
    <x v="17"/>
    <s v="HOSPITAL REGIONAL DO AGRESTE DR.WALDEMIRO FERREIRA"/>
    <s v="Adesão"/>
    <s v="ARP.0001.01.2024.EXT.CDE.RN"/>
    <s v="A presente Ata tem por objeto o registro de preços para a eventual contratação de aquisição de medicamentos, para atender as necessidades do Hospital de Guarnição de Natal (HGuN), especificado(s) no(s) item(ns) do Termo de Referência, anexo ao Edital de L"/>
    <m/>
    <d v="2025-02-26T00:00:00"/>
    <x v="0"/>
    <s v="Cancelada por fim vigencia ATA"/>
    <s v="Cancelado"/>
    <s v="Item atualizado"/>
    <m/>
    <s v="Cancelado"/>
    <s v="SEI não localizado"/>
    <m/>
    <m/>
  </r>
  <r>
    <x v="257"/>
    <x v="6"/>
    <s v="HOSPITAL REGIONAL DO AGRESTE DR.WALDEMIRO FERREIRA"/>
    <s v="Adesão"/>
    <s v="ARP.0084.05.2024.GOV.PROCAPE.PE"/>
    <s v="REGISTRO DE PREÇOS PARA EVENTUAL FORNECIMENTO DE MATERIAL DE CONSUMO HOSPITALAR (MEDICAMENTOS)"/>
    <m/>
    <d v="2025-02-26T00:00:00"/>
    <x v="0"/>
    <s v="Cancelada Sucesso"/>
    <s v="Cancelado"/>
    <s v="Item atualizado"/>
    <m/>
    <s v="Cancelado"/>
    <s v="SEI não localizado"/>
    <m/>
    <m/>
  </r>
  <r>
    <x v="258"/>
    <x v="17"/>
    <s v="HOSPITAL REGIONAL DO AGRESTE DR.WALDEMIRO FERREIRA"/>
    <s v="Adesão"/>
    <s v="ARP.0001.01.2024.EXT.CDE.RN"/>
    <s v="A presente Ata tem por objeto o registro de preços para a eventual contratação de aquisição de medicamentos, para atender as necessidades do Hospital de Guarnição de Natal (HGuN), especificado(s) no(s) item(ns) do Termo de Referência, anexo ao Edital de L"/>
    <m/>
    <d v="2025-02-24T00:00:00"/>
    <x v="1"/>
    <s v="Autorizada Integrado"/>
    <s v="Concluído"/>
    <s v="Item atualizado"/>
    <m/>
    <s v="Concluído"/>
    <s v="Enviado ao NOF"/>
    <s v="2300001213.000483/2024-63"/>
    <m/>
  </r>
  <r>
    <x v="259"/>
    <x v="22"/>
    <s v="HOSPITAL REGIONAL DO AGRESTE DR.WALDEMIRO FERREIRA"/>
    <s v="Adesão"/>
    <s v="ARPC.0014.00.2024.GOV.SAD.PE"/>
    <s v="Registro de Preços Corporativa para o fornecimento eventual de copos descartáveis, visando atender as necessidades dos órgãos da Administração Direta, Autarquias e Fundações Públicas integrantes do Poder Executivo do Estado de Pernambuco, nos termos da le"/>
    <m/>
    <d v="2025-02-12T00:00:00"/>
    <x v="1"/>
    <s v="Autorizada Sucesso"/>
    <s v="Concluído"/>
    <s v="Item atualizado"/>
    <m/>
    <s v="Concluído"/>
    <s v="Enviado ao NOF"/>
    <s v="2300001207.000031/2025-41"/>
    <m/>
  </r>
  <r>
    <x v="260"/>
    <x v="6"/>
    <s v="HOSPITAL REGIONAL DO AGRESTE DR.WALDEMIRO FERREIRA"/>
    <s v="Adesão"/>
    <s v="ARP.0044.00.2024.GOV.PROCAPE.PE"/>
    <s v="REGISTRO DE PREÇOS PARA EVENTUAL FORNECIMENTO DE MATERIAL DE CONSUMO HOSPITALAR (MEDICAMENTOS ANTIMICROBIANOS)"/>
    <s v="NFOCPO"/>
    <d v="2024-12-06T00:00:00"/>
    <x v="0"/>
    <s v="Cancelada"/>
    <s v="Cancelado"/>
    <s v="Item não atualizado"/>
    <s v="Elisangela"/>
    <s v="Processo 2024"/>
    <m/>
    <s v="2300001213.000536/2024-46"/>
    <m/>
  </r>
  <r>
    <x v="261"/>
    <x v="5"/>
    <s v="HOSPITAL REGIONAL DO AGRESTE DR.WALDEMIRO FERREIRA"/>
    <s v="Adesão"/>
    <s v="ARP.0009.07.2024.GOV.HOF.PE"/>
    <s v="Registro de Preços para eventual aquisição de Material Médico Hospitalar para abastecimento de 12 (doze) meses, cujo objeto: TÊXTIL."/>
    <m/>
    <d v="2024-12-10T00:00:00"/>
    <x v="1"/>
    <s v="Autorizada Sucesso"/>
    <s v="Concluído"/>
    <s v="Item atualizado"/>
    <m/>
    <s v="Concluído"/>
    <s v="Enviado ao NOF"/>
    <s v="2300001213.000540/2024-12"/>
    <m/>
  </r>
  <r>
    <x v="262"/>
    <x v="12"/>
    <s v="HOSPITAL REGIONAL DO AGRESTE DR.WALDEMIRO FERREIRA"/>
    <s v="Adesão"/>
    <s v="ARP.0002.03.2024.EXT.HMAR.PE"/>
    <s v="Registro de preços para eventual aquisição de PRODUTOS PARA SAÚDE–MMH 1 (GCALC) – para atender as necessidades do Hospital Militar de Área de Recife (HMAR) e órgãos participantes."/>
    <m/>
    <d v="2025-03-10T00:00:00"/>
    <x v="0"/>
    <s v="Cancelada"/>
    <s v="Cancelado"/>
    <s v="Item não atualizado"/>
    <m/>
    <s v="Cancelado"/>
    <s v="SEI não localizado"/>
    <m/>
    <m/>
  </r>
  <r>
    <x v="263"/>
    <x v="17"/>
    <s v="HOSPITAL REGIONAL DO AGRESTE DR.WALDEMIRO FERREIRA"/>
    <s v="Adesão"/>
    <s v="ARP.0001.01.2024.EXT.CDE.RN"/>
    <s v="A presente Ata tem por objeto o registro de preços para a eventual contratação de aquisição de medicamentos, para atender as necessidades do Hospital de Guarnição de Natal (HGuN), especificado(s) no(s) item(ns) do Termo de Referência, anexo ao Edital de L"/>
    <m/>
    <d v="2025-02-20T00:00:00"/>
    <x v="0"/>
    <s v="Cancelada por fim vigencia ATA"/>
    <s v="Cancelado"/>
    <s v="Item atualizado"/>
    <m/>
    <s v="Cancelado"/>
    <s v="SEI não localizado"/>
    <m/>
    <m/>
  </r>
  <r>
    <x v="264"/>
    <x v="6"/>
    <s v="HOSPITAL REGIONAL DO AGRESTE DR.WALDEMIRO FERREIRA"/>
    <s v="Adesão"/>
    <s v="ARP.0103.06.2024.GOV.PROCAPE.PE"/>
    <s v="REGISTRO DE PREÇOS PARA EVENTUAL FORNECIMENTO DE MATERIAL DE CONSUMO HOSPITALAR (MEDICAMENTOS)"/>
    <m/>
    <d v="2025-02-27T00:00:00"/>
    <x v="1"/>
    <s v="Autorizada Sucesso"/>
    <s v="Concluído"/>
    <s v="Item atualizado"/>
    <m/>
    <s v="Concluído"/>
    <s v="Enviado ao NOF"/>
    <s v="2300001213.000005/2025-34"/>
    <m/>
  </r>
  <r>
    <x v="265"/>
    <x v="7"/>
    <s v="HOSPITAL REGIONAL DO AGRESTE DR.WALDEMIRO FERREIRA"/>
    <s v="Adesão"/>
    <s v="ARP.0016.05.2024.GOV.HGV.PE"/>
    <s v="Formação de Registro de Preços para o eventual fornecimento de BENS - MATERIAL TÉCNICO HOSPITALAR (esfigmomanômetro, biombo, escada hospitalar, suporte para soro, cama hospitalar, carro maca, carro de curativo, maca de transferência, seladora e serra elét"/>
    <m/>
    <d v="2025-02-17T00:00:00"/>
    <x v="0"/>
    <s v="Cancelada por fim vigencia ATA"/>
    <s v="Cancelado"/>
    <s v="Item atualizado"/>
    <m/>
    <s v="Cancelado"/>
    <s v="SEI não localizado"/>
    <m/>
    <m/>
  </r>
  <r>
    <x v="266"/>
    <x v="12"/>
    <s v="HOSPITAL REGIONAL DO AGRESTE DR.WALDEMIRO FERREIRA"/>
    <s v="Adesão"/>
    <s v="ARP.0002.03.2024.EXT.HMAR.PE"/>
    <s v="Registro de preços para eventual aquisição de PRODUTOS PARA SAÚDE–MMH 1 (GCALC) – para atender as necessidades do Hospital Militar de Área de Recife (HMAR) e órgãos participantes."/>
    <m/>
    <d v="2025-03-10T00:00:00"/>
    <x v="1"/>
    <s v="Autorizada Integrado"/>
    <s v="Concluído"/>
    <s v="Item atualizado"/>
    <m/>
    <s v="Concluído"/>
    <s v="Enviado ao NOF"/>
    <s v="2300001213.000037/2025-30"/>
    <m/>
  </r>
  <r>
    <x v="267"/>
    <x v="17"/>
    <s v="HOSPITAL REGIONAL DO AGRESTE DR.WALDEMIRO FERREIRA"/>
    <s v="Adesão"/>
    <s v="ARP.0001.01.2024.EXT.CDE.RN"/>
    <s v="A presente Ata tem por objeto o registro de preços para a eventual contratação de aquisição de medicamentos, para atender as necessidades do Hospital de Guarnição de Natal (HGuN), especificado(s) no(s) item(ns) do Termo de Referência, anexo ao Edital de L"/>
    <m/>
    <d v="2025-02-19T00:00:00"/>
    <x v="0"/>
    <s v="Cancelada por fim vigencia ATA"/>
    <s v="Cancelado"/>
    <s v="Item atualizado"/>
    <m/>
    <s v="Cancelado"/>
    <s v="SEI não localizado"/>
    <m/>
    <m/>
  </r>
  <r>
    <x v="268"/>
    <x v="1"/>
    <s v="HOSPITAL REGIONAL DO AGRESTE DR.WALDEMIRO FERREIRA"/>
    <s v="Adesão"/>
    <s v="ARP.0076.02.2024.GOV.HUOC.PE"/>
    <s v="Registro de Preços para a eventual fornecimento de Medicamentos ANTIMICROBIANOS, CLÍNICOS E CONTROLADOS (SEI Nº 0040609437.000309/2023-21)"/>
    <m/>
    <d v="2025-02-26T00:00:00"/>
    <x v="1"/>
    <s v="Autorizada Sucesso"/>
    <s v="Concluído"/>
    <s v="Item atualizado"/>
    <m/>
    <s v="Concluído"/>
    <s v="Enviado ao NOF"/>
    <s v="2300001213.000479/2024-03"/>
    <m/>
  </r>
  <r>
    <x v="269"/>
    <x v="4"/>
    <s v="HOSPITAL REGIONAL DO AGRESTE DR.WALDEMIRO FERREIRA"/>
    <s v="Adesão"/>
    <s v="ARP.0051.01.2024.GOV.CISAM.PE"/>
    <s v="REGISTRO DE PREÇOS PARA EVENTUAL FORNECIMENTO DE MEDICAMENTOS."/>
    <m/>
    <d v="2024-12-06T00:00:00"/>
    <x v="1"/>
    <s v="Autorizada Sucesso"/>
    <s v="Concluído"/>
    <s v="Item atualizado"/>
    <m/>
    <s v="Concluído"/>
    <s v="Enviado ao NOF"/>
    <s v="2300001213.000248/2024-91"/>
    <m/>
  </r>
  <r>
    <x v="270"/>
    <x v="5"/>
    <s v="HOSPITAL REGIONAL DO AGRESTE DR.WALDEMIRO FERREIRA"/>
    <s v="Adesão"/>
    <s v="ARP.0010.00.2024.GOV.HOF.PE"/>
    <s v="Registro de Preços para o eventual fornecimento de órtese e prótese e materiais especiais para cirurgias ortopédicas, por consignação, visando atender as necessidades do Hospital Otávio de Freitas"/>
    <m/>
    <d v="2025-02-12T00:00:00"/>
    <x v="0"/>
    <s v="Cancelada"/>
    <s v="Cancelado"/>
    <s v="Item não atualizado"/>
    <m/>
    <s v="Cancelado"/>
    <s v="SEI não localizado"/>
    <m/>
    <m/>
  </r>
  <r>
    <x v="271"/>
    <x v="1"/>
    <s v="HOSPITAL REGIONAL DO AGRESTE DR.WALDEMIRO FERREIRA"/>
    <s v="Adesão"/>
    <s v="ARP.0003.01.2025.GOV.HUOC.PE"/>
    <s v="Registro de Preços para a eventual fornecimento de MATERIAIS MÉDICOS HOSPITALARES - EPI's DESCARTÁVEIS (SEI Nº 0040609912.000148/2024-02)"/>
    <m/>
    <d v="2025-03-14T00:00:00"/>
    <x v="1"/>
    <s v="Autorizada Sucesso"/>
    <s v="Concluído"/>
    <s v="Item atualizado"/>
    <m/>
    <s v="Concluído"/>
    <s v="Enviado ao NOF"/>
    <s v="2300001213.000012/2025-36"/>
    <m/>
  </r>
  <r>
    <x v="272"/>
    <x v="1"/>
    <s v="HOSPITAL REGIONAL DO AGRESTE DR.WALDEMIRO FERREIRA"/>
    <s v="Adesão"/>
    <s v="ARP.0091.00.2024.GOV.HUOC.PE"/>
    <s v="Registro de Preços para o fornecimento eventual de MATERIAIS MÉDICOS HOSPITALARES - SONDAS E CÂNULAS ENDOTRAQUEAIS (SEI Nº 0040609912.000075/2024-41)"/>
    <m/>
    <d v="2025-02-17T00:00:00"/>
    <x v="1"/>
    <s v="Autorizada Sucesso"/>
    <s v="Concluído"/>
    <s v="Item atualizado"/>
    <m/>
    <s v="Concluído"/>
    <s v="Enviado ao NOF"/>
    <s v="2300001213.000002/2025-09"/>
    <m/>
  </r>
  <r>
    <x v="273"/>
    <x v="17"/>
    <s v="HOSPITAL REGIONAL DO AGRESTE DR.WALDEMIRO FERREIRA"/>
    <s v="Adesão"/>
    <s v="ARP.0001.01.2024.EXT.CDE.RN"/>
    <s v="A presente Ata tem por objeto o registro de preços para a eventual contratação de aquisição de medicamentos, para atender as necessidades do Hospital de Guarnição de Natal (HGuN), especificado(s) no(s) item(ns) do Termo de Referência, anexo ao Edital de L"/>
    <m/>
    <d v="2024-12-11T00:00:00"/>
    <x v="0"/>
    <s v="Cancelada por fim vigencia ATA"/>
    <s v="Cancelado"/>
    <s v="Item atualizado"/>
    <m/>
    <s v="Processo 2024"/>
    <m/>
    <m/>
    <m/>
  </r>
  <r>
    <x v="274"/>
    <x v="1"/>
    <s v="HOSPITAL REGIONAL DO AGRESTE DR.WALDEMIRO FERREIRA"/>
    <s v="Adesão"/>
    <s v="ARP.0110.05.2024.GOV.HUOC.PE"/>
    <s v="Registro de Preços para a eventual fornecimento de SOLUÇÕES ANTISEPTICAS E OUTRAS (SEI Nº 0040609437.000126/2024-97)"/>
    <m/>
    <d v="2025-02-26T00:00:00"/>
    <x v="1"/>
    <s v="Autorizada Sucesso"/>
    <s v="Concluído"/>
    <s v="Item atualizado"/>
    <m/>
    <s v="Concluído"/>
    <s v="Enviado ao NOF"/>
    <s v="2300001213.000006/2025-89"/>
    <m/>
  </r>
  <r>
    <x v="275"/>
    <x v="1"/>
    <s v="HOSPITAL REGIONAL DO AGRESTE DR.WALDEMIRO FERREIRA"/>
    <s v="Adesão"/>
    <s v="ARP.0106.08.2024.GOV.HUOC.PE"/>
    <s v="Registro de Preços para o fornecimento eventual de MEDICAMENTOS ANTIMICROBIANOS E CONTROLADOS (SEI Nº 0040609437.000119/2024-95)"/>
    <m/>
    <d v="2025-02-28T00:00:00"/>
    <x v="1"/>
    <s v="Autorizada Sucesso"/>
    <s v="Concluído"/>
    <s v="Item atualizado"/>
    <m/>
    <s v="Concluído"/>
    <s v="Enviado ao NOF"/>
    <s v="2300001213.000564/2024-63"/>
    <m/>
  </r>
  <r>
    <x v="276"/>
    <x v="22"/>
    <s v="HOSPITAL REGIONAL DO AGRESTE DR.WALDEMIRO FERREIRA"/>
    <s v="Adesão"/>
    <s v="ARPC.0004.00.2024.GOV.SAD.PE"/>
    <s v="Formação de Ata de Registro de Preços Corporativa para o fornecimento eventual de Etiqueta Patrimonial, conforme especificações e quantitativos previstos no Termo de Referência (Anexo I), destinada a atender às demandas dos órgãos da Administração Direta,"/>
    <m/>
    <d v="2024-12-12T00:00:00"/>
    <x v="0"/>
    <s v="Cancelada"/>
    <s v="Cancelado"/>
    <s v="Item não atualizado"/>
    <m/>
    <s v="Processo 2024"/>
    <m/>
    <m/>
    <m/>
  </r>
  <r>
    <x v="277"/>
    <x v="0"/>
    <s v="HOSPITAL REGIONAL DO AGRESTE DR.WALDEMIRO FERREIRA"/>
    <s v="Adesão"/>
    <s v="ARP.0068.10.2024.GOV.FES-PE.PE"/>
    <s v="REGISTRO DE PREÇO, PARA FORNECIMENTO EVENTUAL DE MOBILIÁRIO HOSPITALAR E EQUIPAMENTO DE LAVANDERIA, VISANDO ATENDER ÀS NECESSIDADES DA SECRETARIA ESTADUAL DE SAÚDE DE PERNAMBUCO (SES/PE) E DAS UNIDADES HOSPITALARES QUE A COMPÕEM."/>
    <m/>
    <d v="2024-12-13T00:00:00"/>
    <x v="1"/>
    <s v="Autorizada Sucesso"/>
    <s v="Concluído"/>
    <s v="Item atualizado"/>
    <m/>
    <s v="Cancelado"/>
    <s v="Envaido a SES - ADESOES_HRA"/>
    <s v="2300002544.000047/2024-13"/>
    <s v="Processo cancelado por venciemento de Ata"/>
  </r>
  <r>
    <x v="278"/>
    <x v="20"/>
    <s v="HOSPITAL REGIONAL DO AGRESTE DR.WALDEMIRO FERREIRA"/>
    <s v="Adesão"/>
    <s v="ARP.0012.01.2024.GOV.DASIS.PE"/>
    <s v="Formação de Registro de Preços para eventual fornecimento de Material Médico Hospitalar (recipientes e coletores) para atender as demandas do Centro Médico Hospitalar da PMPE/CBMPE."/>
    <m/>
    <d v="2024-12-16T00:00:00"/>
    <x v="0"/>
    <s v="Cancelada"/>
    <s v="Cancelado"/>
    <s v="Item não atualizado"/>
    <m/>
    <s v="Processo 2024"/>
    <m/>
    <m/>
    <m/>
  </r>
  <r>
    <x v="279"/>
    <x v="24"/>
    <s v="HOSPITAL REGIONAL DO AGRESTE DR.WALDEMIRO FERREIRA"/>
    <s v="Adesão"/>
    <s v="ARP.0001.00.2024.EXT.RS"/>
    <s v="Objeto da presente licitação é a escolha da proposta mais vantajosa para eventual Aquisição de Medicamentos Padronizados para a Central de Abastecimento Farmacêutico do Hospital Militar de Área de Porto Alegre, conforme condições, quantidades e exigências"/>
    <s v="NFOCPO"/>
    <d v="2024-12-05T00:00:00"/>
    <x v="0"/>
    <s v="Cancelada"/>
    <s v="Cancelado"/>
    <s v="Item não atualizado"/>
    <m/>
    <s v="Processo 2024"/>
    <m/>
    <m/>
    <m/>
  </r>
  <r>
    <x v="280"/>
    <x v="6"/>
    <s v="HOSPITAL REGIONAL DO AGRESTE DR.WALDEMIRO FERREIRA"/>
    <s v="Adesão"/>
    <s v="ARP.0084.02.2024.GOV.PROCAPE.PE"/>
    <s v="REGISTRO DE PREÇOS PARA EVENTUAL FORNECIMENTO DE MATERIAL DE CONSUMO HOSPITALAR (MEDICAMENTOS)"/>
    <m/>
    <d v="2024-12-05T00:00:00"/>
    <x v="1"/>
    <s v="Autorizada Sucesso"/>
    <s v="Concluído"/>
    <s v="Item atualizado"/>
    <m/>
    <s v="Concluído"/>
    <s v="Enviado ao NOF"/>
    <s v="2300001213.000501/2024-15"/>
    <m/>
  </r>
  <r>
    <x v="281"/>
    <x v="6"/>
    <s v="HOSPITAL REGIONAL DO AGRESTE DR.WALDEMIRO FERREIRA"/>
    <s v="Adesão"/>
    <s v="ARP.0072.00.2024.GOV.PROCAPE.PE"/>
    <s v="REGISTRO DE PREÇOS PARA EVENTUAL FORNECIMENTO DE MATERIAL DE CONSUMO HOSPITALAR (MEDICAMENTOS)"/>
    <m/>
    <d v="2024-12-09T00:00:00"/>
    <x v="1"/>
    <s v="Autorizada Sucesso"/>
    <s v="Concluído"/>
    <s v="Item atualizado"/>
    <m/>
    <s v="Concluído"/>
    <s v="Enviado ao NOF"/>
    <s v="2300001213.000541/2024-59"/>
    <m/>
  </r>
  <r>
    <x v="282"/>
    <x v="0"/>
    <s v="HOSPITAL REGIONAL DO AGRESTE DR.WALDEMIRO FERREIRA"/>
    <s v="Adesão"/>
    <s v="ARP.0068.09.2024.GOV.FES-PE.PE"/>
    <s v="REGISTRO DE PREÇO, PARA FORNECIMENTO EVENTUAL DE MOBILIÁRIO HOSPITALAR E EQUIPAMENTO DE LAVANDERIA, VISANDO ATENDER ÀS NECESSIDADES DA SECRETARIA ESTADUAL DE SAÚDE DE PERNAMBUCO (SES/PE) E DAS UNIDADES HOSPITALARES QUE A COMPÕEM."/>
    <m/>
    <d v="2024-12-13T00:00:00"/>
    <x v="1"/>
    <s v="Autorizada Sucesso"/>
    <s v="Concluído"/>
    <s v="Item atualizado"/>
    <m/>
    <s v="Cancelado"/>
    <s v="Envaido a SES - ADESOES_HRA"/>
    <s v=" 2300001207.000253/2024-83"/>
    <s v="Processo cancelado por venciemento de Ata"/>
  </r>
  <r>
    <x v="283"/>
    <x v="7"/>
    <s v="HOSPITAL REGIONAL DO AGRESTE DR.WALDEMIRO FERREIRA"/>
    <s v="Adesão"/>
    <s v="ARP.0017.00.2024.GOV.HGV.PE"/>
    <s v="Registro de Preços para a Contratação de empresa especializada em locação de equipamento médico do tipo, ARCO CIRÚRGICO, EM C, MOVEL, COM INTENSIFICADOR DE IMAGEM QUE PERMITA FAZER FLUOROSCOPIA E RADIOGRAFIA, visando atender as necessidades do Hospital Ge"/>
    <m/>
    <d v="2025-02-07T00:00:00"/>
    <x v="1"/>
    <s v="Autorizada Sucesso"/>
    <s v="Concluído"/>
    <s v="Item atualizado"/>
    <m/>
    <s v="Concluído"/>
    <s v="Enviado ao NOF"/>
    <s v="2300001205.000181/2024-94"/>
    <m/>
  </r>
  <r>
    <x v="284"/>
    <x v="14"/>
    <s v="HOSPITAL REGIONAL DO AGRESTE DR.WALDEMIRO FERREIRA"/>
    <s v="Adesão"/>
    <s v="ARP.0009.07.2024.GOV.SASSEPE.PE"/>
    <s v="Registro de Preço para a eventual aquisição de INSUMOS HOSPITALARES (INDICADOR QUIMICO, INTEGRADOR QUIMICO, LENÇOL DE PAPEL DESCARTAVEL, E OUTROS), COM O FORNECIMENTO DE EQUIPAMENTOS EM COMODATO, para utilização na Unidade hospitalar HSE-IASSEPE/ SASSEPE"/>
    <m/>
    <d v="2025-02-28T00:00:00"/>
    <x v="1"/>
    <s v="Autorizada Sucesso"/>
    <s v="Concluído"/>
    <s v="Item atualizado"/>
    <m/>
    <s v="Concluído"/>
    <s v="Enviado ao NOF"/>
    <s v="2300002544.000015/2025-91"/>
    <m/>
  </r>
  <r>
    <x v="285"/>
    <x v="9"/>
    <s v="HOSPITAL REGIONAL DO AGRESTE DR.WALDEMIRO FERREIRA"/>
    <s v="Adesão"/>
    <s v="ARP.0003.00.2025.GOV.HR.PE"/>
    <s v="REGISTRO DE PREÇOS PARA O EVENTUAL FORNECIMENTO DE DISPOSITIVOS MÉDICOS DO TIPO REAGENTES PARA REALIZAÇÃO DE EXAMES HEMATOLÓGICOS, COM CESSÃO GRATUITA DE DOIS APARELHOS AUTOMATIZADOS, EM REGIME DE COMODATO, INCLUINDO MANUTENÇÃO PREVENTIVA/CORRETIVA, VISAN"/>
    <m/>
    <d v="2025-02-26T00:00:00"/>
    <x v="1"/>
    <s v="Autorizada Sucesso"/>
    <s v="Concluído"/>
    <s v="Item atualizado"/>
    <m/>
    <s v="Concluído"/>
    <s v="Enviado ao NOF"/>
    <s v="2300001209.000007/2025-92"/>
    <m/>
  </r>
  <r>
    <x v="286"/>
    <x v="1"/>
    <s v="HOSPITAL REGIONAL DO AGRESTE DR.WALDEMIRO FERREIRA"/>
    <s v="Adesão"/>
    <s v="ARP.0110.03.2024.GOV.HUOC.PE"/>
    <s v="Registro de Preços para a eventual fornecimento de SOLUÇÕES ANTISEPTICAS E OUTRAS (SEI Nº 0040609437.000126/2024-97)"/>
    <m/>
    <d v="2025-02-24T00:00:00"/>
    <x v="1"/>
    <s v="Autorizada Sucesso"/>
    <s v="Concluído"/>
    <s v="Item atualizado"/>
    <m/>
    <s v="Concluído"/>
    <s v="Enviado ao NOF"/>
    <s v="2300001213.000003/2025-45"/>
    <m/>
  </r>
  <r>
    <x v="287"/>
    <x v="1"/>
    <s v="HOSPITAL REGIONAL DO AGRESTE DR.WALDEMIRO FERREIRA"/>
    <s v="Adesão"/>
    <s v="ARP.0110.01.2024.GOV.HUOC.PE"/>
    <s v="Registro de Preços para a eventual fornecimento de SOLUÇÕES ANTISEPTICAS E OUTRAS (SEI Nº 0040609437.000126/2024-97)"/>
    <m/>
    <d v="2025-02-19T00:00:00"/>
    <x v="1"/>
    <s v="Autorizada Sucesso"/>
    <s v="Concluído"/>
    <s v="Item atualizado"/>
    <m/>
    <s v="Concluído"/>
    <s v="Enviado ao NOF"/>
    <s v="2300001213.000556/2024-17"/>
    <m/>
  </r>
  <r>
    <x v="288"/>
    <x v="1"/>
    <s v="HOSPITAL REGIONAL DO AGRESTE DR.WALDEMIRO FERREIRA"/>
    <s v="Adesão"/>
    <s v="ARP.0087.05.2024.GOV.HUOC.PE"/>
    <s v="REGISTRO DE PREÇO para eventual fornecimento de MATERIAIS MÉDICOS HOSPITALARES - AGULHAS DIVERSAS (SEI Nº 0040609459.000135/2023-49)"/>
    <m/>
    <d v="2025-02-10T00:00:00"/>
    <x v="1"/>
    <s v="Autorizada Sucesso"/>
    <s v="Concluído"/>
    <s v="Item atualizado"/>
    <m/>
    <s v="Concluído"/>
    <s v="Enviado ao NOF"/>
    <s v="2300001213.000542/2024-01"/>
    <m/>
  </r>
  <r>
    <x v="289"/>
    <x v="0"/>
    <s v="HOSPITAL REGIONAL DO AGRESTE DR.WALDEMIRO FERREIRA"/>
    <s v="Adesão"/>
    <s v="ARP.0034.01.2024.GOV.FES-PE.PE"/>
    <s v="Formação de REGISTRO DE PREÇOS para eventual aquisição de MATERIAIS E EQUIPAMENTOS MÉDICO-HOSPITALARES, com validade de 12 (doze) meses, para atender as necessidades da SES/PE."/>
    <s v="NAMP"/>
    <d v="2025-01-30T00:00:00"/>
    <x v="0"/>
    <s v="Cancelada"/>
    <s v="Cancelado"/>
    <s v="Item não atualizado"/>
    <m/>
    <s v="Cancelado"/>
    <s v="SEI não localizado"/>
    <m/>
    <m/>
  </r>
  <r>
    <x v="290"/>
    <x v="12"/>
    <s v="HOSPITAL REGIONAL DO AGRESTE DR.WALDEMIRO FERREIRA"/>
    <s v="Adesão"/>
    <s v="ARP.0010.00.2024.EXT.HMAR.PE"/>
    <s v="A presente Ata tem por objeto o registro de preços para a eventual aquisição de PRODUTOS PARA SAÚDE - MMH 2 (GCALC), especificado(s) no(s) item(ns) 20. Termo de Referência, anexo I do Edital de Licitação de n° 90008/2024, que é parte integrante desta Ata,"/>
    <m/>
    <d v="2024-12-04T00:00:00"/>
    <x v="1"/>
    <s v="Autorizada Integrado"/>
    <s v="Concluído"/>
    <s v="Item atualizado"/>
    <m/>
    <s v="Concluído"/>
    <s v="Enviado ao NOF"/>
    <s v="2300001213.000511/2024-42"/>
    <m/>
  </r>
  <r>
    <x v="291"/>
    <x v="1"/>
    <s v="HOSPITAL REGIONAL DO AGRESTE DR.WALDEMIRO FERREIRA"/>
    <s v="Adesão"/>
    <s v="ARP.0107.05.2024.GOV.HUOC.PE"/>
    <s v="Registro de Preços para a eventual aquisição de MATERIAIS E INSUMOS EM GERAL PARA O SERVIÇO DO LABORATÓRIO DE BACTERIOLOGIA (SEI Nº 0040609543.000006/2024-82)"/>
    <m/>
    <d v="2025-02-14T00:00:00"/>
    <x v="1"/>
    <s v="Autorizada Sucesso"/>
    <s v="Concluído"/>
    <s v="Item atualizado"/>
    <m/>
    <s v="Concluído"/>
    <s v="Enviado ao NOF"/>
    <s v="2300001213.000002/2025-09"/>
    <m/>
  </r>
  <r>
    <x v="292"/>
    <x v="1"/>
    <s v="HOSPITAL REGIONAL DO AGRESTE DR.WALDEMIRO FERREIRA"/>
    <s v="Adesão"/>
    <s v="ARP.0087.05.2024.GOV.HUOC.PE"/>
    <s v="REGISTRO DE PREÇO para eventual fornecimento de MATERIAIS MÉDICOS HOSPITALARES - AGULHAS DIVERSAS (SEI Nº 0040609459.000135/2023-49)"/>
    <m/>
    <d v="2025-02-07T00:00:00"/>
    <x v="0"/>
    <s v="Cancelada"/>
    <s v="Cancelado"/>
    <s v="Item não atualizado"/>
    <m/>
    <s v="Cancelado"/>
    <s v="SEI não localizado"/>
    <m/>
    <m/>
  </r>
  <r>
    <x v="293"/>
    <x v="9"/>
    <s v="HOSPITAL REGIONAL DO AGRESTE DR.WALDEMIRO FERREIRA"/>
    <s v="Adesão"/>
    <s v="ARP.0045.00.2024.GOV.HR.PE"/>
    <s v="Formação de Registro de Preços para o eventual fornecimento de ÓRTESES, PRÓTESES E MATERIAIS ESPECIAIS – OPME’S (GRUPO COLUNA IV), visando atender as necessidades do Hospital da Restauração, nos termos da legislação vigente e do Documento de Formalização "/>
    <m/>
    <d v="2025-02-24T00:00:00"/>
    <x v="1"/>
    <s v="Autorizada Sucesso"/>
    <s v="Concluído"/>
    <s v="Item atualizado"/>
    <m/>
    <s v="Concluído"/>
    <s v="Enviado ao NOF"/>
    <s v="2300002544.000009/2025-33"/>
    <m/>
  </r>
  <r>
    <x v="294"/>
    <x v="24"/>
    <s v="HOSPITAL REGIONAL DO AGRESTE DR.WALDEMIRO FERREIRA"/>
    <s v="Adesão"/>
    <s v="ARP.0001.00.2024.EXT.RS"/>
    <s v="Registro de preços para a eventual aquisição de Medicamentos Padronizados para a Central de Abastecimento Farmacêutico, do Hospital Militar de Área de Porto Alegre."/>
    <m/>
    <d v="2025-03-14T00:00:00"/>
    <x v="1"/>
    <s v="Autorizada Integrado"/>
    <s v="Concluído"/>
    <s v="Item atualizado"/>
    <m/>
    <s v="Cancelado"/>
    <s v="Enviado a GCONTRATOS"/>
    <s v="2300001213.000512/2024-97"/>
    <m/>
  </r>
  <r>
    <x v="295"/>
    <x v="1"/>
    <s v="HOSPITAL REGIONAL DO AGRESTE DR.WALDEMIRO FERREIRA"/>
    <s v="Adesão"/>
    <s v="ARP.0110.08.2024.GOV.HUOC.PE"/>
    <s v="Registro de Preços para a eventual fornecimento de SOLUÇÕES ANTISEPTICAS E OUTRAS (SEI Nº 0040609437.000126/2024-97)"/>
    <m/>
    <d v="2024-12-10T00:00:00"/>
    <x v="0"/>
    <s v="Cancelada Sucesso"/>
    <s v="Cancelado"/>
    <s v="Item atualizado"/>
    <m/>
    <s v="Processo 2024"/>
    <m/>
    <m/>
    <m/>
  </r>
  <r>
    <x v="296"/>
    <x v="1"/>
    <s v="HOSPITAL REGIONAL DO AGRESTE DR.WALDEMIRO FERREIRA"/>
    <s v="Adesão"/>
    <s v="ARP.0107.01.2024.GOV.HUOC.PE"/>
    <s v="Registro de Preços para a eventual aquisição de MATERIAIS E INSUMOS EM GERAL PARA O SERVIÇO DO LABORATÓRIO DE BACTERIOLOGIA (SEI Nº 0040609543.000006/2024-82)"/>
    <m/>
    <d v="2025-02-20T00:00:00"/>
    <x v="1"/>
    <s v="Autorizada Sucesso"/>
    <s v="Concluído"/>
    <s v="Item atualizado"/>
    <m/>
    <s v="Concluído"/>
    <s v="Enviado ao NOF"/>
    <s v="2300001209.000090/2024-19"/>
    <m/>
  </r>
  <r>
    <x v="297"/>
    <x v="7"/>
    <s v="HOSPITAL REGIONAL DO AGRESTE DR.WALDEMIRO FERREIRA"/>
    <s v="Adesão"/>
    <s v="ARP.0021.00.2024.GOV.HGV.PE"/>
    <s v="Registro de Preços para o eventual fornecimento de MATERIAIS ESPECIAIS PARA NEUROCIRURGIA, SOB SISTEMA DE CONSIGNAÇÃO, por um período de 12 meses, visando atender as necessidades do HOSPITAL GETÚLIO VARGAS."/>
    <m/>
    <d v="2025-03-17T00:00:00"/>
    <x v="1"/>
    <s v="Autorizada Sucesso"/>
    <s v="Concluído"/>
    <s v="Item atualizado"/>
    <m/>
    <s v="Concluído"/>
    <s v="Enviado ao NOF"/>
    <s v="2300002544.000010/2025-68"/>
    <m/>
  </r>
  <r>
    <x v="298"/>
    <x v="10"/>
    <s v="HOSPITAL REGIONAL DO AGRESTE DR.WALDEMIRO FERREIRA"/>
    <s v="Adesão"/>
    <s v="ARP.0011.00.2025.GOV.HAM.PE"/>
    <s v="REGISTRO DE PREÇOS PARA EVENTUAL FORNECIMENTO DE MATERIAL DE CONSUMO HOSPITALAR ( AQUISIÇÃO DE MATERIAL KIT DE CURATIVO P/ TERAPIA POR PRESSÃO NEGATIVA )"/>
    <s v="NFOCPO"/>
    <d v="2025-03-19T00:00:00"/>
    <x v="0"/>
    <s v="Cancelada"/>
    <s v="Cancelado"/>
    <s v="Item não atualizado"/>
    <s v="Hannah"/>
    <s v="Cancelado"/>
    <s v="SEI não localizado"/>
    <m/>
    <m/>
  </r>
  <r>
    <x v="299"/>
    <x v="2"/>
    <s v="HOSPITAL REGIONAL DO AGRESTE DR.WALDEMIRO FERREIRA"/>
    <s v="Adesão"/>
    <s v="ARP.0002.01.2024.GOV.FUNDARPE.PE"/>
    <s v="Registro de Preços para contratação de empresa especializada na prestação de serviços gráficos, visando atender as demandas dos eventos, ciclos e festivais da Fundação do Patrimônio Histórico e Artísitico de Pernambuco - Fundarpe."/>
    <s v="NAMP"/>
    <d v="2024-11-22T00:00:00"/>
    <x v="1"/>
    <s v="Autorizada Sucesso"/>
    <s v="Concluído"/>
    <s v="Item atualizado"/>
    <s v="Elisangela"/>
    <s v="Processo 2024"/>
    <s v="Enviado a GCONTRATOS"/>
    <s v="2300001205.000246/2024-00"/>
    <s v="Processo cancelado por pedido de anulação de empenho"/>
  </r>
  <r>
    <x v="300"/>
    <x v="25"/>
    <s v="HOSPITAL REGIONAL DO AGRESTE DR.WALDEMIRO FERREIRA"/>
    <s v="Adesão"/>
    <s v="ARP.0005.00.2024.GOV.UPECMN.PE"/>
    <s v="REGISTRO DE PREÇOS PARA FORNECIMENTO EVENTUAL DE MATERIAIS DE EXPEDIENTE"/>
    <s v="NAMP"/>
    <d v="2024-11-05T00:00:00"/>
    <x v="1"/>
    <s v="Autorizada Sucesso"/>
    <s v="Concluído"/>
    <s v="Item atualizado"/>
    <s v="Maria Júlia"/>
    <s v="Processo 2024"/>
    <s v="Enviado ao GFIN"/>
    <s v="2300002544.000037/2024-70"/>
    <s v="PAGAMENTO DE  NOTA DE EMPENHO"/>
  </r>
  <r>
    <x v="301"/>
    <x v="9"/>
    <s v="HOSPITAL REGIONAL DO AGRESTE DR.WALDEMIRO FERREIRA"/>
    <s v="Adesão"/>
    <s v="ARP.0024.00.2024.GOV.HR.PE"/>
    <s v="Registro de Preços para o fornecimento eventual de PRODUTOS MÉDICOS (MATERIAL MÉDICO HOSPITALAR PARA IMOBILIZAÇÃO), visando atender as necessidades do Hospital da Restauração - HR/SES/PE"/>
    <s v="NFOCPO"/>
    <d v="2024-10-08T00:00:00"/>
    <x v="1"/>
    <s v="Autorizada Sucesso"/>
    <s v="Concluído"/>
    <s v="Item atualizado"/>
    <s v="Mylla"/>
    <s v="Processo 2024"/>
    <s v="Enviado ao GFIN"/>
    <s v="2300001213.000351/2024-31"/>
    <s v="PAGAMENTO DE  NOTA DE EMPENHO"/>
  </r>
  <r>
    <x v="302"/>
    <x v="14"/>
    <s v="HOSPITAL REGIONAL DO AGRESTE DR.WALDEMIRO FERREIRA"/>
    <s v="Adesão"/>
    <s v="ARP.0002.02.2024.GOV.SASSEPE.PE"/>
    <s v="Registro de Preços para eventual fornecimento de medicamentos Analgésicos, Antiflamatórios e Corticóides visando atender a demanda do Hospital dos Servidores do Estado de Pernambuco - HSE."/>
    <m/>
    <d v="2024-11-25T00:00:00"/>
    <x v="0"/>
    <s v="Cancelada"/>
    <s v="Cancelado"/>
    <s v="Item não atualizado"/>
    <m/>
    <s v="Processo 2024"/>
    <m/>
    <m/>
    <m/>
  </r>
  <r>
    <x v="303"/>
    <x v="14"/>
    <s v="HOSPITAL REGIONAL DO AGRESTE DR.WALDEMIRO FERREIRA"/>
    <s v="Adesão"/>
    <s v="ARP.0002.02.2024.GOV.SASSEPE.PE"/>
    <s v="Registro de Preços para eventual fornecimento de medicamentos Analgésicos, Antiflamatórios e Corticóides visando atender a demanda do Hospital dos Servidores do Estado de Pernambuco - HSE."/>
    <m/>
    <d v="2024-11-25T00:00:00"/>
    <x v="0"/>
    <s v="Cancelada"/>
    <s v="Cancelado"/>
    <s v="Item não atualizado"/>
    <m/>
    <s v="Processo 2024"/>
    <m/>
    <m/>
    <m/>
  </r>
  <r>
    <x v="304"/>
    <x v="14"/>
    <s v="HOSPITAL REGIONAL DO AGRESTE DR.WALDEMIRO FERREIRA"/>
    <s v="Adesão"/>
    <s v="ARP.0002.02.2024.GOV.SASSEPE.PE"/>
    <s v="Registro de Preços para eventual fornecimento de medicamentos Analgésicos, Antiflamatórios e Corticóides visando atender a demanda do Hospital dos Servidores do Estado de Pernambuco - HSE."/>
    <m/>
    <d v="2024-11-25T00:00:00"/>
    <x v="0"/>
    <s v="Cancelada"/>
    <s v="Cancelado"/>
    <s v="Item não atualizado"/>
    <m/>
    <s v="Processo 2024"/>
    <m/>
    <m/>
    <m/>
  </r>
  <r>
    <x v="305"/>
    <x v="14"/>
    <s v="HOSPITAL REGIONAL DO AGRESTE DR.WALDEMIRO FERREIRA"/>
    <s v="Adesão"/>
    <s v="ARP.0002.02.2024.GOV.SASSEPE.PE"/>
    <s v="Registro de Preços para eventual fornecimento de medicamentos Analgésicos, Antiflamatórios e Corticóides visando atender a demanda do Hospital dos Servidores do Estado de Pernambuco - HSE."/>
    <s v="NFOCPO"/>
    <d v="2024-11-25T00:00:00"/>
    <x v="0"/>
    <s v="Cancelada"/>
    <s v="Cancelado"/>
    <s v="Item não atualizado"/>
    <m/>
    <s v="Processo 2024"/>
    <m/>
    <m/>
    <m/>
  </r>
  <r>
    <x v="306"/>
    <x v="9"/>
    <s v="HOSPITAL REGIONAL DO AGRESTE DR.WALDEMIRO FERREIRA"/>
    <s v="Adesão"/>
    <s v="ARP.0008.00.2024.GOV.HR.PE"/>
    <s v="Formação de Registro de Preços, por um período de 12 (doze) meses, para eventual fornecimento de PRODUTOS MÉDICOS (Material Médico Hospitalar)"/>
    <s v="NFOCPO"/>
    <d v="2024-10-15T00:00:00"/>
    <x v="1"/>
    <s v="Autorizada Sucesso"/>
    <s v="Concluído"/>
    <s v="Item atualizado"/>
    <s v="Maria Júlia"/>
    <s v="Processo 2024"/>
    <s v="Enviado ao GFIN"/>
    <s v="2300001213.000365/2024-55"/>
    <s v="PAGAMENTO DE  NOTA DE EMPENHO"/>
  </r>
  <r>
    <x v="307"/>
    <x v="4"/>
    <s v="HOSPITAL REGIONAL DO AGRESTE DR.WALDEMIRO FERREIRA"/>
    <s v="Adesão"/>
    <s v="ARP.0055.06.2024.GOV.CISAM.PE"/>
    <s v="REGISTRO DE PREÇOS PARA O EVENTUAL FORNECIMENTO DE MEDICAMENTOS, VISANDO ATENDER AS NECESSIDADES DO CISAM/UPE"/>
    <m/>
    <d v="2024-10-30T00:00:00"/>
    <x v="0"/>
    <s v="Cancelada"/>
    <s v="Cancelado"/>
    <s v="Item não atualizado"/>
    <m/>
    <s v="Processo 2024"/>
    <m/>
    <m/>
    <m/>
  </r>
  <r>
    <x v="308"/>
    <x v="4"/>
    <s v="HOSPITAL REGIONAL DO AGRESTE DR.WALDEMIRO FERREIRA"/>
    <s v="Adesão"/>
    <s v="ARP.0055.06.2024.GOV.CISAM.PE"/>
    <s v="REGISTRO DE PREÇOS PARA O EVENTUAL FORNECIMENTO DE MEDICAMENTOS, VISANDO ATENDER AS NECESSIDADES DO CISAM/UPE"/>
    <m/>
    <d v="2024-10-30T00:00:00"/>
    <x v="0"/>
    <s v="Cancelada"/>
    <s v="Cancelado"/>
    <s v="Item não atualizado"/>
    <m/>
    <s v="Processo 2024"/>
    <m/>
    <m/>
    <m/>
  </r>
  <r>
    <x v="309"/>
    <x v="1"/>
    <s v="HOSPITAL REGIONAL DO AGRESTE DR.WALDEMIRO FERREIRA"/>
    <s v="Adesão"/>
    <s v="ARP.0046.02.2024.GOV.HUOC.PE"/>
    <s v="Registro de Preços para eventual aquisição de MEDICAMENTOS CLÍNICOS GERAIS (SEI Nº 0040609437.000070/2023-90)"/>
    <s v="NFOCPO"/>
    <d v="2024-10-25T00:00:00"/>
    <x v="1"/>
    <s v="Autorizada Sucesso"/>
    <s v="Concluído"/>
    <s v="Item atualizado"/>
    <s v="Maria Júlia"/>
    <s v="Processo 2024"/>
    <s v="Enviado ao GFIN"/>
    <s v="2300001213.000389/2024-12"/>
    <s v="PAGAMENTO DE  NOTA DE EMPENHO"/>
  </r>
  <r>
    <x v="310"/>
    <x v="1"/>
    <s v="HOSPITAL REGIONAL DO AGRESTE DR.WALDEMIRO FERREIRA"/>
    <s v="Adesão"/>
    <s v="ARP.0077.01.2024.GOV.HUOC.PE"/>
    <s v="REGISTRO DE PREÇO para eventual fornecimento de MATERIAIS MÉDICOS DESCARTÁVEIS (SEI Nº 0040609459.000086/2023-44)"/>
    <m/>
    <d v="2024-11-12T00:00:00"/>
    <x v="0"/>
    <s v="Cancelada"/>
    <s v="Cancelado"/>
    <s v="Item não atualizado"/>
    <m/>
    <s v="Processo 2024"/>
    <m/>
    <m/>
    <m/>
  </r>
  <r>
    <x v="311"/>
    <x v="1"/>
    <s v="HOSPITAL REGIONAL DO AGRESTE DR.WALDEMIRO FERREIRA"/>
    <s v="Adesão"/>
    <s v="ARP.0071.02.2024.GOV.HUOC.PE"/>
    <s v="REGISTRO DE PREÇO para eventual fornecimento de MATERIAIS MÉDICOS HOSPITALARES - COLETORES DIVERSOS (SEI Nº 0040609459.000140/2023-51)"/>
    <s v="NFOCPO"/>
    <d v="2024-10-14T00:00:00"/>
    <x v="1"/>
    <s v="Autorizada Sucesso"/>
    <s v="Concluído"/>
    <s v="Item atualizado"/>
    <s v="Elisangela"/>
    <s v="Processo 2024"/>
    <s v="Enviado ao GFIN"/>
    <s v="2300001213.000357/2024-17"/>
    <s v="PAGAMENTO DE  NOTA DE EMPENHO"/>
  </r>
  <r>
    <x v="312"/>
    <x v="0"/>
    <s v="HOSPITAL REGIONAL DO AGRESTE DR.WALDEMIRO FERREIRA"/>
    <s v="Adesão"/>
    <s v="ARP.0018.00.2024.GOV.FES-PE.PE"/>
    <s v="Registro de Preços para a eventual aquisição de Medicamentos Antibióticos (grupo 02) visando atender a demanda dos hospitais e estabelecimentos da rede estadual de saúde de Pernambuco."/>
    <m/>
    <d v="2024-11-21T00:00:00"/>
    <x v="0"/>
    <s v="Cancelada"/>
    <s v="Cancelado"/>
    <s v="Item não atualizado"/>
    <m/>
    <s v="Processo 2024"/>
    <m/>
    <m/>
    <m/>
  </r>
  <r>
    <x v="313"/>
    <x v="0"/>
    <s v="HOSPITAL REGIONAL DO AGRESTE DR.WALDEMIRO FERREIRA"/>
    <s v="Adesão"/>
    <s v="ARP.0025.01.2024.GOV.FES-PE.PE"/>
    <s v="Registro de Preços para eventual aquisição de Medicamentos Injetáveis (grupo 02) visando atender a demanda dos hospitais e estabelecimentos da rede estadual de saúde de Pernambuco."/>
    <s v="NFOCPO"/>
    <d v="2024-10-15T00:00:00"/>
    <x v="1"/>
    <s v="Autorizada Sucesso"/>
    <s v="Concluído"/>
    <s v="Item atualizado"/>
    <s v="Elisangela"/>
    <s v="Processo 2024"/>
    <s v="Enviado ao GFIN"/>
    <s v="2300001213.000425/2024-30"/>
    <s v="PAGAMENTO DE  NOTA DE EMPENHO"/>
  </r>
  <r>
    <x v="314"/>
    <x v="7"/>
    <s v="HOSPITAL REGIONAL DO AGRESTE DR.WALDEMIRO FERREIRA"/>
    <s v="Adesão"/>
    <s v="ARP.0011.00.2024.GOV.HGV.PE"/>
    <s v="Formação de Registro de Preços para o eventual fornecimento de CURATIVOS ESPECIAIS, visando atender as necessidades dos Hospitais Getúlio Vargas, Agamenon"/>
    <m/>
    <d v="2024-11-26T00:00:00"/>
    <x v="0"/>
    <s v="Cancelada Integrado"/>
    <s v="Cancelado"/>
    <s v="Item atualizado"/>
    <m/>
    <s v="Processo 2024"/>
    <m/>
    <m/>
    <m/>
  </r>
  <r>
    <x v="315"/>
    <x v="7"/>
    <s v="HOSPITAL REGIONAL DO AGRESTE DR.WALDEMIRO FERREIRA"/>
    <s v="Adesão"/>
    <s v="ARP.0004.00.2024.GOV.HGV.PE"/>
    <s v="PREGÃO ELETRÔNICO PARA REGISTRO DE PREÇOS COM VALIDADE DE 12 (DOZE) MESES PARA EVENTUAL FORNECIMENTO DE SOLUÇÕES PARENTERAIS DE GRANDES VOLUMES, VISANDO ATENDER AS NECESSIDADES DO HOSPITAL GETULIO VARGAS E HOSPITAL AGAMENON MAGALHÃES"/>
    <s v="NFOCPO"/>
    <d v="2024-10-30T00:00:00"/>
    <x v="1"/>
    <s v="Autorizada Sucesso"/>
    <s v="Concluído"/>
    <s v="Item atualizado"/>
    <s v="Elisangela"/>
    <s v="Processo 2024"/>
    <s v="Enviado a NFOCPO"/>
    <s v="2300001213.000355/2024-10"/>
    <s v="CANCELADO PELO ORGÃO DEMANDANTE"/>
  </r>
  <r>
    <x v="316"/>
    <x v="4"/>
    <s v="HOSPITAL REGIONAL DO AGRESTE DR.WALDEMIRO FERREIRA"/>
    <s v="Adesão"/>
    <s v="ARP.0051.02.2024.GOV.CISAM.PE"/>
    <s v="REGISTRO DE PREÇOS PARA EVENTUAL FORNECIMENTO DE MEDICAMENTOS."/>
    <s v="NFOCPO"/>
    <d v="2024-12-04T00:00:00"/>
    <x v="1"/>
    <s v="Autorizada Sucesso"/>
    <s v="Concluído"/>
    <s v="Item atualizado"/>
    <s v="Elisangela"/>
    <s v="Processo 2024"/>
    <s v="Enviado ao GFIN"/>
    <s v="2300001213.000507/2024-84"/>
    <s v="PAGAMENTO DE  NOTA DE EMPENHO"/>
  </r>
  <r>
    <x v="317"/>
    <x v="1"/>
    <s v="HOSPITAL REGIONAL DO AGRESTE DR.WALDEMIRO FERREIRA"/>
    <s v="Adesão"/>
    <s v="ARP.0046.05.2024.GOV.HUOC.PE"/>
    <s v="Registro de Preços para eventual aquisição de MEDICAMENTOS CLÍNICOS GERAIS (SEI Nº 0040609437.000070/2023-90)"/>
    <m/>
    <d v="2024-10-08T00:00:00"/>
    <x v="0"/>
    <s v="Cancelada"/>
    <s v="Cancelado"/>
    <s v="Item não atualizado"/>
    <m/>
    <s v="Processo 2024"/>
    <m/>
    <m/>
    <m/>
  </r>
  <r>
    <x v="318"/>
    <x v="4"/>
    <s v="HOSPITAL REGIONAL DO AGRESTE DR.WALDEMIRO FERREIRA"/>
    <s v="Adesão"/>
    <s v="ARP.0033.03.2024.GOV.CISAM.PE"/>
    <s v="REGISTRO DE PREÇO PARA FORNECIMENTO EVENTUAL DE MATERIAL DE EXPEDIENTE PARA O CISAM POR UM PERÍODO DE 12 (DOZE) MESES"/>
    <s v="NAMP"/>
    <d v="2024-10-31T00:00:00"/>
    <x v="1"/>
    <s v="Autorizada Sucesso"/>
    <s v="Concluído"/>
    <s v="Item atualizado"/>
    <s v="Maria Júlia"/>
    <s v="Processo 2024"/>
    <s v="Enviado ao GFIN"/>
    <s v="2300002544.000036/2024-25"/>
    <s v="PAGAMENTO DE  NOTA DE EMPENHO"/>
  </r>
  <r>
    <x v="319"/>
    <x v="26"/>
    <s v="HOSPITAL REGIONAL DO AGRESTE DR.WALDEMIRO FERREIRA"/>
    <s v="Adesão"/>
    <s v="#N/A"/>
    <s v="Registro de Preços para a eventual aquisição de Medicamentos Antibióticos (grupo 02) visando atender a demanda dos hospitais e estabelecimentos da rede estadual de saúde de Pernambuco."/>
    <m/>
    <d v="2024-10-16T00:00:00"/>
    <x v="1"/>
    <e v="#N/A"/>
    <s v="Concluído"/>
    <s v="Item não localizado"/>
    <m/>
    <s v="Processo 2024"/>
    <m/>
    <m/>
    <m/>
  </r>
  <r>
    <x v="320"/>
    <x v="27"/>
    <s v="HOSPITAL REGIONAL DO AGRESTE DR.WALDEMIRO FERREIRA"/>
    <s v="Adesão"/>
    <s v="ARP.0012.00.2023.GOV.UPEGARANHUNS.PE"/>
    <s v="Formação de Registro de preços para aquisição de material de apoio didático para aulas da Universidade de Pernambuco – Campi Garanhuns, Arcoverde, Serra Talhada e Salgueiro."/>
    <m/>
    <d v="2024-10-14T00:00:00"/>
    <x v="1"/>
    <s v="Autorizada Sucesso"/>
    <s v="Processo 2024"/>
    <s v="Item atualizado"/>
    <m/>
    <s v="Processo 2024"/>
    <m/>
    <s v="2300002544.000034/2024-36"/>
    <m/>
  </r>
  <r>
    <x v="321"/>
    <x v="6"/>
    <s v="HOSPITAL REGIONAL DO AGRESTE DR.WALDEMIRO FERREIRA"/>
    <s v="Adesão"/>
    <s v="ARP.0120.03.2023.GOV.PROCAPE.PE"/>
    <s v="REGISTRO DE PREÇOS PARA EVENTUAL FORNECIMENTO DE MATERIAL DE CONSUMO HOSPITALAR (MATERIAL PENSO)"/>
    <m/>
    <d v="2024-10-16T00:00:00"/>
    <x v="0"/>
    <s v="Cancelada"/>
    <s v="Processo 2024"/>
    <s v="Item não atualizado"/>
    <m/>
    <s v="Processo 2024"/>
    <m/>
    <m/>
    <m/>
  </r>
  <r>
    <x v="322"/>
    <x v="1"/>
    <s v="HOSPITAL REGIONAL DO AGRESTE DR.WALDEMIRO FERREIRA"/>
    <s v="Adesão"/>
    <s v="ARP.0076.02.2024.GOV.HUOC.PE"/>
    <s v="Registro de Preços para a eventual fornecimento de Medicamentos ANTIMICROBIANOS, CLÍNICOS E CONTROLADOS (SEI Nº 0040609437.000309/2023-21)"/>
    <m/>
    <d v="2024-12-02T00:00:00"/>
    <x v="1"/>
    <s v="Autorizada Sucesso"/>
    <s v="Concluído"/>
    <s v="Item atualizado"/>
    <m/>
    <s v="Processo 2024"/>
    <m/>
    <s v="2300001213.000444/2024-66"/>
    <m/>
  </r>
  <r>
    <x v="323"/>
    <x v="1"/>
    <s v="HOSPITAL REGIONAL DO AGRESTE DR.WALDEMIRO FERREIRA"/>
    <s v="Adesão"/>
    <s v="ARP.0076.02.2024.GOV.HUOC.PE"/>
    <s v="Registro de Preços para a eventual fornecimento de Medicamentos ANTIMICROBIANOS, CLÍNICOS E CONTROLADOS (SEI Nº 0040609437.000309/2023-21)"/>
    <m/>
    <d v="2024-11-21T00:00:00"/>
    <x v="0"/>
    <s v="Cancelada Sucesso"/>
    <s v="Cancelado"/>
    <s v="Item atualizado"/>
    <m/>
    <s v="Processo 2024"/>
    <m/>
    <m/>
    <m/>
  </r>
  <r>
    <x v="324"/>
    <x v="28"/>
    <s v="HOSPITAL REGIONAL DO AGRESTE DR.WALDEMIRO FERREIRA"/>
    <s v="Adesão"/>
    <s v="ARP.0005.00.2024.GOV.SEMUL.PE"/>
    <s v="REGISTRO DE PREÇO PARA FORNECIMENTO EVENTUAL DE MATERIAIS DE HIGIENE PESSOAL, visando atender as necessidades da Rede de Casas-Abrigo da Secretaria da Mulher de Pernambuco conforme as condições, especificações e quantidades exigências contidas no Termo de"/>
    <m/>
    <d v="2024-11-18T00:00:00"/>
    <x v="0"/>
    <s v="Cancelada por fim vigencia ATA"/>
    <s v="Cancelado"/>
    <s v="Item atualizado"/>
    <m/>
    <s v="Processo 2024"/>
    <m/>
    <m/>
    <m/>
  </r>
  <r>
    <x v="325"/>
    <x v="17"/>
    <s v="HOSPITAL REGIONAL DO AGRESTE DR.WALDEMIRO FERREIRA"/>
    <s v="Adesão"/>
    <s v="ARP.0001.01.2024.EXT.CDE.RN"/>
    <s v="A presente Ata tem por objeto o registro de preços para a eventual contratação de aquisição de medicamentos, para atender as necessidades do Hospital de Guarnição de Natal (HGuN), especificado(s) no(s) item(ns) do Termo de Referência, anexo ao Edital de L"/>
    <m/>
    <d v="2024-11-22T00:00:00"/>
    <x v="0"/>
    <s v="Cancelada por fim vigencia ATA"/>
    <s v="Cancelado"/>
    <s v="Item atualizado"/>
    <m/>
    <s v="Processo 2024"/>
    <m/>
    <m/>
    <m/>
  </r>
  <r>
    <x v="326"/>
    <x v="1"/>
    <s v="HOSPITAL REGIONAL DO AGRESTE DR.WALDEMIRO FERREIRA"/>
    <s v="Adesão"/>
    <s v="ARP.0081.03.2024.GOV.HUOC.PE"/>
    <s v="Registro de Preços para o fornecimento eventual de Medicamentos Clínicos Gerais 5 (SEI Nº 0040609437.000095/2024-74)"/>
    <m/>
    <d v="2024-10-25T00:00:00"/>
    <x v="1"/>
    <s v="Autorizada Sucesso"/>
    <s v="Concluído"/>
    <s v="Item atualizado"/>
    <m/>
    <s v="Processo 2024"/>
    <m/>
    <s v="2300001213.000428/2024-73"/>
    <m/>
  </r>
  <r>
    <x v="327"/>
    <x v="1"/>
    <s v="HOSPITAL REGIONAL DO AGRESTE DR.WALDEMIRO FERREIRA"/>
    <s v="Adesão"/>
    <s v="ARP.0069.02.2024.GOV.HUOC.PE"/>
    <s v="REGISTRO DE PREÇO para eventual fornecimento de CURATIVOS HOSPITALARES (SEI Nº 0040609459.000025/2023-87)"/>
    <m/>
    <d v="2024-11-04T00:00:00"/>
    <x v="1"/>
    <s v="Autorizada Sucesso"/>
    <s v="Concluído"/>
    <s v="Item atualizado"/>
    <m/>
    <s v="Processo 2024"/>
    <m/>
    <s v="2300002544.000033/2024-91"/>
    <m/>
  </r>
  <r>
    <x v="328"/>
    <x v="12"/>
    <s v="HOSPITAL REGIONAL DO AGRESTE DR.WALDEMIRO FERREIRA"/>
    <s v="Adesão"/>
    <s v="ARP.0013.00.2024.EXT.HMAR.PE"/>
    <s v="O objeto da presente licitação é Aquisição de PRODUTOS PARA SAÚDE - MMH 1 (GCALC), especificado(s) no(s Termo de Referência, anexo I do Edital de Licitação de n° 90017/2024, que é parte integrante desta Ata, assim como as propostas cujos preços tenham sid"/>
    <m/>
    <d v="2024-11-19T00:00:00"/>
    <x v="1"/>
    <s v="Autorizada Integrado"/>
    <s v="Concluído"/>
    <s v="Item atualizado"/>
    <m/>
    <s v="Processo 2024"/>
    <m/>
    <s v="2300001213.000475/2024-17"/>
    <m/>
  </r>
  <r>
    <x v="329"/>
    <x v="10"/>
    <s v="HOSPITAL REGIONAL DO AGRESTE DR.WALDEMIRO FERREIRA"/>
    <s v="Adesão"/>
    <s v="ARP.0012.00.2024.GOV.HAM.PE"/>
    <s v="FORMAÇÃO DE REGISTRO DE PREÇOS, PARA FORNECIMENTO EVENTUAL DE MEDICAMENTOS (ENOXAPARINA), VISANDO ATENDER AS NECESSIDADES DO HOSPITAL AGAMENON MAGALHÃES E DO HOSPITAL DA RESTAURAÇÃO."/>
    <m/>
    <d v="2024-11-22T00:00:00"/>
    <x v="1"/>
    <s v="Autorizada Sucesso"/>
    <s v="Concluído"/>
    <s v="Item atualizado"/>
    <m/>
    <s v="Processo 2024"/>
    <m/>
    <s v=" 2300001213.000488/2024-96"/>
    <m/>
  </r>
  <r>
    <x v="330"/>
    <x v="29"/>
    <s v="HOSPITAL REGIONAL DO AGRESTE DR.WALDEMIRO FERREIRA"/>
    <s v="Adesão"/>
    <s v="ARP.0004.00.2024.EXT.PB"/>
    <s v="A presente Ata tem por objeto o registro de preços para aquisição de aparelhos de raio x, especificado, no item 1.1 do Termo de Referência, anexo do edital de Pregão nº 072/2023 que é parte integrante desta Ata"/>
    <s v="NSADRE"/>
    <d v="2024-10-09T00:00:00"/>
    <x v="0"/>
    <s v="Em configuração"/>
    <s v="Cancelar Com o Suporte"/>
    <s v="Item atualizado"/>
    <m/>
    <s v="Cancelar Com o Suporte"/>
    <m/>
    <m/>
    <m/>
  </r>
  <r>
    <x v="331"/>
    <x v="7"/>
    <s v="HOSPITAL REGIONAL DO AGRESTE DR.WALDEMIRO FERREIRA"/>
    <s v="Adesão"/>
    <s v="ARP.0001.00.2024.GOV.HGV.PE"/>
    <s v="PREGÃO ELETRÓNICO para REGISTRO DE PREÇOS, com validade de 12 (doze) meses, para eventual fornecimento de CADEIRA DE RODAS, visando atender a demanda do Hospital Getúlio Vargas."/>
    <m/>
    <d v="2024-12-02T00:00:00"/>
    <x v="1"/>
    <s v="Autorizada Sucesso"/>
    <s v="Concluído"/>
    <s v="Item atualizado"/>
    <m/>
    <s v="Processo 2024"/>
    <m/>
    <s v="2300001207.000153/2024-57"/>
    <m/>
  </r>
  <r>
    <x v="332"/>
    <x v="1"/>
    <s v="HOSPITAL REGIONAL DO AGRESTE DR.WALDEMIRO FERREIRA"/>
    <s v="Adesão"/>
    <s v="ARP.0069.02.2024.GOV.HUOC.PE"/>
    <s v="REGISTRO DE PREÇO para eventual fornecimento de CURATIVOS HOSPITALARES (SEI Nº 0040609459.000025/2023-87)"/>
    <m/>
    <d v="2024-10-16T00:00:00"/>
    <x v="0"/>
    <s v="Cancelada"/>
    <s v="Cancelado"/>
    <s v="Item não atualizado"/>
    <m/>
    <s v="Processo 2024"/>
    <m/>
    <m/>
    <m/>
  </r>
  <r>
    <x v="333"/>
    <x v="1"/>
    <s v="HOSPITAL REGIONAL DO AGRESTE DR.WALDEMIRO FERREIRA"/>
    <s v="Adesão"/>
    <s v="ARP.0044.00.2024.GOV.HUOC.PE"/>
    <s v="REGISTRO DE PREÇO para a eventual fornecimento de MATERIAIS MÉDICOS HOSPITALARES E INSUMOS LABORATORIAIS (SEI Nº 0040609459.000133/2023-50)"/>
    <m/>
    <d v="2024-11-21T00:00:00"/>
    <x v="1"/>
    <s v="Autorizada Sucesso"/>
    <s v="Concluído"/>
    <s v="Item atualizado"/>
    <m/>
    <s v="Processo 2024"/>
    <m/>
    <s v=" 2300001213.000363/2024-66"/>
    <m/>
  </r>
  <r>
    <x v="334"/>
    <x v="10"/>
    <s v="HOSPITAL REGIONAL DO AGRESTE DR.WALDEMIRO FERREIRA"/>
    <s v="Adesão"/>
    <s v="ARP.0012.00.2024.GOV.HAM.PE"/>
    <s v="FORMAÇÃO DE REGISTRO DE PREÇOS, PARA FORNECIMENTO EVENTUAL DE MEDICAMENTOS (ENOXAPARINA), VISANDO ATENDER AS NECESSIDADES DO HOSPITAL AGAMENON MAGALHÃES E DO HOSPITAL DA RESTAURAÇÃO."/>
    <m/>
    <d v="2024-11-19T00:00:00"/>
    <x v="0"/>
    <s v="Cancelada"/>
    <s v="Cancelado"/>
    <s v="Item não atualizado"/>
    <m/>
    <s v="Processo 2024"/>
    <m/>
    <m/>
    <m/>
  </r>
  <r>
    <x v="335"/>
    <x v="6"/>
    <s v="HOSPITAL REGIONAL DO AGRESTE DR.WALDEMIRO FERREIRA"/>
    <s v="Adesão"/>
    <s v="ARP.0059.00.2024.GOV.PROCAPE.PE"/>
    <s v="REGISTRO DE PREÇOS PARA EVENTUAL FORNECIMENTO DE MATERIAL DE CONSUMO HOSPITALAR (MEDICAMENTOS)"/>
    <m/>
    <d v="2024-12-04T00:00:00"/>
    <x v="1"/>
    <s v="Autorizada Sucesso"/>
    <s v="Concluído"/>
    <s v="Item atualizado"/>
    <m/>
    <s v="Processo 2024"/>
    <m/>
    <s v=" 2300001213.000510/2024-06"/>
    <m/>
  </r>
  <r>
    <x v="336"/>
    <x v="26"/>
    <s v="HOSPITAL REGIONAL DO AGRESTE DR.WALDEMIRO FERREIRA"/>
    <s v="Adesão"/>
    <s v="ARP.0018.00.2024.OPD.MPPE.PE"/>
    <s v="Ata de Registro de Preços para aquisição de MATERIAIS HIDROSSANITÁRIOS"/>
    <m/>
    <d v="2024-10-07T00:00:00"/>
    <x v="1"/>
    <s v="Autorizada Sucesso"/>
    <s v="Concluído"/>
    <s v="Item atualizado"/>
    <m/>
    <s v="Processo 2024"/>
    <m/>
    <s v="2300002544.000029/2024-23"/>
    <m/>
  </r>
  <r>
    <x v="337"/>
    <x v="5"/>
    <s v="HOSPITAL REGIONAL DO AGRESTE DR.WALDEMIRO FERREIRA"/>
    <s v="Adesão"/>
    <s v="ARP.0009.09.2024.GOV.HOF.PE"/>
    <s v="Registro de Preços para eventual aquisição de Material Médico Hospitalar para abastecimento de 12 (doze) meses, cujo objeto: TÊXTIL."/>
    <m/>
    <d v="2024-10-14T00:00:00"/>
    <x v="1"/>
    <s v="Autorizada Sucesso"/>
    <s v="Concluído"/>
    <s v="Item atualizado"/>
    <m/>
    <s v="Processo 2024"/>
    <m/>
    <s v=" 2300001213.000378/2024-24"/>
    <m/>
  </r>
  <r>
    <x v="338"/>
    <x v="29"/>
    <s v="HOSPITAL REGIONAL DO AGRESTE DR.WALDEMIRO FERREIRA"/>
    <s v="Adesão"/>
    <s v="ARP.0004.00.2024.EXT.PB"/>
    <s v="A presente Ata tem por objeto o registro de preços parapara aquisição de material médico e hospitalar (alto custo),especificado, no item 1.1 do Termo de Referência, anexo do edital de Pregão nº014/2023que é parte integrante desta Ata, assim como aproposta"/>
    <m/>
    <d v="2024-10-18T00:00:00"/>
    <x v="0"/>
    <s v="Cancelada por fim vigencia ATA"/>
    <s v="Cancelado"/>
    <s v="Item atualizado"/>
    <m/>
    <s v="Processo 2024"/>
    <m/>
    <m/>
    <m/>
  </r>
  <r>
    <x v="339"/>
    <x v="1"/>
    <s v="HOSPITAL REGIONAL DO AGRESTE DR.WALDEMIRO FERREIRA"/>
    <s v="Adesão"/>
    <s v="ARP.0089.00.2024.GOV.HUOC.PE"/>
    <s v="Registro de Preços para o fornecimento eventual de MEDICAMENTOS ANTIMICROBIANOS (SEI Nº 0040609437.000129/2024-21)"/>
    <m/>
    <d v="2024-11-07T00:00:00"/>
    <x v="1"/>
    <s v="Autorizada Sucesso"/>
    <s v="Concluído"/>
    <s v="Item atualizado"/>
    <m/>
    <s v="Processo 2024"/>
    <m/>
    <s v="2300001213.000456/2024-91"/>
    <m/>
  </r>
  <r>
    <x v="340"/>
    <x v="1"/>
    <s v="HOSPITAL REGIONAL DO AGRESTE DR.WALDEMIRO FERREIRA"/>
    <s v="Adesão"/>
    <s v="ARP.0088.08.2024.GOV.HUOC.PE"/>
    <s v="Registro de Preços para a eventual fornecimento de Medicamentos Clínicos Gerais 7 (SEI Nº 0040609437.000097/2024-63)"/>
    <m/>
    <d v="2024-11-04T00:00:00"/>
    <x v="1"/>
    <s v="Autorizada Sucesso"/>
    <s v="Concluído"/>
    <s v="Item atualizado"/>
    <m/>
    <s v="Processo 2024"/>
    <m/>
    <s v="2300001213.000457/2024-35"/>
    <m/>
  </r>
  <r>
    <x v="341"/>
    <x v="0"/>
    <s v="HOSPITAL REGIONAL DO AGRESTE DR.WALDEMIRO FERREIRA"/>
    <s v="Adesão"/>
    <s v="ARP.0088.03.2024.GOV.FES-PE.PE"/>
    <s v="Registro de Preço para fornecimento eventual de Medicamentos Diversos - Grupo 3, visando atender às demandas dos órgão participantes da rede estadual de saúde de Pernambuco."/>
    <m/>
    <d v="2024-11-26T00:00:00"/>
    <x v="1"/>
    <s v="Autorizada Sucesso"/>
    <s v="Concluído"/>
    <s v="Item atualizado"/>
    <m/>
    <s v="Processo 2024"/>
    <m/>
    <s v="2300001213.000478/2024-51"/>
    <m/>
  </r>
  <r>
    <x v="342"/>
    <x v="6"/>
    <s v="HOSPITAL REGIONAL DO AGRESTE DR.WALDEMIRO FERREIRA"/>
    <s v="Adesão"/>
    <s v="ARP.0046.05.2024.GOV.PROCAPE.PE"/>
    <s v="REGISTRO DE PREÇOS PARA EVENTUAL FORNECIMENTO DE MATERIAL DE CONSUMO HOSPITALAR (MEDICAMENTOS)"/>
    <s v="NFOCPO"/>
    <d v="2024-11-25T00:00:00"/>
    <x v="0"/>
    <s v="Cancelada"/>
    <s v="Cancelado"/>
    <s v="Item não atualizado"/>
    <m/>
    <s v="Processo 2024"/>
    <m/>
    <m/>
    <m/>
  </r>
  <r>
    <x v="343"/>
    <x v="0"/>
    <s v="HOSPITAL REGIONAL DO AGRESTE DR.WALDEMIRO FERREIRA"/>
    <s v="Adesão"/>
    <s v="ARP.0038.02.2024.GOV.FES-PE.PE"/>
    <s v="Pregão Eletrônico para Registro de Preço, com validade de 12 (doze) meses, para eventual fornecimento de materiais hospitalares , visando atender as necessidades da Secretaria Estadual de Saúde de Pernambuco (SES/PE) e das Unidades Hospitalares que a comp"/>
    <m/>
    <d v="2024-10-31T00:00:00"/>
    <x v="1"/>
    <s v="Autorizada Sucesso"/>
    <s v="Concluído"/>
    <s v="Item atualizado"/>
    <m/>
    <s v="Processo 2024"/>
    <m/>
    <s v="2300001207.000085/2024-26"/>
    <m/>
  </r>
  <r>
    <x v="344"/>
    <x v="10"/>
    <s v="HOSPITAL REGIONAL DO AGRESTE DR.WALDEMIRO FERREIRA"/>
    <s v="Adesão"/>
    <s v="ARP.0013.00.2024.GOV.HAM.PE"/>
    <s v="REGISTRO DE PREÇOS PARA EVENTUAL AQUISIÇÃO DE EQUIPAMENTO PARA UNITARIZAÇÃO DE MEDICAMENTOS"/>
    <s v="NAMP"/>
    <d v="2024-11-11T00:00:00"/>
    <x v="0"/>
    <s v="Cancelada por fim vigencia ATA"/>
    <s v="Cancelado"/>
    <s v="Item atualizado"/>
    <m/>
    <s v="Processo 2024"/>
    <m/>
    <m/>
    <m/>
  </r>
  <r>
    <x v="345"/>
    <x v="5"/>
    <s v="HOSPITAL REGIONAL DO AGRESTE DR.WALDEMIRO FERREIRA"/>
    <s v="Adesão"/>
    <s v="ARP.0012.11.2024.GOV.HOF.PE"/>
    <s v="Registro de preços para a eventual aquisição de Material Médico Hospitalar (Antissépticos e Saneantes), visando atender as necessidades do Hospital Otávio de Freitas."/>
    <m/>
    <d v="2024-10-21T00:00:00"/>
    <x v="1"/>
    <s v="Autorizada Sucesso"/>
    <s v="Concluído"/>
    <s v="Item atualizado"/>
    <m/>
    <s v="Processo 2024"/>
    <m/>
    <s v="2300001213.000453/2024-57"/>
    <m/>
  </r>
  <r>
    <x v="346"/>
    <x v="12"/>
    <s v="HOSPITAL REGIONAL DO AGRESTE DR.WALDEMIRO FERREIRA"/>
    <s v="Adesão"/>
    <s v="ARP.0010.00.2024.EXT.HMAR.PE"/>
    <s v="A presente Ata tem por objeto o registro de preços para a eventual aquisição de PRODUTOS PARA SAÚDE - MMH 2 (GCALC), especificado(s) no(s) item(ns) 20. Termo de Referência, anexo I do Edital de Licitação de n° 90008/2024, que é parte integrante desta Ata,"/>
    <m/>
    <d v="2024-12-02T00:00:00"/>
    <x v="0"/>
    <s v="Cancelada por fim vigencia ATA"/>
    <s v="Cancelado"/>
    <s v="Item atualizado"/>
    <m/>
    <s v="Processo 2024"/>
    <m/>
    <m/>
    <m/>
  </r>
  <r>
    <x v="347"/>
    <x v="30"/>
    <s v="HOSPITAL REGIONAL DO AGRESTE DR.WALDEMIRO FERREIRA"/>
    <s v="Adesão"/>
    <s v="ARP.0001.00.2024.EXT.HCFMU.SP"/>
    <s v="Registro de preços para a eventual contratação de METILPREDNISOLONA (SUC SODICO) 125MG/FA PO SOL INJ FA 2ML, PREDNISONA 20 MG, CP, VO, TERLIPRESSINA (ACETATO) 1 MG PO LIOFILIZADO FRASCO-AMPOLA, OCTREOTIDA 30 MG/ML SUS INJ LIB PROL FA."/>
    <m/>
    <d v="2024-11-27T00:00:00"/>
    <x v="0"/>
    <s v="Cancelada por fim vigencia ATA"/>
    <s v="Cancelado"/>
    <s v="Item atualizado"/>
    <m/>
    <s v="Processo 2024"/>
    <m/>
    <m/>
    <m/>
  </r>
  <r>
    <x v="348"/>
    <x v="0"/>
    <s v="HOSPITAL REGIONAL DO AGRESTE DR.WALDEMIRO FERREIRA"/>
    <s v="Adesão"/>
    <s v="ARP.0074.01.2024.GOV.FES-PE.PE"/>
    <s v="Registro de Preço, para o fornecimento eventual de mobiliário com instalação, visando atender o Hospital da mulher do Agreste e o Centro Administrativo da Secretaria Estadual de Saúde de Pernambuco(SES/PE)."/>
    <m/>
    <d v="2024-11-04T00:00:00"/>
    <x v="1"/>
    <s v="Autorizada Sucesso"/>
    <s v="Concluído"/>
    <s v="Item atualizado"/>
    <m/>
    <s v="Processo 2024"/>
    <m/>
    <s v="2300002544.000038/2024-14"/>
    <m/>
  </r>
  <r>
    <x v="349"/>
    <x v="9"/>
    <s v="HOSPITAL REGIONAL DO AGRESTE DR.WALDEMIRO FERREIRA"/>
    <s v="Adesão"/>
    <s v="ARP.0005.00.2024.GOV.HR.PE"/>
    <s v="REGISTRO DE PREÇOS PARA O FORNECIMENTO DE MOBILIÁRUOS (CADEIRAS) PARA O HOSPITAL DA RESTAURAÇÃO."/>
    <m/>
    <d v="2024-08-19T00:00:00"/>
    <x v="1"/>
    <s v="Autorizada Sucesso"/>
    <s v="Concluído"/>
    <s v="Item atualizado"/>
    <m/>
    <s v="Processo 2024"/>
    <m/>
    <s v="2300001205.000062/2024-31"/>
    <m/>
  </r>
  <r>
    <x v="350"/>
    <x v="12"/>
    <s v="HOSPITAL REGIONAL DO AGRESTE DR.WALDEMIRO FERREIRA"/>
    <s v="Adesão"/>
    <s v="ARP.0003.01.2024.EXT.HMAR.PE"/>
    <s v="A presente Ata tem por objeto o registro de preços para aquisição de MEDICAMENTOS – ANTIBIÓTICOS, SOROS E ELETRÓLITOS - GCALC, para o Hospital Militar de Área de Recife (HMAR) e Órgãos participantes, destinadas aos Beneficiários do Fundo de Saúde do Exérc"/>
    <m/>
    <d v="2024-08-16T00:00:00"/>
    <x v="1"/>
    <s v="Autorizada Integrado"/>
    <s v="Concluído"/>
    <s v="Item atualizado"/>
    <m/>
    <s v="Processo 2024"/>
    <m/>
    <s v="2300001213.000188/2024-15"/>
    <m/>
  </r>
  <r>
    <x v="351"/>
    <x v="15"/>
    <s v="HOSPITAL REGIONAL DO AGRESTE DR.WALDEMIRO FERREIRA"/>
    <s v="Adesão"/>
    <s v="ARP.0021.00.2024.GOV.HEMOPE.PE"/>
    <s v="Formação de Registro de Preços para o fornecimento eventual do(s) insumos para Saúde GRUPO 4, conforme especificações e quantitativos previstos no Anexo I, para atender às demandas do HEMOPE."/>
    <m/>
    <d v="2024-10-04T00:00:00"/>
    <x v="0"/>
    <s v="Cancelada"/>
    <s v="Cancelado"/>
    <s v="Item não atualizado"/>
    <m/>
    <s v="Processo 2024"/>
    <m/>
    <m/>
    <m/>
  </r>
  <r>
    <x v="352"/>
    <x v="15"/>
    <s v="HOSPITAL REGIONAL DO AGRESTE DR.WALDEMIRO FERREIRA"/>
    <s v="Adesão"/>
    <s v="ARP.0001.02.2024.GOV.HEMOPE.PE"/>
    <s v="Registro de Preços para o fornecimento eventual dos insumos ponteiras, pipetas, lâminas e tubos de ensaio diversos com cessão em comodato de equipamentos visando atender as necessidades dos laboratórios da Fundação HEMOPE, conforme especificações e quanti"/>
    <m/>
    <d v="2024-08-22T00:00:00"/>
    <x v="1"/>
    <s v="Autorizada Sucesso"/>
    <s v="Concluído"/>
    <s v="Item atualizado"/>
    <m/>
    <s v="Processo 2024"/>
    <m/>
    <s v="2300001209.000048/2024-06"/>
    <m/>
  </r>
  <r>
    <x v="353"/>
    <x v="31"/>
    <s v="HOSPITAL REGIONAL DO AGRESTE DR.WALDEMIRO FERREIRA"/>
    <s v="Adesão"/>
    <s v="ARP.0001.00.2024.EXT.SESR.RR"/>
    <s v="Registro de preço para a EVENTUAL AQUISIÇÃO DE MEDICAMENTOS DO GRUPO 10 - TÓPICOS E OUTROS, PARA ATENDER AS UNIDADES DE SAÚDE DO ESTADO DE RORAIMA NO EXERCÍCIO 2023, destinados a atender as unidades de Saúde do Estado de Roraima, com especificações consta"/>
    <m/>
    <d v="2024-09-16T00:00:00"/>
    <x v="1"/>
    <s v="Autorizada Integrado"/>
    <s v="Concluído"/>
    <s v="Item atualizado"/>
    <m/>
    <s v="Processo 2024"/>
    <m/>
    <s v="2300001213.000302/2024-07"/>
    <m/>
  </r>
  <r>
    <x v="354"/>
    <x v="9"/>
    <s v="HOSPITAL REGIONAL DO AGRESTE DR.WALDEMIRO FERREIRA"/>
    <s v="Adesão"/>
    <s v="ARP.0025.00.2024.GOV.HR.PE"/>
    <s v="Formação de Registro de Preços para o eventual fornecimento de BENS (MATERIAIS DE EXPEDIENTE I), visando atender as necessidades do Hospital da Restauração Governador Paulo Guerra, Instituto de Terras e Reforma Agrária do Estado de Pernambuco – ITERPE e H"/>
    <m/>
    <d v="2024-10-04T00:00:00"/>
    <x v="1"/>
    <s v="Autorizada Sucesso"/>
    <s v="Concluído"/>
    <s v="Item atualizado"/>
    <m/>
    <s v="Processo 2024"/>
    <m/>
    <s v="2300002544.000019/2024-98"/>
    <m/>
  </r>
  <r>
    <x v="355"/>
    <x v="1"/>
    <s v="HOSPITAL REGIONAL DO AGRESTE DR.WALDEMIRO FERREIRA"/>
    <s v="Adesão"/>
    <s v="ARP.0102.00.2023.GOV.HUOC.PE"/>
    <s v="REGISTRO DE PREÇO para eventual fornecimento de MATERIAIS E INSUMOS ODONTOLÓGICOS DIVERSOS (SEI nº 0040609459.000008/2023-40)"/>
    <m/>
    <d v="2024-08-12T00:00:00"/>
    <x v="1"/>
    <s v="Autorizada Sucesso"/>
    <s v="Processo 2024"/>
    <s v="Item atualizado"/>
    <m/>
    <s v="Processo 2024"/>
    <m/>
    <s v="2300002544.000003/2024-85"/>
    <m/>
  </r>
  <r>
    <x v="356"/>
    <x v="15"/>
    <s v="HOSPITAL REGIONAL DO AGRESTE DR.WALDEMIRO FERREIRA"/>
    <s v="Adesão"/>
    <s v="ARP.0021.00.2024.GOV.HEMOPE.PE"/>
    <s v="Formação de Registro de Preços para o fornecimento eventual do(s) insumos para Saúde GRUPO 4, conforme especificações e quantitativos previstos no Anexo I, para atender às demandas do HEMOPE."/>
    <m/>
    <d v="2024-10-01T00:00:00"/>
    <x v="1"/>
    <s v="Autorizada Sucesso"/>
    <s v="Concluído"/>
    <s v="Item atualizado"/>
    <m/>
    <s v="Processo 2024"/>
    <m/>
    <s v="2300001213.000335/2024-49"/>
    <m/>
  </r>
  <r>
    <x v="357"/>
    <x v="5"/>
    <s v="HOSPITAL REGIONAL DO AGRESTE DR.WALDEMIRO FERREIRA"/>
    <s v="Adesão"/>
    <s v="ARP.0009.00.2024.GOV.HOF.PE"/>
    <s v="Registro de Preços para eventual aquisição de Material Médico Hospitalar para abastecimento de 12 (doze) meses, cujo objeto: TÊXTIL."/>
    <m/>
    <d v="2024-10-07T00:00:00"/>
    <x v="1"/>
    <s v="Autorizada Sucesso"/>
    <s v="Concluído"/>
    <s v="Item atualizado"/>
    <m/>
    <s v="Processo 2024"/>
    <m/>
    <s v="2300001213.000382/2024-92"/>
    <m/>
  </r>
  <r>
    <x v="358"/>
    <x v="5"/>
    <s v="HOSPITAL REGIONAL DO AGRESTE DR.WALDEMIRO FERREIRA"/>
    <s v="Adesão"/>
    <s v="ARP.0002.04.2024.GOV.HOF.PE"/>
    <s v="Registro de Preço, para aquisição de Medicamentos Injetáveis para abastecimento do Hospital Otávio de Freitas da Secretaria de Saúde de Pernambuco, por um período de 12 (doze) meses"/>
    <m/>
    <d v="2024-09-16T00:00:00"/>
    <x v="1"/>
    <s v="Autorizada Sucesso"/>
    <s v="Concluído"/>
    <s v="Item atualizado"/>
    <m/>
    <s v="Processo 2024"/>
    <m/>
    <s v="2300001213.000306/2024-87"/>
    <m/>
  </r>
  <r>
    <x v="359"/>
    <x v="1"/>
    <s v="HOSPITAL REGIONAL DO AGRESTE DR.WALDEMIRO FERREIRA"/>
    <s v="Adesão"/>
    <s v="ARP.0077.01.2024.GOV.HUOC.PE"/>
    <s v="REGISTRO DE PREÇO para eventual fornecimento de MATERIAIS MÉDICOS DESCARTÁVEIS (SEI Nº 0040609459.000086/2023-44)"/>
    <m/>
    <d v="2024-09-27T00:00:00"/>
    <x v="1"/>
    <s v="Autorizada Sucesso"/>
    <s v="Concluído"/>
    <s v="Item atualizado"/>
    <m/>
    <s v="Processo 2024"/>
    <m/>
    <s v="2300001213.000377/2024-80"/>
    <m/>
  </r>
  <r>
    <x v="360"/>
    <x v="6"/>
    <s v="HOSPITAL REGIONAL DO AGRESTE DR.WALDEMIRO FERREIRA"/>
    <s v="Adesão"/>
    <s v="ARP.0028.01.2024.GOV.PROCAPE.PE"/>
    <s v="REGISTRO DE PREÇOS PARA EVENTUAL FORNECIMENTO DE MATERIAL PARA ACONDICIONAMENTO E EMBALAGEM (SACOS PARA EMBALAGEM UNITÁRIA DE MEDICAMENTOS)"/>
    <m/>
    <d v="2024-09-05T00:00:00"/>
    <x v="1"/>
    <s v="Autorizada Sucesso"/>
    <s v="Concluído"/>
    <s v="Item atualizado"/>
    <m/>
    <s v="Processo 2024"/>
    <m/>
    <s v=" 2300001216.000020/2024-71"/>
    <m/>
  </r>
  <r>
    <x v="361"/>
    <x v="12"/>
    <s v="HOSPITAL REGIONAL DO AGRESTE DR.WALDEMIRO FERREIRA"/>
    <s v="Adesão"/>
    <s v="ARP.0002.00.2024.EXT.HMAR.PE"/>
    <s v="A presente Ata tem por objeto o registro de preços para Aquisição de Materiais Médicos Hospitalares, visando atender as necessidades do Hospital Militar de Área de Recife e Órgãos participantes, especificado(s) Termo de Referência, anexo I do edital de Pr"/>
    <m/>
    <d v="2024-10-02T00:00:00"/>
    <x v="1"/>
    <s v="Autorizada Integrado"/>
    <s v="Processo 2024"/>
    <s v="Item atualizado"/>
    <m/>
    <s v="Processo 2024"/>
    <m/>
    <s v="2300001213.000337/2024-38"/>
    <m/>
  </r>
  <r>
    <x v="362"/>
    <x v="1"/>
    <s v="HOSPITAL REGIONAL DO AGRESTE DR.WALDEMIRO FERREIRA"/>
    <s v="Adesão"/>
    <s v="ARP.0046.05.2024.GOV.HUOC.PE"/>
    <s v="Registro de Preços para eventual aquisição de MEDICAMENTOS CLÍNICOS GERAIS (SEI Nº 0040609437.000070/2023-90)"/>
    <m/>
    <d v="2024-10-02T00:00:00"/>
    <x v="1"/>
    <s v="Autorizada Sucesso"/>
    <s v="Concluído"/>
    <s v="Item atualizado"/>
    <m/>
    <s v="Processo 2024"/>
    <m/>
    <s v=" 2300001213.000396/2024-14"/>
    <m/>
  </r>
  <r>
    <x v="363"/>
    <x v="1"/>
    <s v="HOSPITAL REGIONAL DO AGRESTE DR.WALDEMIRO FERREIRA"/>
    <s v="Adesão"/>
    <s v="ARP.0046.01.2024.GOV.HUOC.PE"/>
    <s v="Registro de Preços para eventual aquisição de MEDICAMENTOS CLÍNICOS GERAIS (SEI Nº 0040609437.000070/2023-90)"/>
    <m/>
    <d v="2024-08-14T00:00:00"/>
    <x v="1"/>
    <s v="Autorizada Sucesso"/>
    <s v="Concluído"/>
    <s v="Item atualizado"/>
    <m/>
    <s v="Processo 2024"/>
    <m/>
    <s v="2300001213.000274/2024-10"/>
    <m/>
  </r>
  <r>
    <x v="364"/>
    <x v="0"/>
    <s v="HOSPITAL REGIONAL DO AGRESTE DR.WALDEMIRO FERREIRA"/>
    <s v="Adesão"/>
    <s v="ARP.0009.03.2024.GOV.FES-PE.PE"/>
    <s v="PREGÃO ELETRÔNICO PARA REGISTRO DE PREÇOS COM VALIDADE DE 12 (DOZE) MESES PARA EVENTUAL FORNECIMENTO DE MOBILIÁRIO HOSPITALAR, VISANDO ATENDER AS NECESSIDADES DAS UNIDADES DA SECRETARIA ESTADUAL DE SAÚDE DE PERNAMBUCO."/>
    <m/>
    <d v="2024-09-13T00:00:00"/>
    <x v="0"/>
    <s v="Cancelada"/>
    <s v="Processo 2024"/>
    <s v="Item não atualizado"/>
    <m/>
    <s v="Processo 2024"/>
    <m/>
    <m/>
    <m/>
  </r>
  <r>
    <x v="365"/>
    <x v="27"/>
    <s v="HOSPITAL REGIONAL DO AGRESTE DR.WALDEMIRO FERREIRA"/>
    <s v="Adesão"/>
    <s v="ARP.0006.00.2023.GOV.UPEGARANHUNS.PE"/>
    <s v="Formação de Registro de Preços para o fornecimento eventual de materiais de laboratório e hospitalar para a UPE Campi Garanhuns, Arcoverde e Serra Talhada."/>
    <m/>
    <d v="2024-10-03T00:00:00"/>
    <x v="1"/>
    <s v="Autorizada Sucesso"/>
    <s v="Processo 2024"/>
    <s v="Item atualizado"/>
    <m/>
    <s v="Processo 2024"/>
    <m/>
    <m/>
    <m/>
  </r>
  <r>
    <x v="366"/>
    <x v="1"/>
    <s v="HOSPITAL REGIONAL DO AGRESTE DR.WALDEMIRO FERREIRA"/>
    <s v="Adesão"/>
    <s v="ARP.0095.01.2023.GOV.HUOC.PE"/>
    <s v="Registo de Preço para o eventual fornecimento de REAGENTES PARA O LABORATÓRIO CLINICO COM CESSÃO DE EQUIPAMENTOS EM REGIME DE COMODATO PARA REALIZAÇÃO DE HEMATOLOGIA, URINÁLISE E HEMOSTASIA (SEI Nº 0040609459.000030/2023-90)"/>
    <m/>
    <d v="2024-08-14T00:00:00"/>
    <x v="1"/>
    <s v="Autorizada Sucesso"/>
    <s v="Processo 2024"/>
    <s v="Item atualizado"/>
    <m/>
    <s v="Processo 2024"/>
    <m/>
    <m/>
    <m/>
  </r>
  <r>
    <x v="367"/>
    <x v="4"/>
    <s v="HOSPITAL REGIONAL DO AGRESTE DR.WALDEMIRO FERREIRA"/>
    <s v="Adesão"/>
    <s v="ARP.0053.00.2024.GOV.CISAM.PE"/>
    <s v="REGISTRO DE PREÇOS PARA FORNECIMENTO EVENTUAL DE MEDICAMENTO (ENOXAPARINA SÓDICA), VISANDO ATENDER AS NECESSIDADES DO CISAM/UPE E DEMAIS ÓRGÃOS PARTICIPANTES."/>
    <s v="NFOCPO"/>
    <d v="2024-10-02T00:00:00"/>
    <x v="1"/>
    <s v="Autorizada Sucesso"/>
    <s v="Concluído"/>
    <s v="Item atualizado"/>
    <s v="Jean"/>
    <s v="Processo 2024"/>
    <m/>
    <s v="2300001213.000414/2024-50_x000a_"/>
    <s v="PROCESSO CONCLUÍDO / ITEM RECEBIDO"/>
  </r>
  <r>
    <x v="368"/>
    <x v="9"/>
    <s v="HOSPITAL REGIONAL DO AGRESTE DR.WALDEMIRO FERREIRA"/>
    <s v="Adesão"/>
    <s v="ARP.0031.00.2024.GOV.HR.PE"/>
    <s v="PREGÃO ELETRÔNICO PARA REGISTRO DE PREÇOS COM VALIDADE DE 12 (DOZE) MESES PARA EVENTUAL FORNECIMENTO DE PRODUTOS MÉDICOS (MATERIAL MÉDICO HOSPITALAR), VISANDO ATENDER ÀS NECESSIDADES DO HOSPITAL DA RESTAURAÇÃO"/>
    <s v="NFOCPO"/>
    <d v="2024-09-02T00:00:00"/>
    <x v="1"/>
    <s v="Autorizada Sucesso"/>
    <s v="Concluído"/>
    <s v="Item atualizado"/>
    <s v="Jean"/>
    <s v="Processo 2024"/>
    <s v="Enviado ao NOF"/>
    <s v="2300001213.000285/2024-08"/>
    <s v="PROCESSO PAROU NA CAF"/>
  </r>
  <r>
    <x v="369"/>
    <x v="4"/>
    <s v="HOSPITAL REGIONAL DO AGRESTE DR.WALDEMIRO FERREIRA"/>
    <s v="Adesão"/>
    <s v="ARP.0055.03.2024.GOV.CISAM.PE"/>
    <s v="REGISTRO DE PREÇOS PARA O EVENTUAL FORNECIMENTO DE MEDICAMENTOS, VISANDO ATENDER AS NECESSIDADES DO CISAM/UPE"/>
    <s v="NFOCPO"/>
    <d v="2024-10-02T00:00:00"/>
    <x v="1"/>
    <s v="Autorizada Sucesso"/>
    <s v="Concluído"/>
    <s v="Item atualizado"/>
    <s v="Jean"/>
    <s v="Processo 2024"/>
    <s v="Enviado ao NOF"/>
    <s v="2300001213.000381/2024-48_x000a_"/>
    <s v="PROCESSO CONCLUÍDO / ITEM RECEBIDO"/>
  </r>
  <r>
    <x v="370"/>
    <x v="6"/>
    <s v="HOSPITAL REGIONAL DO AGRESTE DR.WALDEMIRO FERREIRA"/>
    <s v="Adesão"/>
    <s v="ARP.0039.03.2024.GOV.PROCAPE.PE"/>
    <s v="REGISTRO DE PREÇOS PARA EVENTUAL FORNECIMENTO DE MATERIAL PARA ACONDICIONAMENTO E EMBALAGEM (SACOS)"/>
    <m/>
    <d v="2024-08-26T00:00:00"/>
    <x v="1"/>
    <s v="Autorizada Sucesso"/>
    <s v="Concluído"/>
    <s v="Item atualizado"/>
    <s v="Jean"/>
    <s v="Processo 2024"/>
    <s v="Enviado ao NOF"/>
    <s v="2300001216.000056/2024-55_x000a_"/>
    <s v="PROCESSO CONCLUÍDO / ITEM RECEBIDO"/>
  </r>
  <r>
    <x v="371"/>
    <x v="9"/>
    <s v="HOSPITAL REGIONAL DO AGRESTE DR.WALDEMIRO FERREIRA"/>
    <s v="Adesão"/>
    <s v="ARP.0035.00.2024.GOV.HR.PE"/>
    <s v="PREGÃO ELETRÔNICO PARA REGISTRO DE PREÇOS COM VALIDADE DE 12 (DOZE) MESES PARA O EVENTUAL FORNECIMENTO DE PRODUTOS MÉDICOS (CURATIVOS PARA TERAPIA POR PRESSÃO NEGATIVA) COM A CESSÃO DE ACESSÓRIOS/EQUIPAMENTOS EM REGIME DE COMODATO, VISANDO ATENDER AS NECE"/>
    <s v="NFOCPO"/>
    <d v="2024-09-16T00:00:00"/>
    <x v="1"/>
    <s v="Autorizada Sucesso"/>
    <s v="Concluído"/>
    <s v="Item atualizado"/>
    <s v="Jean"/>
    <s v="Processo 2024"/>
    <s v="Enviado ao NOF"/>
    <s v=" 2300002541.000001/2024-16"/>
    <s v="PROCESSO CONCLUÍDO / ITEM RECEBIDO"/>
  </r>
  <r>
    <x v="372"/>
    <x v="5"/>
    <s v="HOSPITAL REGIONAL DO AGRESTE DR.WALDEMIRO FERREIRA"/>
    <s v="Adesão"/>
    <s v="ARP.0002.00.2024.GOV.HOF.PE"/>
    <s v="Registro de Preço, para aquisição de Medicamentos Injetáveis para abastecimento do Hospital Otávio de Freitas da Secretaria de Saúde de Pernambuco, por um período de 12 (doze) meses"/>
    <s v="NFOCPO"/>
    <d v="2024-09-17T00:00:00"/>
    <x v="1"/>
    <s v="Autorizada Sucesso"/>
    <s v="Concluído"/>
    <s v="Item atualizado"/>
    <s v="Jean"/>
    <s v="Processo 2024"/>
    <s v="Enviado ao NOF"/>
    <s v="2300001213.000317/2024-67_x000a_"/>
    <s v="PROCESSO CONCLUÍDO / ITEM RECEBIDO"/>
  </r>
  <r>
    <x v="373"/>
    <x v="1"/>
    <s v="HOSPITAL REGIONAL DO AGRESTE DR.WALDEMIRO FERREIRA"/>
    <s v="Adesão"/>
    <s v="ARP.0130.00.2023.GOV.HUOC.PE"/>
    <s v="REGISTRO DE PREÇO para eventual fornecimento de MATERIAIS MÉDICOS HOSPITALARES PARA O SERVIÇO DE ENDOSCOPIA (SEI Nº 0040609459.000005/2023-14)"/>
    <m/>
    <d v="2024-08-21T00:00:00"/>
    <x v="1"/>
    <s v="Autorizada Sucesso"/>
    <s v="Processo 2024"/>
    <s v="Item atualizado"/>
    <m/>
    <s v="Processo 2024"/>
    <m/>
    <m/>
    <m/>
  </r>
  <r>
    <x v="374"/>
    <x v="1"/>
    <s v="HOSPITAL REGIONAL DO AGRESTE DR.WALDEMIRO FERREIRA"/>
    <s v="Adesão"/>
    <s v="ARP.0063.08.2024.GOV.HUOC.PE"/>
    <s v="REGISTRO DE PREÇO para eventual fornecimento de MATERIAIS DE ELÉTRICA (SEI Nº 0040609405.000065/2023-54)"/>
    <m/>
    <d v="2024-08-12T00:00:00"/>
    <x v="1"/>
    <s v="Autorizada Sucesso"/>
    <s v="Concluído"/>
    <s v="Item atualizado"/>
    <s v="Jean"/>
    <s v="Processo 2024"/>
    <s v="Enviado ao NOF"/>
    <s v="2300001207.000165/2024-81_x000a_"/>
    <s v="PROCESSO CONCLUÍDO / ITEM RECEBIDO"/>
  </r>
  <r>
    <x v="375"/>
    <x v="1"/>
    <s v="HOSPITAL REGIONAL DO AGRESTE DR.WALDEMIRO FERREIRA"/>
    <s v="Adesão"/>
    <s v="ARP.0039.04.2024.GOV.HUOC.PE"/>
    <s v="REGISTRO DE PREÇO para eventual fornecimento de MATERIAIS MÉDICOS PARA ESTERILIZAÇÃO HOSPITALAR (SEI Nº 0040609459.000007/2023-03)"/>
    <s v="NFOCPO"/>
    <d v="2024-08-12T00:00:00"/>
    <x v="1"/>
    <s v="Autorizada Sucesso"/>
    <s v="Concluído"/>
    <s v="Item atualizado"/>
    <s v="Jean"/>
    <s v="Processo 2024"/>
    <s v="Enviado ao NOF"/>
    <s v="2300001213.000249/2024-36"/>
    <s v="PROCESSO CONCLUÍDO / ITEM RECEBIDO"/>
  </r>
  <r>
    <x v="376"/>
    <x v="9"/>
    <s v="HOSPITAL REGIONAL DO AGRESTE DR.WALDEMIRO FERREIRA"/>
    <s v="Adesão"/>
    <s v="ARP.0033.00.2024.GOV.HR.PE"/>
    <s v="Registro de Preços para o fornecimento eventual de BENS (MATERIAIS DE LIMPEZA E OUTROS), visando atender as necessidades do HOSPITAL DA RESTAURAÇÃO GOV. PAULO GUERRA"/>
    <m/>
    <d v="2024-09-18T00:00:00"/>
    <x v="1"/>
    <s v="Autorizada Sucesso"/>
    <s v="Concluído"/>
    <s v="Item atualizado"/>
    <s v="Jean"/>
    <s v="Processo 2024"/>
    <s v="Enviado ao NOF"/>
    <s v="2300002264.000003/2024-21"/>
    <s v="PROCESSO CONCLUÍDO / ITEM RECEBIDO"/>
  </r>
  <r>
    <x v="377"/>
    <x v="9"/>
    <s v="HOSPITAL REGIONAL DO AGRESTE DR.WALDEMIRO FERREIRA"/>
    <s v="Adesão"/>
    <s v="ARP.0028.00.2024.GOV.HR.PE"/>
    <s v="PREGÃO ELETRÓNICO para REGISTRO DE PREÇOS, com validade de 12 (doze) meses, para eventual fornecimento de BENS (MOBILIÁRIO HOSPITALAR), visando atender as necessidades do Hospital da Restauração."/>
    <m/>
    <d v="2024-09-11T00:00:00"/>
    <x v="1"/>
    <s v="Autorizada Sucesso"/>
    <s v="Concluído"/>
    <s v="Item atualizado"/>
    <s v="Jean"/>
    <s v="Processo 2024"/>
    <s v="Enviado ao NOF"/>
    <s v="2300002544.000013/2024-11_x000a_"/>
    <s v="PROCESSO CONCLUÍDO / ITEM RECEBIDO"/>
  </r>
  <r>
    <x v="378"/>
    <x v="12"/>
    <s v="HOSPITAL REGIONAL DO AGRESTE DR.WALDEMIRO FERREIRA"/>
    <s v="Adesão"/>
    <s v="ARP.0006.00.2024.EXT.HMAR.PE"/>
    <s v="A presente Ata tem por objeto o registro de preços para Aquisição de Medicamentos Gerais II, visando atender as necessidades do Hospital Militar de Área de Recife e Órgãos participantes, especificado(s) Termo de Referência, anexo I do edital de Pregão nº "/>
    <s v="NFOCPO"/>
    <d v="2024-10-04T00:00:00"/>
    <x v="1"/>
    <s v="Autorizada Integrado"/>
    <s v="Concluído"/>
    <s v="Item atualizado"/>
    <s v="Jean"/>
    <s v="Processo 2024"/>
    <s v="Enviado ao NOF"/>
    <s v="2300001209.000054/2024-55"/>
    <s v="PROCESSO CONCLUÍDO / ITEM RECEBIDO"/>
  </r>
  <r>
    <x v="379"/>
    <x v="7"/>
    <s v="HOSPITAL REGIONAL DO AGRESTE DR.WALDEMIRO FERREIRA"/>
    <s v="Adesão"/>
    <s v="ARP.0004.02.2024.GOV.HGV.PE"/>
    <s v="PREGÃO ELETRÔNICO PARA REGISTRO DE PREÇOS COM VALIDADE DE 12 (DOZE) MESES PARA EVENTUAL FORNECIMENTO DE SOLUÇÕES PARENTERAIS DE GRANDES VOLUMES, VISANDO ATENDER AS NECESSIDADES DO HOSPITAL GETULIO VARGAS E HOSPITAL AGAMENON MAGALHÃES"/>
    <s v="NFOCPO"/>
    <d v="2024-09-20T00:00:00"/>
    <x v="1"/>
    <s v="Autorizada Sucesso"/>
    <s v="Concluído"/>
    <s v="Item atualizado"/>
    <s v="Jean"/>
    <s v="Processo 2024"/>
    <s v="Enviado ao NOF"/>
    <s v="2300001213.000304/2024-98"/>
    <s v="PROCESSO CONCLUÍDO / ITEM RECEBIDO"/>
  </r>
  <r>
    <x v="380"/>
    <x v="1"/>
    <s v="HOSPITAL REGIONAL DO AGRESTE DR.WALDEMIRO FERREIRA"/>
    <s v="Adesão"/>
    <s v="ARP.0130.02.2023.GOV.HUOC.PE"/>
    <s v="REGISTRO DE PREÇO para eventual fornecimento de MATERIAIS MÉDICOS HOSPITALARES PARA O SERVIÇO DE ENDOSCOPIA (SEI Nº 0040609459.000005/2023-14)"/>
    <m/>
    <d v="2024-08-14T00:00:00"/>
    <x v="1"/>
    <s v="Autorizada Sucesso"/>
    <s v="Processo 2024"/>
    <s v="Item atualizado"/>
    <m/>
    <s v="Processo 2024"/>
    <m/>
    <m/>
    <m/>
  </r>
  <r>
    <x v="381"/>
    <x v="0"/>
    <s v="HOSPITAL REGIONAL DO AGRESTE DR.WALDEMIRO FERREIRA"/>
    <s v="Adesão"/>
    <s v="ARP.0107.00.2023.GOV.FES-PE.PE"/>
    <s v="PREGÃO ELETRÔNICO PARA REGISTRO DE PREÇOS COM VALIDADE DE 12 (DOZE) MESES PARA EVENTUAL FORNECIMENTO DE EQUIPAMENTOS LABORATORIAIS, VISANDO ATENDER AS NECESSIDADES DA SECRETARIA ESTADUAL DE SAÚDE DE PERNAMBUCO - SES/PE."/>
    <m/>
    <d v="2024-09-19T00:00:00"/>
    <x v="1"/>
    <s v="Autorizada Sucesso"/>
    <s v="Processo 2024"/>
    <s v="Item atualizado"/>
    <m/>
    <s v="Processo 2024"/>
    <m/>
    <m/>
    <m/>
  </r>
  <r>
    <x v="382"/>
    <x v="1"/>
    <s v="HOSPITAL REGIONAL DO AGRESTE DR.WALDEMIRO FERREIRA"/>
    <s v="Adesão"/>
    <s v="ARP.0068.02.2024.GOV.HUOC.PE"/>
    <s v="Registro de Preços para eventual fornecimento de FIOS DE NYLON, ALGODÃO, POLIÉSTER E SEDA (SEI Nº 0040609437.000063/2023-98)"/>
    <m/>
    <d v="2024-09-23T00:00:00"/>
    <x v="0"/>
    <s v="Cancelada"/>
    <s v="Cancelado"/>
    <s v="Item não atualizado"/>
    <m/>
    <s v="Processo 2024"/>
    <m/>
    <m/>
    <m/>
  </r>
  <r>
    <x v="383"/>
    <x v="1"/>
    <s v="HOSPITAL REGIONAL DO AGRESTE DR.WALDEMIRO FERREIRA"/>
    <s v="Adesão"/>
    <s v="ARP.0063.06.2024.GOV.HUOC.PE"/>
    <s v="REGISTRO DE PREÇO para eventual fornecimento de MATERIAIS DE ELÉTRICA (SEI Nº 0040609405.000065/2023-54)"/>
    <m/>
    <d v="2024-08-26T00:00:00"/>
    <x v="1"/>
    <s v="Autorizada Sucesso"/>
    <s v="Concluído"/>
    <s v="Item atualizado"/>
    <s v="Jean"/>
    <s v="Processo 2024"/>
    <m/>
    <s v="2300002544.000010/2024-87"/>
    <s v="PAROU NA SUPERINTENDENCIA DE ENGENHARIA E MANUTENÇÃO"/>
  </r>
  <r>
    <x v="384"/>
    <x v="6"/>
    <s v="HOSPITAL REGIONAL DO AGRESTE DR.WALDEMIRO FERREIRA"/>
    <s v="Adesão"/>
    <s v="ARP.0044.08.2024.GOV.PROCAPE.PE"/>
    <s v="REGISTRO DE PREÇOS PARA EVENTUAL FORNECIMENTO DE MATERIAL DE CONSUMO HOSPITALAR (MEDICAMENTOS ANTIMICROBIANOS)"/>
    <s v="NFOCPO"/>
    <d v="2024-09-02T00:00:00"/>
    <x v="1"/>
    <s v="Autorizada Sucesso"/>
    <s v="Concluído"/>
    <s v="Item atualizado"/>
    <s v="Jean"/>
    <s v="Processo 2024"/>
    <s v="Enviado ao NOF"/>
    <s v=" 2300001213.000297/2024-24_x000a_"/>
    <s v="PROCESSO CONCLUÍDO / ITEM RECEBIDO"/>
  </r>
  <r>
    <x v="385"/>
    <x v="9"/>
    <s v="HOSPITAL REGIONAL DO AGRESTE DR.WALDEMIRO FERREIRA"/>
    <s v="Adesão"/>
    <s v="ARP.0027.00.2024.GOV.HR.PE"/>
    <s v="Formação de Registro de Preços para o fornecimento eventual de Produtos Médicos Hospitalares (Materiais para Hemodinâmica: Bainhas, Agulhas, Introdutores), visando atender as necessidades do Hospital da Restauração e Hospital Agamenon Magalhães."/>
    <s v="NFOCPO"/>
    <d v="2024-09-16T00:00:00"/>
    <x v="1"/>
    <s v="Autorizada Sucesso"/>
    <s v="Concluído"/>
    <s v="Item atualizado"/>
    <s v="Jean"/>
    <s v="Processo 2024"/>
    <s v="Enviado ao NOF"/>
    <s v="2300001213.000315/2024-78"/>
    <s v="PROCESSO CONCLUÍDO / ITEM RECEBIDO"/>
  </r>
  <r>
    <x v="386"/>
    <x v="0"/>
    <s v="HOSPITAL REGIONAL DO AGRESTE DR.WALDEMIRO FERREIRA"/>
    <s v="Adesão"/>
    <s v="ARP.0009.04.2024.GOV.FES-PE.PE"/>
    <s v="PREGÃO ELETRÔNICO PARA REGISTRO DE PREÇOS COM VALIDADE DE 12 (DOZE) MESES PARA EVENTUAL FORNECIMENTO DE MOBILIÁRIO HOSPITALAR, VISANDO ATENDER AS NECESSIDADES DAS UNIDADES DA SECRETARIA ESTADUAL DE SAÚDE DE PERNAMBUCO."/>
    <m/>
    <d v="2024-09-03T00:00:00"/>
    <x v="0"/>
    <s v="Cancelada"/>
    <s v="Processo 2024"/>
    <s v="Item não atualizado"/>
    <m/>
    <s v="Processo 2024"/>
    <m/>
    <m/>
    <m/>
  </r>
  <r>
    <x v="387"/>
    <x v="14"/>
    <s v="HOSPITAL REGIONAL DO AGRESTE DR.WALDEMIRO FERREIRA"/>
    <s v="Adesão"/>
    <s v="ARP.0009.00.2024.GOV.SASSEPE.PE"/>
    <s v="Registro de Preço para a eventual aquisição de INSUMOS HOSPITALARES (INDICADOR QUIMICO, INTEGRADOR QUIMICO, LENÇOL DE PAPEL DESCARTAVEL, E OUTROS), COM O FORNECIMENTO DE EQUIPAMENTOS EM COMODATO, para utilização na Unidade hospitalar HSE-IASSEPE/ SASSEPE"/>
    <m/>
    <d v="2024-09-30T00:00:00"/>
    <x v="1"/>
    <s v="Autorizada Sucesso"/>
    <s v="Concluído"/>
    <s v="Item atualizado"/>
    <s v="Jean"/>
    <s v="Processo 2024"/>
    <s v="Enviado ao NOF"/>
    <s v="2300001213.000329/2024-91"/>
    <s v="PROCESSO CONCLUÍDO / ITEM RECEBIDO"/>
  </r>
  <r>
    <x v="388"/>
    <x v="7"/>
    <s v="HOSPITAL REGIONAL DO AGRESTE DR.WALDEMIRO FERREIRA"/>
    <s v="Adesão"/>
    <s v="ARP.0001.00.2024.GOV.HGV.PE"/>
    <s v="PREGÃO ELETRÓNICO para REGISTRO DE PREÇOS, com validade de 12 (doze) meses, para eventual fornecimento de CADEIRA DE RODAS, visando atender a demanda do Hospital Getúlio Vargas."/>
    <m/>
    <d v="2024-08-22T00:00:00"/>
    <x v="0"/>
    <s v="Cancelada Sucesso"/>
    <s v="Cancelado"/>
    <s v="Item atualizado"/>
    <m/>
    <s v="Processo 2024"/>
    <m/>
    <m/>
    <m/>
  </r>
  <r>
    <x v="389"/>
    <x v="0"/>
    <s v="HOSPITAL REGIONAL DO AGRESTE DR.WALDEMIRO FERREIRA"/>
    <s v="Adesão"/>
    <s v="ARP.0113.00.2023.GOV.FES-PE.PE"/>
    <s v="PREGÃO ELETRÔNICO PARA REGISTRO DE PREÇO PARA EVENTUAL FORNECIMENTO DE MOBILIÁRIO HOSPITALAR, SECRETARIA DE SAUDE - SES"/>
    <m/>
    <d v="2024-08-22T00:00:00"/>
    <x v="1"/>
    <s v="Autorizada Sucesso"/>
    <s v="Processo 2024"/>
    <s v="Item atualizado"/>
    <m/>
    <s v="Processo 2024"/>
    <m/>
    <m/>
    <m/>
  </r>
  <r>
    <x v="390"/>
    <x v="1"/>
    <s v="HOSPITAL REGIONAL DO AGRESTE DR.WALDEMIRO FERREIRA"/>
    <s v="Adesão"/>
    <s v="ARP.0068.02.2024.GOV.HUOC.PE"/>
    <s v="Registro de Preços para eventual fornecimento de FIOS DE NYLON, ALGODÃO, POLIÉSTER E SEDA (SEI Nº 0040609437.000063/2023-98)"/>
    <s v="NFOCPO"/>
    <d v="2024-09-23T00:00:00"/>
    <x v="1"/>
    <s v="Autorizada Sucesso"/>
    <s v="Concluído"/>
    <s v="Item atualizado"/>
    <s v="Jean"/>
    <s v="Processo 2024"/>
    <s v="Enviado ao NOF"/>
    <s v=" 2300001213.000283/2024-19"/>
    <s v="PROCESSO CONCLUÍDO / ITEM RECEBIDO"/>
  </r>
  <r>
    <x v="391"/>
    <x v="1"/>
    <s v="HOSPITAL REGIONAL DO AGRESTE DR.WALDEMIRO FERREIRA"/>
    <s v="Adesão"/>
    <s v="ARP.0059.05.2024.GOV.HUOC.PE"/>
    <s v="REGISTRO DE PREÇO para eventual fornecimento de MATERIAIS DE CONSTRUÇÃO (SEI Nº 0040609405.000067/2023-43)"/>
    <m/>
    <d v="2024-09-02T00:00:00"/>
    <x v="1"/>
    <s v="Autorizada Sucesso"/>
    <s v="Concluído"/>
    <s v="Item atualizado"/>
    <s v="Jean"/>
    <s v="Processo 2024"/>
    <m/>
    <s v="2300002544.000015/2024-18"/>
    <s v="PAROU NA SUPERINTENDENCIA DE ENGENHARIA E MANUTENÇÃO"/>
  </r>
  <r>
    <x v="392"/>
    <x v="9"/>
    <s v="HOSPITAL REGIONAL DO AGRESTE DR.WALDEMIRO FERREIRA"/>
    <s v="Adesão"/>
    <s v="ARP.0027.00.2024.GOV.HR.PE"/>
    <s v="Formação de Registro de Preços para o fornecimento eventual de Produtos Médicos Hospitalares (Materiais para Hemodinâmica: Bainhas, Agulhas, Introdutores), visando atender as necessidades do Hospital da Restauração e Hospital Agamenon Magalhães."/>
    <m/>
    <d v="2024-09-13T00:00:00"/>
    <x v="1"/>
    <s v="Autorizada Sucesso"/>
    <s v="Concluído"/>
    <s v="Item atualizado"/>
    <s v="Jean"/>
    <s v="Processo 2024"/>
    <m/>
    <s v="2300001213.000316/2024-12"/>
    <s v="PROCESSO CONCLUÍDO / ITEM RECEBIDO"/>
  </r>
  <r>
    <x v="393"/>
    <x v="26"/>
    <s v="HOSPITAL REGIONAL DO AGRESTE DR.WALDEMIRO FERREIRA"/>
    <s v="Adesão"/>
    <s v="ARP.0018.00.2024.OPD.MPPE.PE"/>
    <s v="Ata de Registro de Preços para aquisição de MATERIAIS HIDROSSANITÁRIOS"/>
    <m/>
    <d v="2024-10-07T00:00:00"/>
    <x v="1"/>
    <s v="Autorizada Sucesso"/>
    <s v="Concluído"/>
    <s v="Item atualizado"/>
    <s v="Jean"/>
    <s v="Processo 2024"/>
    <m/>
    <s v="2300002544.000028/2024-89_x000a_"/>
    <s v="PAROU NA SUPERINTENDENCIA DE ENGENHARIA E MANUTENÇÃO"/>
  </r>
  <r>
    <x v="394"/>
    <x v="0"/>
    <s v="HOSPITAL REGIONAL DO AGRESTE DR.WALDEMIRO FERREIRA"/>
    <s v="Adesão"/>
    <s v="ARP.0014.00.2024.GOV.FES-PE.PE"/>
    <s v="Pregão Eletrônico para Registro de Preço para eventual aquisição de Medicamentos Líquidos e Tópicos II para atender as necessidades da demanda da População Privada de Liberdade nas Unidades Prisionais do Estado de Pernambuco."/>
    <s v="NFOCPO"/>
    <d v="2024-08-14T00:00:00"/>
    <x v="1"/>
    <s v="Autorizada Sucesso"/>
    <s v="Concluído"/>
    <s v="Item atualizado"/>
    <s v="Jean"/>
    <s v="Processo 2024"/>
    <s v="Enviado ao NOF"/>
    <s v="2300001213.000273/2024-75"/>
    <s v="PROCESSO CONCLUÍDO / ITEM RECEBIDO"/>
  </r>
  <r>
    <x v="395"/>
    <x v="32"/>
    <s v="HOSPITAL REGIONAL DO AGRESTE DR.WALDEMIRO FERREIRA"/>
    <s v="Adesão"/>
    <s v="ARP.0001.00.2024.EXT.PE"/>
    <s v="A presente Ata tem por objeto o registro de preços para a eventual aquisição de Dispositivos Médicos Implantáveis (DMI), para joelho, quadril, fêmur e fixadores externos, destinado a suprir necessidades das Organizações Militares de Saúde vinculadas à 7ª "/>
    <m/>
    <d v="2024-09-06T00:00:00"/>
    <x v="1"/>
    <s v="Autorizada Integrado"/>
    <s v="Processo 2024"/>
    <s v="Item atualizado"/>
    <m/>
    <s v="Processo 2024"/>
    <m/>
    <m/>
    <m/>
  </r>
  <r>
    <x v="396"/>
    <x v="1"/>
    <s v="HOSPITAL REGIONAL DO AGRESTE DR.WALDEMIRO FERREIRA"/>
    <s v="Adesão"/>
    <s v="ARP.0058.03.2024.GOV.HUOC.PE"/>
    <s v="REGISTRO DE PREÇO para eventual fornecimento de MATERIAIS DE HIDRÁULICA (SEI Nº 0040609405.000063/2023-65)"/>
    <m/>
    <d v="2024-08-22T00:00:00"/>
    <x v="1"/>
    <s v="Autorizada Sucesso"/>
    <s v="Concluído"/>
    <s v="Item atualizado"/>
    <s v="Jean"/>
    <s v="Processo 2024"/>
    <m/>
    <s v="2300002544.000012/2024-76_x000a_"/>
    <s v="PAROU NA SUPERINTENDENCIA DE ENGENHARIA E MANUTENÇÃO"/>
  </r>
  <r>
    <x v="397"/>
    <x v="9"/>
    <s v="HOSPITAL REGIONAL DO AGRESTE DR.WALDEMIRO FERREIRA"/>
    <s v="Adesão"/>
    <s v="ARP.0028.00.2024.GOV.HR.PE"/>
    <s v="PREGÃO ELETRÓNICO para REGISTRO DE PREÇOS, com validade de 12 (doze) meses, para eventual fornecimento de BENS (MOBILIÁRIO HOSPITALAR), visando atender as necessidades do Hospital da Restauração."/>
    <m/>
    <d v="2024-08-21T00:00:00"/>
    <x v="1"/>
    <s v="Autorizada Sucesso"/>
    <s v="Concluído"/>
    <s v="Item atualizado"/>
    <s v="Jean"/>
    <s v="Processo 2024"/>
    <m/>
    <s v="2300002544.000014/2024-65"/>
    <s v="PROCESSO CONCLUÍDO / ITEM RECEBIDO"/>
  </r>
  <r>
    <x v="398"/>
    <x v="14"/>
    <s v="HOSPITAL REGIONAL DO AGRESTE DR.WALDEMIRO FERREIRA"/>
    <s v="Adesão"/>
    <s v="ARP.0021.00.2023.GOV.SASSEPE.PE"/>
    <s v="Registro de Preços para o fornecimento eventual de POLTRONA HOSPITALARES, conforme especificações e quantitativos previstos no Termo de Referência (Anexo I), para atender às demandas dos órgãos participantes indicados no mencionado Anexo."/>
    <m/>
    <d v="2024-08-22T00:00:00"/>
    <x v="1"/>
    <s v="Autorizada Sucesso"/>
    <s v="Processo 2024"/>
    <s v="Item atualizado"/>
    <m/>
    <s v="Processo 2024"/>
    <m/>
    <m/>
    <m/>
  </r>
  <r>
    <x v="399"/>
    <x v="20"/>
    <s v="HOSPITAL REGIONAL DO AGRESTE DR.WALDEMIRO FERREIRA"/>
    <s v="Adesão"/>
    <s v="ARP.0002.02.2024.GOV.DASIS.PE"/>
    <s v="Formação de REGISTRO DE PREÇOS POR UM PERÍODO DE 12 (DOZE) MESES PARA EVENTUAL FORNECIMENTO DE MEDICAMENTOS ORAIS, TOPICOS E OFTALMICOS PARA O CENTRO MEDICO HOSPITALAR DA PMPE/CBMPE"/>
    <m/>
    <d v="2024-07-24T00:00:00"/>
    <x v="0"/>
    <s v="Cancelada"/>
    <s v="Cancelado"/>
    <s v="Item não atualizado"/>
    <m/>
    <s v="Processo 2024"/>
    <m/>
    <m/>
    <m/>
  </r>
  <r>
    <x v="400"/>
    <x v="1"/>
    <s v="HOSPITAL REGIONAL DO AGRESTE DR.WALDEMIRO FERREIRA"/>
    <s v="Adesão"/>
    <s v="ARP.0095.00.2023.GOV.HUOC.PE"/>
    <s v="Registo de Preço para o eventual fornecimento de REAGENTES PARA O LABORATÓRIO CLINICO COM CESSÃO DE EQUIPAMENTOS EM REGIME DE COMODATO PARA REALIZAÇÃO DE HEMATOLOGIA, URINÁLISE E HEMOSTASIA (SEI Nº 0040609459.000030/2023-90)"/>
    <m/>
    <d v="2024-08-01T00:00:00"/>
    <x v="0"/>
    <s v="Cancelada"/>
    <s v="Processo 2024"/>
    <s v="Item não atualizado"/>
    <m/>
    <s v="Processo 2024"/>
    <m/>
    <m/>
    <m/>
  </r>
  <r>
    <x v="401"/>
    <x v="5"/>
    <s v="HOSPITAL REGIONAL DO AGRESTE DR.WALDEMIRO FERREIRA"/>
    <s v="Adesão"/>
    <s v="ARP.0001.06.2024.GOV.HOF.PE"/>
    <s v="Formação de registro de preços para eventual fornecimento de materiais médicos hospitalares, visando atender as necessidades do Hospital Otávio de Freitas"/>
    <m/>
    <d v="2024-07-22T00:00:00"/>
    <x v="1"/>
    <s v="Autorizada Sucesso"/>
    <s v="Processo 2024"/>
    <s v="Item atualizado"/>
    <m/>
    <s v="Processo 2024"/>
    <m/>
    <m/>
    <m/>
  </r>
  <r>
    <x v="402"/>
    <x v="9"/>
    <s v="HOSPITAL REGIONAL DO AGRESTE DR.WALDEMIRO FERREIRA"/>
    <s v="Adesão"/>
    <s v="ARP.0024.00.2024.GOV.HR.PE"/>
    <s v="Registro de Preços para o fornecimento eventual de PRODUTOS MÉDICOS (MATERIAL MÉDICO HOSPITALAR PARA IMOBILIZAÇÃO), visando atender as necessidades do Hospital da Restauração - HR/SES/PE"/>
    <s v="NFOCPO"/>
    <d v="2024-08-08T00:00:00"/>
    <x v="1"/>
    <s v="Autorizada Sucesso"/>
    <s v="Concluído"/>
    <s v="Item atualizado"/>
    <s v="Jean"/>
    <s v="Processo 2024"/>
    <s v="Enviado ao NOF"/>
    <s v=" 2300001213.000260/2024-04_x000a_"/>
    <s v="PROCESSO CONCLUÍDO / ITEM RECEBIDO"/>
  </r>
  <r>
    <x v="403"/>
    <x v="12"/>
    <s v="HOSPITAL REGIONAL DO AGRESTE DR.WALDEMIRO FERREIRA"/>
    <s v="Adesão"/>
    <s v="ARP.0003.01.2024.EXT.HMAR.PE"/>
    <s v="A presente Ata tem por objeto o registro de preços para aquisição de MEDICAMENTOS – ANTIBIÓTICOS, SOROS E ELETRÓLITOS - GCALC, para o Hospital Militar de Área de Recife (HMAR) e Órgãos participantes, destinadas aos Beneficiários do Fundo de Saúde do Exérc"/>
    <m/>
    <d v="2024-08-02T00:00:00"/>
    <x v="0"/>
    <s v="Cancelada"/>
    <s v="Cancelado"/>
    <s v="Item não atualizado"/>
    <m/>
    <s v="Processo 2024"/>
    <m/>
    <m/>
    <m/>
  </r>
  <r>
    <x v="404"/>
    <x v="12"/>
    <s v="HOSPITAL REGIONAL DO AGRESTE DR.WALDEMIRO FERREIRA"/>
    <s v="Adesão"/>
    <s v="ARP.0003.01.2024.EXT.HMAR.PE"/>
    <s v="A presente Ata tem por objeto o registro de preços para aquisição de MEDICAMENTOS – ANTIBIÓTICOS, SOROS E ELETRÓLITOS - GCALC, para o Hospital Militar de Área de Recife (HMAR) e Órgãos participantes, destinadas aos Beneficiários do Fundo de Saúde do Exérc"/>
    <m/>
    <d v="2024-07-23T00:00:00"/>
    <x v="0"/>
    <s v="Cancelada"/>
    <s v="Cancelado"/>
    <s v="Item não atualizado"/>
    <m/>
    <s v="Processo 2024"/>
    <m/>
    <m/>
    <m/>
  </r>
  <r>
    <x v="405"/>
    <x v="5"/>
    <s v="HOSPITAL REGIONAL DO AGRESTE DR.WALDEMIRO FERREIRA"/>
    <s v="Adesão"/>
    <s v="ARP.0001.07.2024.GOV.HOF.PE"/>
    <s v="Formação de registro de preços para eventual fornecimento de materiais médicos hospitalares, visando atender as necessidades do Hospital Otávio de Freitas"/>
    <m/>
    <d v="2024-07-09T00:00:00"/>
    <x v="1"/>
    <s v="Autorizada Sucesso"/>
    <s v="Processo 2024"/>
    <s v="Item atualizado"/>
    <m/>
    <s v="Processo 2024"/>
    <m/>
    <m/>
    <m/>
  </r>
  <r>
    <x v="406"/>
    <x v="1"/>
    <s v="HOSPITAL REGIONAL DO AGRESTE DR.WALDEMIRO FERREIRA"/>
    <s v="Adesão"/>
    <s v="ARP.0046.02.2024.GOV.HUOC.PE"/>
    <s v="Registro de Preços para eventual aquisição de MEDICAMENTOS CLÍNICOS GERAIS (SEI Nº 0040609437.000070/2023-90)"/>
    <s v="NFOCPO"/>
    <d v="2024-07-11T00:00:00"/>
    <x v="1"/>
    <s v="Autorizada Sucesso"/>
    <s v="Concluído"/>
    <s v="Item atualizado"/>
    <s v="Jean"/>
    <s v="Processo 2024"/>
    <s v="Enviado ao NOF"/>
    <s v="2300001213.000211/2024-63"/>
    <s v="PROCESSO CONCLUÍDO / ITEM RECEBIDO"/>
  </r>
  <r>
    <x v="407"/>
    <x v="7"/>
    <s v="HOSPITAL REGIONAL DO AGRESTE DR.WALDEMIRO FERREIRA"/>
    <s v="Adesão"/>
    <s v="ARP.0006.01.2024.GOV.HGV.PE"/>
    <s v="Pregão Eletronico para Formação de Registro de Preços para o fornecimento eventual de Materiais de manutenção predial, visando atender as necessidades do Hospital Getúlio Vargas,"/>
    <m/>
    <d v="2024-08-06T00:00:00"/>
    <x v="1"/>
    <s v="Autorizada Sucesso"/>
    <s v="Concluído"/>
    <s v="Item atualizado"/>
    <s v="Jean"/>
    <s v="Processo 2024"/>
    <m/>
    <s v="2300001207.000154/2024-00"/>
    <s v="PAROU NA SUPERINTENDENCIA DE ENGENHARIA E MANUTENÇÃO"/>
  </r>
  <r>
    <x v="408"/>
    <x v="1"/>
    <s v="HOSPITAL REGIONAL DO AGRESTE DR.WALDEMIRO FERREIRA"/>
    <s v="Adesão"/>
    <s v="ARP.0102.02.2023.GOV.HUOC.PE"/>
    <s v="REGISTRO DE PREÇO para eventual fornecimento de MATERIAIS E INSUMOS ODONTOLÓGICOS DIVERSOS (SEI nº 0040609459.000008/2023-40)"/>
    <m/>
    <d v="2024-07-29T00:00:00"/>
    <x v="0"/>
    <s v="Cancelada"/>
    <s v="Processo 2024"/>
    <s v="Item não atualizado"/>
    <m/>
    <s v="Processo 2024"/>
    <m/>
    <m/>
    <m/>
  </r>
  <r>
    <x v="409"/>
    <x v="1"/>
    <s v="HOSPITAL REGIONAL DO AGRESTE DR.WALDEMIRO FERREIRA"/>
    <s v="Adesão"/>
    <s v="ARP.0057.01.2024.GOV.HUOC.PE"/>
    <s v="REGISTRO DE PREÇO para eventual fornecimento de MATERIAIS DE HIDRÁULICA (SEI Nº 0040609405.000061/2023-76)"/>
    <m/>
    <d v="2024-07-11T00:00:00"/>
    <x v="1"/>
    <s v="Autorizada Sucesso"/>
    <s v="Concluído"/>
    <s v="Item atualizado"/>
    <s v="Jean"/>
    <s v="Processo 2024"/>
    <m/>
    <s v="2300001207.000128/2024-73"/>
    <s v="PROCESSO CONCLUÍDO / ITEM RECEBIDO"/>
  </r>
  <r>
    <x v="410"/>
    <x v="4"/>
    <s v="HOSPITAL REGIONAL DO AGRESTE DR.WALDEMIRO FERREIRA"/>
    <s v="Adesão"/>
    <s v="ARP.0051.01.2024.GOV.CISAM.PE"/>
    <s v="REGISTRO DE PREÇOS PARA EVENTUAL FORNECIMENTO DE MEDICAMENTOS."/>
    <m/>
    <d v="2024-08-06T00:00:00"/>
    <x v="0"/>
    <s v="Cancelada Sucesso"/>
    <s v="Cancelado"/>
    <s v="Item atualizado"/>
    <m/>
    <s v="Processo 2024"/>
    <m/>
    <m/>
    <m/>
  </r>
  <r>
    <x v="411"/>
    <x v="10"/>
    <s v="HOSPITAL REGIONAL DO AGRESTE DR.WALDEMIRO FERREIRA"/>
    <s v="Adesão"/>
    <s v="ARP.0022.06.2023.GOV.HAM.PE"/>
    <s v="FORMAÇÃO DE REGISTRO DE PREÇOS, COM VALIDADE DE 12 (DOZE) MESES, PARA FORNECIMENTO EVENTUAL DE MATERIAIS MÉDICOS HOSPITALARES, VISANDO ATENDER AS NECESSIDADES DO HOSPITAL AGAMENON MAGALHÃES, HOSPITAL BARÃO DE LUCENA E RESTAURAÇÃO"/>
    <m/>
    <d v="2024-07-10T00:00:00"/>
    <x v="1"/>
    <s v="Autorizada Sucesso"/>
    <s v="Processo 2024"/>
    <s v="Item atualizado"/>
    <m/>
    <s v="Processo 2024"/>
    <m/>
    <m/>
    <m/>
  </r>
  <r>
    <x v="412"/>
    <x v="7"/>
    <s v="HOSPITAL REGIONAL DO AGRESTE DR.WALDEMIRO FERREIRA"/>
    <s v="Adesão"/>
    <s v="ARP.0011.00.2024.GOV.HGV.PE"/>
    <s v="Formação de Registro de Preços para o eventual fornecimento de CURATIVOS ESPECIAIS, visando atender as necessidades dos Hospitais Getúlio Vargas, Agamenon"/>
    <m/>
    <d v="2024-07-10T00:00:00"/>
    <x v="0"/>
    <s v="Cancelada Sucesso"/>
    <s v="Cancelado"/>
    <s v="Item atualizado"/>
    <m/>
    <s v="Processo 2024"/>
    <m/>
    <m/>
    <m/>
  </r>
  <r>
    <x v="413"/>
    <x v="1"/>
    <s v="HOSPITAL REGIONAL DO AGRESTE DR.WALDEMIRO FERREIRA"/>
    <s v="Adesão"/>
    <s v="ARP.0008.02.2024.GOV.HUOC.PE"/>
    <s v="REGISTRO DE PREÇO para eventual fornecimento de MATERIAIS MÉDICOS HOSPITALARES - CAL SODADA EM PILULAS, REAGENTE VERDE BRILHANTE E DETERGENTE BACTERIOSTÁTICO (SEI Nº 0040609459.000106/2023-87)"/>
    <m/>
    <d v="2024-08-06T00:00:00"/>
    <x v="1"/>
    <s v="Autorizada Sucesso"/>
    <s v="Concluído"/>
    <s v="Item atualizado"/>
    <s v="Jean"/>
    <s v="Processo 2024"/>
    <m/>
    <s v="2300002544.000001/2024-96"/>
    <s v="PROCESSO CONCLUÍDO / ITEM RECEBIDO"/>
  </r>
  <r>
    <x v="414"/>
    <x v="1"/>
    <s v="HOSPITAL REGIONAL DO AGRESTE DR.WALDEMIRO FERREIRA"/>
    <s v="Adesão"/>
    <s v="ARP.0130.09.2023.GOV.HUOC.PE"/>
    <s v="REGISTRO DE PREÇO para eventual fornecimento de MATERIAIS MÉDICOS HOSPITALARES PARA O SERVIÇO DE ENDOSCOPIA (SEI Nº 0040609459.000005/2023-14)"/>
    <m/>
    <d v="2024-07-22T00:00:00"/>
    <x v="0"/>
    <s v="Cancelada"/>
    <s v="Processo 2024"/>
    <s v="Item não atualizado"/>
    <m/>
    <s v="Processo 2024"/>
    <m/>
    <m/>
    <m/>
  </r>
  <r>
    <x v="415"/>
    <x v="1"/>
    <s v="HOSPITAL REGIONAL DO AGRESTE DR.WALDEMIRO FERREIRA"/>
    <s v="Adesão"/>
    <s v="ARP.0108.04.2023.GOV.HUOC.PE"/>
    <s v="Registro de Preços para eventual fornecimento de MEDICAMENTOS CLÍNICOS GERAIS (SEI nº 0040609437.000003/2023-75)"/>
    <m/>
    <d v="2024-08-01T00:00:00"/>
    <x v="1"/>
    <s v="Autorizada Sucesso"/>
    <s v="Processo 2024"/>
    <s v="Item atualizado"/>
    <m/>
    <s v="Processo 2024"/>
    <m/>
    <m/>
    <m/>
  </r>
  <r>
    <x v="416"/>
    <x v="1"/>
    <s v="HOSPITAL REGIONAL DO AGRESTE DR.WALDEMIRO FERREIRA"/>
    <s v="Adesão"/>
    <s v="ARP.0050.00.2024.GOV.HUOC.PE"/>
    <s v="REGISTRO DE PREÇO para eventual fornecimento de MATERIAIS DE HIDRÁULICA (SEI Nº 0040609405.000062/2023-11)"/>
    <m/>
    <d v="2024-07-25T00:00:00"/>
    <x v="1"/>
    <s v="Autorizada Sucesso"/>
    <s v="Concluído"/>
    <s v="Item atualizado"/>
    <s v="Jean"/>
    <s v="Processo 2024"/>
    <m/>
    <s v="2300001207.000148/2024-44"/>
    <s v="PROCESSO CONCLUÍDO / ITEM RECEBIDO"/>
  </r>
  <r>
    <x v="417"/>
    <x v="1"/>
    <s v="HOSPITAL REGIONAL DO AGRESTE DR.WALDEMIRO FERREIRA"/>
    <s v="Adesão"/>
    <s v="ARP.0048.03.2024.GOV.HUOC.PE"/>
    <s v="REGISTRO DE PREÇO para eventual fornecimento de MATERIAIS MÉDICOS HOSPITALARES - SONDAS DIVERSAS (SEI Nº 0040609459.000101/2023-54)"/>
    <s v="NFOCPO"/>
    <d v="2024-08-01T00:00:00"/>
    <x v="1"/>
    <s v="Autorizada Sucesso"/>
    <s v="Concluído"/>
    <s v="Item atualizado"/>
    <s v="Jean"/>
    <s v="Processo 2024"/>
    <s v="Enviado ao NOF"/>
    <s v="2300002544.000006/2024-19"/>
    <s v="PROCESSO CONCLUÍDO / ITEM RECEBIDO"/>
  </r>
  <r>
    <x v="418"/>
    <x v="1"/>
    <s v="HOSPITAL REGIONAL DO AGRESTE DR.WALDEMIRO FERREIRA"/>
    <s v="Adesão"/>
    <s v="ARP.0008.02.2024.GOV.HUOC.PE"/>
    <s v="REGISTRO DE PREÇO para eventual fornecimento de MATERIAIS MÉDICOS HOSPITALARES - CAL SODADA EM PILULAS, REAGENTE VERDE BRILHANTE E DETERGENTE BACTERIOSTÁTICO (SEI Nº 0040609459.000106/2023-87)"/>
    <m/>
    <d v="2024-07-18T00:00:00"/>
    <x v="0"/>
    <s v="Cancelada"/>
    <s v="Cancelado"/>
    <s v="Item não atualizado"/>
    <m/>
    <s v="Processo 2024"/>
    <m/>
    <m/>
    <m/>
  </r>
  <r>
    <x v="419"/>
    <x v="1"/>
    <s v="HOSPITAL REGIONAL DO AGRESTE DR.WALDEMIRO FERREIRA"/>
    <s v="Adesão"/>
    <s v="ARP.0126.01.2023.GOV.HUOC.PE"/>
    <s v="REGISTRO DE PREÇO para eventual fornecimento de CURATIVOS HOSPITALARES PARA COLOSTOMIA (SEI Nº 0040609459.000026/2023-21)"/>
    <m/>
    <d v="2024-07-29T00:00:00"/>
    <x v="1"/>
    <s v="Autorizada Sucesso"/>
    <s v="Processo 2024"/>
    <s v="Item atualizado"/>
    <m/>
    <s v="Processo 2024"/>
    <m/>
    <m/>
    <m/>
  </r>
  <r>
    <x v="420"/>
    <x v="1"/>
    <s v="HOSPITAL REGIONAL DO AGRESTE DR.WALDEMIRO FERREIRA"/>
    <s v="Adesão"/>
    <s v="ARP.0087.00.2023.GOV.HUOC.PE"/>
    <s v="REGISTRO DE PREÇOS para eventual fornecimento de INSUMOS E REAGENTES PARA IDENTIFICAÇÃO MICROBIANA E HEMOCULTURAS COM CESSÃO DE EQUIPAMENTOS EM COMODATO (SEI nº 0040609459.000017/2023-31)"/>
    <m/>
    <d v="2024-08-06T00:00:00"/>
    <x v="1"/>
    <s v="Autorizada Sucesso"/>
    <s v="Processo 2024"/>
    <s v="Item atualizado"/>
    <m/>
    <s v="Processo 2024"/>
    <m/>
    <m/>
    <m/>
  </r>
  <r>
    <x v="421"/>
    <x v="1"/>
    <s v="HOSPITAL REGIONAL DO AGRESTE DR.WALDEMIRO FERREIRA"/>
    <s v="Adesão"/>
    <s v="ARP.0059.01.2024.GOV.HUOC.PE"/>
    <s v="REGISTRO DE PREÇO para eventual fornecimento de MATERIAIS DE CONSTRUÇÃO (SEI Nº 0040609405.000067/2023-43)"/>
    <m/>
    <d v="2024-08-06T00:00:00"/>
    <x v="1"/>
    <s v="Autorizada Sucesso"/>
    <s v="Concluído"/>
    <s v="Item atualizado"/>
    <s v="Jean"/>
    <s v="Processo 2024"/>
    <m/>
    <s v="2300001207.000157/2024-35"/>
    <s v="PROCESSO CONCLUÍDO / ITEM RECEBIDO"/>
  </r>
  <r>
    <x v="422"/>
    <x v="1"/>
    <s v="HOSPITAL REGIONAL DO AGRESTE DR.WALDEMIRO FERREIRA"/>
    <s v="Adesão"/>
    <s v="ARP.0050.06.2024.GOV.HUOC.PE"/>
    <s v="REGISTRO DE PREÇO para eventual fornecimento de MATERIAIS DE HIDRÁULICA (SEI Nº 0040609405.000062/2023-11)"/>
    <m/>
    <d v="2024-07-16T00:00:00"/>
    <x v="1"/>
    <s v="Autorizada Sucesso"/>
    <s v="Concluído"/>
    <s v="Item atualizado"/>
    <s v="Jean"/>
    <s v="Processo 2024"/>
    <m/>
    <s v="2300001207.000126/2024-84"/>
    <s v="PROCESSO CONCLUÍDO / ITEM RECEBIDO"/>
  </r>
  <r>
    <x v="423"/>
    <x v="1"/>
    <s v="HOSPITAL REGIONAL DO AGRESTE DR.WALDEMIRO FERREIRA"/>
    <s v="Adesão"/>
    <s v="ARP.0048.03.2024.GOV.HUOC.PE"/>
    <s v="REGISTRO DE PREÇO para eventual fornecimento de MATERIAIS MÉDICOS HOSPITALARES - SONDAS DIVERSAS (SEI Nº 0040609459.000101/2023-54)"/>
    <m/>
    <d v="2024-08-01T00:00:00"/>
    <x v="0"/>
    <s v="Cancelada"/>
    <s v="Cancelado"/>
    <s v="Item não atualizado"/>
    <m/>
    <s v="Processo 2024"/>
    <m/>
    <m/>
    <m/>
  </r>
  <r>
    <x v="424"/>
    <x v="1"/>
    <s v="HOSPITAL REGIONAL DO AGRESTE DR.WALDEMIRO FERREIRA"/>
    <s v="Adesão"/>
    <s v="ARP.0036.00.2024.GOV.HUOC.PE"/>
    <s v="REGISTRO DE PREÇO para eventual fornecimento de MATERIAIS MÉDICOS HOSPITALARES - KITS PARA GASTROSTOMIA ENDOSCÓPICA PERCUTÂNEA (SEI Nº 0040609459.000132/2023-13)"/>
    <s v="NFOCPO"/>
    <d v="2024-08-06T00:00:00"/>
    <x v="1"/>
    <s v="Autorizada Sucesso"/>
    <s v="Concluído"/>
    <s v="Item atualizado"/>
    <s v="Jean"/>
    <s v="Processo 2024"/>
    <s v="Enviado ao NOF"/>
    <s v="2300001207.000164/2024-37"/>
    <s v="PROCESSO CONCLUÍDO / ITEM RECEBIDO"/>
  </r>
  <r>
    <x v="425"/>
    <x v="5"/>
    <s v="HOSPITAL REGIONAL DO AGRESTE DR.WALDEMIRO FERREIRA"/>
    <s v="Adesão"/>
    <s v="ARP.0009.10.2024.GOV.HOF.PE"/>
    <s v="Registro de Preços para eventual aquisição de Material Médico Hospitalar para abastecimento de 12 (doze) meses, cujo objeto: TÊXTIL."/>
    <s v="NFOCPO"/>
    <d v="2024-07-15T00:00:00"/>
    <x v="1"/>
    <s v="Autorizada Sucesso"/>
    <s v="Concluído"/>
    <s v="Item atualizado"/>
    <s v="Jean"/>
    <s v="Processo 2024"/>
    <s v="Enviado ao NOF"/>
    <s v="2300001213.000219/2024-20"/>
    <s v="PROCESSO CONCLUÍDO / ITEM RECEBIDO"/>
  </r>
  <r>
    <x v="426"/>
    <x v="5"/>
    <s v="HOSPITAL REGIONAL DO AGRESTE DR.WALDEMIRO FERREIRA"/>
    <s v="Adesão"/>
    <s v="ARP.0009.00.2024.GOV.HOF.PE"/>
    <s v="Registro de Preços para eventual aquisição de Material Médico Hospitalar para abastecimento de 12 (doze) meses, cujo objeto: TÊXTIL."/>
    <s v="NFOCPO"/>
    <d v="2024-08-06T00:00:00"/>
    <x v="1"/>
    <s v="Autorizada Sucesso"/>
    <s v="Concluído"/>
    <s v="Item atualizado"/>
    <s v="Jean"/>
    <s v="Processo 2024"/>
    <s v="Enviado ao NOF"/>
    <s v="2300001213.000252/2024-50"/>
    <s v="PROCESSO CONCLUÍDO / ITEM RECEBIDO"/>
  </r>
  <r>
    <x v="427"/>
    <x v="12"/>
    <s v="HOSPITAL REGIONAL DO AGRESTE DR.WALDEMIRO FERREIRA"/>
    <s v="Adesão"/>
    <s v="ARP.0006.00.2024.EXT.HMAR.PE"/>
    <s v="A presente Ata tem por objeto o registro de preços para Aquisição de Medicamentos Gerais II, visando atender as necessidades do Hospital Militar de Área de Recife e Órgãos participantes, especificado(s) Termo de Referência, anexo I do edital de Pregão nº "/>
    <m/>
    <d v="2024-08-08T00:00:00"/>
    <x v="0"/>
    <s v="Cancelada"/>
    <s v="Cancelado"/>
    <s v="Item não atualizado"/>
    <m/>
    <s v="Processo 2024"/>
    <m/>
    <m/>
    <m/>
  </r>
  <r>
    <x v="428"/>
    <x v="1"/>
    <s v="HOSPITAL REGIONAL DO AGRESTE DR.WALDEMIRO FERREIRA"/>
    <s v="Adesão"/>
    <s v="ARP.0063.04.2024.GOV.HUOC.PE"/>
    <s v="REGISTRO DE PREÇO para eventual fornecimento de MATERIAIS DE ELÉTRICA (SEI Nº 0040609405.000065/2023-54)"/>
    <m/>
    <d v="2024-07-22T00:00:00"/>
    <x v="1"/>
    <s v="Autorizada Sucesso"/>
    <s v="Concluído"/>
    <s v="Item atualizado"/>
    <s v="Jean"/>
    <s v="Processo 2024"/>
    <m/>
    <s v="2300001207.000166/2024-26"/>
    <s v="PAROU NA SUPERINTENDENCIA DE ENGENHARIA E MANUTENÇÃO"/>
  </r>
  <r>
    <x v="429"/>
    <x v="1"/>
    <s v="HOSPITAL REGIONAL DO AGRESTE DR.WALDEMIRO FERREIRA"/>
    <s v="Adesão"/>
    <s v="ARP.0063.03.2024.GOV.HUOC.PE"/>
    <s v="REGISTRO DE PREÇO para eventual fornecimento de MATERIAIS DE ELÉTRICA (SEI Nº 0040609405.000065/2023-54)"/>
    <m/>
    <d v="2024-07-22T00:00:00"/>
    <x v="1"/>
    <s v="Autorizada Sucesso"/>
    <s v="Concluído"/>
    <s v="Item atualizado"/>
    <s v="Jean"/>
    <s v="Processo 2024"/>
    <m/>
    <s v="2300001207.000169/2024-60"/>
    <s v="PROCESSO CONCLUÍDO / ITEM RECEBIDO"/>
  </r>
  <r>
    <x v="430"/>
    <x v="1"/>
    <s v="HOSPITAL REGIONAL DO AGRESTE DR.WALDEMIRO FERREIRA"/>
    <s v="Adesão"/>
    <s v="ARP.0059.07.2024.GOV.HUOC.PE"/>
    <s v="REGISTRO DE PREÇO para eventual fornecimento de MATERIAIS DE CONSTRUÇÃO (SEI Nº 0040609405.000067/2023-43)"/>
    <m/>
    <d v="2024-07-15T00:00:00"/>
    <x v="1"/>
    <s v="Autorizada Sucesso"/>
    <s v="Concluído"/>
    <s v="Item atualizado"/>
    <s v="Jean"/>
    <s v="Processo 2024"/>
    <m/>
    <s v="2300001207.000133/2024-86"/>
    <s v="PROCESSO CONCLUÍDO / ITEM RECEBIDO"/>
  </r>
  <r>
    <x v="431"/>
    <x v="1"/>
    <s v="HOSPITAL REGIONAL DO AGRESTE DR.WALDEMIRO FERREIRA"/>
    <s v="Adesão"/>
    <s v="ARP.0057.09.2024.GOV.HUOC.PE"/>
    <s v="REGISTRO DE PREÇO para eventual fornecimento de MATERIAIS DE HIDRÁULICA (SEI Nº 0040609405.000061/2023-76)"/>
    <m/>
    <d v="2024-07-15T00:00:00"/>
    <x v="1"/>
    <s v="Autorizada Sucesso"/>
    <s v="Concluído"/>
    <s v="Item atualizado"/>
    <s v="Jean"/>
    <s v="Processo 2024"/>
    <m/>
    <s v="2300001207.000131/2024-97"/>
    <s v="PAROU NA SUPERINTENDENCIA DE ENGENHARIA E MANUTENÇÃO"/>
  </r>
  <r>
    <x v="432"/>
    <x v="1"/>
    <s v="HOSPITAL REGIONAL DO AGRESTE DR.WALDEMIRO FERREIRA"/>
    <s v="Adesão"/>
    <s v="ARP.0057.07.2024.GOV.HUOC.PE"/>
    <s v="REGISTRO DE PREÇO para eventual fornecimento de MATERIAIS DE HIDRÁULICA (SEI Nº 0040609405.000061/2023-76)"/>
    <m/>
    <d v="2024-08-02T00:00:00"/>
    <x v="1"/>
    <s v="Autorizada Sucesso"/>
    <s v="Concluído"/>
    <s v="Item atualizado"/>
    <s v="Jean"/>
    <s v="Processo 2024"/>
    <m/>
    <s v="2300001207.000158/2024-80"/>
    <s v="PAROU NA SUPERINTENDENCIA DE ENGENHARIA E MANUTENÇÃO"/>
  </r>
  <r>
    <x v="433"/>
    <x v="1"/>
    <s v="HOSPITAL REGIONAL DO AGRESTE DR.WALDEMIRO FERREIRA"/>
    <s v="Adesão"/>
    <s v="ARP.0057.03.2024.GOV.HUOC.PE"/>
    <s v="REGISTRO DE PREÇO para eventual fornecimento de MATERIAIS DE HIDRÁULICA (SEI Nº 0040609405.000061/2023-76)"/>
    <m/>
    <d v="2024-07-12T00:00:00"/>
    <x v="1"/>
    <s v="Autorizada Sucesso"/>
    <s v="Concluído"/>
    <s v="Item atualizado"/>
    <s v="Jean"/>
    <s v="Processo 2024"/>
    <s v="Enviado a GCONTRATOS"/>
    <s v="2300001207.000127/2024-29"/>
    <s v="PAROU EM CONTRATOS"/>
  </r>
  <r>
    <x v="434"/>
    <x v="1"/>
    <s v="HOSPITAL REGIONAL DO AGRESTE DR.WALDEMIRO FERREIRA"/>
    <s v="Adesão"/>
    <s v="ARP.0057.02.2024.GOV.HUOC.PE"/>
    <s v="REGISTRO DE PREÇO para eventual fornecimento de MATERIAIS DE HIDRÁULICA (SEI Nº 0040609405.000061/2023-76)"/>
    <m/>
    <d v="2024-07-15T00:00:00"/>
    <x v="1"/>
    <s v="Autorizada Sucesso"/>
    <s v="Concluído"/>
    <s v="Item atualizado"/>
    <s v="Jean"/>
    <s v="Processo 2024"/>
    <m/>
    <s v="2300001207.000134/2024-21"/>
    <s v="PAROU NA SUPERINTENDENCIA DE ENGENHARIA E MANUTENÇÃO"/>
  </r>
  <r>
    <x v="435"/>
    <x v="1"/>
    <s v="HOSPITAL REGIONAL DO AGRESTE DR.WALDEMIRO FERREIRA"/>
    <s v="Adesão"/>
    <s v="ARP.0057.00.2024.GOV.HUOC.PE"/>
    <s v="REGISTRO DE PREÇO para eventual fornecimento de MATERIAIS DE HIDRÁULICA (SEI Nº 0040609405.000061/2023-76)"/>
    <m/>
    <d v="2024-08-02T00:00:00"/>
    <x v="1"/>
    <s v="Autorizada Sucesso"/>
    <s v="Concluído"/>
    <s v="Item atualizado"/>
    <s v="Jean"/>
    <s v="Processo 2024"/>
    <m/>
    <s v="2300001207.000149/2024-99"/>
    <s v="PAROU NA SUPERINTENDENCIA DE ENGENHARIA E MANUTENÇÃO"/>
  </r>
  <r>
    <x v="436"/>
    <x v="1"/>
    <s v="HOSPITAL REGIONAL DO AGRESTE DR.WALDEMIRO FERREIRA"/>
    <s v="Adesão"/>
    <s v="ARP.0050.03.2024.GOV.HUOC.PE"/>
    <s v="REGISTRO DE PREÇO para eventual fornecimento de MATERIAIS DE HIDRÁULICA (SEI Nº 0040609405.000062/2023-11)"/>
    <m/>
    <d v="2024-07-29T00:00:00"/>
    <x v="1"/>
    <s v="Autorizada Sucesso"/>
    <s v="Concluído"/>
    <s v="Item atualizado"/>
    <s v="Jean"/>
    <s v="Processo 2024"/>
    <m/>
    <s v="2300001207.000155/2024-46"/>
    <s v="PAROU NA SUPERINTENDENCIA DE ENGENHARIA E MANUTENÇÃO"/>
  </r>
  <r>
    <x v="437"/>
    <x v="7"/>
    <s v="HOSPITAL REGIONAL DO AGRESTE DR.WALDEMIRO FERREIRA"/>
    <s v="Adesão"/>
    <s v="ARP.0011.07.2024.GOV.HGV.PE"/>
    <s v="Formação de Registro de Preços para o eventual fornecimento de CURATIVOS ESPECIAIS, visando atender as necessidades dos Hospitais Getúlio Vargas, Agamenon"/>
    <s v="NFOCPO"/>
    <d v="2024-08-06T00:00:00"/>
    <x v="1"/>
    <s v="Autorizada Sucesso"/>
    <s v="Concluído"/>
    <s v="Item atualizado"/>
    <s v="Jean"/>
    <s v="Processo 2024"/>
    <s v="Enviado ao NOF"/>
    <s v="2300002544.000007/2024-63"/>
    <s v="PROCESSO CONCLUÍDO / ITEM RECEBIDO"/>
  </r>
  <r>
    <x v="438"/>
    <x v="20"/>
    <s v="HOSPITAL REGIONAL DO AGRESTE DR.WALDEMIRO FERREIRA"/>
    <s v="Adesão"/>
    <s v="ARP.0011.01.2024.GOV.DASIS.PE"/>
    <s v="Formação de REGISTRO DE PREÇOS PARA EVENTUAL FORNECIMENTO DE MATERIAIS PARA CIRURGIA GERAL E CIRURGIA VASCULAT NO CENTRO MÉDICO HOSPITALAR DA PMPE/CBMPE, POR UM PERÍODO DE 12 (DOZE) MESES, PARA ATENDER ÀS DEMANDAS DO CENTRO MÉDICO HOSPITALAR DA PMPE/CBMPE"/>
    <s v="NFOCPO"/>
    <d v="2024-08-06T00:00:00"/>
    <x v="1"/>
    <s v="Autorizada Sucesso"/>
    <s v="Concluído"/>
    <s v="Item atualizado"/>
    <s v="Jean"/>
    <s v="Processo 2024"/>
    <s v="Enviado ao NOF"/>
    <s v="2300002544.000008/2024-16"/>
    <s v="PROCESSO CONCLUÍDO / ITEM RECEBIDO"/>
  </r>
  <r>
    <x v="439"/>
    <x v="4"/>
    <s v="HOSPITAL REGIONAL DO AGRESTE DR.WALDEMIRO FERREIRA"/>
    <s v="Adesão"/>
    <s v="ARP.0010.00.2024.GOV.CISAM.PE"/>
    <s v="REGISTRO DE PREÇO PARA FORNECIMENTO EVENTUAL DE MATERIAL MÉDICO HOSPITALAR (ABAIXADOR DE LINGUA, ESPAÇADOR PARA AEROSÓIS, PROTETOR OCULAR NEONATAL PARA FOTOTERAPIA, TELA PROTÉSICA, TERMÔMETRO, CATETER UMBILICAL E SCALP) PARA O CISAM, POR UM PERÍODO DE 12 "/>
    <s v="NFOCPO"/>
    <d v="2024-07-22T00:00:00"/>
    <x v="1"/>
    <s v="Autorizada Sucesso"/>
    <s v="Concluído"/>
    <s v="Item atualizado"/>
    <s v="Jean"/>
    <s v="Processo 2024"/>
    <s v="Enviado ao NOF"/>
    <s v="2300001213.000231/2024-34"/>
    <s v="PROCESSO CONCLUÍDO / ITEM RECEBIDO"/>
  </r>
  <r>
    <x v="440"/>
    <x v="1"/>
    <s v="HOSPITAL REGIONAL DO AGRESTE DR.WALDEMIRO FERREIRA"/>
    <s v="Adesão"/>
    <s v="ARP.0007.00.2024.GOV.HUOC.PE"/>
    <s v="REGISTRO DE PREÇO para fornecimento eventual de CURATIVOS HOSPITALARES PARA A TERAPIA POR PRESSÃO NEGATIVA(SEI Nº 0040609459.000104/2023-98)"/>
    <s v="NFOCPO"/>
    <d v="2024-07-24T00:00:00"/>
    <x v="1"/>
    <s v="Autorizada Sucesso"/>
    <s v="Concluído"/>
    <s v="Item atualizado"/>
    <s v="Jean"/>
    <s v="Processo 2024"/>
    <s v="Enviado ao NOF"/>
    <s v="2300001207.000170/2024-94"/>
    <s v="PROCESSO CONCLUÍDO / ITEM RECEBIDO"/>
  </r>
  <r>
    <x v="441"/>
    <x v="1"/>
    <s v="HOSPITAL REGIONAL DO AGRESTE DR.WALDEMIRO FERREIRA"/>
    <s v="Adesão"/>
    <s v="ARP.0063.05.2024.GOV.HUOC.PE"/>
    <s v="REGISTRO DE PREÇO para eventual fornecimento de MATERIAIS DE ELÉTRICA (SEI Nº 0040609405.000065/2023-54)"/>
    <m/>
    <d v="2024-07-25T00:00:00"/>
    <x v="1"/>
    <s v="Autorizada Sucesso"/>
    <s v="Concluído"/>
    <s v="Item atualizado"/>
    <s v="Jean"/>
    <s v="Processo 2024"/>
    <m/>
    <s v="2300001207.000159/2024-24"/>
    <s v="PAROU NA SUPERINTENDENCIA DE ENGENHARIA E MANUTENÇÃO"/>
  </r>
  <r>
    <x v="442"/>
    <x v="1"/>
    <s v="HOSPITAL REGIONAL DO AGRESTE DR.WALDEMIRO FERREIRA"/>
    <s v="Adesão"/>
    <s v="ARP.0057.06.2024.GOV.HUOC.PE"/>
    <s v="REGISTRO DE PREÇO para eventual fornecimento de MATERIAIS DE HIDRÁULICA (SEI Nº 0040609405.000061/2023-76)"/>
    <m/>
    <d v="2024-07-15T00:00:00"/>
    <x v="1"/>
    <s v="Autorizada Sucesso"/>
    <s v="Concluído"/>
    <s v="Item atualizado"/>
    <s v="Jean"/>
    <s v="Processo 2024"/>
    <m/>
    <s v="2300001207.000147/2024-08"/>
    <s v="PAROU NA SUPERINTENDENCIA DE ENGENHARIA E MANUTENÇÃO"/>
  </r>
  <r>
    <x v="443"/>
    <x v="1"/>
    <s v="HOSPITAL REGIONAL DO AGRESTE DR.WALDEMIRO FERREIRA"/>
    <s v="Adesão"/>
    <s v="ARP.0057.05.2024.GOV.HUOC.PE"/>
    <s v="REGISTRO DE PREÇO para eventual fornecimento de MATERIAIS DE HIDRÁULICA (SEI Nº 0040609405.000061/2023-76)"/>
    <m/>
    <d v="2024-07-25T00:00:00"/>
    <x v="1"/>
    <s v="Autorizada Sucesso"/>
    <s v="Concluído"/>
    <s v="Item atualizado"/>
    <s v="Jean"/>
    <s v="Processo 2024"/>
    <m/>
    <s v="2300001207.000147/2024-08"/>
    <s v="PAROU NA SUPERINTENDENCIA DE ENGENHARIA E MANUTENÇÃO"/>
  </r>
  <r>
    <x v="444"/>
    <x v="1"/>
    <s v="HOSPITAL REGIONAL DO AGRESTE DR.WALDEMIRO FERREIRA"/>
    <s v="Adesão"/>
    <s v="ARP.0054.01.2024.GOV.HUOC.PE"/>
    <s v="REGISTRO DE PREÇO para eventual fornecimento de MATERIAIS DE MARCENARIA (SEI Nº 0040609405.000064/2023-18)"/>
    <m/>
    <d v="2024-07-25T00:00:00"/>
    <x v="1"/>
    <s v="Autorizada Sucesso"/>
    <s v="Concluído"/>
    <s v="Item atualizado"/>
    <s v="Jean"/>
    <s v="Processo 2024"/>
    <m/>
    <s v="2300001207.000168/2024-15"/>
    <s v="PAROU NA SUPERINTENDENCIA DE ENGENHARIA E MANUTENÇÃO"/>
  </r>
  <r>
    <x v="445"/>
    <x v="1"/>
    <s v="HOSPITAL REGIONAL DO AGRESTE DR.WALDEMIRO FERREIRA"/>
    <s v="Adesão"/>
    <s v="ARP.0048.03.2024.GOV.HUOC.PE"/>
    <s v="REGISTRO DE PREÇO para eventual fornecimento de MATERIAIS MÉDICOS HOSPITALARES - SONDAS DIVERSAS (SEI Nº 0040609459.000101/2023-54)"/>
    <s v="NFOCPO"/>
    <d v="2024-07-29T00:00:00"/>
    <x v="1"/>
    <s v="Autorizada Sucesso"/>
    <s v="Concluído"/>
    <s v="Item atualizado"/>
    <s v="Jean"/>
    <s v="Processo 2024"/>
    <s v="Enviado ao NOF"/>
    <s v="2300001207.000161/2024-01"/>
    <s v="PROCESSO CONCLUÍDO / ITEM RECEBIDO"/>
  </r>
  <r>
    <x v="446"/>
    <x v="20"/>
    <s v="HOSPITAL REGIONAL DO AGRESTE DR.WALDEMIRO FERREIRA"/>
    <s v="Adesão"/>
    <s v="ARP.0012.01.2024.GOV.DASIS.PE"/>
    <s v="Formação de Registro de Preços para eventual fornecimento de Material Médico Hospitalar (recipientes e coletores) para atender as demandas do Centro Médico Hospitalar da PMPE/CBMPE."/>
    <m/>
    <d v="2024-08-01T00:00:00"/>
    <x v="0"/>
    <s v="Cancelada Sucesso"/>
    <s v="Cancelado"/>
    <s v="Item atualizado"/>
    <m/>
    <s v="Processo 2024"/>
    <m/>
    <m/>
    <m/>
  </r>
  <r>
    <x v="447"/>
    <x v="9"/>
    <s v="HOSPITAL REGIONAL DO AGRESTE DR.WALDEMIRO FERREIRA"/>
    <s v="Adesão"/>
    <s v="ARP.0002.00.2024.GOV.HR.PE"/>
    <s v="PREGÃO ELETRÔNICO PARA REGISTRO DE PREÇOS COM VALIDADE DE 12 (DOZE) MESES PARA EVENTUAL FORNECIMENTO DE EQUIPAMENTOS MÉDICOS PARA CLÍNICA DE FISIOTERAPIA, VISANDO ATENDER AS NECESSIDADES DO HOSPITAL DA RESTAURAÇÃO E HOSPITAL HAGAMENOM MAGALHÃES."/>
    <m/>
    <d v="2024-08-06T00:00:00"/>
    <x v="1"/>
    <s v="Autorizada Sucesso"/>
    <s v="Processo 2024"/>
    <s v="Item atualizado"/>
    <m/>
    <s v="Processo 2024"/>
    <m/>
    <m/>
    <m/>
  </r>
  <r>
    <x v="448"/>
    <x v="15"/>
    <s v="HOSPITAL REGIONAL DO AGRESTE DR.WALDEMIRO FERREIRA"/>
    <s v="Adesão"/>
    <s v="ARP.0001.01.2024.GOV.HEMOPE.PE"/>
    <s v="Registro de Preços para o fornecimento eventual dos insumos ponteiras, pipetas, lâminas e tubos de ensaio diversos com cessão em comodato de equipamentos visando atender as necessidades dos laboratórios da Fundação HEMOPE, conforme especificações e quanti"/>
    <s v="NAEN"/>
    <d v="2024-08-12T00:00:00"/>
    <x v="1"/>
    <s v="Autorizada Sucesso"/>
    <s v="Concluído"/>
    <s v="Item atualizado"/>
    <s v="Jean"/>
    <s v="Processo 2024"/>
    <s v="Enviado ao NOF"/>
    <s v="2300001207.000171/2024-39"/>
    <s v="PROCESSO CONCLUÍDO / ITEM RECEBIDO"/>
  </r>
  <r>
    <x v="449"/>
    <x v="27"/>
    <s v="HOSPITAL REGIONAL DO AGRESTE DR.WALDEMIRO FERREIRA"/>
    <s v="Adesão"/>
    <s v="ARP.0011.00.2023.GOV.UPEGARANHUNS.PE"/>
    <s v="Formação de Registro de Preços o fornecimento eventual de materiais para manutenção de equipamentos de informática e eletrônicos da UPE Campi Garanhuns, Arcoverde, Serra Talhada e Salgueiro."/>
    <m/>
    <d v="2024-07-08T00:00:00"/>
    <x v="1"/>
    <s v="Autorizada Sucesso"/>
    <s v="Processo 2024"/>
    <s v="Item atualizado"/>
    <m/>
    <s v="Processo 2024"/>
    <m/>
    <m/>
    <m/>
  </r>
  <r>
    <x v="450"/>
    <x v="5"/>
    <s v="HOSPITAL REGIONAL DO AGRESTE DR.WALDEMIRO FERREIRA"/>
    <s v="Adesão"/>
    <s v="ARP.0001.06.2024.GOV.HOF.PE"/>
    <s v="Formação de registro de preços para eventual fornecimento de materiais médicos hospitalares, visando atender as necessidades do Hospital Otávio de Freitas"/>
    <m/>
    <d v="2024-06-03T00:00:00"/>
    <x v="1"/>
    <s v="Autorizada Sucesso"/>
    <s v="Processo 2024"/>
    <s v="Item atualizado"/>
    <m/>
    <s v="Processo 2024"/>
    <m/>
    <m/>
    <m/>
  </r>
  <r>
    <x v="451"/>
    <x v="27"/>
    <s v="HOSPITAL REGIONAL DO AGRESTE DR.WALDEMIRO FERREIRA"/>
    <s v="Adesão"/>
    <s v="ARP.0011.00.2023.GOV.UPEGARANHUNS.PE"/>
    <s v="Formação de Registro de Preços o fornecimento eventual de materiais para manutenção de equipamentos de informática e eletrônicos da UPE Campi Garanhuns, Arcoverde, Serra Talhada e Salgueiro."/>
    <m/>
    <d v="2024-07-05T00:00:00"/>
    <x v="0"/>
    <s v="Cancelada"/>
    <s v="Processo 2024"/>
    <s v="Item não atualizado"/>
    <m/>
    <s v="Processo 2024"/>
    <m/>
    <m/>
    <m/>
  </r>
  <r>
    <x v="452"/>
    <x v="27"/>
    <s v="HOSPITAL REGIONAL DO AGRESTE DR.WALDEMIRO FERREIRA"/>
    <s v="Adesão"/>
    <s v="ARP.0011.00.2023.GOV.UPEGARANHUNS.PE"/>
    <s v="Formação de Registro de Preços o fornecimento eventual de materiais para manutenção de equipamentos de informática e eletrônicos da UPE Campi Garanhuns, Arcoverde, Serra Talhada e Salgueiro."/>
    <m/>
    <d v="2024-06-27T00:00:00"/>
    <x v="1"/>
    <s v="Autorizada Sucesso"/>
    <s v="Processo 2024"/>
    <s v="Item atualizado"/>
    <m/>
    <s v="Processo 2024"/>
    <m/>
    <m/>
    <m/>
  </r>
  <r>
    <x v="453"/>
    <x v="7"/>
    <s v="HOSPITAL REGIONAL DO AGRESTE DR.WALDEMIRO FERREIRA"/>
    <s v="Adesão"/>
    <s v="ARP.0004.00.2024.GOV.HGV.PE"/>
    <s v="PREGÃO ELETRÔNICO PARA REGISTRO DE PREÇOS COM VALIDADE DE 12 (DOZE) MESES PARA EVENTUAL FORNECIMENTO DE SOLUÇÕES PARENTERAIS DE GRANDES VOLUMES, VISANDO ATENDER AS NECESSIDADES DO HOSPITAL GETULIO VARGAS E HOSPITAL AGAMENON MAGALHÃES"/>
    <m/>
    <d v="2024-07-04T00:00:00"/>
    <x v="0"/>
    <s v="Cancelada"/>
    <s v="Cancelado"/>
    <s v="Item não atualizado"/>
    <m/>
    <s v="Processo 2024"/>
    <m/>
    <m/>
    <m/>
  </r>
  <r>
    <x v="454"/>
    <x v="15"/>
    <s v="HOSPITAL REGIONAL DO AGRESTE DR.WALDEMIRO FERREIRA"/>
    <s v="Adesão"/>
    <s v="ARP.0001.02.2024.GOV.HEMOPE.PE"/>
    <s v="Registro de Preços para o fornecimento eventual dos insumos ponteiras, pipetas, lâminas e tubos de ensaio diversos com cessão em comodato de equipamentos visando atender as necessidades dos laboratórios da Fundação HEMOPE, conforme especificações e quanti"/>
    <s v="NFOCPO"/>
    <d v="2024-06-20T00:00:00"/>
    <x v="1"/>
    <s v="Autorizada Sucesso"/>
    <s v="Concluído"/>
    <s v="Item atualizado"/>
    <s v="Jean"/>
    <s v="Processo 2024"/>
    <s v="Enviado ao NOF"/>
    <s v="2300001207.000117/2024-93"/>
    <s v="PROCESSO CONCLUÍDO / ITEM RECEBIDO"/>
  </r>
  <r>
    <x v="455"/>
    <x v="1"/>
    <s v="HOSPITAL REGIONAL DO AGRESTE DR.WALDEMIRO FERREIRA"/>
    <s v="Adesão"/>
    <s v="ARP.0049.01.2024.GOV.HUOC.PE"/>
    <s v="REGISTRO DE PREÇO para eventual fornecimento de ESCOVAS PARA LIMPEZA DE MATERIAIS E INSTRUMENTAIS CIRURGICOS (SEI Nº 0040609459.000090/2023-11)"/>
    <s v="NAEN"/>
    <d v="2024-06-11T00:00:00"/>
    <x v="1"/>
    <s v="Autorizada Sucesso"/>
    <s v="Concluído"/>
    <s v="Item atualizado"/>
    <s v="Jean"/>
    <s v="Processo 2024"/>
    <s v="Enviado ao NOF"/>
    <s v="2300001207.000093/2024-72"/>
    <s v="PROCESSO CONCLUÍDO / ITEM RECEBIDO"/>
  </r>
  <r>
    <x v="456"/>
    <x v="1"/>
    <s v="HOSPITAL REGIONAL DO AGRESTE DR.WALDEMIRO FERREIRA"/>
    <s v="Adesão"/>
    <s v="ARP.0039.01.2024.GOV.HUOC.PE"/>
    <s v="REGISTRO DE PREÇO para eventual fornecimento de MATERIAIS MÉDICOS PARA ESTERILIZAÇÃO HOSPITALAR (SEI Nº 0040609459.000007/2023-03)"/>
    <m/>
    <d v="2024-06-11T00:00:00"/>
    <x v="0"/>
    <s v="Cancelada"/>
    <s v="Cancelado"/>
    <s v="Item não atualizado"/>
    <m/>
    <s v="Processo 2024"/>
    <m/>
    <m/>
    <m/>
  </r>
  <r>
    <x v="457"/>
    <x v="7"/>
    <s v="HOSPITAL REGIONAL DO AGRESTE DR.WALDEMIRO FERREIRA"/>
    <s v="Adesão"/>
    <s v="ARP.0004.00.2024.GOV.HGV.PE"/>
    <s v="PREGÃO ELETRÔNICO PARA REGISTRO DE PREÇOS COM VALIDADE DE 12 (DOZE) MESES PARA EVENTUAL FORNECIMENTO DE SOLUÇÕES PARENTERAIS DE GRANDES VOLUMES, VISANDO ATENDER AS NECESSIDADES DO HOSPITAL GETULIO VARGAS E HOSPITAL AGAMENON MAGALHÃES"/>
    <m/>
    <d v="2024-06-14T00:00:00"/>
    <x v="0"/>
    <s v="Cancelada"/>
    <s v="Cancelado"/>
    <s v="Item não atualizado"/>
    <m/>
    <s v="Processo 2024"/>
    <m/>
    <m/>
    <m/>
  </r>
  <r>
    <x v="458"/>
    <x v="12"/>
    <s v="HOSPITAL REGIONAL DO AGRESTE DR.WALDEMIRO FERREIRA"/>
    <s v="Adesão"/>
    <s v="ARP.0003.01.2024.EXT.HMAR.PE"/>
    <s v="A presente Ata tem por objeto o registro de preços para aquisição de MEDICAMENTOS – ANTIBIÓTICOS, SOROS E ELETRÓLITOS - GCALC, para o Hospital Militar de Área de Recife (HMAR) e Órgãos participantes, destinadas aos Beneficiários do Fundo de Saúde do Exérc"/>
    <m/>
    <d v="2024-06-25T00:00:00"/>
    <x v="0"/>
    <s v="Cancelada"/>
    <s v="Cancelado"/>
    <s v="Item não atualizado"/>
    <m/>
    <s v="Processo 2024"/>
    <m/>
    <m/>
    <m/>
  </r>
  <r>
    <x v="459"/>
    <x v="5"/>
    <s v="HOSPITAL REGIONAL DO AGRESTE DR.WALDEMIRO FERREIRA"/>
    <s v="Adesão"/>
    <s v="ARP.0001.07.2024.GOV.HOF.PE"/>
    <s v="Formação de registro de preços para eventual fornecimento de materiais médicos hospitalares, visando atender as necessidades do Hospital Otávio de Freitas"/>
    <m/>
    <d v="2024-05-28T00:00:00"/>
    <x v="1"/>
    <s v="Autorizada Sucesso"/>
    <s v="Processo 2024"/>
    <s v="Item atualizado"/>
    <m/>
    <s v="Processo 2024"/>
    <m/>
    <m/>
    <m/>
  </r>
  <r>
    <x v="460"/>
    <x v="1"/>
    <s v="HOSPITAL REGIONAL DO AGRESTE DR.WALDEMIRO FERREIRA"/>
    <s v="Adesão"/>
    <s v="ARP.0130.08.2023.GOV.HUOC.PE"/>
    <s v="REGISTRO DE PREÇO para eventual fornecimento de MATERIAIS MÉDICOS HOSPITALARES PARA O SERVIÇO DE ENDOSCOPIA (SEI Nº 0040609459.000005/2023-14)"/>
    <m/>
    <d v="2024-07-03T00:00:00"/>
    <x v="0"/>
    <s v="Cancelada"/>
    <s v="Processo 2024"/>
    <s v="Item não atualizado"/>
    <m/>
    <s v="Processo 2024"/>
    <m/>
    <m/>
    <m/>
  </r>
  <r>
    <x v="461"/>
    <x v="4"/>
    <s v="HOSPITAL REGIONAL DO AGRESTE DR.WALDEMIRO FERREIRA"/>
    <s v="Adesão"/>
    <s v="ARP.0033.01.2024.GOV.CISAM.PE"/>
    <s v="REGISTRO DE PREÇO PARA FORNECIMENTO EVENTUAL DE MATERIAL DE EXPEDIENTE PARA O CISAM POR UM PERÍODO DE 12 (DOZE) MESES"/>
    <m/>
    <d v="2024-07-02T00:00:00"/>
    <x v="1"/>
    <s v="Autorizada Sucesso"/>
    <s v="Concluído"/>
    <s v="Item atualizado"/>
    <s v="Jean"/>
    <s v="Processo 2024"/>
    <m/>
    <s v="2300001207.000111/2024-16"/>
    <s v="PROCESSO CONCLUÍDO / ITEM RECEBIDO"/>
  </r>
  <r>
    <x v="462"/>
    <x v="9"/>
    <s v="HOSPITAL REGIONAL DO AGRESTE DR.WALDEMIRO FERREIRA"/>
    <s v="Adesão"/>
    <s v="ARP.0008.00.2024.GOV.HR.PE"/>
    <s v="Formação de Registro de Preços, por um período de 12 (doze) meses, para eventual fornecimento de PRODUTOS MÉDICOS (Material Médico Hospitalar)"/>
    <s v="NFOCPO"/>
    <d v="2024-06-10T00:00:00"/>
    <x v="1"/>
    <s v="Autorizada Sucesso"/>
    <s v="Concluído"/>
    <s v="Item atualizado"/>
    <s v="Jean"/>
    <s v="Processo 2024"/>
    <s v="Enviado ao NOF"/>
    <s v="2300001213.000172/2024-02"/>
    <s v="PROCESSO CONCLUÍDO / ITEM RECEBIDO"/>
  </r>
  <r>
    <x v="463"/>
    <x v="7"/>
    <s v="HOSPITAL REGIONAL DO AGRESTE DR.WALDEMIRO FERREIRA"/>
    <s v="Adesão"/>
    <s v="ARP.0004.00.2024.GOV.HGV.PE"/>
    <s v="PREGÃO ELETRÔNICO PARA REGISTRO DE PREÇOS COM VALIDADE DE 12 (DOZE) MESES PARA EVENTUAL FORNECIMENTO DE SOLUÇÕES PARENTERAIS DE GRANDES VOLUMES, VISANDO ATENDER AS NECESSIDADES DO HOSPITAL GETULIO VARGAS E HOSPITAL AGAMENON MAGALHÃES"/>
    <m/>
    <d v="2024-05-20T00:00:00"/>
    <x v="1"/>
    <s v="Autorizada Sucesso"/>
    <s v="Concluído"/>
    <s v="Item atualizado"/>
    <s v="Jean"/>
    <s v="Processo 2024"/>
    <s v="Enviado ao GFIN"/>
    <s v="2300001213.000130/2024-63"/>
    <s v="PROCESSO PAROU NA SUPERINTENDENCIA FINANCEIRA"/>
  </r>
  <r>
    <x v="464"/>
    <x v="12"/>
    <s v="HOSPITAL REGIONAL DO AGRESTE DR.WALDEMIRO FERREIRA"/>
    <s v="Adesão"/>
    <s v="ARP.0003.01.2024.EXT.HMAR.PE"/>
    <s v="A presente Ata tem por objeto o registro de preços para aquisição de MEDICAMENTOS – ANTIBIÓTICOS, SOROS E ELETRÓLITOS - GCALC, para o Hospital Militar de Área de Recife (HMAR) e Órgãos participantes, destinadas aos Beneficiários do Fundo de Saúde do Exérc"/>
    <m/>
    <d v="2024-06-20T00:00:00"/>
    <x v="0"/>
    <s v="Cancelada"/>
    <s v="Cancelado"/>
    <s v="Item não atualizado"/>
    <m/>
    <s v="Processo 2024"/>
    <m/>
    <m/>
    <m/>
  </r>
  <r>
    <x v="465"/>
    <x v="15"/>
    <s v="HOSPITAL REGIONAL DO AGRESTE DR.WALDEMIRO FERREIRA"/>
    <s v="Adesão"/>
    <s v="ARP.0001.02.2024.GOV.HEMOPE.PE"/>
    <s v="Registro de Preços para o fornecimento eventual dos insumos ponteiras, pipetas, lâminas e tubos de ensaio diversos com cessão em comodato de equipamentos visando atender as necessidades dos laboratórios da Fundação HEMOPE, conforme especificações e quanti"/>
    <m/>
    <d v="2024-05-21T00:00:00"/>
    <x v="1"/>
    <s v="Autorizada Sucesso"/>
    <s v="Concluído"/>
    <s v="Item atualizado"/>
    <s v="Jean"/>
    <s v="Processo 2024"/>
    <m/>
    <s v="2300001207.000066/2024-08"/>
    <s v="PROCESSO CONCLUÍDO / ITEM RECEBIDO"/>
  </r>
  <r>
    <x v="466"/>
    <x v="1"/>
    <s v="HOSPITAL REGIONAL DO AGRESTE DR.WALDEMIRO FERREIRA"/>
    <s v="Adesão"/>
    <s v="ARP.0130.08.2023.GOV.HUOC.PE"/>
    <s v="REGISTRO DE PREÇO para eventual fornecimento de MATERIAIS MÉDICOS HOSPITALARES PARA O SERVIÇO DE ENDOSCOPIA (SEI Nº 0040609459.000005/2023-14)"/>
    <m/>
    <d v="2024-06-25T00:00:00"/>
    <x v="1"/>
    <s v="Autorizada Sucesso"/>
    <s v="Processo 2024"/>
    <s v="Item atualizado"/>
    <m/>
    <s v="Processo 2024"/>
    <m/>
    <m/>
    <m/>
  </r>
  <r>
    <x v="467"/>
    <x v="1"/>
    <s v="HOSPITAL REGIONAL DO AGRESTE DR.WALDEMIRO FERREIRA"/>
    <s v="Adesão"/>
    <s v="ARP.0102.02.2023.GOV.HUOC.PE"/>
    <s v="REGISTRO DE PREÇO para eventual fornecimento de MATERIAIS E INSUMOS ODONTOLÓGICOS DIVERSOS (SEI nº 0040609459.000008/2023-40)"/>
    <m/>
    <d v="2024-07-04T00:00:00"/>
    <x v="0"/>
    <s v="Cancelada"/>
    <s v="Processo 2024"/>
    <s v="Item não atualizado"/>
    <m/>
    <s v="Processo 2024"/>
    <m/>
    <m/>
    <m/>
  </r>
  <r>
    <x v="468"/>
    <x v="1"/>
    <s v="HOSPITAL REGIONAL DO AGRESTE DR.WALDEMIRO FERREIRA"/>
    <s v="Adesão"/>
    <s v="ARP.0049.04.2024.GOV.HUOC.PE"/>
    <s v="REGISTRO DE PREÇO para eventual fornecimento de ESCOVAS PARA LIMPEZA DE MATERIAIS E INSTRUMENTAIS CIRURGICOS (SEI Nº 0040609459.000090/2023-11)"/>
    <m/>
    <d v="2024-05-31T00:00:00"/>
    <x v="0"/>
    <s v="Cancelada"/>
    <s v="Cancelado"/>
    <s v="Item não atualizado"/>
    <m/>
    <s v="Processo 2024"/>
    <m/>
    <m/>
    <m/>
  </r>
  <r>
    <x v="469"/>
    <x v="1"/>
    <s v="HOSPITAL REGIONAL DO AGRESTE DR.WALDEMIRO FERREIRA"/>
    <s v="Adesão"/>
    <s v="ARP.0049.00.2024.GOV.HUOC.PE"/>
    <s v="REGISTRO DE PREÇO para eventual fornecimento de ESCOVAS PARA LIMPEZA DE MATERIAIS E INSTRUMENTAIS CIRURGICOS (SEI Nº 0040609459.000090/2023-11)"/>
    <s v="NAEN"/>
    <d v="2024-06-03T00:00:00"/>
    <x v="1"/>
    <s v="Autorizada Sucesso"/>
    <s v="Concluído"/>
    <s v="Item atualizado"/>
    <s v="Jean"/>
    <s v="Processo 2024"/>
    <s v="Enviado ao NOF"/>
    <s v="2300001207.000097/2024-51"/>
    <s v="PROCESSO CONCLUÍDO / ITEM RECEBIDO"/>
  </r>
  <r>
    <x v="470"/>
    <x v="5"/>
    <s v="HOSPITAL REGIONAL DO AGRESTE DR.WALDEMIRO FERREIRA"/>
    <s v="Adesão"/>
    <s v="ARP.0035.00.2023.GOV.HOF.PE"/>
    <s v="Registro de preços para a eventual aquisição de Medicamentos (Antibióticos, Clínicos e Controlados), para atender as necessidades do Hospital Otávio de Freitas."/>
    <m/>
    <d v="2024-05-31T00:00:00"/>
    <x v="1"/>
    <s v="Autorizada Sucesso"/>
    <s v="Processo 2024"/>
    <s v="Item atualizado"/>
    <m/>
    <s v="Processo 2024"/>
    <m/>
    <m/>
    <m/>
  </r>
  <r>
    <x v="471"/>
    <x v="9"/>
    <s v="HOSPITAL REGIONAL DO AGRESTE DR.WALDEMIRO FERREIRA"/>
    <s v="Adesão"/>
    <s v="ARP.0032.00.2023.GOV.HR.PE"/>
    <s v="Formação de Registro de Preços, por um período de 12 (doze) meses, para eventual fornecimento de Produtos Médicos (Reagentes e materiais para realização de testes laboratoriais pré-transfusionais), com cessão gratuita de equipamentos a título de comodato."/>
    <m/>
    <d v="2024-07-02T00:00:00"/>
    <x v="1"/>
    <s v="Autorizada Sucesso"/>
    <s v="Processo 2024"/>
    <s v="Item atualizado"/>
    <m/>
    <s v="Processo 2024"/>
    <m/>
    <m/>
    <m/>
  </r>
  <r>
    <x v="472"/>
    <x v="9"/>
    <s v="HOSPITAL REGIONAL DO AGRESTE DR.WALDEMIRO FERREIRA"/>
    <s v="Adesão"/>
    <s v="ARP.0021.00.2024.GOV.HR.PE"/>
    <s v="Registro de Preços para o fornecimento eventual de MEDICAMENTOS (METRONIDAZOL E OXACILINA), visando atender as necessidades do HOSPITAL DA RESTAURAÇÃO GOV. PAULO GUERRA E HOSPITAL BARÃO DE LUCENA"/>
    <m/>
    <d v="2024-06-13T00:00:00"/>
    <x v="0"/>
    <s v="Cancelada"/>
    <s v="Cancelado"/>
    <s v="Item não atualizado"/>
    <m/>
    <s v="Processo 2024"/>
    <m/>
    <m/>
    <m/>
  </r>
  <r>
    <x v="473"/>
    <x v="5"/>
    <s v="HOSPITAL REGIONAL DO AGRESTE DR.WALDEMIRO FERREIRA"/>
    <s v="Adesão"/>
    <s v="ARP.0002.04.2024.GOV.HOF.PE"/>
    <s v="Registro de Preço, para aquisição de Medicamentos Injetáveis para abastecimento do Hospital Otávio de Freitas da Secretaria de Saúde de Pernambuco, por um período de 12 (doze) meses"/>
    <s v="NFOCPO"/>
    <d v="2024-06-28T00:00:00"/>
    <x v="1"/>
    <s v="Autorizada Sucesso"/>
    <s v="Concluído"/>
    <s v="Item atualizado"/>
    <s v="Jean"/>
    <s v="Processo 2024"/>
    <s v="Enviado ao NOF"/>
    <s v="2300000178.000199/2023-17"/>
    <s v="PROCESSO CONCLUÍDO / ITEM RECEBIDO"/>
  </r>
  <r>
    <x v="474"/>
    <x v="15"/>
    <s v="HOSPITAL REGIONAL DO AGRESTE DR.WALDEMIRO FERREIRA"/>
    <s v="Adesão"/>
    <s v="ARP.0001.02.2024.GOV.HEMOPE.PE"/>
    <s v="Registro de Preços para o fornecimento eventual dos insumos ponteiras, pipetas, lâminas e tubos de ensaio diversos com cessão em comodato de equipamentos visando atender as necessidades dos laboratórios da Fundação HEMOPE, conforme especificações e quanti"/>
    <m/>
    <d v="2024-05-21T00:00:00"/>
    <x v="0"/>
    <s v="Cancelada"/>
    <s v="Cancelado"/>
    <s v="Item não atualizado"/>
    <m/>
    <s v="Processo 2024"/>
    <m/>
    <m/>
    <m/>
  </r>
  <r>
    <x v="475"/>
    <x v="1"/>
    <s v="HOSPITAL REGIONAL DO AGRESTE DR.WALDEMIRO FERREIRA"/>
    <s v="Adesão"/>
    <s v="ARP.0130.09.2023.GOV.HUOC.PE"/>
    <s v="REGISTRO DE PREÇO para eventual fornecimento de MATERIAIS MÉDICOS HOSPITALARES PARA O SERVIÇO DE ENDOSCOPIA (SEI Nº 0040609459.000005/2023-14)"/>
    <m/>
    <d v="2024-06-27T00:00:00"/>
    <x v="0"/>
    <s v="Cancelada"/>
    <s v="Processo 2024"/>
    <s v="Item não atualizado"/>
    <m/>
    <s v="Processo 2024"/>
    <m/>
    <m/>
    <m/>
  </r>
  <r>
    <x v="476"/>
    <x v="1"/>
    <s v="HOSPITAL REGIONAL DO AGRESTE DR.WALDEMIRO FERREIRA"/>
    <s v="Adesão"/>
    <s v="ARP.0102.02.2023.GOV.HUOC.PE"/>
    <s v="REGISTRO DE PREÇO para eventual fornecimento de MATERIAIS E INSUMOS ODONTOLÓGICOS DIVERSOS (SEI nº 0040609459.000008/2023-40)"/>
    <m/>
    <d v="2024-07-03T00:00:00"/>
    <x v="1"/>
    <s v="Autorizada Sucesso"/>
    <s v="Processo 2024"/>
    <s v="Item atualizado"/>
    <m/>
    <s v="Processo 2024"/>
    <m/>
    <m/>
    <m/>
  </r>
  <r>
    <x v="477"/>
    <x v="1"/>
    <s v="HOSPITAL REGIONAL DO AGRESTE DR.WALDEMIRO FERREIRA"/>
    <s v="Adesão"/>
    <s v="ARP.0057.08.2024.GOV.HUOC.PE"/>
    <s v="REGISTRO DE PREÇO para eventual fornecimento de MATERIAIS DE HIDRÁULICA (SEI Nº 0040609405.000061/2023-76)"/>
    <m/>
    <d v="2024-07-05T00:00:00"/>
    <x v="1"/>
    <s v="Autorizada Sucesso"/>
    <s v="Concluído"/>
    <s v="Item atualizado"/>
    <s v="Jean"/>
    <s v="Processo 2024"/>
    <m/>
    <s v="2300001207.000125/2024-30"/>
    <s v="PROCESSO CONCLUÍDO / ITEM RECEBIDO"/>
  </r>
  <r>
    <x v="478"/>
    <x v="1"/>
    <s v="HOSPITAL REGIONAL DO AGRESTE DR.WALDEMIRO FERREIRA"/>
    <s v="Adesão"/>
    <s v="ARP.0049.04.2024.GOV.HUOC.PE"/>
    <s v="REGISTRO DE PREÇO para eventual fornecimento de ESCOVAS PARA LIMPEZA DE MATERIAIS E INSTRUMENTAIS CIRURGICOS (SEI Nº 0040609459.000090/2023-11)"/>
    <s v="NAEN"/>
    <d v="2024-05-30T00:00:00"/>
    <x v="1"/>
    <s v="Autorizada Sucesso"/>
    <s v="Concluído"/>
    <s v="Item atualizado"/>
    <s v="Jean"/>
    <s v="Processo 2024"/>
    <s v="Enviado ao NOF"/>
    <s v="2300001207.000095/2024-61"/>
    <s v="PROCESSO CONCLUÍDO / ITEM RECEBIDO"/>
  </r>
  <r>
    <x v="479"/>
    <x v="1"/>
    <s v="HOSPITAL REGIONAL DO AGRESTE DR.WALDEMIRO FERREIRA"/>
    <s v="Adesão"/>
    <s v="ARP.0049.03.2024.GOV.HUOC.PE"/>
    <s v="REGISTRO DE PREÇO para eventual fornecimento de ESCOVAS PARA LIMPEZA DE MATERIAIS E INSTRUMENTAIS CIRURGICOS (SEI Nº 0040609459.000090/2023-11)"/>
    <s v="NAEN"/>
    <d v="2024-05-30T00:00:00"/>
    <x v="1"/>
    <s v="Autorizada Sucesso"/>
    <s v="Concluído"/>
    <s v="Item atualizado"/>
    <s v="Jean"/>
    <s v="Processo 2024"/>
    <s v="Enviado ao NOF"/>
    <s v="2300001207.000096/2024-14"/>
    <s v="PROCESSO CONCLUÍDO / ITEM RECEBIDO"/>
  </r>
  <r>
    <x v="480"/>
    <x v="9"/>
    <s v="HOSPITAL REGIONAL DO AGRESTE DR.WALDEMIRO FERREIRA"/>
    <s v="Adesão"/>
    <s v="ARP.0032.00.2023.GOV.HR.PE"/>
    <s v="Formação de Registro de Preços, por um período de 12 (doze) meses, para eventual fornecimento de Produtos Médicos (Reagentes e materiais para realização de testes laboratoriais pré-transfusionais), com cessão gratuita de equipamentos a título de comodato."/>
    <m/>
    <d v="2024-05-21T00:00:00"/>
    <x v="1"/>
    <s v="Autorizada Sucesso"/>
    <s v="Processo 2024"/>
    <s v="Item atualizado"/>
    <m/>
    <s v="Processo 2024"/>
    <m/>
    <m/>
    <m/>
  </r>
  <r>
    <x v="481"/>
    <x v="1"/>
    <s v="HOSPITAL REGIONAL DO AGRESTE DR.WALDEMIRO FERREIRA"/>
    <s v="Adesão"/>
    <s v="ARP.0029.01.2024.GOV.HUOC.PE"/>
    <s v="Registro de Preços para eventual fornecimento de MEDICAMENTOS CLÍNICOS GERAIS (sei nº 0040609437.000203/2023-28)"/>
    <s v="NFOCPO"/>
    <d v="2024-06-13T00:00:00"/>
    <x v="1"/>
    <s v="Autorizada Sucesso"/>
    <s v="Concluído"/>
    <s v="Item atualizado"/>
    <s v="Jean"/>
    <s v="Processo 2024"/>
    <s v="Enviado ao NOF"/>
    <s v="2300001213.000186/2024-18"/>
    <s v="PROCESSO CONCLUÍDO / ITEM RECEBIDO"/>
  </r>
  <r>
    <x v="482"/>
    <x v="9"/>
    <s v="HOSPITAL REGIONAL DO AGRESTE DR.WALDEMIRO FERREIRA"/>
    <s v="Adesão"/>
    <s v="ARP.0022.00.2024.GOV.HR.PE"/>
    <s v="Pregão Eletrônico para Registro de Preços para fornecimento de PRODUTOS MÉDICOS (MATERIAL MÉDICO HOSPITALAR), visando atender as necessidades do Hospital da Restauração - HR/SES/PE."/>
    <s v="NFOCPO"/>
    <d v="2024-07-04T00:00:00"/>
    <x v="1"/>
    <s v="Autorizada Sucesso"/>
    <s v="Concluído"/>
    <s v="Item atualizado"/>
    <s v="Jean"/>
    <s v="Processo 2024"/>
    <s v="Enviado ao NOF"/>
    <s v="2300001213.000195/2024-17"/>
    <s v="PROCESSO CONCLUÍDO / ITEM RECEBIDO"/>
  </r>
  <r>
    <x v="483"/>
    <x v="9"/>
    <s v="HOSPITAL REGIONAL DO AGRESTE DR.WALDEMIRO FERREIRA"/>
    <s v="Adesão"/>
    <s v="ARP.0021.00.2024.GOV.HR.PE"/>
    <s v="Registro de Preços para o fornecimento eventual de MEDICAMENTOS (METRONIDAZOL E OXACILINA), visando atender as necessidades do HOSPITAL DA RESTAURAÇÃO GOV. PAULO GUERRA E HOSPITAL BARÃO DE LUCENA"/>
    <s v="NFOCPO"/>
    <d v="2024-06-13T00:00:00"/>
    <x v="1"/>
    <s v="Autorizada Sucesso"/>
    <s v="Concluído"/>
    <s v="Item atualizado"/>
    <s v="Jean"/>
    <s v="Processo 2024"/>
    <s v="Enviado ao NOF"/>
    <s v="2300001213.000193/2024-10"/>
    <s v="PROCESSO CONCLUÍDO / ITEM RECEBIDO"/>
  </r>
  <r>
    <x v="484"/>
    <x v="1"/>
    <s v="HOSPITAL REGIONAL DO AGRESTE DR.WALDEMIRO FERREIRA"/>
    <s v="Adesão"/>
    <s v="ARP.0008.02.2024.GOV.HUOC.PE"/>
    <s v="REGISTRO DE PREÇO para eventual fornecimento de MATERIAIS MÉDICOS HOSPITALARES - CAL SODADA EM PILULAS, REAGENTE VERDE BRILHANTE E DETERGENTE BACTERIOSTÁTICO (SEI Nº 0040609459.000106/2023-87)"/>
    <s v="NSADRE"/>
    <d v="2024-05-23T00:00:00"/>
    <x v="0"/>
    <s v="Em configuração"/>
    <s v="Cancelar Com o Suporte"/>
    <s v="Item atualizado"/>
    <m/>
    <s v="Cancelar Com o Suporte"/>
    <m/>
    <m/>
    <m/>
  </r>
  <r>
    <x v="485"/>
    <x v="15"/>
    <s v="HOSPITAL REGIONAL DO AGRESTE DR.WALDEMIRO FERREIRA"/>
    <s v="Adesão"/>
    <s v="ARP.0001.02.2024.GOV.HEMOPE.PE"/>
    <s v="Registro de Preços para o fornecimento eventual dos insumos ponteiras, pipetas, lâminas e tubos de ensaio diversos com cessão em comodato de equipamentos visando atender as necessidades dos laboratórios da Fundação HEMOPE, conforme especificações e quanti"/>
    <m/>
    <d v="2024-05-21T00:00:00"/>
    <x v="0"/>
    <s v="Cancelada"/>
    <s v="Cancelado"/>
    <s v="Item não atualizado"/>
    <m/>
    <s v="Processo 2024"/>
    <m/>
    <m/>
    <m/>
  </r>
  <r>
    <x v="486"/>
    <x v="1"/>
    <s v="HOSPITAL REGIONAL DO AGRESTE DR.WALDEMIRO FERREIRA"/>
    <s v="Adesão"/>
    <s v="ARP.0130.09.2023.GOV.HUOC.PE"/>
    <s v="REGISTRO DE PREÇO para eventual fornecimento de MATERIAIS MÉDICOS HOSPITALARES PARA O SERVIÇO DE ENDOSCOPIA (SEI Nº 0040609459.000005/2023-14)"/>
    <m/>
    <d v="2024-06-27T00:00:00"/>
    <x v="0"/>
    <s v="Cancelada"/>
    <s v="Processo 2024"/>
    <s v="Item não atualizado"/>
    <m/>
    <s v="Processo 2024"/>
    <m/>
    <m/>
    <m/>
  </r>
  <r>
    <x v="487"/>
    <x v="0"/>
    <s v="HOSPITAL REGIONAL DO AGRESTE DR.WALDEMIRO FERREIRA"/>
    <s v="Adesão"/>
    <s v="ARP.0114.00.2023.GOV.FES-PE.PE"/>
    <s v="ATA DE REGISTRO DE PREÇO, COM VALIDADE DE 12 (DOZE) MESES, PARA EVENTUAL FORNECIMENTO DE EQUIPAMENTOS E MATERIAL MEDICO-HOSPITALARES? VISANDO ATENDER AS NECESSIDADES DA SECRETARIA ESTADUAL DE SAÚDE DE PERNAMBUCO (SES/PE) E DAS UNIDADES HOSPITALARES QUE A "/>
    <m/>
    <d v="2024-06-11T00:00:00"/>
    <x v="1"/>
    <s v="Autorizada Sucesso"/>
    <s v="Processo 2024"/>
    <s v="Item atualizado"/>
    <m/>
    <s v="Processo 2024"/>
    <m/>
    <m/>
    <m/>
  </r>
  <r>
    <x v="488"/>
    <x v="1"/>
    <s v="HOSPITAL REGIONAL DO AGRESTE DR.WALDEMIRO FERREIRA"/>
    <s v="Adesão"/>
    <s v="ARP.0049.02.2024.GOV.HUOC.PE"/>
    <s v="REGISTRO DE PREÇO para eventual fornecimento de ESCOVAS PARA LIMPEZA DE MATERIAIS E INSTRUMENTAIS CIRURGICOS (SEI Nº 0040609459.000090/2023-11)"/>
    <s v="NAEN"/>
    <d v="2024-05-30T00:00:00"/>
    <x v="1"/>
    <s v="Autorizada Sucesso"/>
    <s v="Concluído"/>
    <s v="Item atualizado"/>
    <s v="Jean"/>
    <s v="Processo 2024"/>
    <s v="Enviado ao NOF"/>
    <s v="2300001207.000094/2024-17"/>
    <s v="PROCESSO CONCLUÍDO / ITEM RECEBIDO"/>
  </r>
  <r>
    <x v="489"/>
    <x v="1"/>
    <s v="HOSPITAL REGIONAL DO AGRESTE DR.WALDEMIRO FERREIRA"/>
    <s v="Adesão"/>
    <s v="ARP.0046.06.2024.GOV.HUOC.PE"/>
    <s v="Registro de Preços para eventual aquisição de MEDICAMENTOS CLÍNICOS GERAIS (SEI Nº 0040609437.000070/2023-90)"/>
    <s v="NFOCPO"/>
    <d v="2024-06-17T00:00:00"/>
    <x v="1"/>
    <s v="Autorizada Sucesso"/>
    <s v="Concluído"/>
    <s v="Item atualizado"/>
    <s v="Jean"/>
    <s v="Processo 2024"/>
    <s v="Enviado ao NOF"/>
    <s v="2300001207.000092/2024-28"/>
    <s v="PROCESSO CONCLUÍDO / ITEM RECEBIDO"/>
  </r>
  <r>
    <x v="490"/>
    <x v="1"/>
    <s v="HOSPITAL REGIONAL DO AGRESTE DR.WALDEMIRO FERREIRA"/>
    <s v="Adesão"/>
    <s v="ARP.0046.01.2024.GOV.HUOC.PE"/>
    <s v="Registro de Preços para eventual aquisição de MEDICAMENTOS CLÍNICOS GERAIS (SEI Nº 0040609437.000070/2023-90)"/>
    <s v="NFOCPO"/>
    <d v="2024-05-21T00:00:00"/>
    <x v="1"/>
    <s v="Autorizada Sucesso"/>
    <s v="Concluído"/>
    <s v="Item atualizado"/>
    <s v="Jean"/>
    <s v="Processo 2024"/>
    <s v="Enviado ao NOF"/>
    <s v="2300001213.000147/2024-11"/>
    <s v="PROCESSO CONCLUÍDO / ITEM RECEBIDO"/>
  </r>
  <r>
    <x v="491"/>
    <x v="6"/>
    <s v="HOSPITAL REGIONAL DO AGRESTE DR.WALDEMIRO FERREIRA"/>
    <s v="Adesão"/>
    <s v="ARP.0043.00.2024.GOV.PROCAPE.PE"/>
    <s v="REGISTRO DE PREÇOS PARA EVENTUAL FORNECIMENTO DE MATERIAL DE CONSUMO HOSPITALAR (MATERIAL PENSO)"/>
    <s v="NFOCPO"/>
    <d v="2024-06-10T00:00:00"/>
    <x v="1"/>
    <s v="Autorizada Sucesso"/>
    <s v="Concluído"/>
    <s v="Item atualizado"/>
    <s v="Jean"/>
    <s v="Processo 2024"/>
    <s v="Enviado ao NOF"/>
    <s v="2300001207.000090/2024-39"/>
    <s v="PROCESSO CONCLUÍDO / ITEM RECEBIDO"/>
  </r>
  <r>
    <x v="492"/>
    <x v="5"/>
    <s v="HOSPITAL REGIONAL DO AGRESTE DR.WALDEMIRO FERREIRA"/>
    <s v="Adesão"/>
    <s v="ARP.0009.10.2024.GOV.HOF.PE"/>
    <s v="Registro de Preços para eventual aquisição de Material Médico Hospitalar para abastecimento de 12 (doze) meses, cujo objeto: TÊXTIL."/>
    <m/>
    <d v="2024-06-28T00:00:00"/>
    <x v="0"/>
    <s v="Cancelada"/>
    <s v="Cancelado"/>
    <s v="Item não atualizado"/>
    <m/>
    <s v="Processo 2024"/>
    <m/>
    <m/>
    <m/>
  </r>
  <r>
    <x v="493"/>
    <x v="5"/>
    <s v="HOSPITAL REGIONAL DO AGRESTE DR.WALDEMIRO FERREIRA"/>
    <s v="Adesão"/>
    <s v="ARP.0009.01.2024.GOV.HOF.PE"/>
    <s v="Registro de Preços para eventual aquisição de Material Médico Hospitalar para abastecimento de 12 (doze) meses, cujo objeto: TÊXTIL."/>
    <s v="NFOCPO"/>
    <d v="2024-07-03T00:00:00"/>
    <x v="1"/>
    <s v="Autorizada Sucesso"/>
    <s v="Concluído"/>
    <s v="Item atualizado"/>
    <s v="Jean"/>
    <s v="Processo 2024"/>
    <s v="Enviado ao NOF"/>
    <s v="2300001207.000116/2024-49"/>
    <s v="PROCESSO CONCLUÍDO / ITEM RECEBIDO"/>
  </r>
  <r>
    <x v="494"/>
    <x v="14"/>
    <s v="HOSPITAL REGIONAL DO AGRESTE DR.WALDEMIRO FERREIRA"/>
    <s v="Adesão"/>
    <s v="ARP.0005.01.2024.GOV.SASSEPE.PE"/>
    <s v="Formação de Registro de Preços para eventual fornecimento de Medicamentos, visando atender a demanda do Hospital dos Servidores do Estado de Pernambuco - HSE, nos termos da legislação vigente e conforme as condições, especificações, quantidades e exigênci"/>
    <s v="NFOCPO"/>
    <d v="2024-06-13T00:00:00"/>
    <x v="1"/>
    <s v="Autorizada Sucesso"/>
    <s v="Concluído"/>
    <s v="Item atualizado"/>
    <s v="Jean"/>
    <s v="Processo 2024"/>
    <s v="Enviado ao NOF"/>
    <s v="2300001213.000192/2024-75"/>
    <s v="PROCESSO CONCLUÍDO / ITEM RECEBIDO"/>
  </r>
  <r>
    <x v="495"/>
    <x v="5"/>
    <s v="HOSPITAL REGIONAL DO AGRESTE DR.WALDEMIRO FERREIRA"/>
    <s v="Adesão"/>
    <s v="ARP.0002.00.2024.GOV.HOF.PE"/>
    <s v="Registro de Preço, para aquisição de Medicamentos Injetáveis para abastecimento do Hospital Otávio de Freitas da Secretaria de Saúde de Pernambuco, por um período de 12 (doze) meses"/>
    <s v="NFOCPO"/>
    <d v="2024-05-21T00:00:00"/>
    <x v="1"/>
    <s v="Autorizada Sucesso"/>
    <s v="Concluído"/>
    <s v="Item atualizado"/>
    <s v="Jean"/>
    <s v="Processo 2024"/>
    <s v="Enviado ao NOF"/>
    <s v="2300001213.000152/2024-23"/>
    <s v="PROCESSO CONCLUÍDO / ITEM RECEBIDO"/>
  </r>
  <r>
    <x v="496"/>
    <x v="1"/>
    <s v="HOSPITAL REGIONAL DO AGRESTE DR.WALDEMIRO FERREIRA"/>
    <s v="Adesão"/>
    <s v="ARP.0130.09.2023.GOV.HUOC.PE"/>
    <s v="REGISTRO DE PREÇO para eventual fornecimento de MATERIAIS MÉDICOS HOSPITALARES PARA O SERVIÇO DE ENDOSCOPIA (SEI Nº 0040609459.000005/2023-14)"/>
    <m/>
    <d v="2024-06-27T00:00:00"/>
    <x v="1"/>
    <s v="Autorizada Sucesso"/>
    <s v="Processo 2024"/>
    <s v="Item atualizado"/>
    <m/>
    <s v="Processo 2024"/>
    <m/>
    <m/>
    <m/>
  </r>
  <r>
    <x v="497"/>
    <x v="1"/>
    <s v="HOSPITAL REGIONAL DO AGRESTE DR.WALDEMIRO FERREIRA"/>
    <s v="Adesão"/>
    <s v="ARP.0059.02.2024.GOV.HUOC.PE"/>
    <s v="REGISTRO DE PREÇO para eventual fornecimento de MATERIAIS DE CONSTRUÇÃO (SEI Nº 0040609405.000067/2023-43)"/>
    <m/>
    <d v="2024-07-05T00:00:00"/>
    <x v="1"/>
    <s v="Autorizada Sucesso"/>
    <s v="Concluído"/>
    <s v="Item atualizado"/>
    <s v="Jean"/>
    <s v="Processo 2024"/>
    <m/>
    <s v="2300001207.000118/2024-38"/>
    <s v="PAROU NA SUPERINTENDENCIA DE ENGENHARIA E MANUTENÇÃO"/>
  </r>
  <r>
    <x v="498"/>
    <x v="6"/>
    <s v="HOSPITAL REGIONAL DO AGRESTE DR.WALDEMIRO FERREIRA"/>
    <s v="Adesão"/>
    <s v="ARP.0046.03.2024.GOV.PROCAPE.PE"/>
    <s v="REGISTRO DE PREÇOS PARA EVENTUAL FORNECIMENTO DE MATERIAL DE CONSUMO HOSPITALAR (MEDICAMENTOS)"/>
    <s v="NFOCPO"/>
    <d v="2024-05-28T00:00:00"/>
    <x v="1"/>
    <s v="Autorizada Sucesso"/>
    <s v="Concluído"/>
    <s v="Item atualizado"/>
    <s v="Jean"/>
    <s v="Processo 2024"/>
    <s v="Enviado ao NOF"/>
    <s v="2300001213.000153/2024-78"/>
    <s v="PROCESSO CONCLUÍDO / ITEM RECEBIDO"/>
  </r>
  <r>
    <x v="499"/>
    <x v="22"/>
    <s v="HOSPITAL REGIONAL DO AGRESTE DR.WALDEMIRO FERREIRA"/>
    <s v="Adesão"/>
    <s v="ARPC.0033.00.2023.GOV.SAD.PE"/>
    <s v="Formação de Registro de Preços Corporativo para prestação de serviços especializados de impressão, incluindo: locação de equipamentos (impressoras e multifuncionais); reposição de suprimentos (exceto papel); disponibilização de sistemas para gestão inform"/>
    <m/>
    <d v="2024-05-15T00:00:00"/>
    <x v="1"/>
    <s v="Autorizada Sucesso"/>
    <s v="Processo 2024"/>
    <s v="Item atualizado"/>
    <m/>
    <s v="Processo 2024"/>
    <m/>
    <m/>
    <m/>
  </r>
  <r>
    <x v="500"/>
    <x v="9"/>
    <s v="HOSPITAL REGIONAL DO AGRESTE DR.WALDEMIRO FERREIRA"/>
    <s v="Adesão"/>
    <s v="ARP.0035.00.2023.GOV.HR.PE"/>
    <s v="Registro de preços para aquisição dos seguintes MEDICAMENTOS, para atender demanda dos Hospitais da Restauração e Getúlio Vargas."/>
    <m/>
    <d v="2024-03-19T00:00:00"/>
    <x v="1"/>
    <s v="Autorizada Sucesso"/>
    <s v="Processo 2024"/>
    <s v="Item atualizado"/>
    <m/>
    <s v="Processo 2024"/>
    <m/>
    <m/>
    <m/>
  </r>
  <r>
    <x v="501"/>
    <x v="9"/>
    <s v="HOSPITAL REGIONAL DO AGRESTE DR.WALDEMIRO FERREIRA"/>
    <s v="Adesão"/>
    <s v="ARP.0035.00.2023.GOV.HR.PE"/>
    <s v="Registro de preços para aquisição dos seguintes MEDICAMENTOS, para atender demanda dos Hospitais da Restauração e Getúlio Vargas."/>
    <m/>
    <d v="2024-03-11T00:00:00"/>
    <x v="1"/>
    <s v="Autorizada Sucesso"/>
    <s v="Processo 2024"/>
    <s v="Item atualizado"/>
    <m/>
    <s v="Processo 2024"/>
    <m/>
    <m/>
    <m/>
  </r>
  <r>
    <x v="502"/>
    <x v="22"/>
    <s v="HOSPITAL REGIONAL DO AGRESTE DR.WALDEMIRO FERREIRA"/>
    <s v="Adesão"/>
    <s v="ARPC.0026.00.2023.GOV.SAD.PE"/>
    <s v="Formação de Registro de Preços Corporativo para o fornecimento eventual de material de expediente (utensílios), visando atender as necessidades dos órgãos da Administração Direta, Autarquias e Fundações Públicas integrantes do Poder Executivo do Estado de"/>
    <m/>
    <d v="2024-04-30T00:00:00"/>
    <x v="0"/>
    <s v="Cancelada"/>
    <s v="Processo 2024"/>
    <s v="Item não atualizado"/>
    <m/>
    <s v="Processo 2024"/>
    <m/>
    <m/>
    <m/>
  </r>
  <r>
    <x v="503"/>
    <x v="1"/>
    <s v="HOSPITAL REGIONAL DO AGRESTE DR.WALDEMIRO FERREIRA"/>
    <s v="Adesão"/>
    <s v="ARP.0101.05.2023.GOV.HUOC.PE"/>
    <s v="Registro de Preços para eventual fornecimento de MEDICAMENTOS ANTIMICROBIANOS E CONTROLADOS COM CESSÃO DE EQUIPAMENTO EM REGIME DE COMODATO (SEI Nº 0040609437.000507/2022-12)"/>
    <m/>
    <d v="2024-03-25T00:00:00"/>
    <x v="1"/>
    <s v="Autorizada Sucesso"/>
    <s v="Processo 2024"/>
    <s v="Item atualizado"/>
    <m/>
    <s v="Processo 2024"/>
    <m/>
    <m/>
    <m/>
  </r>
  <r>
    <x v="504"/>
    <x v="1"/>
    <s v="HOSPITAL REGIONAL DO AGRESTE DR.WALDEMIRO FERREIRA"/>
    <s v="Adesão"/>
    <s v="ARP.0064.08.2023.GOV.HUOC.PE"/>
    <s v="REGISTRO DE PREÇO para eventual fornecimento de MATERIAIS DE CONSTRUÇÃO (SEI nº 0040609405.000032/2022-23)"/>
    <m/>
    <d v="2024-03-21T00:00:00"/>
    <x v="1"/>
    <s v="Autorizada Sucesso"/>
    <s v="Processo 2024"/>
    <s v="Item atualizado"/>
    <m/>
    <s v="Processo 2024"/>
    <m/>
    <m/>
    <m/>
  </r>
  <r>
    <x v="505"/>
    <x v="1"/>
    <s v="HOSPITAL REGIONAL DO AGRESTE DR.WALDEMIRO FERREIRA"/>
    <s v="Adesão"/>
    <s v="ARP.0120.01.2023.GOV.HUOC.PE"/>
    <s v="Registro de Preços para eventual fornecimento de  MEDICAMENTOS ANTIMICROBIANOS (SEI Nº 0040609437.000151/2023-90)"/>
    <m/>
    <d v="2024-04-17T00:00:00"/>
    <x v="1"/>
    <s v="Autorizada Sucesso"/>
    <s v="Processo 2024"/>
    <s v="Item atualizado"/>
    <m/>
    <s v="Processo 2024"/>
    <m/>
    <m/>
    <m/>
  </r>
  <r>
    <x v="506"/>
    <x v="1"/>
    <s v="HOSPITAL REGIONAL DO AGRESTE DR.WALDEMIRO FERREIRA"/>
    <s v="Adesão"/>
    <s v="ARP.0085.05.2023.GOV.HUOC.PE"/>
    <s v="REGISTRO DE PREÇO para eventual fornecimento de MATERIAIS MÉDICOS HOSPITALARES - EPI'S DESCARTÁVEIS (SEI nº 0040609459.000064/2022-01)"/>
    <m/>
    <d v="2024-04-22T00:00:00"/>
    <x v="1"/>
    <s v="Autorizada Sucesso"/>
    <s v="Processo 2024"/>
    <s v="Item atualizado"/>
    <m/>
    <s v="Processo 2024"/>
    <m/>
    <m/>
    <m/>
  </r>
  <r>
    <x v="507"/>
    <x v="6"/>
    <s v="HOSPITAL REGIONAL DO AGRESTE DR.WALDEMIRO FERREIRA"/>
    <s v="Adesão"/>
    <s v="ARP.0069.00.2023.GOV.PROCAPE.PE"/>
    <s v="REGISTRO DE PREÇOS PARA EVENTUAL FORNECIMENTO, PELO REGIME DE COMODATO, DE MATERIAL DE CONSUMO HOSPITALAR (INSUMOS E REAGENTES PARA IDENTIFICAÇÃO MICROBIANA E HEMOCULTURAS)"/>
    <m/>
    <d v="2024-05-15T00:00:00"/>
    <x v="1"/>
    <s v="Autorizada Sucesso"/>
    <s v="Processo 2024"/>
    <s v="Item atualizado"/>
    <m/>
    <s v="Processo 2024"/>
    <m/>
    <m/>
    <m/>
  </r>
  <r>
    <x v="508"/>
    <x v="22"/>
    <s v="HOSPITAL REGIONAL DO AGRESTE DR.WALDEMIRO FERREIRA"/>
    <s v="Adesão"/>
    <s v="ARPC.0007.00.2024.GOV.SAD.PE"/>
    <s v="Formação de Registro de Preços Corporativo para o fornecimento eventual de material de higiene pessoal, visando atender as necessidades dos órgãos da Administração Direta, Autarquias e Fundações Públicas integrantes do Poder Executivo do Estado de Pernamb"/>
    <s v="NAMP"/>
    <d v="2024-04-23T00:00:00"/>
    <x v="1"/>
    <s v="Autorizada Sucesso"/>
    <s v="Concluído"/>
    <s v="Item atualizado"/>
    <s v="Jean"/>
    <s v="Processo 2024"/>
    <s v="Enviado ao NOF"/>
    <s v="2300001216.000029/2024-82"/>
    <s v="PROCESSO CONCLUÍDO / ITEM RECEBIDO"/>
  </r>
  <r>
    <x v="509"/>
    <x v="1"/>
    <s v="HOSPITAL REGIONAL DO AGRESTE DR.WALDEMIRO FERREIRA"/>
    <s v="Adesão"/>
    <s v="ARP.0085.12.2023.GOV.HUOC.PE"/>
    <s v="REGISTRO DE PREÇO para eventual fornecimento de MATERIAIS MÉDICOS HOSPITALARES - EPI'S DESCARTÁVEIS (SEI nº 0040609459.000064/2022-01)"/>
    <m/>
    <d v="2024-04-22T00:00:00"/>
    <x v="1"/>
    <s v="Autorizada Sucesso"/>
    <s v="Processo 2024"/>
    <s v="Item atualizado"/>
    <m/>
    <s v="Processo 2024"/>
    <m/>
    <m/>
    <m/>
  </r>
  <r>
    <x v="510"/>
    <x v="1"/>
    <s v="HOSPITAL REGIONAL DO AGRESTE DR.WALDEMIRO FERREIRA"/>
    <s v="Adesão"/>
    <s v="ARP.0085.08.2023.GOV.HUOC.PE"/>
    <s v="REGISTRO DE PREÇO para eventual fornecimento de MATERIAIS MÉDICOS HOSPITALARES - EPI'S DESCARTÁVEIS (SEI nº 0040609459.000064/2022-01)"/>
    <m/>
    <d v="2024-04-22T00:00:00"/>
    <x v="1"/>
    <s v="Autorizada Sucesso"/>
    <s v="Processo 2024"/>
    <s v="Item atualizado"/>
    <m/>
    <s v="Processo 2024"/>
    <m/>
    <m/>
    <m/>
  </r>
  <r>
    <x v="511"/>
    <x v="22"/>
    <s v="HOSPITAL REGIONAL DO AGRESTE DR.WALDEMIRO FERREIRA"/>
    <s v="Adesão"/>
    <s v="ARPC.0007.00.2024.GOV.SAD.PE"/>
    <s v="Formação de Registro de Preços Corporativo para o fornecimento eventual de material de higiene pessoal, visando atender as necessidades dos órgãos da Administração Direta, Autarquias e Fundações Públicas integrantes do Poder Executivo do Estado de Pernamb"/>
    <s v="NAMP"/>
    <d v="2024-04-23T00:00:00"/>
    <x v="1"/>
    <s v="Autorizada Sucesso"/>
    <s v="Concluído"/>
    <s v="Item atualizado"/>
    <s v="Jean"/>
    <s v="Processo 2024"/>
    <s v="Enviado ao NOF"/>
    <s v="2300001216.000030/2024-15"/>
    <s v="PROCESSO CONCLUÍDO / ITEM RECEBIDO"/>
  </r>
  <r>
    <x v="512"/>
    <x v="9"/>
    <s v="HOSPITAL REGIONAL DO AGRESTE DR.WALDEMIRO FERREIRA"/>
    <s v="Adesão"/>
    <s v="ARP.0030.05.2023.GOV.HR.PE"/>
    <s v="Formação de Registro de Preços, por um período de 12 (doze) meses, para eventual fornecimento de PRODUTOS MÉDICOS (Material Médico Hospitalar)"/>
    <m/>
    <d v="2024-04-16T00:00:00"/>
    <x v="1"/>
    <s v="Autorizada Sucesso"/>
    <s v="Processo 2024"/>
    <s v="Item atualizado"/>
    <m/>
    <s v="Processo 2024"/>
    <m/>
    <m/>
    <m/>
  </r>
  <r>
    <x v="513"/>
    <x v="4"/>
    <s v="HOSPITAL REGIONAL DO AGRESTE DR.WALDEMIRO FERREIRA"/>
    <s v="Adesão"/>
    <s v="ARP.0030.01.2024.GOV.CISAM.PE"/>
    <s v="REGISTRO DE PREÇO PARA FORNECIMENTO EVENTUAL DE ANTI-HIPERTENSIVOS, ANTIMICROBIANOS, ANESTÉSICOS E DIVERSOS MEDICAMENTOS USADOS NA CLÍNICA GERAL, VISANDO ATENDER AS NECESSIDADE DO CISAM POR UM PERÍODO DE 12 (DOZE) MESES"/>
    <s v="NFOCPO"/>
    <d v="2024-04-12T00:00:00"/>
    <x v="1"/>
    <s v="Autorizada Sucesso"/>
    <s v="Concluído"/>
    <s v="Item atualizado"/>
    <s v="Jean"/>
    <s v="Processo 2024"/>
    <s v="Enviado ao NOF"/>
    <s v="2300001213.000066/2024-11"/>
    <s v="PROCESSO CONCLUÍDO / ITEM RECEBIDO"/>
  </r>
  <r>
    <x v="514"/>
    <x v="7"/>
    <s v="HOSPITAL REGIONAL DO AGRESTE DR.WALDEMIRO FERREIRA"/>
    <s v="Adesão"/>
    <s v="ARP.0021.00.2023.GOV.HGV.PE"/>
    <s v="PREGÃO ELETRONICO PARA REGISTRO DE PREÇOS PARA O FORNECIMENTO EVENTUAL DE INSUMOS PARA O SERVIÇO DE VIDEOCIRURGIA(GERAL E UROLOGIA),COM CESSÃO DE EQUIPAMENTOS E INSTRUMENTAIS CIRUGICOS EM REGIME DE COMODATO -LAPSUS.POR 12( DOZE) MESES."/>
    <m/>
    <d v="2024-04-18T00:00:00"/>
    <x v="1"/>
    <s v="Autorizada Sucesso"/>
    <s v="Processo 2024"/>
    <s v="Item atualizado"/>
    <m/>
    <s v="Processo 2024"/>
    <m/>
    <m/>
    <m/>
  </r>
  <r>
    <x v="515"/>
    <x v="14"/>
    <s v="HOSPITAL REGIONAL DO AGRESTE DR.WALDEMIRO FERREIRA"/>
    <s v="Adesão"/>
    <s v="ARP.0002.02.2024.GOV.SASSEPE.PE"/>
    <s v="Registro de Preços para eventual fornecimento de medicamentos Analgésicos, Antiflamatórios e Corticóides visando atender a demanda do Hospital dos Servidores do Estado de Pernambuco - HSE."/>
    <s v="NFOCPO"/>
    <d v="2024-04-12T00:00:00"/>
    <x v="1"/>
    <s v="Autorizada Sucesso"/>
    <s v="Concluído"/>
    <s v="Item atualizado"/>
    <s v="Jean"/>
    <s v="Processo 2024"/>
    <s v="Enviado ao NOF"/>
    <s v="2300001213.000067/2024-65"/>
    <s v="PROCESSO CONCLUÍDO / ITEM RECEBIDO"/>
  </r>
  <r>
    <x v="516"/>
    <x v="1"/>
    <s v="HOSPITAL REGIONAL DO AGRESTE DR.WALDEMIRO FERREIRA"/>
    <s v="Adesão"/>
    <s v="ARP.0112.01.2023.GOV.HUOC.PE"/>
    <s v="REGISTRO DE PREÇO para fornecimento eventual de CARGAS E GRAMPEADORES CIRÚRGICOS LINEARES E CIRCULARES (SEI Nº 0040609459.000037/2023-10)"/>
    <m/>
    <d v="2024-04-24T00:00:00"/>
    <x v="1"/>
    <s v="Autorizada Sucesso"/>
    <s v="Processo 2024"/>
    <s v="Item atualizado"/>
    <m/>
    <s v="Processo 2024"/>
    <m/>
    <m/>
    <m/>
  </r>
  <r>
    <x v="517"/>
    <x v="1"/>
    <s v="HOSPITAL REGIONAL DO AGRESTE DR.WALDEMIRO FERREIRA"/>
    <s v="Adesão"/>
    <s v="ARP.0112.00.2023.GOV.HUOC.PE"/>
    <s v="REGISTRO DE PREÇO para fornecimento eventual de CARGAS E GRAMPEADORES CIRÚRGICOS LINEARES E CIRCULARES (SEI Nº 0040609459.000037/2023-10)"/>
    <m/>
    <d v="2024-05-14T00:00:00"/>
    <x v="1"/>
    <s v="Autorizada Sucesso"/>
    <s v="Processo 2024"/>
    <s v="Item atualizado"/>
    <m/>
    <s v="Processo 2024"/>
    <m/>
    <m/>
    <m/>
  </r>
  <r>
    <x v="518"/>
    <x v="1"/>
    <s v="HOSPITAL REGIONAL DO AGRESTE DR.WALDEMIRO FERREIRA"/>
    <s v="Adesão"/>
    <s v="ARP.0039.02.2024.GOV.HUOC.PE"/>
    <s v="REGISTRO DE PREÇO para eventual fornecimento de MATERIAIS MÉDICOS PARA ESTERILIZAÇÃO HOSPITALAR (SEI Nº 0040609459.000007/2023-03)"/>
    <m/>
    <d v="2024-05-10T00:00:00"/>
    <x v="1"/>
    <s v="Autorizada Sucesso"/>
    <s v="Concluído"/>
    <s v="Item atualizado"/>
    <m/>
    <s v="Processo 2024"/>
    <m/>
    <m/>
    <m/>
  </r>
  <r>
    <x v="519"/>
    <x v="1"/>
    <s v="HOSPITAL REGIONAL DO AGRESTE DR.WALDEMIRO FERREIRA"/>
    <s v="Adesão"/>
    <s v="ARP.0118.00.2023.GOV.HUOC.PE"/>
    <s v="REGISTRO DE PREÇO para eventual fornecimento de CONTRASTE NÃO IÔNICO DE BAIXA OSMOLARIDADE 300MG/ML EM FRASCOS DE 100ML, COM CESSÃO DE EQUIPAMENTOS E INSUMOS EM REGIME DE COMODATO; MEIO DE CONTRASTE – MICROBOLHAS DE HEXAFLUORETO DE ENXOFRE FA e CONTRASTE "/>
    <m/>
    <d v="2024-03-19T00:00:00"/>
    <x v="1"/>
    <s v="Autorizada Sucesso"/>
    <s v="Processo 2024"/>
    <s v="Item atualizado"/>
    <m/>
    <s v="Processo 2024"/>
    <m/>
    <m/>
    <m/>
  </r>
  <r>
    <x v="520"/>
    <x v="10"/>
    <s v="HOSPITAL REGIONAL DO AGRESTE DR.WALDEMIRO FERREIRA"/>
    <s v="Adesão"/>
    <s v="ARP.0026.10.2023.GOV.HAM.PE"/>
    <s v="FORMAÇÃO DE REGISTRO DE PREÇOS PARA FORNECIMENTO EVENTUAL DE COLCHÕES, MOBILIÁRIOS E ELETRODOMÉSTICOS, VISANDO ATENDER AS NECESSIDADES DO HOSPITAL AGAMENON MAGALHÃES, DIRETORIA DE ADMINISTRAÇÃO GERAL, DIRETORIA DE APOIO ADMINISTRATIVO AO SISTEMA DE SAÚDE,"/>
    <m/>
    <d v="2024-04-15T00:00:00"/>
    <x v="0"/>
    <s v="Cancelada"/>
    <s v="Processo 2024"/>
    <s v="Item não atualizado"/>
    <m/>
    <s v="Processo 2024"/>
    <m/>
    <m/>
    <m/>
  </r>
  <r>
    <x v="521"/>
    <x v="5"/>
    <s v="HOSPITAL REGIONAL DO AGRESTE DR.WALDEMIRO FERREIRA"/>
    <s v="Adesão"/>
    <s v="ARP.0002.03.2024.GOV.HOF.PE"/>
    <s v="Registro de Preço, para aquisição de Medicamentos Injetáveis para abastecimento do Hospital Otávio de Freitas da Secretaria de Saúde de Pernambuco, por um período de 12 (doze) meses"/>
    <m/>
    <d v="2024-04-10T00:00:00"/>
    <x v="1"/>
    <s v="Autorizada Sucesso"/>
    <s v="Concluído"/>
    <s v="Item atualizado"/>
    <m/>
    <s v="Processo 2024"/>
    <m/>
    <m/>
    <m/>
  </r>
  <r>
    <x v="522"/>
    <x v="1"/>
    <s v="HOSPITAL REGIONAL DO AGRESTE DR.WALDEMIRO FERREIRA"/>
    <s v="Adesão"/>
    <s v="ARP.0112.00.2023.GOV.HUOC.PE"/>
    <s v="REGISTRO DE PREÇO para fornecimento eventual de CARGAS E GRAMPEADORES CIRÚRGICOS LINEARES E CIRCULARES (SEI Nº 0040609459.000037/2023-10)"/>
    <m/>
    <d v="2024-04-16T00:00:00"/>
    <x v="0"/>
    <s v="Cancelada"/>
    <s v="Processo 2024"/>
    <s v="Item não atualizado"/>
    <m/>
    <s v="Processo 2024"/>
    <m/>
    <m/>
    <m/>
  </r>
  <r>
    <x v="523"/>
    <x v="1"/>
    <s v="HOSPITAL REGIONAL DO AGRESTE DR.WALDEMIRO FERREIRA"/>
    <s v="Adesão"/>
    <s v="ARP.0064.07.2023.GOV.HUOC.PE"/>
    <s v="REGISTRO DE PREÇO para eventual fornecimento de MATERIAIS DE CONSTRUÇÃO (SEI nº 0040609405.000032/2022-23)"/>
    <m/>
    <d v="2024-03-12T00:00:00"/>
    <x v="1"/>
    <s v="Autorizada Sucesso"/>
    <s v="Processo 2024"/>
    <s v="Item atualizado"/>
    <m/>
    <s v="Processo 2024"/>
    <m/>
    <m/>
    <m/>
  </r>
  <r>
    <x v="524"/>
    <x v="5"/>
    <s v="HOSPITAL REGIONAL DO AGRESTE DR.WALDEMIRO FERREIRA"/>
    <s v="Adesão"/>
    <s v="ARP.0035.04.2023.GOV.HOF.PE"/>
    <s v="Registro de preços para a eventual aquisição de Medicamentos (Antibióticos, Clínicos e Controlados), para atender as necessidades do Hospital Otávio de Freitas."/>
    <m/>
    <d v="2024-05-10T00:00:00"/>
    <x v="1"/>
    <s v="Autorizada Sucesso"/>
    <s v="Processo 2024"/>
    <s v="Item atualizado"/>
    <m/>
    <s v="Processo 2024"/>
    <m/>
    <m/>
    <m/>
  </r>
  <r>
    <x v="525"/>
    <x v="5"/>
    <s v="HOSPITAL REGIONAL DO AGRESTE DR.WALDEMIRO FERREIRA"/>
    <s v="Adesão"/>
    <s v="ARP.0029.01.2023.GOV.HOF.PE"/>
    <s v="PREGÃO ELETRÔNICO PARA REGISTRO DE PREÇOS COM VALIDADE DE 12 (DOZE) MESES PARA EVENTUAL FORNECIMENTO DE MATERIAL MÉDICO HOSPITALAR (FIOS DE CERCLAGEM, FIOS DE KIRSCHNER E FIOS STEINMANN, VISANDO ATENDER AS NECESSIDADES DO HOSPITAL OTÁVIO DE FREITAS."/>
    <m/>
    <d v="2024-04-18T00:00:00"/>
    <x v="1"/>
    <s v="Autorizada Sucesso"/>
    <s v="Processo 2024"/>
    <s v="Item atualizado"/>
    <m/>
    <s v="Processo 2024"/>
    <m/>
    <m/>
    <m/>
  </r>
  <r>
    <x v="526"/>
    <x v="10"/>
    <s v="HOSPITAL REGIONAL DO AGRESTE DR.WALDEMIRO FERREIRA"/>
    <s v="Adesão"/>
    <s v="ARP.0026.09.2023.GOV.HAM.PE"/>
    <s v="FORMAÇÃO DE REGISTRO DE PREÇOS PARA FORNECIMENTO EVENTUAL DE COLCHÕES, MOBILIÁRIOS E ELETRODOMÉSTICOS, VISANDO ATENDER AS NECESSIDADES DO HOSPITAL AGAMENON MAGALHÃES, DIRETORIA DE ADMINISTRAÇÃO GERAL, DIRETORIA DE APOIO ADMINISTRATIVO AO SISTEMA DE SAÚDE,"/>
    <m/>
    <d v="2024-04-15T00:00:00"/>
    <x v="1"/>
    <s v="Autorizada Sucesso"/>
    <s v="Processo 2024"/>
    <s v="Item atualizado"/>
    <m/>
    <s v="Processo 2024"/>
    <m/>
    <m/>
    <m/>
  </r>
  <r>
    <x v="527"/>
    <x v="10"/>
    <s v="HOSPITAL REGIONAL DO AGRESTE DR.WALDEMIRO FERREIRA"/>
    <s v="Adesão"/>
    <s v="ARP.0026.07.2023.GOV.HAM.PE"/>
    <s v="FORMAÇÃO DE REGISTRO DE PREÇOS PARA FORNECIMENTO EVENTUAL DE COLCHÕES, MOBILIÁRIOS E ELETRODOMÉSTICOS, VISANDO ATENDER AS NECESSIDADES DO HOSPITAL AGAMENON MAGALHÃES, DIRETORIA DE ADMINISTRAÇÃO GERAL, DIRETORIA DE APOIO ADMINISTRATIVO AO SISTEMA DE SAÚDE,"/>
    <m/>
    <d v="2024-04-16T00:00:00"/>
    <x v="1"/>
    <s v="Autorizada Sucesso"/>
    <s v="Processo 2024"/>
    <s v="Item atualizado"/>
    <m/>
    <s v="Processo 2024"/>
    <m/>
    <m/>
    <m/>
  </r>
  <r>
    <x v="528"/>
    <x v="10"/>
    <s v="HOSPITAL REGIONAL DO AGRESTE DR.WALDEMIRO FERREIRA"/>
    <s v="Adesão"/>
    <s v="ARP.0022.20.2023.GOV.HAM.PE"/>
    <s v="FORMAÇÃO DE REGISTRO DE PREÇOS, COM VALIDADE DE 12 (DOZE) MESES, PARA FORNECIMENTO EVENTUAL DE MATERIAIS MÉDICOS HOSPITALARES, VISANDO ATENDER AS NECESSIDADES DO HOSPITAL AGAMENON MAGALHÃES, HOSPITAL BARÃO DE LUCENA E RESTAURAÇÃO"/>
    <m/>
    <d v="2024-04-01T00:00:00"/>
    <x v="1"/>
    <s v="Autorizada Sucesso"/>
    <s v="Processo 2024"/>
    <s v="Item atualizado"/>
    <m/>
    <s v="Processo 2024"/>
    <m/>
    <m/>
    <m/>
  </r>
  <r>
    <x v="529"/>
    <x v="0"/>
    <s v="HOSPITAL REGIONAL DO AGRESTE DR.WALDEMIRO FERREIRA"/>
    <s v="Adesão"/>
    <s v="ARP.0119.00.2023.GOV.FES-PE.PE"/>
    <s v="PREGÃO ELETRÔNICO PARA REGISTRO DE PREÇOS COM VALIDADE DE 12 (DOZE) MESES PARA EVENTUAL FORNECIMENTO DE MATERIAIS DE USO HOSPITALAR (LENÇÓL DESCARTÁVEL, COLETOR PERFURO-CORTANTE E COBERTURA DE ÓBITO), VISANDO ATENDER AS NECESSIDADES DO HOSPITAL GERAL DE A"/>
    <m/>
    <d v="2024-04-24T00:00:00"/>
    <x v="1"/>
    <s v="Autorizada Sucesso"/>
    <s v="Processo 2024"/>
    <s v="Item atualizado"/>
    <m/>
    <s v="Processo 2024"/>
    <m/>
    <m/>
    <m/>
  </r>
  <r>
    <x v="530"/>
    <x v="6"/>
    <s v="HOSPITAL REGIONAL DO AGRESTE DR.WALDEMIRO FERREIRA"/>
    <s v="Adesão"/>
    <s v="ARP.0104.04.2023.GOV.PROCAPE.PE"/>
    <s v="REGISTRO DE PREÇOS PARA EVENTUAL FORNECIMENTO DE MATERIAL DE CONSUMO HOSPITALAR (MATERIAL PENSO)"/>
    <m/>
    <d v="2024-04-22T00:00:00"/>
    <x v="1"/>
    <s v="Autorizada Sucesso"/>
    <s v="Processo 2024"/>
    <s v="Item atualizado"/>
    <m/>
    <s v="Processo 2024"/>
    <m/>
    <m/>
    <m/>
  </r>
  <r>
    <x v="531"/>
    <x v="1"/>
    <s v="HOSPITAL REGIONAL DO AGRESTE DR.WALDEMIRO FERREIRA"/>
    <s v="Adesão"/>
    <s v="ARP.0029.02.2024.GOV.HUOC.PE"/>
    <s v="Registro de Preços para eventual fornecimento de MEDICAMENTOS CLÍNICOS GERAIS (sei nº 0040609437.000203/2023-28)"/>
    <m/>
    <d v="2024-04-11T00:00:00"/>
    <x v="1"/>
    <s v="Autorizada Sucesso"/>
    <s v="Concluído"/>
    <s v="Item atualizado"/>
    <m/>
    <s v="Processo 2024"/>
    <m/>
    <m/>
    <m/>
  </r>
  <r>
    <x v="532"/>
    <x v="10"/>
    <s v="HOSPITAL REGIONAL DO AGRESTE DR.WALDEMIRO FERREIRA"/>
    <s v="Adesão"/>
    <s v="ARP.0026.07.2023.GOV.HAM.PE"/>
    <s v="FORMAÇÃO DE REGISTRO DE PREÇOS PARA FORNECIMENTO EVENTUAL DE COLCHÕES, MOBILIÁRIOS E ELETRODOMÉSTICOS, VISANDO ATENDER AS NECESSIDADES DO HOSPITAL AGAMENON MAGALHÃES, DIRETORIA DE ADMINISTRAÇÃO GERAL, DIRETORIA DE APOIO ADMINISTRATIVO AO SISTEMA DE SAÚDE,"/>
    <m/>
    <d v="2024-04-16T00:00:00"/>
    <x v="0"/>
    <s v="Cancelada"/>
    <s v="Processo 2024"/>
    <s v="Item não atualizado"/>
    <m/>
    <s v="Processo 2024"/>
    <m/>
    <m/>
    <m/>
  </r>
  <r>
    <x v="533"/>
    <x v="4"/>
    <s v="HOSPITAL REGIONAL DO AGRESTE DR.WALDEMIRO FERREIRA"/>
    <s v="Adesão"/>
    <s v="ARP.0022.02.2024.GOV.CISAM.PE"/>
    <s v="REGISTRO DE PREÇO PARA FORNECIMENTO EVENTUAL DE INSUMOS PARA A CENTRAL DE MATERIAIS E ESTERILIZAÇÃO DO CISAM, POR UM PERÍODO DE 12 (DOZE) MESES"/>
    <m/>
    <d v="2024-04-22T00:00:00"/>
    <x v="1"/>
    <s v="Autorizada Sucesso"/>
    <s v="Concluído"/>
    <s v="Item atualizado"/>
    <m/>
    <s v="Processo 2024"/>
    <m/>
    <m/>
    <m/>
  </r>
  <r>
    <x v="534"/>
    <x v="1"/>
    <s v="HOSPITAL REGIONAL DO AGRESTE DR.WALDEMIRO FERREIRA"/>
    <s v="Adesão"/>
    <s v="ARP.0008.00.2024.GOV.HUOC.PE"/>
    <s v="REGISTRO DE PREÇO para eventual fornecimento de MATERIAIS MÉDICOS HOSPITALARES - CAL SODADA EM PILULAS, REAGENTE VERDE BRILHANTE E DETERGENTE BACTERIOSTÁTICO (SEI Nº 0040609459.000106/2023-87)"/>
    <m/>
    <d v="2024-04-17T00:00:00"/>
    <x v="1"/>
    <s v="Autorizada Sucesso"/>
    <s v="Concluído"/>
    <s v="Item atualizado"/>
    <m/>
    <s v="Processo 2024"/>
    <m/>
    <m/>
    <m/>
  </r>
  <r>
    <x v="535"/>
    <x v="7"/>
    <s v="HOSPITAL REGIONAL DO AGRESTE DR.WALDEMIRO FERREIRA"/>
    <s v="Adesão"/>
    <s v="ARP.0004.02.2024.GOV.HGV.PE"/>
    <s v="PREGÃO ELETRÔNICO PARA REGISTRO DE PREÇOS COM VALIDADE DE 12 (DOZE) MESES PARA EVENTUAL FORNECIMENTO DE SOLUÇÕES PARENTERAIS DE GRANDES VOLUMES, VISANDO ATENDER AS NECESSIDADES DO HOSPITAL GETULIO VARGAS E HOSPITAL AGAMENON MAGALHÃES"/>
    <m/>
    <d v="2024-05-07T00:00:00"/>
    <x v="1"/>
    <s v="Autorizada Sucesso"/>
    <s v="Concluído"/>
    <s v="Item atualizado"/>
    <m/>
    <s v="Processo 2024"/>
    <m/>
    <m/>
    <m/>
  </r>
  <r>
    <x v="536"/>
    <x v="22"/>
    <s v="HOSPITAL REGIONAL DO AGRESTE DR.WALDEMIRO FERREIRA"/>
    <s v="Adesão"/>
    <s v="ARPC.0019.00.2023.GOV.SAD.PE"/>
    <s v="Registro de preços corporativo para a eventual aquisição de Material Médico-Hospitalar (compressa de gaze), para atender às demandas dos órgãos da Administração Direta, Autarquias e Fundações Públicas integrantes do Poder Executivo do Estado de Pernambuco"/>
    <m/>
    <d v="2024-04-11T00:00:00"/>
    <x v="1"/>
    <s v="Autorizada Sucesso"/>
    <s v="Processo 2024"/>
    <s v="Item atualizado"/>
    <m/>
    <s v="Processo 2024"/>
    <m/>
    <m/>
    <m/>
  </r>
  <r>
    <x v="537"/>
    <x v="1"/>
    <s v="HOSPITAL REGIONAL DO AGRESTE DR.WALDEMIRO FERREIRA"/>
    <s v="Adesão"/>
    <s v="ARP.0131.01.2023.GOV.HUOC.PE"/>
    <s v="Registro de Preços para eventual fornecimento de  MEDICAMENTOS CONTROLADOS E CLÍNICOS RESPIRATÓRIOS (SEI Nº 0040609437.000136/2023-41)"/>
    <m/>
    <d v="2024-04-03T00:00:00"/>
    <x v="1"/>
    <s v="Autorizada Sucesso"/>
    <s v="Processo 2024"/>
    <s v="Item atualizado"/>
    <m/>
    <s v="Processo 2024"/>
    <m/>
    <m/>
    <m/>
  </r>
  <r>
    <x v="538"/>
    <x v="1"/>
    <s v="HOSPITAL REGIONAL DO AGRESTE DR.WALDEMIRO FERREIRA"/>
    <s v="Adesão"/>
    <s v="ARP.0130.06.2023.GOV.HUOC.PE"/>
    <s v="REGISTRO DE PREÇO para eventual fornecimento de MATERIAIS MÉDICOS HOSPITALARES PARA O SERVIÇO DE ENDOSCOPIA (SEI Nº 0040609459.000005/2023-14)"/>
    <m/>
    <d v="2024-05-08T00:00:00"/>
    <x v="1"/>
    <s v="Autorizada Sucesso"/>
    <s v="Processo 2024"/>
    <s v="Item atualizado"/>
    <m/>
    <s v="Processo 2024"/>
    <m/>
    <m/>
    <m/>
  </r>
  <r>
    <x v="539"/>
    <x v="10"/>
    <s v="HOSPITAL REGIONAL DO AGRESTE DR.WALDEMIRO FERREIRA"/>
    <s v="Adesão"/>
    <s v="ARP.0026.03.2023.GOV.HAM.PE"/>
    <s v="FORMAÇÃO DE REGISTRO DE PREÇOS PARA FORNECIMENTO EVENTUAL DE COLCHÕES, MOBILIÁRIOS E ELETRODOMÉSTICOS, VISANDO ATENDER AS NECESSIDADES DO HOSPITAL AGAMENON MAGALHÃES, DIRETORIA DE ADMINISTRAÇÃO GERAL, DIRETORIA DE APOIO ADMINISTRATIVO AO SISTEMA DE SAÚDE,"/>
    <m/>
    <d v="2024-04-18T00:00:00"/>
    <x v="1"/>
    <s v="Autorizada Sucesso"/>
    <s v="Processo 2024"/>
    <s v="Item atualizado"/>
    <m/>
    <s v="Processo 2024"/>
    <m/>
    <m/>
    <m/>
  </r>
  <r>
    <x v="540"/>
    <x v="6"/>
    <s v="HOSPITAL REGIONAL DO AGRESTE DR.WALDEMIRO FERREIRA"/>
    <s v="Adesão"/>
    <s v="ARP.0025.03.2024.GOV.PROCAPE.PE"/>
    <s v="REGISTRO DE PREÇOS PARA EVENTUAL FORNECIMENTO DE MATERIAL DE CONSUMO HOSPITALAR (MEDICAMENTOS)"/>
    <m/>
    <d v="2024-04-22T00:00:00"/>
    <x v="1"/>
    <s v="Autorizada Sucesso"/>
    <s v="Concluído"/>
    <s v="Item atualizado"/>
    <m/>
    <s v="Processo 2024"/>
    <m/>
    <m/>
    <m/>
  </r>
  <r>
    <x v="541"/>
    <x v="9"/>
    <s v="HOSPITAL REGIONAL DO AGRESTE DR.WALDEMIRO FERREIRA"/>
    <s v="Adesão"/>
    <s v="ARP.0013.00.2024.GOV.HR.PE"/>
    <s v="Registro de Preços para Aquisição de PRODUTOS MÉDICOS (CATETER PARA EMBOLECTOMIA), para atender as necessidades do Hospital da Restauração."/>
    <m/>
    <d v="2024-05-16T00:00:00"/>
    <x v="1"/>
    <s v="Autorizada Sucesso"/>
    <s v="Concluído"/>
    <s v="Item atualizado"/>
    <m/>
    <s v="Processo 2024"/>
    <m/>
    <m/>
    <m/>
  </r>
  <r>
    <x v="542"/>
    <x v="7"/>
    <s v="HOSPITAL REGIONAL DO AGRESTE DR.WALDEMIRO FERREIRA"/>
    <s v="Adesão"/>
    <s v="ARP.0004.02.2024.GOV.HGV.PE"/>
    <s v="PREGÃO ELETRÔNICO PARA REGISTRO DE PREÇOS COM VALIDADE DE 12 (DOZE) MESES PARA EVENTUAL FORNECIMENTO DE SOLUÇÕES PARENTERAIS DE GRANDES VOLUMES, VISANDO ATENDER AS NECESSIDADES DO HOSPITAL GETULIO VARGAS E HOSPITAL AGAMENON MAGALHÃES"/>
    <m/>
    <d v="2024-04-25T00:00:00"/>
    <x v="1"/>
    <s v="Autorizada Sucesso"/>
    <s v="Concluído"/>
    <s v="Item atualizado"/>
    <m/>
    <s v="Processo 2024"/>
    <m/>
    <m/>
    <m/>
  </r>
  <r>
    <x v="543"/>
    <x v="1"/>
    <s v="HOSPITAL REGIONAL DO AGRESTE DR.WALDEMIRO FERREIRA"/>
    <s v="Adesão"/>
    <s v="ARP.0082.04.2023.GOV.HUOC.PE"/>
    <s v="REGISTRO DE PREÇO para eventual fornecimento de MATERIAIS MÉDICOS HOSPITALARES - CATETERES DIVERSOS (SEI nº 0040609459.000099/2022-32)"/>
    <m/>
    <d v="2024-04-12T00:00:00"/>
    <x v="1"/>
    <s v="Autorizada Sucesso"/>
    <s v="Processo 2024"/>
    <s v="Item atualizado"/>
    <m/>
    <s v="Processo 2024"/>
    <m/>
    <m/>
    <m/>
  </r>
  <r>
    <x v="544"/>
    <x v="5"/>
    <s v="HOSPITAL REGIONAL DO AGRESTE DR.WALDEMIRO FERREIRA"/>
    <s v="Adesão"/>
    <s v="ARP.0029.00.2023.GOV.HOF.PE"/>
    <s v="PREGÃO ELETRÔNICO PARA REGISTRO DE PREÇOS COM VALIDADE DE 12 (DOZE) MESES PARA EVENTUAL FORNECIMENTO DE MATERIAL MÉDICO HOSPITALAR (FIOS DE CERCLAGEM, FIOS DE KIRSCHNER E FIOS STEINMANN, VISANDO ATENDER AS NECESSIDADES DO HOSPITAL OTÁVIO DE FREITAS."/>
    <m/>
    <d v="2024-05-09T00:00:00"/>
    <x v="1"/>
    <s v="Autorizada Sucesso"/>
    <s v="Processo 2024"/>
    <s v="Item atualizado"/>
    <m/>
    <s v="Processo 2024"/>
    <m/>
    <m/>
    <m/>
  </r>
  <r>
    <x v="545"/>
    <x v="4"/>
    <s v="HOSPITAL REGIONAL DO AGRESTE DR.WALDEMIRO FERREIRA"/>
    <s v="Adesão"/>
    <s v="ARP.0023.00.2024.GOV.CISAM.PE"/>
    <s v="REGISTRO DE PREÇO PARA FORNECIMENTO EVENTUAL DE TUBOS DE COLETA PARA O LABORATÓRIO DE ANÁLISES CLÍNICAS DO CISAM, POR UM PERÍODO DE 12 (DOZE) MESES"/>
    <m/>
    <d v="2024-05-09T00:00:00"/>
    <x v="1"/>
    <s v="Autorizada Sucesso"/>
    <s v="Concluído"/>
    <s v="Item atualizado"/>
    <m/>
    <s v="Processo 2024"/>
    <m/>
    <m/>
    <m/>
  </r>
  <r>
    <x v="546"/>
    <x v="9"/>
    <s v="HOSPITAL REGIONAL DO AGRESTE DR.WALDEMIRO FERREIRA"/>
    <s v="Adesão"/>
    <s v="ARP.0013.00.2024.GOV.HR.PE"/>
    <s v="Registro de Preços para Aquisição de PRODUTOS MÉDICOS (CATETER PARA EMBOLECTOMIA), para atender as necessidades do Hospital da Restauração."/>
    <m/>
    <d v="2024-05-16T00:00:00"/>
    <x v="0"/>
    <s v="Cancelada"/>
    <s v="Cancelado"/>
    <s v="Item não atualizado"/>
    <m/>
    <s v="Processo 2024"/>
    <m/>
    <m/>
    <m/>
  </r>
  <r>
    <x v="547"/>
    <x v="32"/>
    <s v="HOSPITAL REGIONAL DO AGRESTE DR.WALDEMIRO FERREIRA"/>
    <s v="Adesão"/>
    <s v="ARP.0001.00.2024.EXT.PE"/>
    <s v="A presente Ata tem por objeto o registro de preços para a eventual aquisição de Dispositivos Médicos Implantáveis (DMI), para joelho, quadril, fêmur e fixadores externos, destinado a suprir necessidades das Organizações Militares de Saúde vinculadas à 7ª "/>
    <m/>
    <d v="2024-05-13T00:00:00"/>
    <x v="0"/>
    <s v="Cancelada"/>
    <s v="Processo 2024"/>
    <s v="Item não atualizado"/>
    <m/>
    <s v="Processo 2024"/>
    <m/>
    <m/>
    <m/>
  </r>
  <r>
    <x v="548"/>
    <x v="33"/>
    <s v="HOSPITAL REGIONAL DO AGRESTE DR.WALDEMIRO FERREIRA"/>
    <s v="Adesão"/>
    <s v="ARP.0001.00.2024.EXT.CE"/>
    <s v="REGISTRO DE PREÇO PARA FUTURAS E EVENTUAIS AQUISIÇÕES DE MATERIAL MÉDICO HOSPITALAR"/>
    <m/>
    <d v="2024-03-27T00:00:00"/>
    <x v="1"/>
    <s v="Autorizada Integrado"/>
    <s v="Processo 2024"/>
    <s v="Item atualizado"/>
    <m/>
    <s v="Processo 2024"/>
    <m/>
    <m/>
    <m/>
  </r>
  <r>
    <x v="549"/>
    <x v="1"/>
    <s v="HOSPITAL REGIONAL DO AGRESTE DR.WALDEMIRO FERREIRA"/>
    <s v="Adesão"/>
    <s v="ARP.0022.00.2023.GOV.HUOC.PE"/>
    <s v="REGISTRO DE PREÇO para o fornecimento eventual das BOLSAS COLETORAS DE EXCRETA E MATERIAIS ORGÂNICOS"/>
    <m/>
    <d v="2024-01-04T00:00:00"/>
    <x v="1"/>
    <s v="Autorizada Sucesso"/>
    <s v="Processo 2024"/>
    <s v="Item atualizado"/>
    <m/>
    <s v="Processo 2024"/>
    <m/>
    <m/>
    <m/>
  </r>
  <r>
    <x v="550"/>
    <x v="6"/>
    <s v="HOSPITAL REGIONAL DO AGRESTE DR.WALDEMIRO FERREIRA"/>
    <s v="Adesão"/>
    <s v="ARP.0071.14.2023.GOV.PROCAPE.PE"/>
    <s v="REGISTRO DE PREÇOS PARA EVENTUAL FORNECIMENTO DE MATERIAL DE CONSUMO HOSPITALAR (MEDICAMENTOS)"/>
    <m/>
    <d v="2024-02-19T00:00:00"/>
    <x v="1"/>
    <s v="Autorizada Sucesso"/>
    <s v="Processo 2024"/>
    <s v="Item atualizado"/>
    <m/>
    <s v="Processo 2024"/>
    <m/>
    <m/>
    <m/>
  </r>
  <r>
    <x v="551"/>
    <x v="14"/>
    <s v="HOSPITAL REGIONAL DO AGRESTE DR.WALDEMIRO FERREIRA"/>
    <s v="Adesão"/>
    <s v="ARP.0012.01.2023.GOV.SASSEPE.PE"/>
    <s v="Registro de Preço para aquisição de MATERIAL MÉDICO HOSPITALAR PARA ASSISTÊNCIA NO SERVIÇO DE ENDOSCOPIA, visando atender a demanda do Hospital dos Servidores do Estado de Pernambuco - HSE, pelo período de 12 (doze) meses."/>
    <m/>
    <d v="2024-02-02T00:00:00"/>
    <x v="0"/>
    <s v="Cancelada"/>
    <s v="Processo 2024"/>
    <s v="Item não atualizado"/>
    <m/>
    <s v="Processo 2024"/>
    <m/>
    <m/>
    <m/>
  </r>
  <r>
    <x v="552"/>
    <x v="9"/>
    <s v="HOSPITAL REGIONAL DO AGRESTE DR.WALDEMIRO FERREIRA"/>
    <s v="Adesão"/>
    <s v="ARP.0025.12.2023.GOV.HR.PE"/>
    <s v="Formação de Registro de Preços, por um período de 12 (doze) meses, para eventual fornecimento de MEDICAMENTOS."/>
    <m/>
    <d v="2024-03-07T00:00:00"/>
    <x v="1"/>
    <s v="Autorizada Sucesso"/>
    <s v="Processo 2024"/>
    <s v="Item atualizado"/>
    <m/>
    <s v="Processo 2024"/>
    <m/>
    <m/>
    <m/>
  </r>
  <r>
    <x v="553"/>
    <x v="1"/>
    <s v="HOSPITAL REGIONAL DO AGRESTE DR.WALDEMIRO FERREIRA"/>
    <s v="Adesão"/>
    <s v="ARP.0025.04.2023.GOV.HUOC.PE"/>
    <s v="REGISTRO DE PREÇO para eventual fornecimento de MATERIAIS DE PINTURA (SEI Nº 0040609405.000018/2022-20)"/>
    <m/>
    <d v="2024-01-26T00:00:00"/>
    <x v="1"/>
    <s v="Autorizada Sucesso"/>
    <s v="Processo 2024"/>
    <s v="Item atualizado"/>
    <m/>
    <s v="Processo 2024"/>
    <m/>
    <m/>
    <m/>
  </r>
  <r>
    <x v="554"/>
    <x v="9"/>
    <s v="HOSPITAL REGIONAL DO AGRESTE DR.WALDEMIRO FERREIRA"/>
    <s v="Adesão"/>
    <s v="ARP.0014.10.2023.GOV.HR.PE"/>
    <s v="Formação de Registro de Preços, por um período de 12 (doze) meses, para eventual fornecimento de MEDICAMENTOS."/>
    <m/>
    <d v="2024-02-27T00:00:00"/>
    <x v="1"/>
    <s v="Autorizada Sucesso"/>
    <s v="Processo 2024"/>
    <s v="Item atualizado"/>
    <m/>
    <s v="Processo 2024"/>
    <m/>
    <m/>
    <m/>
  </r>
  <r>
    <x v="555"/>
    <x v="27"/>
    <s v="HOSPITAL REGIONAL DO AGRESTE DR.WALDEMIRO FERREIRA"/>
    <s v="Adesão"/>
    <s v="ARP.0003.00.2023.GOV.UPEGARANHUNS.PE"/>
    <s v="Formação de Registro de Preços para eventual contratação de empresa especializada em manutenção e recarga dos extintores da UPE Campi Garanhuns, Arcoverde, Serra Talhada e Salgueiro."/>
    <m/>
    <d v="2024-03-05T00:00:00"/>
    <x v="1"/>
    <s v="Autorizada Sucesso"/>
    <s v="Processo 2024"/>
    <s v="Item atualizado"/>
    <m/>
    <s v="Processo 2024"/>
    <m/>
    <m/>
    <m/>
  </r>
  <r>
    <x v="556"/>
    <x v="1"/>
    <s v="HOSPITAL REGIONAL DO AGRESTE DR.WALDEMIRO FERREIRA"/>
    <s v="Adesão"/>
    <s v="ARP.0094.00.2023.GOV.HUOC.PE"/>
    <s v="Registro de Preços para eventual fornecimento de MEDICAMENTOS denominados ENOXAPARINAS SÓDICAS DE 20, 40, 60, 80 e 100MG (SEI Nº 0040609437.000453/2022-87)"/>
    <m/>
    <d v="2024-02-16T00:00:00"/>
    <x v="1"/>
    <s v="Autorizada Sucesso"/>
    <s v="Processo 2024"/>
    <s v="Item atualizado"/>
    <m/>
    <s v="Processo 2024"/>
    <m/>
    <m/>
    <m/>
  </r>
  <r>
    <x v="557"/>
    <x v="6"/>
    <s v="HOSPITAL REGIONAL DO AGRESTE DR.WALDEMIRO FERREIRA"/>
    <s v="Adesão"/>
    <s v="ARP.0086.00.2023.GOV.PROCAPE.PE"/>
    <s v="REGISTRO DE PREÇOS PARA EVENTUAL FORNECIMENTO DE MATERIAL DE CONSUMO HOSPITALAR (MATERIAL PENSO)"/>
    <m/>
    <d v="2024-02-19T00:00:00"/>
    <x v="1"/>
    <s v="Autorizada Sucesso"/>
    <s v="Processo 2024"/>
    <s v="Item atualizado"/>
    <m/>
    <s v="Processo 2024"/>
    <m/>
    <m/>
    <m/>
  </r>
  <r>
    <x v="558"/>
    <x v="1"/>
    <s v="HOSPITAL REGIONAL DO AGRESTE DR.WALDEMIRO FERREIRA"/>
    <s v="Adesão"/>
    <s v="ARP.0064.07.2023.GOV.HUOC.PE"/>
    <s v="REGISTRO DE PREÇO para eventual fornecimento de MATERIAIS DE CONSTRUÇÃO (SEI nº 0040609405.000032/2022-23)"/>
    <m/>
    <d v="2024-03-05T00:00:00"/>
    <x v="0"/>
    <s v="Cancelada"/>
    <s v="Processo 2024"/>
    <s v="Item não atualizado"/>
    <m/>
    <s v="Processo 2024"/>
    <m/>
    <m/>
    <m/>
  </r>
  <r>
    <x v="559"/>
    <x v="34"/>
    <s v="HOSPITAL REGIONAL DO AGRESTE DR.WALDEMIRO FERREIRA"/>
    <s v="Adesão"/>
    <s v="ARP.0001.00.2024.EXT.BA"/>
    <s v="Prestação de serviço de locação mensal de microcomputadores dos tipos Básico e Intermediário, com suporte técnico on-site."/>
    <m/>
    <d v="2024-02-21T00:00:00"/>
    <x v="1"/>
    <s v="Autorizada Integrado"/>
    <s v="Processo 2024"/>
    <s v="Item atualizado"/>
    <m/>
    <s v="Processo 2024"/>
    <m/>
    <m/>
    <m/>
  </r>
  <r>
    <x v="560"/>
    <x v="1"/>
    <s v="HOSPITAL REGIONAL DO AGRESTE DR.WALDEMIRO FERREIRA"/>
    <s v="Adesão"/>
    <s v="ARP.0111.00.2023.GOV.HUOC.PE"/>
    <s v="Registro de Preços para eventual fornecimento de SOROS GRANDES VOLUMES (SEI Nº 0040609437.000065/2023-87)"/>
    <m/>
    <d v="2024-02-19T00:00:00"/>
    <x v="1"/>
    <s v="Autorizada Sucesso"/>
    <s v="Processo 2024"/>
    <s v="Item atualizado"/>
    <m/>
    <s v="Processo 2024"/>
    <m/>
    <m/>
    <m/>
  </r>
  <r>
    <x v="561"/>
    <x v="7"/>
    <s v="HOSPITAL REGIONAL DO AGRESTE DR.WALDEMIRO FERREIRA"/>
    <s v="Adesão"/>
    <s v="ARP.0029.03.2023.GOV.HGV.PE"/>
    <s v="FORMAÇÃO DE REGISTRO DE PREÇOS PARA EVENTUAL FORNECIMENTO DE MEDICAMENTOS - ANTIBIOTICOS"/>
    <m/>
    <d v="2024-02-16T00:00:00"/>
    <x v="1"/>
    <s v="Autorizada Sucesso"/>
    <s v="Processo 2024"/>
    <s v="Item atualizado"/>
    <m/>
    <s v="Processo 2024"/>
    <m/>
    <m/>
    <m/>
  </r>
  <r>
    <x v="562"/>
    <x v="14"/>
    <s v="HOSPITAL REGIONAL DO AGRESTE DR.WALDEMIRO FERREIRA"/>
    <s v="Adesão"/>
    <s v="ARP.0012.04.2023.GOV.SASSEPE.PE"/>
    <s v="Registro de Preço para aquisição de MATERIAL MÉDICO HOSPITALAR PARA ASSISTÊNCIA NO SERVIÇO DE ENDOSCOPIA, visando atender a demanda do Hospital dos Servidores do Estado de Pernambuco - HSE, pelo período de 12 (doze) meses."/>
    <m/>
    <d v="2024-02-02T00:00:00"/>
    <x v="0"/>
    <s v="Cancelada"/>
    <s v="Processo 2024"/>
    <s v="Item não atualizado"/>
    <m/>
    <s v="Processo 2024"/>
    <m/>
    <m/>
    <m/>
  </r>
  <r>
    <x v="563"/>
    <x v="7"/>
    <s v="HOSPITAL REGIONAL DO AGRESTE DR.WALDEMIRO FERREIRA"/>
    <s v="Adesão"/>
    <s v="ARP.0011.00.2023.GOV.HGV.PE"/>
    <s v="Registro de Preços para aquisição de Reagentes para realização de 4.200(quatro mil e duzentos) testes mensais Imunohormônios, com cessão gratuita de 01(um) equipamento automatizado, com manutenção preventiva e corretiva."/>
    <m/>
    <d v="2024-01-31T00:00:00"/>
    <x v="1"/>
    <s v="Autorizada Sucesso"/>
    <s v="Processo 2024"/>
    <s v="Item atualizado"/>
    <m/>
    <s v="Processo 2024"/>
    <m/>
    <m/>
    <m/>
  </r>
  <r>
    <x v="564"/>
    <x v="34"/>
    <s v="HOSPITAL REGIONAL DO AGRESTE DR.WALDEMIRO FERREIRA"/>
    <s v="Adesão"/>
    <s v="ARP.0001.00.2024.EXT.BA"/>
    <s v="Prestação de serviço de locação mensal de microcomputadores dos tipos Básico e Intermediário, com suporte técnico on-site."/>
    <m/>
    <d v="2024-02-08T00:00:00"/>
    <x v="0"/>
    <s v="Cancelada"/>
    <s v="Processo 2024"/>
    <s v="Item não atualizado"/>
    <m/>
    <s v="Processo 2024"/>
    <m/>
    <m/>
    <m/>
  </r>
  <r>
    <x v="565"/>
    <x v="7"/>
    <s v="HOSPITAL REGIONAL DO AGRESTE DR.WALDEMIRO FERREIRA"/>
    <s v="Adesão"/>
    <s v="ARP.0014.08.2023.GOV.HGV.PE"/>
    <s v="FORMAÇÃO DE REGISTRO DE PREÇOS PARA EVENTUAL FORNECIMENTO DE MEDICAMENTOS - PSICOTRÓPICOS"/>
    <m/>
    <d v="2024-02-16T00:00:00"/>
    <x v="1"/>
    <s v="Autorizada Integrado"/>
    <s v="Processo 2024"/>
    <s v="Item atualizado"/>
    <m/>
    <s v="Processo 2024"/>
    <m/>
    <m/>
    <m/>
  </r>
  <r>
    <x v="566"/>
    <x v="34"/>
    <s v="HOSPITAL REGIONAL DO AGRESTE DR.WALDEMIRO FERREIRA"/>
    <s v="Adesão"/>
    <s v="ARP.0001.00.2024.EXT.BA"/>
    <s v="Prestação de serviço de locação mensal de microcomputadores dos tipos Básico e Intermediário, com suporte técnico on-site."/>
    <m/>
    <d v="2024-02-05T00:00:00"/>
    <x v="0"/>
    <s v="Cancelada"/>
    <s v="Processo 2024"/>
    <s v="Item não atualizado"/>
    <m/>
    <s v="Processo 2024"/>
    <m/>
    <m/>
    <m/>
  </r>
  <r>
    <x v="567"/>
    <x v="0"/>
    <s v="HOSPITAL REGIONAL DO AGRESTE DR.WALDEMIRO FERREIRA"/>
    <s v="Consumo"/>
    <s v="ARP.0003.01.2025.GOV.FES-PE.PE"/>
    <s v="Formação de Registro de Preços para o fornecimento eventual de Dispositivos Médicos do tipo Curativos com a finalidade de atender às necessidades dos hospitais e estabelecimentos vinculados à SES/PE"/>
    <s v="NFOCPO"/>
    <d v="2025-10-15T00:00:00"/>
    <x v="0"/>
    <s v="Cancelada"/>
    <s v="Cancelado"/>
    <s v="Item não atualizado"/>
    <m/>
    <s v="Cancelado"/>
    <s v="SEI não localizado"/>
    <m/>
    <m/>
  </r>
  <r>
    <x v="568"/>
    <x v="0"/>
    <s v="HOSPITAL REGIONAL DO AGRESTE DR.WALDEMIRO FERREIRA"/>
    <s v="Consumo"/>
    <s v="ARP.0099.00.2025.GOV.FES-PE.PE"/>
    <s v="Formação de Registro de Preços para o fornecimento de Dispositivos Médicos do tipo Disco para Antibiograma visando atender as necessidades dos hospitais e estabelecimentos vinculados à Secretaria Estadual de Saúde de Pernambuco"/>
    <s v="NFOCPO"/>
    <d v="2025-10-10T00:00:00"/>
    <x v="1"/>
    <s v="Autorizada Sucesso"/>
    <s v="Concluído"/>
    <s v="Item atualizado"/>
    <m/>
    <s v="Em andamento"/>
    <s v="Enviado a GCONTRATOS"/>
    <s v="2300001209.000078/2025-95"/>
    <m/>
  </r>
  <r>
    <x v="569"/>
    <x v="22"/>
    <s v="HOSPITAL REGIONAL DO AGRESTE DR.WALDEMIRO FERREIRA"/>
    <s v="Consumo"/>
    <s v="ARPC.0039.00.2025.GOV.SAD.PE"/>
    <s v="Registro de Preços para o fornecimento eventual de material de higiene pessoal, visando atender as necessidades dos órgãos da Administração Direta, dos Fundos Especiais Autarquias e Fundações Públicas integrantes do Poder Executivo do Estado de Pernambuco"/>
    <s v="NAMP"/>
    <d v="2025-10-07T00:00:00"/>
    <x v="1"/>
    <s v="Autorizada Sucesso"/>
    <s v="Concluído"/>
    <s v="Item atualizado"/>
    <m/>
    <s v="Em andamento"/>
    <s v="Enviado ao JURIDICO"/>
    <s v="2300002544.000078/2025-47"/>
    <m/>
  </r>
  <r>
    <x v="570"/>
    <x v="0"/>
    <s v="HOSPITAL REGIONAL DO AGRESTE DR.WALDEMIRO FERREIRA"/>
    <s v="Consumo"/>
    <s v="ARP.0101.00.2025.GOV.FES-PE.PE"/>
    <s v="Registro de Preços para o fornecimento eventual de Dispositivos Médicos do tipo Insumos para Ostomizados, visando atender as necessidades dos seguintes hospitais: Hospital Correia Picanço, Hospital Agamenon Magalhães, Hospital Regional do Agreste, Hospita"/>
    <s v="NFOCPO"/>
    <d v="2025-09-26T00:00:00"/>
    <x v="1"/>
    <s v="Autorizada Sucesso"/>
    <s v="Concluído"/>
    <s v="Item atualizado"/>
    <m/>
    <s v="Em andamento"/>
    <s v="Enviado ao GFIN"/>
    <s v="2300001213.000422/2025-87"/>
    <m/>
  </r>
  <r>
    <x v="571"/>
    <x v="0"/>
    <s v="HOSPITAL REGIONAL DO AGRESTE DR.WALDEMIRO FERREIRA"/>
    <s v="Consumo"/>
    <s v="ARP.0088.05.2025.GOV.FES-PE.PE"/>
    <s v="Formação de ARP para forn de Medicamentos (Sazonalidade) Grupo 3, por meio de Dispensa de Licitação com fund no art 75, inc VIII da Lei nº 14.133/21 para atender as nec da Rede Hospitalar da SES/PE"/>
    <m/>
    <d v="2025-09-18T00:00:00"/>
    <x v="0"/>
    <s v="Cancelada"/>
    <s v="Cancelado"/>
    <s v="Item não atualizado"/>
    <m/>
    <s v="Cancelado"/>
    <s v="SEI não localizado"/>
    <m/>
    <m/>
  </r>
  <r>
    <x v="572"/>
    <x v="0"/>
    <s v="HOSPITAL REGIONAL DO AGRESTE DR.WALDEMIRO FERREIRA"/>
    <s v="Consumo"/>
    <s v="ARP.0049.03.2025.GOV.FES-PE.PE"/>
    <s v="Formação de Registro de Preços para o fornecimento eventual de Medicamentos Comprimidos Grupo 4 visando atender as necessidades dos hospitais e estabelecimentos vinculados à Secretaria Estadual de Saúde de Pernambuco"/>
    <s v="NFOCPO"/>
    <d v="2025-09-16T00:00:00"/>
    <x v="1"/>
    <s v="Autorizada Sucesso"/>
    <s v="Concluído"/>
    <s v="Item atualizado"/>
    <s v="Daniele"/>
    <s v="Concluído"/>
    <s v="Enviado ao NOF"/>
    <s v="2300001213.000413/2025-96"/>
    <m/>
  </r>
  <r>
    <x v="573"/>
    <x v="0"/>
    <s v="HOSPITAL REGIONAL DO AGRESTE DR.WALDEMIRO FERREIRA"/>
    <s v="Consumo"/>
    <s v="ARP.0049.01.2025.GOV.FES-PE.PE"/>
    <s v="Formação de Registro de Preços para o fornecimento eventual de Medicamentos Comprimidos Grupo 4 visando atender as necessidades dos hospitais e estabelecimentos vinculados à Secretaria Estadual de Saúde de Pernambuco"/>
    <s v="NFOCPO"/>
    <d v="2025-09-11T00:00:00"/>
    <x v="1"/>
    <s v="Autorizada Sucesso"/>
    <s v="Concluído"/>
    <s v="Item atualizado"/>
    <s v="Jean"/>
    <s v="Concluído"/>
    <s v="Enviado ao NOF"/>
    <s v="2300001213.000393/2025-53"/>
    <m/>
  </r>
  <r>
    <x v="574"/>
    <x v="0"/>
    <s v="HOSPITAL REGIONAL DO AGRESTE DR.WALDEMIRO FERREIRA"/>
    <s v="Consumo"/>
    <s v="ARP.0049.04.2025.GOV.FES-PE.PE"/>
    <s v="Formação de Registro de Preços para o fornecimento eventual de Medicamentos Comprimidos Grupo 4 visando atender as necessidades dos hospitais e estabelecimentos vinculados à Secretaria Estadual de Saúde de Pernambuco"/>
    <s v="NFOCPO"/>
    <d v="2025-09-11T00:00:00"/>
    <x v="1"/>
    <s v="Autorizada Sucesso"/>
    <s v="Concluído"/>
    <s v="Item atualizado"/>
    <m/>
    <s v="Em andamento"/>
    <s v="SEI não localizado"/>
    <m/>
    <m/>
  </r>
  <r>
    <x v="575"/>
    <x v="10"/>
    <s v="HOSPITAL REGIONAL DO AGRESTE DR.WALDEMIRO FERREIRA"/>
    <s v="Consumo"/>
    <s v="ARP.0008.01.2025.GOV.HAM.PE"/>
    <s v="Formação de Registro de Preços para o fornecimento eventual de solução parenteral por um período de 12 meses, visando atender as necessidades do Hospital Agamenon Magalhães"/>
    <s v="NFOCPO"/>
    <d v="2025-09-08T00:00:00"/>
    <x v="1"/>
    <s v="Autorizada Sucesso"/>
    <s v="Concluído"/>
    <s v="Item atualizado"/>
    <m/>
    <s v="Em andamento"/>
    <s v="SEI não localizado"/>
    <m/>
    <m/>
  </r>
  <r>
    <x v="576"/>
    <x v="0"/>
    <s v="HOSPITAL REGIONAL DO AGRESTE DR.WALDEMIRO FERREIRA"/>
    <s v="Consumo"/>
    <s v="ARP.0067.01.2025.GOV.FES-PE.PE"/>
    <s v="FORMAÇÃO DE REGISTRO DE PREÇOS PARA O FORNECIMENTO DE DISPOSITIVOS MÉDICOS, DO TIPO MATERIAIS MÉDICO HOSPITALARES (GRUPO 8), VISANDO ATENDER AS NECESSIDADES DOS HOSPITAIS E ESTABELECIMENTOS VINCULADOS À SECRETARIA ESTADUAL DE SAÚDE DE PERNAMBUCO"/>
    <s v="NFOCPO"/>
    <d v="2025-09-05T00:00:00"/>
    <x v="1"/>
    <s v="Autorizada Sucesso"/>
    <s v="Concluído"/>
    <s v="Item atualizado"/>
    <m/>
    <s v="Em andamento"/>
    <s v="SEI não localizado"/>
    <m/>
    <m/>
  </r>
  <r>
    <x v="577"/>
    <x v="0"/>
    <s v="HOSPITAL REGIONAL DO AGRESTE DR.WALDEMIRO FERREIRA"/>
    <s v="Consumo"/>
    <s v="ARP.0077.01.2025.GOV.FES-PE.PE"/>
    <s v="Registro de Preços para Fornecimento Eventual de Dispositivos Médicos do tipo: Antissépticos, Desinfetantes e Saneantes – Grupo 2"/>
    <m/>
    <d v="2025-09-04T00:00:00"/>
    <x v="1"/>
    <s v="Autorizada Sucesso"/>
    <s v="Concluído"/>
    <s v="Item atualizado"/>
    <m/>
    <s v="Em andamento"/>
    <s v="SEI não localizado"/>
    <m/>
    <m/>
  </r>
  <r>
    <x v="578"/>
    <x v="0"/>
    <s v="HOSPITAL REGIONAL DO AGRESTE DR.WALDEMIRO FERREIRA"/>
    <s v="Consumo"/>
    <s v="ARP.0044.04.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m/>
    <d v="2025-09-04T00:00:00"/>
    <x v="1"/>
    <s v="Autorizada Sucesso"/>
    <s v="Concluído"/>
    <s v="Item atualizado"/>
    <s v="Jean"/>
    <s v="Em andamento"/>
    <s v="Enviado a GCONTRATOS"/>
    <s v="2300001213.000390/2025-10"/>
    <m/>
  </r>
  <r>
    <x v="579"/>
    <x v="0"/>
    <s v="HOSPITAL REGIONAL DO AGRESTE DR.WALDEMIRO FERREIRA"/>
    <s v="Consumo"/>
    <s v="ARP.0044.02.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m/>
    <d v="2025-09-04T00:00:00"/>
    <x v="1"/>
    <s v="Autorizada Integrado"/>
    <s v="Concluído"/>
    <s v="Item atualizado"/>
    <s v="Jean"/>
    <s v="Em andamento"/>
    <s v="Enviado a GCONTRATOS"/>
    <s v="2300001213.000389/2025-95"/>
    <m/>
  </r>
  <r>
    <x v="580"/>
    <x v="5"/>
    <s v="HOSPITAL REGIONAL DO AGRESTE DR.WALDEMIRO FERREIRA"/>
    <s v="Consumo"/>
    <s v="ARP.0022.02.2024.GOV.HOF.PE"/>
    <s v="FORMAÇÃO DE REGISTRO DE PREÇOS PARA O FORNECIMENTO EVENTUAL DE INSUMOS PARA O SERVIÇO DE CIRURGIA TORÁCICA VISANDO ATENDER AS NECESSIDADES DO HOSPITAL OTÁVIO DE FREITAS E HOSPITAL REGIONAL DO AGRESTE."/>
    <m/>
    <d v="2025-09-02T00:00:00"/>
    <x v="1"/>
    <s v="Autorizada Sucesso"/>
    <s v="Concluído"/>
    <s v="Item atualizado"/>
    <m/>
    <s v="Em andamento"/>
    <s v="SEI não localizado"/>
    <m/>
    <m/>
  </r>
  <r>
    <x v="581"/>
    <x v="26"/>
    <s v="HOSPITAL REGIONAL DO AGRESTE DR.WALDEMIRO FERREIRA"/>
    <s v="Consumo"/>
    <s v="ARP.0001.00.2024.FES-PE.PE"/>
    <s v="Formação de Registro de Preços para o fornecimento eventual de Água Mineral sem gás, visando atender as necessidades da Secretaria Estadual de Saúde de Pernambuco e dos hospitais da Região Metropolitana do Recife (RMR) e das cidades de Caruaru, Garanhuns "/>
    <m/>
    <d v="2025-08-29T00:00:00"/>
    <x v="1"/>
    <s v="Autorizada Sucesso"/>
    <s v="Concluído"/>
    <s v="Item atualizado"/>
    <m/>
    <s v="Em andamento"/>
    <s v="SEI não localizado"/>
    <m/>
    <m/>
  </r>
  <r>
    <x v="582"/>
    <x v="0"/>
    <s v="HOSPITAL REGIONAL DO AGRESTE DR.WALDEMIRO FERREIRA"/>
    <s v="Consumo"/>
    <s v="ARP.0001.00.2024.GOV.FES-PE.PE"/>
    <s v="Formação de Registro de Preços para o fornecimento eventual de Água Mineral sem gás, visando atender as necessidades da Secretaria Estadual de Saúde de Pernambuco e dos hospitais da Região Metropolitana do Recife (RMR) e das cidades de Caruaru, Garanhuns "/>
    <m/>
    <d v="2025-08-29T00:00:00"/>
    <x v="0"/>
    <e v="#N/A"/>
    <s v="Cancelado"/>
    <s v="Item não localizado"/>
    <m/>
    <s v="Cancelado"/>
    <s v="SEI não localizado"/>
    <m/>
    <m/>
  </r>
  <r>
    <x v="583"/>
    <x v="5"/>
    <s v="HOSPITAL REGIONAL DO AGRESTE DR.WALDEMIRO FERREIRA"/>
    <s v="Consumo"/>
    <s v="ARP.0021.01.2024.GOV.HOF.PE"/>
    <s v="Formação de Registro de Preços para o fornecimento eventual de Material Médico Hospitalar INSUMOS PARA HIGIENE E PROTEÇÃO, visando atender a necessidade do do Hospital Otávio de Freitas (HOF), Hospital Regional do Agreste (HRA), Hospital Getúlio Vargas (H"/>
    <s v="NAMP"/>
    <d v="2025-08-28T00:00:00"/>
    <x v="1"/>
    <s v="Autorizada Sucesso"/>
    <s v="Concluído"/>
    <s v="Item atualizado"/>
    <m/>
    <s v="Em andamento"/>
    <s v="Enviado a GCONTRATOS"/>
    <s v="2300002544.000076/2025-58"/>
    <m/>
  </r>
  <r>
    <x v="584"/>
    <x v="0"/>
    <s v="HOSPITAL REGIONAL DO AGRESTE DR.WALDEMIRO FERREIRA"/>
    <s v="Consumo"/>
    <s v="ARP.0070.01.2025.GOV.FES-PE.PE"/>
    <s v="Formação de Registro de Preços para o fornecimento eventual de medicamentos (INJETÁVEIS GRUPO 10) visando atender as necessidades dos hospitais e estabelecimentos vinculados à Secretaria Estadual de Saúde de Pernambuco"/>
    <s v="NFOCPO"/>
    <d v="2025-08-27T00:00:00"/>
    <x v="6"/>
    <s v="Encaminhada para o gestor de ata"/>
    <s v="Em andamento"/>
    <s v="Item não atualizado"/>
    <s v="Maria Júlia"/>
    <s v="Em andamento"/>
    <s v="Enviado a GCONTRATOS"/>
    <s v="2300001213.000372/2025-38"/>
    <s v="Finalizar com o nucleo"/>
  </r>
  <r>
    <x v="585"/>
    <x v="0"/>
    <s v="HOSPITAL REGIONAL DO AGRESTE DR.WALDEMIRO FERREIRA"/>
    <s v="Consumo"/>
    <s v="ARP.0059.02.2025.GOV.FES-PE.PE"/>
    <s v="FORMAÇÃO DE REGISTRO DE PREÇOS PARA O FORNECIMENTO DE DISPOSITIVOS MÉDICOS, DO TIPO BOLSAS PARA OSTOMIA, VISANDO ATENDER AS NECESSIDADES DOS HOSPITAIS E ESTABELECIMENTOS VINCULADOS À SECRETARIA ESTADUAL DE SAÚDE DE PERNAMBUCO."/>
    <m/>
    <d v="2025-08-25T00:00:00"/>
    <x v="0"/>
    <s v="Cancelada"/>
    <s v="Cancelado"/>
    <s v="Item não atualizado"/>
    <m/>
    <s v="Cancelado"/>
    <s v="SEI não localizado"/>
    <m/>
    <m/>
  </r>
  <r>
    <x v="586"/>
    <x v="0"/>
    <s v="HOSPITAL REGIONAL DO AGRESTE DR.WALDEMIRO FERREIRA"/>
    <s v="Consumo"/>
    <s v="ARP.0070.03.2025.GOV.FES-PE.PE"/>
    <s v="Formação de Registro de Preços para o fornecimento eventual de medicamentos (INJETÁVEIS GRUPO 10) visando atender as necessidades dos hospitais e estabelecimentos vinculados à Secretaria Estadual de Saúde de Pernambuco"/>
    <m/>
    <d v="2025-08-22T00:00:00"/>
    <x v="1"/>
    <s v="Autorizada Sucesso"/>
    <s v="Concluído"/>
    <s v="Item atualizado"/>
    <m/>
    <s v="Em andamento"/>
    <s v="SEI não localizado"/>
    <m/>
    <m/>
  </r>
  <r>
    <x v="587"/>
    <x v="0"/>
    <s v="HOSPITAL REGIONAL DO AGRESTE DR.WALDEMIRO FERREIRA"/>
    <s v="Consumo"/>
    <s v="ARP.0079.01.2025.GOV.FES-PE.PE"/>
    <s v="Registro de Preços para a eventual aquisição de Material Médico Hospitalar - MMH (grupo 01)"/>
    <m/>
    <d v="2025-08-22T00:00:00"/>
    <x v="1"/>
    <s v="Autorizada Sucesso"/>
    <s v="Concluído"/>
    <s v="Item atualizado"/>
    <m/>
    <s v="Em andamento"/>
    <s v="SEI não localizado"/>
    <m/>
    <m/>
  </r>
  <r>
    <x v="588"/>
    <x v="0"/>
    <s v="HOSPITAL REGIONAL DO AGRESTE DR.WALDEMIRO FERREIRA"/>
    <s v="Consumo"/>
    <s v="ARP.0079.00.2025.GOV.FES-PE.PE"/>
    <s v="Registro de Preços para a eventual aquisição de Material Médico Hospitalar - MMH (grupo 01)"/>
    <m/>
    <d v="2025-08-22T00:00:00"/>
    <x v="1"/>
    <s v="Autorizada Sucesso"/>
    <s v="Concluído"/>
    <s v="Item atualizado"/>
    <m/>
    <s v="Concluído"/>
    <s v="Enviado ao NOF"/>
    <s v="2300001213.000356/2025-45"/>
    <m/>
  </r>
  <r>
    <x v="589"/>
    <x v="0"/>
    <s v="HOSPITAL REGIONAL DO AGRESTE DR.WALDEMIRO FERREIRA"/>
    <s v="Consumo"/>
    <s v="ARP.0070.02.2025.GOV.FES-PE.PE"/>
    <s v="Formação de Registro de Preços para o fornecimento eventual de medicamentos (INJETÁVEIS GRUPO 10) visando atender as necessidades dos hospitais e estabelecimentos vinculados à Secretaria Estadual de Saúde de Pernambuco"/>
    <s v="NFOCPO"/>
    <d v="2025-08-21T00:00:00"/>
    <x v="6"/>
    <s v="Encaminhada para o gestor de ata"/>
    <s v="Em andamento"/>
    <s v="Item não atualizado"/>
    <s v="Maria Júlia"/>
    <s v="Em andamento"/>
    <s v="Enviado a NFOCPO"/>
    <s v="2300001213.000353/2025-10"/>
    <s v="Finalizar com o nucleo"/>
  </r>
  <r>
    <x v="590"/>
    <x v="0"/>
    <s v="HOSPITAL REGIONAL DO AGRESTE DR.WALDEMIRO FERREIRA"/>
    <s v="Consumo"/>
    <s v="ARP.0015.06.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s v="NFOCPO"/>
    <d v="2025-08-20T00:00:00"/>
    <x v="1"/>
    <s v="Autorizada Sucesso"/>
    <s v="Concluído"/>
    <s v="Item atualizado"/>
    <m/>
    <s v="Em andamento"/>
    <s v="Enviado a GCONTRATOS"/>
    <s v="2300002944.000006/2025-97"/>
    <m/>
  </r>
  <r>
    <x v="591"/>
    <x v="0"/>
    <s v="HOSPITAL REGIONAL DO AGRESTE DR.WALDEMIRO FERREIRA"/>
    <s v="Consumo"/>
    <s v="ARP.0015.02.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8-20T00:00:00"/>
    <x v="0"/>
    <s v="Cancelada"/>
    <s v="Cancelado"/>
    <s v="Item não atualizado"/>
    <m/>
    <s v="Cancelado"/>
    <s v="SEI não localizado"/>
    <m/>
    <m/>
  </r>
  <r>
    <x v="592"/>
    <x v="0"/>
    <s v="HOSPITAL REGIONAL DO AGRESTE DR.WALDEMIRO FERREIRA"/>
    <s v="Consumo"/>
    <s v="ARP.0070.02.2025.GOV.FES-PE.PE"/>
    <s v="Formação de Registro de Preços para o fornecimento eventual de medicamentos (INJETÁVEIS GRUPO 10) visando atender as necessidades dos hospitais e estabelecimentos vinculados à Secretaria Estadual de Saúde de Pernambuco"/>
    <s v="NFOCPO"/>
    <d v="2025-08-19T00:00:00"/>
    <x v="0"/>
    <s v="Cancelada"/>
    <s v="Cancelado"/>
    <s v="Item não atualizado"/>
    <m/>
    <s v="Cancelado"/>
    <s v="SEI não localizado"/>
    <m/>
    <m/>
  </r>
  <r>
    <x v="593"/>
    <x v="0"/>
    <s v="HOSPITAL REGIONAL DO AGRESTE DR.WALDEMIRO FERREIRA"/>
    <s v="Consumo"/>
    <s v="ARP.0011.00.2025.GOV.FES-PE.PE"/>
    <s v="REGISTRO DE PREÇOS (ARP) PARA FORNECIMENTO DE MEDICAMENTOS INJETÁVEIS - VOLUME 2, VISANDO ATENDER AS NECESSIDADES DO HOSPITAL JABOATÃO PRAZERES."/>
    <s v="NFOCPO"/>
    <d v="2025-08-19T00:00:00"/>
    <x v="0"/>
    <s v="Cancelada"/>
    <s v="Cancelado"/>
    <s v="Item não atualizado"/>
    <m/>
    <s v="Cancelado"/>
    <s v="SEI não localizado"/>
    <m/>
    <m/>
  </r>
  <r>
    <x v="594"/>
    <x v="10"/>
    <s v="HOSPITAL REGIONAL DO AGRESTE DR.WALDEMIRO FERREIRA"/>
    <s v="Consumo"/>
    <s v="ARP.0012.07.2025.GOV.HAM.PE"/>
    <s v="Registro de Preços para o fornecimento eventual de material de consumo (aquisição de materiais de almoxarifado) visando atender as necessidades do Hospital Agamenon Magalhães, Hospital Otávio de Freitas, Hospital Regional do Agreste e da Secretaria de Saú"/>
    <m/>
    <d v="2025-08-19T00:00:00"/>
    <x v="0"/>
    <s v="Cancelada"/>
    <s v="Cancelado"/>
    <s v="Item não atualizado"/>
    <m/>
    <s v="Cancelado"/>
    <s v="SEI não localizado"/>
    <m/>
    <m/>
  </r>
  <r>
    <x v="595"/>
    <x v="0"/>
    <s v="HOSPITAL REGIONAL DO AGRESTE DR.WALDEMIRO FERREIRA"/>
    <s v="Consumo"/>
    <s v="ARP.0068.04.2025.GOV.FES-PE.PE"/>
    <s v="FORMAÇÃO DE REGISTRO DE PREÇOS PARA O FORNECIMENTO DE DISPOSITIVOS MÉDICOS, DO TIPO INSUMOS PARA OSTOMIA, VISANDO ATENDER AS NECESSIDADES DOS HOSPITAIS E ESTABELECIMENTOS VINCULADOS À SECRETARIA ESTADUAL DE SAÚDE DE PERNAMBUCO"/>
    <s v="NAEN"/>
    <d v="2025-08-13T00:00:00"/>
    <x v="1"/>
    <s v="Autorizada Sucesso"/>
    <s v="Concluído"/>
    <s v="Item atualizado"/>
    <s v="Marcia"/>
    <s v="Em andamento"/>
    <s v="SEI não localizado"/>
    <s v="2300002944.000005/2025-42"/>
    <m/>
  </r>
  <r>
    <x v="596"/>
    <x v="10"/>
    <s v="HOSPITAL REGIONAL DO AGRESTE DR.WALDEMIRO FERREIRA"/>
    <s v="Consumo"/>
    <s v="ARP.0012.07.2025.GOV.HAM.PE"/>
    <s v="Registro de Preços para o fornecimento eventual de material de consumo (aquisição de materiais de almoxarifado) visando atender as necessidades do Hospital Agamenon Magalhães, Hospital Otávio de Freitas, Hospital Regional do Agreste e da Secretaria de Saú"/>
    <s v="NAMP"/>
    <d v="2025-08-13T00:00:00"/>
    <x v="0"/>
    <s v="Cancelada"/>
    <s v="Cancelado"/>
    <s v="Item não atualizado"/>
    <m/>
    <s v="Cancelado"/>
    <s v="SEI não localizado"/>
    <m/>
    <m/>
  </r>
  <r>
    <x v="597"/>
    <x v="10"/>
    <s v="HOSPITAL REGIONAL DO AGRESTE DR.WALDEMIRO FERREIRA"/>
    <s v="Consumo"/>
    <s v="ARP.0008.01.2025.GOV.HAM.PE"/>
    <s v="Formação de Registro de Preços para o fornecimento eventual de solução parenteral por um período de 12 meses, visando atender as necessidades do Hospital Agamenon Magalhães"/>
    <s v="NFOCPO"/>
    <d v="2025-08-13T00:00:00"/>
    <x v="1"/>
    <s v="Autorizada Sucesso"/>
    <s v="Concluído"/>
    <s v="Item atualizado"/>
    <m/>
    <s v="Em andamento"/>
    <s v="SEI não localizado"/>
    <m/>
    <m/>
  </r>
  <r>
    <x v="598"/>
    <x v="0"/>
    <s v="HOSPITAL REGIONAL DO AGRESTE DR.WALDEMIRO FERREIRA"/>
    <s v="Consumo"/>
    <s v="ARP.0044.06.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s v="NFOCPO"/>
    <d v="2025-08-12T00:00:00"/>
    <x v="6"/>
    <s v="Encaminhada para o gestor de ata"/>
    <s v="Em andamento"/>
    <s v="Item não atualizado"/>
    <s v="Raquel"/>
    <s v="Em andamento"/>
    <s v="SEI não localizado"/>
    <m/>
    <m/>
  </r>
  <r>
    <x v="599"/>
    <x v="0"/>
    <s v="HOSPITAL REGIONAL DO AGRESTE DR.WALDEMIRO FERREIRA"/>
    <s v="Consumo"/>
    <s v="ARP.0015.05.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s v="NFOCPO"/>
    <d v="2025-08-11T00:00:00"/>
    <x v="0"/>
    <s v="Cancelada"/>
    <s v="Cancelado"/>
    <s v="Item não atualizado"/>
    <m/>
    <s v="Cancelado"/>
    <s v="SEI não localizado"/>
    <m/>
    <m/>
  </r>
  <r>
    <x v="600"/>
    <x v="0"/>
    <s v="HOSPITAL REGIONAL DO AGRESTE DR.WALDEMIRO FERREIRA"/>
    <s v="Consumo"/>
    <s v="ARP.0015.05.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s v="NFOCPO"/>
    <d v="2025-08-11T00:00:00"/>
    <x v="0"/>
    <s v="Cancelada"/>
    <s v="Cancelado"/>
    <s v="Item não atualizado"/>
    <m/>
    <s v="Cancelado"/>
    <s v="SEI não localizado"/>
    <m/>
    <m/>
  </r>
  <r>
    <x v="601"/>
    <x v="0"/>
    <s v="HOSPITAL REGIONAL DO AGRESTE DR.WALDEMIRO FERREIRA"/>
    <s v="Consumo"/>
    <s v="ARP.0079.14.2025.GOV.FES-PE.PE"/>
    <s v="Registro de Preços para a eventual aquisição de Material Médico Hospitalar - MMH (grupo 01)"/>
    <s v="NFOCPO"/>
    <d v="2025-08-11T00:00:00"/>
    <x v="1"/>
    <s v="Autorizada Sucesso"/>
    <s v="Concluído"/>
    <s v="Item atualizado"/>
    <m/>
    <s v="Concluído"/>
    <s v="Enviado ao NOF"/>
    <s v="2300001213.000318/2025-92"/>
    <m/>
  </r>
  <r>
    <x v="602"/>
    <x v="0"/>
    <s v="HOSPITAL REGIONAL DO AGRESTE DR.WALDEMIRO FERREIRA"/>
    <s v="Consumo"/>
    <s v="ARP.0068.00.2025.GOV.FES-PE.PE"/>
    <s v="FORMAÇÃO DE REGISTRO DE PREÇOS PARA O FORNECIMENTO DE DISPOSITIVOS MÉDICOS, DO TIPO INSUMOS PARA OSTOMIA, VISANDO ATENDER AS NECESSIDADES DOS HOSPITAIS E ESTABELECIMENTOS VINCULADOS À SECRETARIA ESTADUAL DE SAÚDE DE PERNAMBUCO"/>
    <s v="NFOCPO"/>
    <d v="2025-08-07T00:00:00"/>
    <x v="6"/>
    <s v="Encaminhada para o gestor de ata"/>
    <s v="Em andamento"/>
    <s v="Item não atualizado"/>
    <s v="Raquel"/>
    <s v="Em andamento"/>
    <s v="SEI não localizado"/>
    <m/>
    <m/>
  </r>
  <r>
    <x v="603"/>
    <x v="0"/>
    <s v="HOSPITAL REGIONAL DO AGRESTE DR.WALDEMIRO FERREIRA"/>
    <s v="Consumo"/>
    <s v="ARP.0068.04.2025.GOV.FES-PE.PE"/>
    <s v="FORMAÇÃO DE REGISTRO DE PREÇOS PARA O FORNECIMENTO DE DISPOSITIVOS MÉDICOS, DO TIPO INSUMOS PARA OSTOMIA, VISANDO ATENDER AS NECESSIDADES DOS HOSPITAIS E ESTABELECIMENTOS VINCULADOS À SECRETARIA ESTADUAL DE SAÚDE DE PERNAMBUCO"/>
    <s v="NAEN"/>
    <d v="2025-08-05T00:00:00"/>
    <x v="1"/>
    <s v="Autorizada Sucesso"/>
    <s v="Concluído"/>
    <s v="Item atualizado"/>
    <m/>
    <s v="Em andamento"/>
    <s v="Enviado ao NOF"/>
    <s v="2300001213.000325/2025-94"/>
    <m/>
  </r>
  <r>
    <x v="604"/>
    <x v="0"/>
    <s v="HOSPITAL REGIONAL DO AGRESTE DR.WALDEMIRO FERREIRA"/>
    <s v="Consumo"/>
    <s v="ARP.0068.01.2025.GOV.FES-PE.PE"/>
    <s v="FORMAÇÃO DE REGISTRO DE PREÇOS PARA O FORNECIMENTO DE DISPOSITIVOS MÉDICOS, DO TIPO INSUMOS PARA OSTOMIA, VISANDO ATENDER AS NECESSIDADES DOS HOSPITAIS E ESTABELECIMENTOS VINCULADOS À SECRETARIA ESTADUAL DE SAÚDE DE PERNAMBUCO"/>
    <s v="NFOCPO"/>
    <d v="2025-08-05T00:00:00"/>
    <x v="6"/>
    <s v="Encaminhada para o gestor de ata"/>
    <s v="Em andamento"/>
    <s v="Item não atualizado"/>
    <s v="Raquel"/>
    <s v="Em andamento"/>
    <s v="SEI não localizado"/>
    <m/>
    <m/>
  </r>
  <r>
    <x v="605"/>
    <x v="0"/>
    <s v="HOSPITAL REGIONAL DO AGRESTE DR.WALDEMIRO FERREIRA"/>
    <s v="Consumo"/>
    <s v="ARP.0068.01.2025.GOV.FES-PE.PE"/>
    <s v="FORMAÇÃO DE REGISTRO DE PREÇOS PARA O FORNECIMENTO DE DISPOSITIVOS MÉDICOS, DO TIPO INSUMOS PARA OSTOMIA, VISANDO ATENDER AS NECESSIDADES DOS HOSPITAIS E ESTABELECIMENTOS VINCULADOS À SECRETARIA ESTADUAL DE SAÚDE DE PERNAMBUCO"/>
    <s v="NAEN"/>
    <d v="2025-08-05T00:00:00"/>
    <x v="1"/>
    <s v="Autorizada Sucesso"/>
    <s v="Concluído"/>
    <s v="Item atualizado"/>
    <m/>
    <s v="Concluído"/>
    <s v="Enviado ao NOF"/>
    <s v="2300001213.000324/2025-40"/>
    <m/>
  </r>
  <r>
    <x v="606"/>
    <x v="0"/>
    <s v="HOSPITAL REGIONAL DO AGRESTE DR.WALDEMIRO FERREIRA"/>
    <s v="Consumo"/>
    <s v="ARP.0068.00.2025.GOV.FES-PE.PE"/>
    <s v="FORMAÇÃO DE REGISTRO DE PREÇOS PARA O FORNECIMENTO DE DISPOSITIVOS MÉDICOS, DO TIPO INSUMOS PARA OSTOMIA, VISANDO ATENDER AS NECESSIDADES DOS HOSPITAIS E ESTABELECIMENTOS VINCULADOS À SECRETARIA ESTADUAL DE SAÚDE DE PERNAMBUCO"/>
    <s v="NAEN"/>
    <d v="2025-08-05T00:00:00"/>
    <x v="1"/>
    <s v="Autorizada Sucesso"/>
    <s v="Concluído"/>
    <s v="Item atualizado"/>
    <m/>
    <s v="Em andamento"/>
    <s v="Enviado ao NOF"/>
    <s v="2300001213.000323/2025-03"/>
    <m/>
  </r>
  <r>
    <x v="607"/>
    <x v="7"/>
    <s v="HOSPITAL REGIONAL DO AGRESTE DR.WALDEMIRO FERREIRA"/>
    <s v="Consumo"/>
    <s v="ARP.0011.03.2025.GOV.HGV.PE"/>
    <s v="Formação de Registro de Preços para o fornecimento eventual de SMS - EMBALAGENS DESCARTÁVEIS PARA ESTERILIZAÇÃO visando atender a demanda do Hospital Getúlio Vargas conforme condições, especificações, quantidades e exigências contidas neste Termo de Refer"/>
    <s v="NFOCPO"/>
    <d v="2025-08-05T00:00:00"/>
    <x v="1"/>
    <s v="Autorizada Sucesso"/>
    <s v="Concluído"/>
    <s v="Item atualizado"/>
    <m/>
    <s v="Concluído"/>
    <s v="Enviado ao NOF"/>
    <s v="2300001213.000317/2025-48"/>
    <m/>
  </r>
  <r>
    <x v="608"/>
    <x v="0"/>
    <s v="HOSPITAL REGIONAL DO AGRESTE DR.WALDEMIRO FERREIRA"/>
    <s v="Consumo"/>
    <s v="ARP.0079.04.2025.GOV.FES-PE.PE"/>
    <s v="Registro de Preços para a eventual aquisição de Material Médico Hospitalar - MMH (grupo 01)"/>
    <m/>
    <d v="2025-07-31T00:00:00"/>
    <x v="1"/>
    <s v="Autorizada Sucesso"/>
    <s v="Concluído"/>
    <s v="Item atualizado"/>
    <m/>
    <s v="Concluído"/>
    <s v="Enviado ao NOF"/>
    <s v="2300001213.000312/2025-15"/>
    <m/>
  </r>
  <r>
    <x v="609"/>
    <x v="0"/>
    <s v="HOSPITAL REGIONAL DO AGRESTE DR.WALDEMIRO FERREIRA"/>
    <s v="Consumo"/>
    <s v="ARP.0096.02.2024.GOV.FES-PE.PE"/>
    <s v="Formação de Registro de Preços para o fornecimento eventual de Medicamentos Comprimidos (Grupo 02), visando atender as necessidades dos hospitais e estabelecimentos da rede estadual de saúde de Pernambuco, conforme condições, especificações, quantidades e"/>
    <m/>
    <d v="2025-07-29T00:00:00"/>
    <x v="0"/>
    <s v="Cancelada"/>
    <s v="Cancelado"/>
    <s v="Item não atualizado"/>
    <m/>
    <s v="Cancelado"/>
    <s v="SEI não localizado"/>
    <m/>
    <m/>
  </r>
  <r>
    <x v="610"/>
    <x v="0"/>
    <s v="HOSPITAL REGIONAL DO AGRESTE DR.WALDEMIRO FERREIRA"/>
    <s v="Consumo"/>
    <s v="ARP.0044.06.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m/>
    <d v="2025-07-25T00:00:00"/>
    <x v="1"/>
    <s v="Autorizada Sucesso"/>
    <s v="Concluído"/>
    <s v="Item atualizado"/>
    <m/>
    <s v="Em andamento"/>
    <s v="SEI não localizado"/>
    <m/>
    <m/>
  </r>
  <r>
    <x v="611"/>
    <x v="0"/>
    <s v="HOSPITAL REGIONAL DO AGRESTE DR.WALDEMIRO FERREIRA"/>
    <s v="Consumo"/>
    <s v="ARP.0044.06.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m/>
    <d v="2025-07-25T00:00:00"/>
    <x v="0"/>
    <s v="Cancelada"/>
    <s v="Cancelado"/>
    <s v="Item não atualizado"/>
    <m/>
    <s v="Cancelado"/>
    <s v="SEI não localizado"/>
    <m/>
    <m/>
  </r>
  <r>
    <x v="612"/>
    <x v="0"/>
    <s v="HOSPITAL REGIONAL DO AGRESTE DR.WALDEMIRO FERREIRA"/>
    <s v="Consumo"/>
    <s v="ARP.0044.06.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m/>
    <d v="2025-07-25T00:00:00"/>
    <x v="0"/>
    <s v="Cancelada"/>
    <s v="Cancelado"/>
    <s v="Item não atualizado"/>
    <m/>
    <s v="Cancelado"/>
    <s v="SEI não localizado"/>
    <m/>
    <m/>
  </r>
  <r>
    <x v="613"/>
    <x v="0"/>
    <s v="HOSPITAL REGIONAL DO AGRESTE DR.WALDEMIRO FERREIRA"/>
    <s v="Consumo"/>
    <s v="ARP.0016.03.2025.GOV.FES-PE.PE"/>
    <s v="Registro de Preços para o fornecimento eventual de medicamentos do tipo COMPRIMIDOS (Grupo 05"/>
    <m/>
    <d v="2025-07-24T00:00:00"/>
    <x v="1"/>
    <s v="Autorizada Sucesso"/>
    <s v="Concluído"/>
    <s v="Item atualizado"/>
    <m/>
    <s v="Em andamento"/>
    <s v="SEI não localizado"/>
    <n v="0"/>
    <m/>
  </r>
  <r>
    <x v="614"/>
    <x v="22"/>
    <s v="HOSPITAL REGIONAL DO AGRESTE DR.WALDEMIRO FERREIRA"/>
    <s v="Consumo"/>
    <s v="ARPC.0019.00.2024.GOV.SAD.PE"/>
    <s v="Formação de Registro de Preços Corporativo para o eventual fornecimento de aparelhos condicionadores de ar, visando atender as necessidades dos órgãos da Administração Direta, Autarquias e Fundações Públicas Integrantes do Poder Executivo do estado de Per"/>
    <m/>
    <d v="2025-07-23T00:00:00"/>
    <x v="0"/>
    <s v="Cancelada por fim vigencia ATA"/>
    <s v="Cancelado"/>
    <s v="Item atualizado"/>
    <m/>
    <s v="Cancelado"/>
    <s v="SEI não localizado"/>
    <m/>
    <m/>
  </r>
  <r>
    <x v="615"/>
    <x v="0"/>
    <s v="HOSPITAL REGIONAL DO AGRESTE DR.WALDEMIRO FERREIRA"/>
    <s v="Consumo"/>
    <s v="ARP.0009.00.2025.GOV.FES-PE.PE"/>
    <s v="Registro de Preços para aquisição de Material Médico Hospitalar - Luvas (Unificado)"/>
    <m/>
    <d v="2025-07-23T00:00:00"/>
    <x v="1"/>
    <s v="Autorizada Sucesso"/>
    <s v="Concluído"/>
    <s v="Item atualizado"/>
    <m/>
    <s v="Concluído"/>
    <s v="Enviado ao NOF"/>
    <s v=" 2300002544.000067/2025-67"/>
    <m/>
  </r>
  <r>
    <x v="616"/>
    <x v="7"/>
    <s v="HOSPITAL REGIONAL DO AGRESTE DR.WALDEMIRO FERREIRA"/>
    <s v="Consumo"/>
    <s v="ARP.0011.02.2025.GOV.HGV.PE"/>
    <s v="Formação de Registro de Preços para o fornecimento eventual de SMS - EMBALAGENS DESCARTÁVEIS PARA ESTERILIZAÇÃO visando atender a demanda do Hospital Getúlio Vargas conforme condições, especificações, quantidades e exigências contidas neste Termo de Refer"/>
    <m/>
    <d v="2025-07-22T00:00:00"/>
    <x v="1"/>
    <s v="Autorizada Sucesso"/>
    <s v="Concluído"/>
    <s v="Item atualizado"/>
    <m/>
    <s v="Em andamento"/>
    <s v="SEI não localizado"/>
    <m/>
    <m/>
  </r>
  <r>
    <x v="617"/>
    <x v="0"/>
    <s v="HOSPITAL REGIONAL DO AGRESTE DR.WALDEMIRO FERREIRA"/>
    <s v="Consumo"/>
    <s v="ARP.0077.00.2025.GOV.FES-PE.PE"/>
    <s v="Registro de Preços para Fornecimento Eventual de Dispositivos Médicos do tipo: Antissépticos, Desinfetantes e Saneantes – Grupo 2"/>
    <m/>
    <d v="2025-07-21T00:00:00"/>
    <x v="1"/>
    <s v="Autorizada Sucesso"/>
    <s v="Concluído"/>
    <s v="Item atualizado"/>
    <m/>
    <s v="Em andamento"/>
    <s v="SEI não localizado"/>
    <m/>
    <m/>
  </r>
  <r>
    <x v="618"/>
    <x v="35"/>
    <s v="HOSPITAL REGIONAL DO AGRESTE DR.WALDEMIRO FERREIRA"/>
    <s v="Consumo"/>
    <s v="ARP.0002.00.2025.GOV.SES.PE"/>
    <s v="Formação de Registro de Preço para o fornecimento eventual de medicamentos análogos a Insulina Regular e NPH por meio de Dispensa de licitação com fundamento no art. 75, inc. VIII da Lei nº 14.133/21."/>
    <s v="NFOCPO"/>
    <d v="2025-07-18T00:00:00"/>
    <x v="6"/>
    <s v="Encaminhada para o gestor de ata"/>
    <s v="Em andamento"/>
    <s v="Item não atualizado"/>
    <s v="Raquel"/>
    <s v="Em andamento"/>
    <s v="SEI não localizado"/>
    <m/>
    <m/>
  </r>
  <r>
    <x v="619"/>
    <x v="0"/>
    <s v="HOSPITAL REGIONAL DO AGRESTE DR.WALDEMIRO FERREIRA"/>
    <s v="Consumo"/>
    <s v="ARP.0053.02.2025.GOV.FES-PE.PE"/>
    <s v="Formação de Ata de Registro de Preços para o fornecimento eventual de Dispositivos Médicos do Tipo: Diversos visando atender as necessidades dos hospitais e estabelecimentos da rede estadual de saúde de Pernambuco"/>
    <m/>
    <d v="2025-07-15T00:00:00"/>
    <x v="1"/>
    <s v="Autorizada Sucesso"/>
    <s v="Concluído"/>
    <s v="Item atualizado"/>
    <m/>
    <s v="Em andamento"/>
    <s v="SEI não localizado"/>
    <m/>
    <m/>
  </r>
  <r>
    <x v="620"/>
    <x v="10"/>
    <s v="HOSPITAL REGIONAL DO AGRESTE DR.WALDEMIRO FERREIRA"/>
    <s v="Consumo"/>
    <s v="ARP.0008.01.2025.GOV.HAM.PE"/>
    <s v="Formação de Registro de Preços para o fornecimento eventual de solução parenteral por um período de 12 meses, visando atender as necessidades do Hospital Agamenon Magalhães"/>
    <m/>
    <d v="2025-07-11T00:00:00"/>
    <x v="1"/>
    <s v="Autorizada Sucesso"/>
    <s v="Concluído"/>
    <s v="Item atualizado"/>
    <m/>
    <s v="Em andamento"/>
    <s v="SEI não localizado"/>
    <m/>
    <m/>
  </r>
  <r>
    <x v="621"/>
    <x v="0"/>
    <s v="HOSPITAL REGIONAL DO AGRESTE DR.WALDEMIRO FERREIRA"/>
    <s v="Consumo"/>
    <s v="ARP.0070.03.2025.GOV.FES-PE.PE"/>
    <s v="Formação de Registro de Preços para o fornecimento eventual de medicamentos (INJETÁVEIS GRUPO 10) visando atender as necessidades dos hospitais e estabelecimentos vinculados à Secretaria Estadual de Saúde de Pernambuco"/>
    <m/>
    <d v="2025-07-10T00:00:00"/>
    <x v="1"/>
    <s v="Autorizada Sucesso"/>
    <s v="Concluído"/>
    <s v="Item atualizado"/>
    <m/>
    <s v="Em andamento"/>
    <s v="SEI não localizado"/>
    <m/>
    <m/>
  </r>
  <r>
    <x v="622"/>
    <x v="4"/>
    <s v="HOSPITAL REGIONAL DO AGRESTE DR.WALDEMIRO FERREIRA"/>
    <s v="Consumo"/>
    <s v="ARP.0010.00.2025.GOV.CISAM.PE"/>
    <s v="REGISTRO DE PREÇOS PARA FORNECIMENTO EVENTUAL DE MATERIAIS MÉDICO-HOSPITALARES (DIVERSOS), VISANDO ATENDER AS NECESSIDADES DO CISAM/UPE E DEMAIS ÓRGÃOS PARTICIPANTES ."/>
    <m/>
    <d v="2025-07-08T00:00:00"/>
    <x v="0"/>
    <s v="Cancelada"/>
    <s v="Cancelado"/>
    <s v="Item não atualizado"/>
    <m/>
    <s v="Cancelado"/>
    <s v="SEI não localizado"/>
    <m/>
    <m/>
  </r>
  <r>
    <x v="623"/>
    <x v="0"/>
    <s v="HOSPITAL REGIONAL DO AGRESTE DR.WALDEMIRO FERREIRA"/>
    <s v="Consumo"/>
    <s v="ARP.0003.01.2025.GOV.FES-PE.PE"/>
    <s v="Formação de Registro de Preços para o fornecimento eventual de Dispositivos Médicos do tipo Curativos com a finalidade de atender às necessidades dos hospitais e estabelecimentos vinculados à SES/PE"/>
    <m/>
    <d v="2025-07-04T00:00:00"/>
    <x v="0"/>
    <s v="Cancelada"/>
    <s v="Cancelado"/>
    <s v="Item não atualizado"/>
    <m/>
    <s v="Cancelado"/>
    <s v="SEI não localizado"/>
    <m/>
    <m/>
  </r>
  <r>
    <x v="624"/>
    <x v="4"/>
    <s v="HOSPITAL REGIONAL DO AGRESTE DR.WALDEMIRO FERREIRA"/>
    <s v="Consumo"/>
    <s v="ARP.0065.02.2024.GOV.CISAM.PE"/>
    <s v="REGISTRO DE PREÇOS PARA FORNECIMENTO EVENTUAL DE MEDICAMENTOS (DIVERSOS), VISANDO ATENDER ÀS NECESSIDADES DO CISAM/UPE E DEMAIS ÓRGÃOS PARTICIPANTES."/>
    <m/>
    <d v="2025-07-03T00:00:00"/>
    <x v="0"/>
    <s v="Cancelada"/>
    <s v="Cancelado"/>
    <s v="Item não atualizado"/>
    <m/>
    <s v="Cancelado"/>
    <s v="SEI não localizado"/>
    <m/>
    <m/>
  </r>
  <r>
    <x v="625"/>
    <x v="0"/>
    <s v="HOSPITAL REGIONAL DO AGRESTE DR.WALDEMIRO FERREIRA"/>
    <s v="Consumo"/>
    <s v="ARP.0015.00.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s v="NFOCPO"/>
    <d v="2025-07-02T00:00:00"/>
    <x v="6"/>
    <s v="Encaminhada para o gestor de ata"/>
    <s v="Em andamento"/>
    <s v="Item não atualizado"/>
    <s v="Raquel"/>
    <s v="Em andamento"/>
    <s v="SEI não localizado"/>
    <m/>
    <m/>
  </r>
  <r>
    <x v="626"/>
    <x v="7"/>
    <s v="HOSPITAL REGIONAL DO AGRESTE DR.WALDEMIRO FERREIRA"/>
    <s v="Consumo"/>
    <s v="ARP.0011.01.2025.GOV.HGV.PE"/>
    <s v="Formação de Registro de Preços para o fornecimento eventual de SMS - EMBALAGENS DESCARTÁVEIS PARA ESTERILIZAÇÃO visando atender a demanda do Hospital Getúlio Vargas conforme condições, especificações, quantidades e exigências contidas neste Termo de Refer"/>
    <m/>
    <d v="2025-06-30T00:00:00"/>
    <x v="1"/>
    <s v="Autorizada Sucesso"/>
    <s v="Concluído"/>
    <s v="Item atualizado"/>
    <m/>
    <s v="Concluído"/>
    <s v="Enviado ao NOF"/>
    <s v="2300001213.000258/2025-16"/>
    <m/>
  </r>
  <r>
    <x v="627"/>
    <x v="4"/>
    <s v="HOSPITAL REGIONAL DO AGRESTE DR.WALDEMIRO FERREIRA"/>
    <s v="Consumo"/>
    <s v="ARP.0087.02.2024.GOV.CISAM.PE"/>
    <s v="REGISTRO DE PREÇOS PARA FORNECIMENTO EVENTUAL DE MATERIAIS MÉDICO-HOSPITALARES (DIVERSOS), VISANDO ATENDER AS NECESSIDADES DO CISAM/UPE E DEMAIS ÓRGÃO PARTICIPANTES."/>
    <m/>
    <d v="2025-06-25T00:00:00"/>
    <x v="1"/>
    <s v="Autorizada Sucesso"/>
    <s v="Concluído"/>
    <s v="Item atualizado"/>
    <m/>
    <s v="Em andamento"/>
    <s v="Enviado a NFOCPO"/>
    <s v="2300001213.000254/2025-20"/>
    <m/>
  </r>
  <r>
    <x v="628"/>
    <x v="4"/>
    <s v="HOSPITAL REGIONAL DO AGRESTE DR.WALDEMIRO FERREIRA"/>
    <s v="Consumo"/>
    <s v="ARP.0063.05.2024.GOV.CISAM.PE"/>
    <s v="REGISTRO DE PREÇO PARA FORNECIMENTO EVENTUAL DE COMPONENTE/ACESSÓRIOS (VACUOMETRO, BRAÇADEIRAS PARA EQUIPAMENTOS, CABOS E CABOS EXTENSORES, SENSORES DE SPO2, ELETRODO, PERA, PAPEL PARA CARDIOTOCO, ESTETOSCÓPIO NEONATAL E ETC) PARA EQUIPAMENTOS MÉDICO-HOSP"/>
    <m/>
    <d v="2025-06-25T00:00:00"/>
    <x v="0"/>
    <s v="Cancelada por fim vigencia ATA"/>
    <s v="Cancelado"/>
    <s v="Item atualizado"/>
    <m/>
    <s v="Cancelado"/>
    <s v="SEI não localizado"/>
    <m/>
    <m/>
  </r>
  <r>
    <x v="629"/>
    <x v="0"/>
    <s v="HOSPITAL REGIONAL DO AGRESTE DR.WALDEMIRO FERREIRA"/>
    <s v="Consumo"/>
    <s v="ARP.0010.02.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6-20T00:00:00"/>
    <x v="0"/>
    <s v="Cancelada"/>
    <s v="Cancelado"/>
    <s v="Item não atualizado"/>
    <m/>
    <s v="Cancelado"/>
    <s v="SEI não localizado"/>
    <m/>
    <m/>
  </r>
  <r>
    <x v="630"/>
    <x v="4"/>
    <s v="HOSPITAL REGIONAL DO AGRESTE DR.WALDEMIRO FERREIRA"/>
    <s v="Consumo"/>
    <s v="ARP.0006.03.2025.GOV.CISAM.PE"/>
    <s v="REGISTRO DE PREÇOS PARA O FORNECIMENTO EVENTUAL DE MATERIAIS MÉDICO-HOSPITALARES (SERINGA DESCARTÁVEL), VISANDO ATENDER AS NECESSIDADES DO CISAM/UPE E DEMAIS ÓRGÃOS PARTICIPANTES"/>
    <m/>
    <d v="2025-06-18T00:00:00"/>
    <x v="1"/>
    <s v="Autorizada Sucesso"/>
    <s v="Concluído"/>
    <s v="Item atualizado"/>
    <m/>
    <s v="Em andamento"/>
    <s v="Enviado a NFOCPO"/>
    <s v="2300001213.000255/2025-74"/>
    <m/>
  </r>
  <r>
    <x v="631"/>
    <x v="4"/>
    <s v="HOSPITAL REGIONAL DO AGRESTE DR.WALDEMIRO FERREIRA"/>
    <s v="Consumo"/>
    <s v="ARP.0006.03.2025.GOV.CISAM.PE"/>
    <s v="REGISTRO DE PREÇOS PARA O FORNECIMENTO EVENTUAL DE MATERIAIS MÉDICO-HOSPITALARES (SERINGA DESCARTÁVEL), VISANDO ATENDER AS NECESSIDADES DO CISAM/UPE E DEMAIS ÓRGÃOS PARTICIPANTES"/>
    <m/>
    <d v="2025-06-18T00:00:00"/>
    <x v="0"/>
    <s v="Cancelada"/>
    <s v="Cancelado"/>
    <s v="Item não atualizado"/>
    <m/>
    <s v="Cancelado"/>
    <s v="SEI não localizado"/>
    <m/>
    <m/>
  </r>
  <r>
    <x v="632"/>
    <x v="0"/>
    <s v="HOSPITAL REGIONAL DO AGRESTE DR.WALDEMIRO FERREIRA"/>
    <s v="Consumo"/>
    <s v="ARP.0009.00.2025.GOV.FES-PE.PE"/>
    <s v="Registro de Preços para aquisição de Material Médico Hospitalar - Luvas (Unificado)"/>
    <m/>
    <d v="2025-06-18T00:00:00"/>
    <x v="0"/>
    <s v="Cancelada"/>
    <s v="Cancelado"/>
    <s v="Item não atualizado"/>
    <m/>
    <s v="Cancelado"/>
    <s v="SEI não localizado"/>
    <m/>
    <m/>
  </r>
  <r>
    <x v="633"/>
    <x v="10"/>
    <s v="HOSPITAL REGIONAL DO AGRESTE DR.WALDEMIRO FERREIRA"/>
    <s v="Consumo"/>
    <s v="ARP.0008.01.2025.GOV.HAM.PE"/>
    <s v="Formação de Registro de Preços para o fornecimento eventual de solução parenteral por um período de 12 meses, visando atender as necessidades do Hospital Agamenon Magalhães"/>
    <m/>
    <d v="2025-06-16T00:00:00"/>
    <x v="1"/>
    <s v="Autorizada Sucesso"/>
    <s v="Concluído"/>
    <s v="Item atualizado"/>
    <m/>
    <s v="Em andamento"/>
    <s v="SEI não localizado"/>
    <m/>
    <m/>
  </r>
  <r>
    <x v="634"/>
    <x v="0"/>
    <s v="HOSPITAL REGIONAL DO AGRESTE DR.WALDEMIRO FERREIRA"/>
    <s v="Consumo"/>
    <s v="ARP.0064.02.2024.GOV.FES-PE.PE"/>
    <s v="PREGÃO ELETRÔNICO PARA FORMAÇÃO DE REGISTRO DE PREÇOS PARA A EVENTUAL FORNECIMENTO DE MEDICAMENTOS INJETÁVEIS (GRUPO 04) VISANDO ATENDER A DEMANDA DOS HOSPITAIS E ESTABELECIMENTOS DA REDE ESTADUAL DE SAÚDE DE PERNAMBUCO."/>
    <m/>
    <d v="2025-06-11T00:00:00"/>
    <x v="1"/>
    <s v="Autorizada Sucesso"/>
    <s v="Concluído"/>
    <s v="Item atualizado"/>
    <m/>
    <s v="Em andamento"/>
    <s v="SEI não localizado"/>
    <m/>
    <m/>
  </r>
  <r>
    <x v="635"/>
    <x v="0"/>
    <s v="HOSPITAL REGIONAL DO AGRESTE DR.WALDEMIRO FERREIRA"/>
    <s v="Consumo"/>
    <s v="ARP.0073.01.2025.GOV.FES-PE.PE"/>
    <s v="Registro de Preços para o fornecimento eventual de Dispositivos Médicos do tipo Materiais Médicos (Indicadores, cera, e cimento cirúrgico), conforme especificações e quantitativos previstos no Termo de Referência, visando atender as necessidades dos hospi"/>
    <m/>
    <d v="2025-06-10T00:00:00"/>
    <x v="1"/>
    <s v="Autorizada Sucesso"/>
    <s v="Concluído"/>
    <s v="Item atualizado"/>
    <m/>
    <s v="Em andamento"/>
    <s v="SEI não localizado"/>
    <m/>
    <m/>
  </r>
  <r>
    <x v="636"/>
    <x v="0"/>
    <s v="HOSPITAL REGIONAL DO AGRESTE DR.WALDEMIRO FERREIRA"/>
    <s v="Consumo"/>
    <s v="ARP.0073.00.2025.GOV.FES-PE.PE"/>
    <s v="Registro de Preços para o fornecimento eventual de Dispositivos Médicos do tipo Materiais Médicos (Indicadores, cera, e cimento cirúrgico), conforme especificações e quantitativos previstos no Termo de Referência, visando atender as necessidades dos hospi"/>
    <m/>
    <d v="2025-06-10T00:00:00"/>
    <x v="1"/>
    <s v="Autorizada Sucesso"/>
    <s v="Concluído"/>
    <s v="Item atualizado"/>
    <m/>
    <s v="Em andamento"/>
    <s v="SEI não localizado"/>
    <m/>
    <m/>
  </r>
  <r>
    <x v="637"/>
    <x v="0"/>
    <s v="HOSPITAL REGIONAL DO AGRESTE DR.WALDEMIRO FERREIRA"/>
    <s v="Consumo"/>
    <s v="ARP.0074.00.2025.GOV.FES-PE.PE"/>
    <s v="Formação de Ata de Registro de Preços para o fornecimento eventual de dispositivos médicos do tipo material médico hospitalar diversos (grupo 14), conforme especificações e quantitativos previstos no Termo de Referência"/>
    <m/>
    <d v="2025-06-10T00:00:00"/>
    <x v="0"/>
    <s v="Cancelada"/>
    <s v="Cancelado"/>
    <s v="Item não atualizado"/>
    <m/>
    <s v="Cancelado"/>
    <s v="SEI não localizado"/>
    <m/>
    <m/>
  </r>
  <r>
    <x v="638"/>
    <x v="0"/>
    <s v="HOSPITAL REGIONAL DO AGRESTE DR.WALDEMIRO FERREIRA"/>
    <s v="Consumo"/>
    <s v="ARP.0084.02.2024.GOV.FES-PE.PE"/>
    <s v="Registro de Preços para o eventual fornecimento de EQUIPAMENTOS MÉDICO-HOSPITALARES, visando atender as necessidades da Secretaria Estadual de Saúde de Pernambuco (SES/PE), nos termos da legislação vigente e do Documento de Formalização da Demanda present"/>
    <s v="NAMP"/>
    <d v="2025-06-09T00:00:00"/>
    <x v="0"/>
    <s v="Cancelada por fim vigencia ATA"/>
    <s v="Cancelado"/>
    <s v="Item atualizado"/>
    <m/>
    <s v="Cancelado"/>
    <m/>
    <m/>
    <m/>
  </r>
  <r>
    <x v="639"/>
    <x v="0"/>
    <s v="HOSPITAL REGIONAL DO AGRESTE DR.WALDEMIRO FERREIRA"/>
    <s v="Consumo"/>
    <s v="ARP.0084.02.2024.GOV.FES-PE.PE"/>
    <s v="Registro de Preços para o eventual fornecimento de EQUIPAMENTOS MÉDICO-HOSPITALARES, visando atender as necessidades da Secretaria Estadual de Saúde de Pernambuco (SES/PE), nos termos da legislação vigente e do Documento de Formalização da Demanda present"/>
    <s v="NAMP"/>
    <d v="2025-06-09T00:00:00"/>
    <x v="0"/>
    <s v="Cancelada por fim vigencia ATA"/>
    <s v="Cancelado"/>
    <s v="Item atualizado"/>
    <m/>
    <s v="Cancelado"/>
    <s v="SEI não localizado"/>
    <m/>
    <m/>
  </r>
  <r>
    <x v="640"/>
    <x v="0"/>
    <s v="HOSPITAL REGIONAL DO AGRESTE DR.WALDEMIRO FERREIRA"/>
    <s v="Consumo"/>
    <s v="ARP.0045.00.2025.GOV.FES-PE.PE"/>
    <s v="Registro de Preços para o fornecimento eventual de Medicamentos Comprimidos (Grupo 03), visando atender as necessidades dos hospitais e estabelecimentos vinculados à Secretaria Estadual de Saúde de Pernambuco."/>
    <m/>
    <d v="2025-06-05T00:00:00"/>
    <x v="1"/>
    <s v="Autorizada Sucesso"/>
    <s v="Concluído"/>
    <s v="Item atualizado"/>
    <m/>
    <s v="Em andamento"/>
    <s v="SEI não localizado"/>
    <m/>
    <m/>
  </r>
  <r>
    <x v="641"/>
    <x v="0"/>
    <s v="HOSPITAL REGIONAL DO AGRESTE DR.WALDEMIRO FERREIRA"/>
    <s v="Consumo"/>
    <s v="ARP.0070.03.2025.GOV.FES-PE.PE"/>
    <s v="Formação de Registro de Preços para o fornecimento eventual de medicamentos (INJETÁVEIS GRUPO 10) visando atender as necessidades dos hospitais e estabelecimentos vinculados à Secretaria Estadual de Saúde de Pernambuco"/>
    <m/>
    <d v="2025-06-04T00:00:00"/>
    <x v="1"/>
    <s v="Autorizada Sucesso"/>
    <s v="Concluído"/>
    <s v="Item atualizado"/>
    <m/>
    <s v="Em andamento"/>
    <s v="SEI não localizado"/>
    <m/>
    <m/>
  </r>
  <r>
    <x v="642"/>
    <x v="4"/>
    <s v="HOSPITAL REGIONAL DO AGRESTE DR.WALDEMIRO FERREIRA"/>
    <s v="Consumo"/>
    <s v="ARP.0088.02.2024.GOV.CISAM.PE"/>
    <s v="REGISTRO DE PREÇOS PARA FORNECIMENTO EVENTUAL DE MATERIAIS MÉDICO-HOSPITALARES (DIVERSOS), VISANDO ATENDER AS NECESSIDADES DO CISAM/UPE E DEMAIS ÓRGÃOS PARTICIPANTES ."/>
    <s v="NFOCPO"/>
    <d v="2025-05-30T00:00:00"/>
    <x v="1"/>
    <s v="Autorizada Sucesso"/>
    <s v="Concluído"/>
    <s v="Item atualizado"/>
    <m/>
    <s v="Em andamento"/>
    <s v="Enviado ao GFIN"/>
    <s v="2300001213.000194/2025-45"/>
    <m/>
  </r>
  <r>
    <x v="643"/>
    <x v="4"/>
    <s v="HOSPITAL REGIONAL DO AGRESTE DR.WALDEMIRO FERREIRA"/>
    <s v="Consumo"/>
    <s v="ARP.0010.00.2025.GOV.CISAM.PE"/>
    <s v="REGISTRO DE PREÇOS PARA FORNECIMENTO EVENTUAL DE MATERIAIS MÉDICO-HOSPITALARES (DIVERSOS), VISANDO ATENDER AS NECESSIDADES DO CISAM/UPE E DEMAIS ÓRGÃOS PARTICIPANTES ."/>
    <m/>
    <d v="2025-05-30T00:00:00"/>
    <x v="0"/>
    <s v="Cancelada"/>
    <s v="Cancelado"/>
    <s v="Item não atualizado"/>
    <m/>
    <s v="Cancelado"/>
    <s v="SEI não localizado"/>
    <m/>
    <m/>
  </r>
  <r>
    <x v="644"/>
    <x v="0"/>
    <s v="HOSPITAL REGIONAL DO AGRESTE DR.WALDEMIRO FERREIRA"/>
    <s v="Consumo"/>
    <s v="ARP.0015.06.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5-29T00:00:00"/>
    <x v="1"/>
    <s v="Autorizada Sucesso"/>
    <s v="Concluído"/>
    <s v="Item atualizado"/>
    <m/>
    <s v="Em andamento"/>
    <s v="SEI não localizado"/>
    <m/>
    <m/>
  </r>
  <r>
    <x v="645"/>
    <x v="10"/>
    <s v="HOSPITAL REGIONAL DO AGRESTE DR.WALDEMIRO FERREIRA"/>
    <s v="Consumo"/>
    <s v="ARP.0012.07.2025.GOV.HAM.PE"/>
    <s v="Registro de Preços para o fornecimento eventual de material de consumo (aquisição de materiais de almoxarifado) visando atender as necessidades do Hospital Agamenon Magalhães, Hospital Otávio de Freitas, Hospital Regional do Agreste e da Secretaria de Saú"/>
    <m/>
    <d v="2025-05-29T00:00:00"/>
    <x v="1"/>
    <s v="Autorizada Sucesso"/>
    <s v="Concluído"/>
    <s v="Item atualizado"/>
    <m/>
    <s v="Em andamento"/>
    <s v="SEI não localizado"/>
    <m/>
    <m/>
  </r>
  <r>
    <x v="646"/>
    <x v="0"/>
    <s v="HOSPITAL REGIONAL DO AGRESTE DR.WALDEMIRO FERREIRA"/>
    <s v="Consumo"/>
    <s v="ARP.0067.03.2025.GOV.FES-PE.PE"/>
    <s v="FORMAÇÃO DE REGISTRO DE PREÇOS PARA O FORNECIMENTO DE DISPOSITIVOS MÉDICOS, DO TIPO MATERIAIS MÉDICO HOSPITALARES (GRUPO 8), VISANDO ATENDER AS NECESSIDADES DOS HOSPITAIS E ESTABELECIMENTOS VINCULADOS À SECRETARIA ESTADUAL DE SAÚDE DE PERNAMBUCO"/>
    <m/>
    <d v="2025-05-29T00:00:00"/>
    <x v="1"/>
    <s v="Autorizada Sucesso"/>
    <s v="Concluído"/>
    <s v="Item atualizado"/>
    <m/>
    <s v="Em andamento"/>
    <s v="SEI não localizado"/>
    <m/>
    <m/>
  </r>
  <r>
    <x v="647"/>
    <x v="4"/>
    <s v="HOSPITAL REGIONAL DO AGRESTE DR.WALDEMIRO FERREIRA"/>
    <s v="Consumo"/>
    <s v="ARP.0052.11.2024.GOV.CISAM.PE"/>
    <s v="REGISTRO DE PREÇOS PARA O EVENTUAL FORNECIMENTO DE MEDICAMENTOS PARA O CISAM/UPE E DEMAIS ÓRGÃOS PARTICIPANTES"/>
    <m/>
    <d v="2025-05-27T00:00:00"/>
    <x v="0"/>
    <s v="Cancelada por fim vigencia ATA"/>
    <s v="Cancelado"/>
    <s v="Item atualizado"/>
    <m/>
    <s v="Cancelado"/>
    <s v="SEI não localizado"/>
    <m/>
    <m/>
  </r>
  <r>
    <x v="648"/>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5-05-27T00:00:00"/>
    <x v="0"/>
    <s v="Cancelada"/>
    <s v="Cancelado"/>
    <s v="Item não atualizado"/>
    <m/>
    <s v="Cancelado"/>
    <s v="SEI não localizado"/>
    <m/>
    <m/>
  </r>
  <r>
    <x v="649"/>
    <x v="0"/>
    <s v="HOSPITAL REGIONAL DO AGRESTE DR.WALDEMIRO FERREIRA"/>
    <s v="Consumo"/>
    <s v="ARP.0049.02.2025.GOV.FES-PE.PE"/>
    <s v="Formação de Registro de Preços para o fornecimento eventual de Medicamentos Comprimidos Grupo 4 visando atender as necessidades dos hospitais e estabelecimentos vinculados à Secretaria Estadual de Saúde de Pernambuco"/>
    <m/>
    <d v="2025-05-26T00:00:00"/>
    <x v="1"/>
    <s v="Autorizada Sucesso"/>
    <s v="Concluído"/>
    <s v="Item atualizado"/>
    <m/>
    <s v="Em andamento"/>
    <s v="SEI não localizado"/>
    <m/>
    <m/>
  </r>
  <r>
    <x v="650"/>
    <x v="0"/>
    <s v="HOSPITAL REGIONAL DO AGRESTE DR.WALDEMIRO FERREIRA"/>
    <s v="Consumo"/>
    <s v="ARP.0036.07.2025.GOV.FES-PE.PE"/>
    <s v="Formação de Registro de Preços para o fornecimento eventual de Medicamentos Injetáveis – Grupo 01 com a finalidade de atender às necessidades dos hospitais e estabelecimentos vinculados à Secretaria E"/>
    <m/>
    <d v="2025-05-26T00:00:00"/>
    <x v="0"/>
    <s v="Cancelada"/>
    <s v="Cancelado"/>
    <s v="Item não atualizado"/>
    <m/>
    <s v="Cancelado"/>
    <s v="SEI não localizado"/>
    <m/>
    <m/>
  </r>
  <r>
    <x v="651"/>
    <x v="0"/>
    <s v="HOSPITAL REGIONAL DO AGRESTE DR.WALDEMIRO FERREIRA"/>
    <s v="Consumo"/>
    <s v="ARP.0067.06.2025.GOV.FES-PE.PE"/>
    <s v="FORMAÇÃO DE REGISTRO DE PREÇOS PARA O FORNECIMENTO DE DISPOSITIVOS MÉDICOS, DO TIPO MATERIAIS MÉDICO HOSPITALARES (GRUPO 8), VISANDO ATENDER AS NECESSIDADES DOS HOSPITAIS E ESTABELECIMENTOS VINCULADOS À SECRETARIA ESTADUAL DE SAÚDE DE PERNAMBUCO"/>
    <m/>
    <d v="2025-05-26T00:00:00"/>
    <x v="1"/>
    <s v="Autorizada Sucesso"/>
    <s v="Concluído"/>
    <s v="Item atualizado"/>
    <m/>
    <s v="Em andamento"/>
    <s v="SEI não localizado"/>
    <m/>
    <m/>
  </r>
  <r>
    <x v="652"/>
    <x v="0"/>
    <s v="HOSPITAL REGIONAL DO AGRESTE DR.WALDEMIRO FERREIRA"/>
    <s v="Consumo"/>
    <s v="ARP.0067.06.2025.GOV.FES-PE.PE"/>
    <s v="FORMAÇÃO DE REGISTRO DE PREÇOS PARA O FORNECIMENTO DE DISPOSITIVOS MÉDICOS, DO TIPO MATERIAIS MÉDICO HOSPITALARES (GRUPO 8), VISANDO ATENDER AS NECESSIDADES DOS HOSPITAIS E ESTABELECIMENTOS VINCULADOS À SECRETARIA ESTADUAL DE SAÚDE DE PERNAMBUCO"/>
    <m/>
    <d v="2025-05-26T00:00:00"/>
    <x v="0"/>
    <s v="Cancelada"/>
    <s v="Cancelado"/>
    <s v="Item não atualizado"/>
    <m/>
    <s v="Cancelado"/>
    <s v="SEI não localizado"/>
    <m/>
    <m/>
  </r>
  <r>
    <x v="653"/>
    <x v="0"/>
    <s v="HOSPITAL REGIONAL DO AGRESTE DR.WALDEMIRO FERREIRA"/>
    <s v="Consumo"/>
    <s v="ARP.0067.01.2025.GOV.FES-PE.PE"/>
    <s v="FORMAÇÃO DE REGISTRO DE PREÇOS PARA O FORNECIMENTO DE DISPOSITIVOS MÉDICOS, DO TIPO MATERIAIS MÉDICO HOSPITALARES (GRUPO 8), VISANDO ATENDER AS NECESSIDADES DOS HOSPITAIS E ESTABELECIMENTOS VINCULADOS À SECRETARIA ESTADUAL DE SAÚDE DE PERNAMBUCO"/>
    <m/>
    <d v="2025-05-26T00:00:00"/>
    <x v="1"/>
    <s v="Autorizada Sucesso"/>
    <s v="Concluído"/>
    <s v="Item atualizado"/>
    <m/>
    <s v="Em andamento"/>
    <s v="SEI não localizado"/>
    <m/>
    <m/>
  </r>
  <r>
    <x v="654"/>
    <x v="0"/>
    <s v="HOSPITAL REGIONAL DO AGRESTE DR.WALDEMIRO FERREIRA"/>
    <s v="Consumo"/>
    <s v="ARP.0010.05.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5-23T00:00:00"/>
    <x v="1"/>
    <s v="Autorizada Sucesso"/>
    <s v="Concluído"/>
    <s v="Item atualizado"/>
    <m/>
    <s v="Em andamento"/>
    <s v="SEI não localizado"/>
    <m/>
    <m/>
  </r>
  <r>
    <x v="655"/>
    <x v="4"/>
    <s v="HOSPITAL REGIONAL DO AGRESTE DR.WALDEMIRO FERREIRA"/>
    <s v="Consumo"/>
    <s v="ARP.0006.00.2025.GOV.CISAM.PE"/>
    <s v="REGISTRO DE PREÇOS PARA O FORNECIMENTO EVENTUAL DE MATERIAIS MÉDICO-HOSPITALARES (SERINGA DESCARTÁVEL), VISANDO ATENDER AS NECESSIDADES DO CISAM/UPE E DEMAIS ÓRGÃOS PARTICIPANTES"/>
    <m/>
    <d v="2025-05-22T00:00:00"/>
    <x v="1"/>
    <s v="Autorizada Sucesso"/>
    <s v="Concluído"/>
    <s v="Item atualizado"/>
    <m/>
    <s v="Concluído"/>
    <s v="Enviado ao NOF"/>
    <s v="2300001213.000162/2025-40"/>
    <m/>
  </r>
  <r>
    <x v="656"/>
    <x v="4"/>
    <s v="HOSPITAL REGIONAL DO AGRESTE DR.WALDEMIRO FERREIRA"/>
    <s v="Consumo"/>
    <s v="ARP.0006.01.2025.GOV.CISAM.PE"/>
    <s v="REGISTRO DE PREÇOS PARA O FORNECIMENTO EVENTUAL DE MATERIAIS MÉDICO-HOSPITALARES (SERINGA DESCARTÁVEL), VISANDO ATENDER AS NECESSIDADES DO CISAM/UPE E DEMAIS ÓRGÃOS PARTICIPANTES"/>
    <m/>
    <d v="2025-05-22T00:00:00"/>
    <x v="1"/>
    <s v="Autorizada Sucesso"/>
    <s v="Concluído"/>
    <s v="Item atualizado"/>
    <m/>
    <s v="Concluído"/>
    <s v="Enviado ao NOF"/>
    <s v="2300001213.000163/2025-94"/>
    <m/>
  </r>
  <r>
    <x v="657"/>
    <x v="5"/>
    <s v="HOSPITAL REGIONAL DO AGRESTE DR.WALDEMIRO FERREIRA"/>
    <s v="Consumo"/>
    <s v="ARP.0021.01.2024.GOV.HOF.PE"/>
    <s v="Formação de Registro de Preços para o fornecimento eventual de Material Médico Hospitalar INSUMOS PARA HIGIENE E PROTEÇÃO, visando atender a necessidade do do Hospital Otávio de Freitas (HOF), Hospital Regional do Agreste (HRA), Hospital Getúlio Vargas (H"/>
    <m/>
    <d v="2025-05-21T00:00:00"/>
    <x v="1"/>
    <s v="Autorizada Sucesso"/>
    <s v="Concluído"/>
    <s v="Item atualizado"/>
    <m/>
    <s v="Em andamento"/>
    <s v="Enviado ao JURIDICO"/>
    <s v="2300001213.000156/2025-92"/>
    <m/>
  </r>
  <r>
    <x v="658"/>
    <x v="5"/>
    <s v="HOSPITAL REGIONAL DO AGRESTE DR.WALDEMIRO FERREIRA"/>
    <s v="Consumo"/>
    <s v="ARP.0021.01.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21T00:00:00"/>
    <x v="0"/>
    <s v="Em configuração"/>
    <s v="Cancelar Com o Suporte"/>
    <s v="Item atualizado"/>
    <m/>
    <s v="Cancelar Com o Suporte"/>
    <s v="SEI não localizado"/>
    <m/>
    <m/>
  </r>
  <r>
    <x v="659"/>
    <x v="0"/>
    <s v="HOSPITAL REGIONAL DO AGRESTE DR.WALDEMIRO FERREIRA"/>
    <s v="Consumo"/>
    <s v="ARP.0083.06.2024.GOV.FES-PE.PE"/>
    <s v="Registro de Preços para o fornecimento eventual de Medicamentos Diversos (Grupo 03), visando atender as necessidades dos hospitais e estabelecimentos da rede estadual de saúde de Pernambuco"/>
    <m/>
    <d v="2025-05-20T00:00:00"/>
    <x v="1"/>
    <s v="Autorizada Sucesso"/>
    <s v="Concluído"/>
    <s v="Item atualizado"/>
    <m/>
    <s v="Em andamento"/>
    <s v="SEI não localizado"/>
    <m/>
    <m/>
  </r>
  <r>
    <x v="660"/>
    <x v="5"/>
    <s v="HOSPITAL REGIONAL DO AGRESTE DR.WALDEMIRO FERREIRA"/>
    <s v="Consumo"/>
    <s v="ARP.0021.06.2024.GOV.HOF.PE"/>
    <s v="Formação de Registro de Preços para o fornecimento eventual de Material Médico Hospitalar INSUMOS PARA HIGIENE E PROTEÇÃO, visando atender a necessidade do do Hospital Otávio de Freitas (HOF), Hospital Regional do Agreste (HRA), Hospital Getúlio Vargas (H"/>
    <m/>
    <d v="2025-05-20T00:00:00"/>
    <x v="1"/>
    <s v="Autorizada Sucesso"/>
    <s v="Concluído"/>
    <s v="Item atualizado"/>
    <m/>
    <s v="Em andamento"/>
    <s v="SEI não localizado"/>
    <m/>
    <m/>
  </r>
  <r>
    <x v="661"/>
    <x v="5"/>
    <s v="HOSPITAL REGIONAL DO AGRESTE DR.WALDEMIRO FERREIRA"/>
    <s v="Consumo"/>
    <s v="ARP.0021.11.2024.GOV.HOF.PE"/>
    <s v="Formação de Registro de Preços para o fornecimento eventual de Material Médico Hospitalar INSUMOS PARA HIGIENE E PROTEÇÃO, visando atender a necessidade do do Hospital Otávio de Freitas (HOF), Hospital Regional do Agreste (HRA), Hospital Getúlio Vargas (H"/>
    <m/>
    <d v="2025-05-20T00:00:00"/>
    <x v="1"/>
    <s v="Autorizada Sucesso"/>
    <s v="Concluído"/>
    <s v="Item atualizado"/>
    <m/>
    <s v="Em andamento"/>
    <s v="SEI não localizado"/>
    <m/>
    <m/>
  </r>
  <r>
    <x v="662"/>
    <x v="5"/>
    <s v="HOSPITAL REGIONAL DO AGRESTE DR.WALDEMIRO FERREIRA"/>
    <s v="Consumo"/>
    <s v="ARP.0021.11.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20T00:00:00"/>
    <x v="0"/>
    <s v="Em configuração"/>
    <s v="Cancelar Com o Suporte"/>
    <s v="Item atualizado"/>
    <m/>
    <s v="Cancelar Com o Suporte"/>
    <s v="SEI não localizado"/>
    <m/>
    <m/>
  </r>
  <r>
    <x v="663"/>
    <x v="5"/>
    <s v="HOSPITAL REGIONAL DO AGRESTE DR.WALDEMIRO FERREIRA"/>
    <s v="Consumo"/>
    <s v="ARP.0021.11.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20T00:00:00"/>
    <x v="0"/>
    <s v="Em configuração"/>
    <s v="Cancelar Com o Suporte"/>
    <s v="Item atualizado"/>
    <m/>
    <s v="Cancelar Com o Suporte"/>
    <s v="SEI não localizado"/>
    <m/>
    <m/>
  </r>
  <r>
    <x v="664"/>
    <x v="0"/>
    <s v="HOSPITAL REGIONAL DO AGRESTE DR.WALDEMIRO FERREIRA"/>
    <s v="Consumo"/>
    <s v="ARP.0067.03.2025.GOV.FES-PE.PE"/>
    <s v="FORMAÇÃO DE REGISTRO DE PREÇOS PARA O FORNECIMENTO DE DISPOSITIVOS MÉDICOS, DO TIPO MATERIAIS MÉDICO HOSPITALARES (GRUPO 8), VISANDO ATENDER AS NECESSIDADES DOS HOSPITAIS E ESTABELECIMENTOS VINCULADOS À SECRETARIA ESTADUAL DE SAÚDE DE PERNAMBUCO"/>
    <m/>
    <d v="2025-05-20T00:00:00"/>
    <x v="1"/>
    <s v="Autorizada Sucesso"/>
    <s v="Concluído"/>
    <s v="Item atualizado"/>
    <m/>
    <s v="Em andamento"/>
    <s v="SEI não localizado"/>
    <m/>
    <m/>
  </r>
  <r>
    <x v="665"/>
    <x v="0"/>
    <s v="HOSPITAL REGIONAL DO AGRESTE DR.WALDEMIRO FERREIRA"/>
    <s v="Consumo"/>
    <s v="ARP.0019.02.2025.GOV.FES-PE.PE"/>
    <s v="Formação de Registro de Preços para o fornecimento eventual de Dispositivos Médicos do tipo Seringas e Agulhas por meio de Dispensa de licitação com fundamento no art. 75, inc. VIII da Lei nº14.133/21"/>
    <m/>
    <d v="2025-05-19T00:00:00"/>
    <x v="0"/>
    <s v="Cancelada"/>
    <s v="Cancelado"/>
    <s v="Item não atualizado"/>
    <m/>
    <s v="Cancelado"/>
    <s v="SEI não localizado"/>
    <m/>
    <m/>
  </r>
  <r>
    <x v="666"/>
    <x v="0"/>
    <s v="HOSPITAL REGIONAL DO AGRESTE DR.WALDEMIRO FERREIRA"/>
    <s v="Consumo"/>
    <s v="ARP.0009.01.2025.GOV.FES-PE.PE"/>
    <s v="Registro de Preços para aquisição de Material Médico Hospitalar - Luvas (Unificado)"/>
    <m/>
    <d v="2025-05-19T00:00:00"/>
    <x v="1"/>
    <s v="Autorizada Sucesso"/>
    <s v="Concluído"/>
    <s v="Item atualizado"/>
    <m/>
    <s v="Em andamento"/>
    <s v="SEI não localizado"/>
    <m/>
    <m/>
  </r>
  <r>
    <x v="667"/>
    <x v="0"/>
    <s v="HOSPITAL REGIONAL DO AGRESTE DR.WALDEMIRO FERREIRA"/>
    <s v="Consumo"/>
    <s v="ARP.0053.02.2025.GOV.FES-PE.PE"/>
    <s v="Formação de Ata de Registro de Preços para o fornecimento eventual de Dispositivos Médicos do Tipo: Diversos visando atender as necessidades dos hospitais e estabelecimentos da rede estadual de saúde de Pernambuco"/>
    <m/>
    <d v="2025-05-19T00:00:00"/>
    <x v="1"/>
    <s v="Autorizada Sucesso"/>
    <s v="Concluído"/>
    <s v="Item atualizado"/>
    <m/>
    <s v="Em andamento"/>
    <s v="SEI não localizado"/>
    <m/>
    <m/>
  </r>
  <r>
    <x v="668"/>
    <x v="0"/>
    <s v="HOSPITAL REGIONAL DO AGRESTE DR.WALDEMIRO FERREIRA"/>
    <s v="Consumo"/>
    <s v="ARP.0092.04.2024.GOV.FES-PE.PE"/>
    <s v="Registro de Preços para a eventual aquisição de Medicamentos diversos (grupo 02) visando atender a demanda dos hospitais e estabelecimentos da rede estadual de saúde de Pernambuco"/>
    <m/>
    <d v="2025-05-19T00:00:00"/>
    <x v="0"/>
    <s v="Cancelada"/>
    <s v="Cancelado"/>
    <s v="Item não atualizado"/>
    <m/>
    <s v="Cancelado"/>
    <s v="SEI não localizado"/>
    <m/>
    <m/>
  </r>
  <r>
    <x v="669"/>
    <x v="0"/>
    <s v="HOSPITAL REGIONAL DO AGRESTE DR.WALDEMIRO FERREIRA"/>
    <s v="Consumo"/>
    <s v="ARP.0092.04.2024.GOV.FES-PE.PE"/>
    <s v="Registro de Preços para a eventual aquisição de Medicamentos diversos (grupo 02) visando atender a demanda dos hospitais e estabelecimentos da rede estadual de saúde de Pernambuco"/>
    <m/>
    <d v="2025-05-19T00:00:00"/>
    <x v="0"/>
    <s v="Cancelada"/>
    <s v="Cancelado"/>
    <s v="Item não atualizado"/>
    <m/>
    <s v="Cancelado"/>
    <s v="SEI não localizado"/>
    <m/>
    <m/>
  </r>
  <r>
    <x v="670"/>
    <x v="0"/>
    <s v="HOSPITAL REGIONAL DO AGRESTE DR.WALDEMIRO FERREIRA"/>
    <s v="Consumo"/>
    <s v="ARP.0092.04.2024.GOV.FES-PE.PE"/>
    <s v="Registro de Preços para a eventual aquisição de Medicamentos diversos (grupo 02) visando atender a demanda dos hospitais e estabelecimentos da rede estadual de saúde de Pernambuco"/>
    <m/>
    <d v="2025-05-19T00:00:00"/>
    <x v="0"/>
    <s v="Cancelada"/>
    <s v="Cancelado"/>
    <s v="Item não atualizado"/>
    <m/>
    <s v="Cancelado"/>
    <s v="SEI não localizado"/>
    <m/>
    <m/>
  </r>
  <r>
    <x v="671"/>
    <x v="0"/>
    <s v="HOSPITAL REGIONAL DO AGRESTE DR.WALDEMIRO FERREIRA"/>
    <s v="Consumo"/>
    <s v="ARP.0083.05.2024.GOV.FES-PE.PE"/>
    <s v="Registro de Preços para o fornecimento eventual de Medicamentos Diversos (Grupo 03), visando atender as necessidades dos hospitais e estabelecimentos da rede estadual de saúde de Pernambuco"/>
    <m/>
    <d v="2025-05-19T00:00:00"/>
    <x v="0"/>
    <s v="Cancelada"/>
    <s v="Cancelado"/>
    <s v="Item não atualizado"/>
    <m/>
    <s v="Cancelado"/>
    <s v="SEI não localizado"/>
    <m/>
    <m/>
  </r>
  <r>
    <x v="672"/>
    <x v="0"/>
    <s v="HOSPITAL REGIONAL DO AGRESTE DR.WALDEMIRO FERREIRA"/>
    <s v="Consumo"/>
    <s v="ARP.0083.05.2024.GOV.FES-PE.PE"/>
    <s v="Registro de Preços para o fornecimento eventual de Medicamentos Diversos (Grupo 03), visando atender as necessidades dos hospitais e estabelecimentos da rede estadual de saúde de Pernambuco"/>
    <m/>
    <d v="2025-05-19T00:00:00"/>
    <x v="0"/>
    <s v="Cancelada"/>
    <s v="Cancelado"/>
    <s v="Item não atualizado"/>
    <m/>
    <s v="Cancelado"/>
    <s v="SEI não localizado"/>
    <m/>
    <m/>
  </r>
  <r>
    <x v="673"/>
    <x v="0"/>
    <s v="HOSPITAL REGIONAL DO AGRESTE DR.WALDEMIRO FERREIRA"/>
    <s v="Consumo"/>
    <s v="ARP.0083.05.2024.GOV.FES-PE.PE"/>
    <s v="Registro de Preços para o fornecimento eventual de Medicamentos Diversos (Grupo 03), visando atender as necessidades dos hospitais e estabelecimentos da rede estadual de saúde de Pernambuco"/>
    <m/>
    <d v="2025-05-19T00:00:00"/>
    <x v="0"/>
    <s v="Cancelada"/>
    <s v="Cancelado"/>
    <s v="Item não atualizado"/>
    <m/>
    <s v="Cancelado"/>
    <s v="SEI não localizado"/>
    <m/>
    <m/>
  </r>
  <r>
    <x v="674"/>
    <x v="0"/>
    <s v="HOSPITAL REGIONAL DO AGRESTE DR.WALDEMIRO FERREIRA"/>
    <s v="Consumo"/>
    <s v="ARP.0083.05.2024.GOV.FES-PE.PE"/>
    <s v="Registro de Preços para o fornecimento eventual de Medicamentos Diversos (Grupo 03), visando atender as necessidades dos hospitais e estabelecimentos da rede estadual de saúde de Pernambuco"/>
    <m/>
    <d v="2025-05-19T00:00:00"/>
    <x v="1"/>
    <s v="Autorizada Sucesso"/>
    <s v="Concluído"/>
    <s v="Item atualizado"/>
    <m/>
    <s v="Em andamento"/>
    <s v="SEI não localizado"/>
    <m/>
    <m/>
  </r>
  <r>
    <x v="675"/>
    <x v="0"/>
    <s v="HOSPITAL REGIONAL DO AGRESTE DR.WALDEMIRO FERREIRA"/>
    <s v="Consumo"/>
    <s v="ARP.0075.01.2024.GOV.FES-PE.PE"/>
    <s v="Formação de Registro de Preços para o fornecimento eventual de Medicamentos Diversos (Grupo 05), visando atender as necessidades dos hospitais e estabelecimentos da rede estadual de saúde de Pernambuco."/>
    <m/>
    <d v="2025-05-19T00:00:00"/>
    <x v="0"/>
    <s v="Cancelada"/>
    <s v="Cancelado"/>
    <s v="Item não atualizado"/>
    <m/>
    <s v="Cancelado"/>
    <s v="SEI não localizado"/>
    <m/>
    <m/>
  </r>
  <r>
    <x v="676"/>
    <x v="0"/>
    <s v="HOSPITAL REGIONAL DO AGRESTE DR.WALDEMIRO FERREIRA"/>
    <s v="Consumo"/>
    <s v="ARP.0063.00.2024.GOV.FES-PE.PE"/>
    <s v="Formação de Registro de Preços, por um período de 12 (doze) meses, para eventual aquisição de MATERIAL MÉDICO HOSPITALAR (Grupo 04) visando atender a demanda dos hospitais e estabelecimentos da rede estadual de saúde de Pernambuco."/>
    <m/>
    <d v="2025-05-19T00:00:00"/>
    <x v="1"/>
    <s v="Autorizada Sucesso"/>
    <s v="Concluído"/>
    <s v="Item atualizado"/>
    <m/>
    <s v="Em andamento"/>
    <s v="SEI não localizado"/>
    <m/>
    <m/>
  </r>
  <r>
    <x v="677"/>
    <x v="0"/>
    <s v="HOSPITAL REGIONAL DO AGRESTE DR.WALDEMIRO FERREIRA"/>
    <s v="Consumo"/>
    <s v="ARP.0010.05.2025.GOV.FES-PE.PE"/>
    <s v="REGISTRO DE PREÇOS PARA A EVENTUAL AQUISIÇÃODE DISPOSITIVOS MÉDICOS DO TIPO PRODUTOS MÉDICOS (PAPEL CIRÚRGICO, ESCOVA PARA LIMPEZA DE MATERIAIS, EMBALAGEM DESCARTÁVEIS PARA ESTERILIZAÇÃO) VISANDO ATENDER A DEMANDA DOS HOSPITAIS E ESTABELECIMENTOS DA REDE "/>
    <s v="NFOCPO"/>
    <d v="2025-05-16T00:00:00"/>
    <x v="0"/>
    <s v="Cancelada"/>
    <s v="Cancelado"/>
    <s v="Item não atualizado"/>
    <m/>
    <s v="Cancelado"/>
    <s v="SEI não localizado"/>
    <m/>
    <m/>
  </r>
  <r>
    <x v="678"/>
    <x v="0"/>
    <s v="HOSPITAL REGIONAL DO AGRESTE DR.WALDEMIRO FERREIRA"/>
    <s v="Consumo"/>
    <s v="ARP.0019.02.2025.GOV.FES-PE.PE"/>
    <s v="Formação de Registro de Preços para o fornecimento eventual de Dispositivos Médicos do tipo Seringas e Agulhas por meio de Dispensa de licitação com fundamento no art. 75, inc. VIII da Lei nº14.133/21"/>
    <s v="NFOCPO"/>
    <d v="2025-05-16T00:00:00"/>
    <x v="0"/>
    <s v="Cancelada"/>
    <s v="Cancelado"/>
    <s v="Item não atualizado"/>
    <m/>
    <s v="Cancelado"/>
    <s v="SEI não localizado"/>
    <m/>
    <m/>
  </r>
  <r>
    <x v="679"/>
    <x v="0"/>
    <s v="HOSPITAL REGIONAL DO AGRESTE DR.WALDEMIRO FERREIRA"/>
    <s v="Consumo"/>
    <s v="ARP.0094.03.2024.GOV.FES-PE.PE"/>
    <s v="Registro de Preços para o fornecimento eventual de Medicamentos Comprimidos (Grupo 01), visando atender as necessidades dos hospitais e estabelecimentos vinculados à Secretaria Estadual de Saúde de Pernambuco"/>
    <s v="NFOCPO"/>
    <d v="2025-05-16T00:00:00"/>
    <x v="0"/>
    <s v="Cancelada"/>
    <s v="Cancelado"/>
    <s v="Item não atualizado"/>
    <m/>
    <s v="Cancelado"/>
    <s v="SEI não localizado"/>
    <m/>
    <m/>
  </r>
  <r>
    <x v="680"/>
    <x v="0"/>
    <s v="HOSPITAL REGIONAL DO AGRESTE DR.WALDEMIRO FERREIRA"/>
    <s v="Consumo"/>
    <s v="ARP.0061.02.2024.GOV.FES-PE.PE"/>
    <s v="Registro de Preços para o fornecimento eventual de Medicamentos Controlados (grupo 02), conforme especificações e quantitativos previstos no Anexo I do Edital, para atender a demanda dos hospitais e estabelecimentos da rede estadual de saúde de Pernambuco"/>
    <m/>
    <d v="2025-05-16T00:00:00"/>
    <x v="1"/>
    <s v="Autorizada Sucesso"/>
    <s v="Concluído"/>
    <s v="Item atualizado"/>
    <m/>
    <s v="Em andamento"/>
    <m/>
    <m/>
    <m/>
  </r>
  <r>
    <x v="681"/>
    <x v="5"/>
    <s v="HOSPITAL REGIONAL DO AGRESTE DR.WALDEMIRO FERREIRA"/>
    <s v="Consumo"/>
    <s v="ARP.0021.00.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15T00:00:00"/>
    <x v="0"/>
    <s v="Em configuração"/>
    <s v="Cancelar Com o Suporte"/>
    <s v="Item atualizado"/>
    <m/>
    <s v="Cancelar Com o Suporte"/>
    <s v="SEI não localizado"/>
    <m/>
    <m/>
  </r>
  <r>
    <x v="682"/>
    <x v="0"/>
    <s v="HOSPITAL REGIONAL DO AGRESTE DR.WALDEMIRO FERREIRA"/>
    <s v="Consumo"/>
    <s v="ARP.0010.04.2025.GOV.FES-PE.PE"/>
    <s v="REGISTRO DE PREÇOS PARA A EVENTUAL AQUISIÇÃODE DISPOSITIVOS MÉDICOS DO TIPO PRODUTOS MÉDICOS (PAPEL CIRÚRGICO, ESCOVA PARA LIMPEZA DE MATERIAIS, EMBALAGEM DESCARTÁVEIS PARA ESTERILIZAÇÃO) VISANDO ATENDER A DEMANDA DOS HOSPITAIS E ESTABELECIMENTOS DA REDE "/>
    <s v="NFOCPO"/>
    <d v="2025-05-15T00:00:00"/>
    <x v="6"/>
    <s v="Encaminhada para o gestor de ata"/>
    <s v="Em andamento"/>
    <s v="Item não atualizado"/>
    <s v="Jean"/>
    <s v="Em andamento"/>
    <s v="SEI não localizado"/>
    <m/>
    <m/>
  </r>
  <r>
    <x v="683"/>
    <x v="0"/>
    <s v="HOSPITAL REGIONAL DO AGRESTE DR.WALDEMIRO FERREIRA"/>
    <s v="Consumo"/>
    <s v="ARP.0010.02.2025.GOV.FES-PE.PE"/>
    <s v="REGISTRO DE PREÇOS PARA A EVENTUAL AQUISIÇÃODE DISPOSITIVOS MÉDICOS DO TIPO PRODUTOS MÉDICOS (PAPEL CIRÚRGICO, ESCOVA PARA LIMPEZA DE MATERIAIS, EMBALAGEM DESCARTÁVEIS PARA ESTERILIZAÇÃO) VISANDO ATENDER A DEMANDA DOS HOSPITAIS E ESTABELECIMENTOS DA REDE "/>
    <s v="NFOCPO"/>
    <d v="2025-05-15T00:00:00"/>
    <x v="6"/>
    <s v="Encaminhada para o gestor de ata"/>
    <s v="Em andamento"/>
    <s v="Item não atualizado"/>
    <s v="Jean"/>
    <s v="Em andamento"/>
    <s v="SEI não localizado"/>
    <m/>
    <m/>
  </r>
  <r>
    <x v="684"/>
    <x v="0"/>
    <s v="HOSPITAL REGIONAL DO AGRESTE DR.WALDEMIRO FERREIRA"/>
    <s v="Consumo"/>
    <s v="ARP.0010.05.2025.GOV.FES-PE.PE"/>
    <s v="REGISTRO DE PREÇOS PARA A EVENTUAL AQUISIÇÃODE DISPOSITIVOS MÉDICOS DO TIPO PRODUTOS MÉDICOS (PAPEL CIRÚRGICO, ESCOVA PARA LIMPEZA DE MATERIAIS, EMBALAGEM DESCARTÁVEIS PARA ESTERILIZAÇÃO) VISANDO ATENDER A DEMANDA DOS HOSPITAIS E ESTABELECIMENTOS DA REDE "/>
    <s v="NFOCPO"/>
    <d v="2025-05-14T00:00:00"/>
    <x v="0"/>
    <s v="Cancelada"/>
    <s v="Cancelado"/>
    <s v="Item não atualizado"/>
    <m/>
    <s v="Cancelado"/>
    <s v="SEI não localizado"/>
    <m/>
    <m/>
  </r>
  <r>
    <x v="685"/>
    <x v="0"/>
    <s v="HOSPITAL REGIONAL DO AGRESTE DR.WALDEMIRO FERREIRA"/>
    <s v="Consumo"/>
    <s v="ARP.0063.10.2024.GOV.FES-PE.PE"/>
    <s v="Formação de Registro de Preços, por um período de 12 (doze) meses, para eventual aquisição de MATERIAL MÉDICO HOSPITALAR (Grupo 04) visando atender a demanda dos hospitais e estabelecimentos da rede estadual de saúde de Pernambuco."/>
    <m/>
    <d v="2025-05-08T00:00:00"/>
    <x v="1"/>
    <s v="Autorizada Sucesso"/>
    <s v="Concluído"/>
    <s v="Item atualizado"/>
    <m/>
    <s v="Em andamento"/>
    <s v="SEI não localizado"/>
    <m/>
    <m/>
  </r>
  <r>
    <x v="686"/>
    <x v="0"/>
    <s v="HOSPITAL REGIONAL DO AGRESTE DR.WALDEMIRO FERREIRA"/>
    <s v="Consumo"/>
    <s v="ARP.0067.03.2025.GOV.FES-PE.PE"/>
    <s v="FORMAÇÃO DE REGISTRO DE PREÇOS PARA O FORNECIMENTO DE DISPOSITIVOS MÉDICOS, DO TIPO MATERIAIS MÉDICO HOSPITALARES (GRUPO 8), VISANDO ATENDER AS NECESSIDADES DOS HOSPITAIS E ESTABELECIMENTOS VINCULADOS À SECRETARIA ESTADUAL DE SAÚDE DE PERNAMBUCO"/>
    <s v="NFOCPO"/>
    <d v="2025-05-07T00:00:00"/>
    <x v="0"/>
    <s v="Cancelada"/>
    <s v="Cancelado"/>
    <s v="Item não atualizado"/>
    <m/>
    <s v="Cancelado"/>
    <s v="SEI não localizado"/>
    <m/>
    <m/>
  </r>
  <r>
    <x v="687"/>
    <x v="0"/>
    <s v="HOSPITAL REGIONAL DO AGRESTE DR.WALDEMIRO FERREIRA"/>
    <s v="Consumo"/>
    <s v="ARP.0084.02.2024.GOV.FES-PE.PE"/>
    <s v="Registro de Preços para o eventual fornecimento de EQUIPAMENTOS MÉDICO-HOSPITALARES, visando atender as necessidades da Secretaria Estadual de Saúde de Pernambuco (SES/PE), nos termos da legislação vigente e do Documento de Formalização da Demanda present"/>
    <s v="NAMP"/>
    <d v="2025-05-07T00:00:00"/>
    <x v="0"/>
    <s v="Cancelada por fim vigencia ATA"/>
    <s v="Cancelado"/>
    <s v="Item atualizado"/>
    <m/>
    <s v="Cancelado"/>
    <s v="SEI não localizado"/>
    <m/>
    <m/>
  </r>
  <r>
    <x v="688"/>
    <x v="0"/>
    <s v="HOSPITAL REGIONAL DO AGRESTE DR.WALDEMIRO FERREIRA"/>
    <s v="Consumo"/>
    <s v="ARP.0067.03.2025.GOV.FES-PE.PE"/>
    <s v="FORMAÇÃO DE REGISTRO DE PREÇOS PARA O FORNECIMENTO DE DISPOSITIVOS MÉDICOS, DO TIPO MATERIAIS MÉDICO HOSPITALARES (GRUPO 8), VISANDO ATENDER AS NECESSIDADES DOS HOSPITAIS E ESTABELECIMENTOS VINCULADOS À SECRETARIA ESTADUAL DE SAÚDE DE PERNAMBUCO"/>
    <s v="NFOCPO"/>
    <d v="2025-05-07T00:00:00"/>
    <x v="0"/>
    <s v="Cancelada"/>
    <s v="Cancelado"/>
    <s v="Item não atualizado"/>
    <m/>
    <s v="Cancelado"/>
    <s v="SEI não localizado"/>
    <m/>
    <m/>
  </r>
  <r>
    <x v="689"/>
    <x v="5"/>
    <s v="HOSPITAL REGIONAL DO AGRESTE DR.WALDEMIRO FERREIRA"/>
    <s v="Consumo"/>
    <s v="ARP.0017.03.2024.GOV.HOF.PE"/>
    <s v="Registro de Preços para Aquisição de Medicamentos Clínicos Respiratórios para o abastecimento de 12 (doze) meses para atender as necessidades do HOF."/>
    <m/>
    <d v="2025-05-06T00:00:00"/>
    <x v="1"/>
    <s v="Autorizada Sucesso"/>
    <s v="Concluído"/>
    <s v="Item atualizado"/>
    <m/>
    <s v="Em andamento"/>
    <s v="SEI não localizado"/>
    <m/>
    <m/>
  </r>
  <r>
    <x v="690"/>
    <x v="0"/>
    <s v="HOSPITAL REGIONAL DO AGRESTE DR.WALDEMIRO FERREIRA"/>
    <s v="Consumo"/>
    <s v="ARP.0061.00.2024.GOV.FES-PE.PE"/>
    <s v="Registro de Preços para o fornecimento eventual de Medicamentos Controlados (grupo 02), conforme especificações e quantitativos previstos no Anexo I do Edital, para atender a demanda dos hospitais e estabelecimentos da rede estadual de saúde de Pernambuco"/>
    <m/>
    <d v="2025-05-06T00:00:00"/>
    <x v="1"/>
    <s v="Autorizada Sucesso"/>
    <s v="Concluído"/>
    <s v="Item atualizado"/>
    <m/>
    <s v="Em andamento"/>
    <s v="SEI não localizado"/>
    <m/>
    <m/>
  </r>
  <r>
    <x v="691"/>
    <x v="0"/>
    <s v="HOSPITAL REGIONAL DO AGRESTE DR.WALDEMIRO FERREIRA"/>
    <s v="Consumo"/>
    <s v="ARP.0061.00.2024.GOV.FES-PE.PE"/>
    <s v="Registro de Preços para o fornecimento eventual de Medicamentos Controlados (grupo 02), conforme especificações e quantitativos previstos no Anexo I do Edital, para atender a demanda dos hospitais e estabelecimentos da rede estadual de saúde de Pernambuco"/>
    <m/>
    <d v="2025-05-06T00:00:00"/>
    <x v="0"/>
    <s v="Cancelada"/>
    <s v="Cancelado"/>
    <s v="Item não atualizado"/>
    <m/>
    <s v="Cancelado"/>
    <s v="SEI não localizado"/>
    <m/>
    <m/>
  </r>
  <r>
    <x v="692"/>
    <x v="0"/>
    <s v="HOSPITAL REGIONAL DO AGRESTE DR.WALDEMIRO FERREIRA"/>
    <s v="Consumo"/>
    <s v="ARP.0047.00.2025.GOV.FES-PE.PE"/>
    <s v="Registro de Preços para o fornecimento eventual de Dispositivos médicos do Tipo: Reagente para testes Hematológicos, com cessão gratuita de 02 (dois) equipamentos automatizados, sendo 1 (um) principal e outro suporte, com manutenção preventiva e corretiva"/>
    <m/>
    <d v="2025-05-06T00:00:00"/>
    <x v="1"/>
    <s v="Autorizada Sucesso"/>
    <s v="Concluído"/>
    <s v="Item atualizado"/>
    <m/>
    <s v="Concluído"/>
    <s v="Enviado ao NOF"/>
    <s v="2300001209.000033/2025-11"/>
    <m/>
  </r>
  <r>
    <x v="693"/>
    <x v="0"/>
    <s v="HOSPITAL REGIONAL DO AGRESTE DR.WALDEMIRO FERREIRA"/>
    <s v="Consumo"/>
    <s v="ARP.0052.03.2024.GOV.FES-PE.PE"/>
    <s v="Formação de registro de preços para o eventual fornecimento de medicamentos injetáveis (grupo 06), visando atender a demanda dos Hospitais e Estabelecimentos da Rede Estadual de Saúde de Pernambuco"/>
    <m/>
    <d v="2025-05-06T00:00:00"/>
    <x v="1"/>
    <s v="Autorizada Sucesso"/>
    <s v="Concluído"/>
    <s v="Item atualizado"/>
    <m/>
    <s v="Em andamento"/>
    <s v="SEI não localizado"/>
    <m/>
    <m/>
  </r>
  <r>
    <x v="694"/>
    <x v="5"/>
    <s v="HOSPITAL REGIONAL DO AGRESTE DR.WALDEMIRO FERREIRA"/>
    <s v="Consumo"/>
    <s v="ARP.0021.01.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05T00:00:00"/>
    <x v="0"/>
    <s v="Em configuração"/>
    <s v="Cancelar Com o Suporte"/>
    <s v="Item atualizado"/>
    <m/>
    <s v="Cancelar Com o Suporte"/>
    <s v="SEI não localizado"/>
    <m/>
    <m/>
  </r>
  <r>
    <x v="695"/>
    <x v="0"/>
    <s v="HOSPITAL REGIONAL DO AGRESTE DR.WALDEMIRO FERREIRA"/>
    <s v="Consumo"/>
    <s v="ARP.0058.00.2024.GOV.FES-PE.PE"/>
    <s v="Formação de Registro de Preços, por um período de 12 (doze) meses, para eventual aquisição de MATERIAL MÉDICO HOSPITALAR (Grupo 06) visando atender a demanda dos hospitais e estabelecimentos da rede estadual de saúde de Pernambuco."/>
    <m/>
    <d v="2025-05-05T00:00:00"/>
    <x v="1"/>
    <s v="Autorizada Sucesso"/>
    <s v="Concluído"/>
    <s v="Item atualizado"/>
    <m/>
    <s v="Em andamento"/>
    <s v="SEI não localizado"/>
    <m/>
    <m/>
  </r>
  <r>
    <x v="696"/>
    <x v="0"/>
    <s v="HOSPITAL REGIONAL DO AGRESTE DR.WALDEMIRO FERREIRA"/>
    <s v="Consumo"/>
    <s v="ARP.0068.09.2024.GOV.FES-PE.PE"/>
    <s v="REGISTRO DE PREÇO, PARA FORNECIMENTO EVENTUAL DE MOBILIÁRIO HOSPITALAR E EQUIPAMENTO DE LAVANDERIA, VISANDO ATENDER ÀS NECESSIDADES DA SECRETARIA ESTADUAL DE SAÚDE DE PERNAMBUCO (SES/PE) E DAS UNIDADES HOSPITALARES QUE A COMPÕEM."/>
    <m/>
    <d v="2025-04-29T00:00:00"/>
    <x v="0"/>
    <s v="Cancelada por fim vigencia ATA"/>
    <s v="Cancelado"/>
    <s v="Item atualizado"/>
    <m/>
    <s v="Cancelado"/>
    <s v="SEI não localizado"/>
    <m/>
    <m/>
  </r>
  <r>
    <x v="697"/>
    <x v="0"/>
    <s v="HOSPITAL REGIONAL DO AGRESTE DR.WALDEMIRO FERREIRA"/>
    <s v="Consumo"/>
    <s v="ARP.0097.04.2024.GOV.FES-PE.PE"/>
    <s v="Formação de Ata de Registro de Preços para o fornecimento eventual de medicamentos COMPRIMIDOS (Grupo 06), visando atender as necessidades dos Hospitais e estabelecimentos da rede estadual de saúde de Pernambuco."/>
    <m/>
    <d v="2025-04-27T00:00:00"/>
    <x v="1"/>
    <s v="Autorizada Sucesso"/>
    <s v="Concluído"/>
    <s v="Item atualizado"/>
    <m/>
    <s v="Em andamento"/>
    <s v="SEI não localizado"/>
    <m/>
    <m/>
  </r>
  <r>
    <x v="698"/>
    <x v="4"/>
    <s v="HOSPITAL REGIONAL DO AGRESTE DR.WALDEMIRO FERREIRA"/>
    <s v="Consumo"/>
    <s v="ARP.0052.12.2024.GOV.CISAM.PE"/>
    <s v="REGISTRO DE PREÇOS PARA O EVENTUAL FORNECIMENTO DE MEDICAMENTOS PARA O CISAM/UPE E DEMAIS ÓRGÃOS PARTICIPANTES"/>
    <m/>
    <d v="2025-04-27T00:00:00"/>
    <x v="1"/>
    <s v="Autorizada Sucesso"/>
    <s v="Concluído"/>
    <s v="Item atualizado"/>
    <m/>
    <s v="Concluído"/>
    <s v="Enviado ao NOF"/>
    <s v="2300001213.000120/2025-17"/>
    <m/>
  </r>
  <r>
    <x v="699"/>
    <x v="0"/>
    <s v="HOSPITAL REGIONAL DO AGRESTE DR.WALDEMIRO FERREIRA"/>
    <s v="Consumo"/>
    <s v="ARP.0054.04.2025.GOV.FES-PE.PE"/>
    <s v="Formação de Registro de Preços para Eventual Fornecimento de Dispositivos Médicos do tipo: Antissépticos, Desinfetantes e Saneantes e Cal sodada"/>
    <s v="NAMP"/>
    <d v="2025-04-27T00:00:00"/>
    <x v="6"/>
    <s v="Encaminhada para o gestor de ata"/>
    <s v="Em andamento"/>
    <s v="Item não atualizado"/>
    <s v="Raquel"/>
    <s v="Em andamento"/>
    <s v="SEI não localizado"/>
    <m/>
    <m/>
  </r>
  <r>
    <x v="700"/>
    <x v="35"/>
    <s v="HOSPITAL REGIONAL DO AGRESTE DR.WALDEMIRO FERREIRA"/>
    <s v="Consumo"/>
    <s v="ARP.0002.00.2025.GOV.SES.PE"/>
    <s v="Formação de Registro de Preço para o fornecimento eventual de medicamentos análogos a Insulina Regular e NPH por meio de Dispensa de licitação com fundamento no art. 75, inc. VIII da Lei nº 14.133/21."/>
    <s v="NFOCPO"/>
    <d v="2025-04-23T00:00:00"/>
    <x v="6"/>
    <s v="Encaminhada para o gestor de ata"/>
    <s v="Em andamento"/>
    <s v="Item não atualizado"/>
    <s v="Raquel"/>
    <s v="Em andamento"/>
    <s v="SEI não localizado"/>
    <m/>
    <m/>
  </r>
  <r>
    <x v="701"/>
    <x v="4"/>
    <s v="HOSPITAL REGIONAL DO AGRESTE DR.WALDEMIRO FERREIRA"/>
    <s v="Consumo"/>
    <s v="ARP.0052.11.2024.GOV.CISAM.PE"/>
    <s v="REGISTRO DE PREÇOS PARA O EVENTUAL FORNECIMENTO DE MEDICAMENTOS PARA O CISAM/UPE E DEMAIS ÓRGÃOS PARTICIPANTES"/>
    <m/>
    <d v="2025-04-23T00:00:00"/>
    <x v="1"/>
    <s v="Autorizada Sucesso"/>
    <s v="Concluído"/>
    <s v="Item atualizado"/>
    <m/>
    <s v="Em andamento"/>
    <s v="SEI não localizado"/>
    <m/>
    <m/>
  </r>
  <r>
    <x v="702"/>
    <x v="4"/>
    <s v="HOSPITAL REGIONAL DO AGRESTE DR.WALDEMIRO FERREIRA"/>
    <s v="Consumo"/>
    <s v="ARP.0052.11.2024.GOV.CISAM.PE"/>
    <s v="REGISTRO DE PREÇOS PARA O EVENTUAL FORNECIMENTO DE MEDICAMENTOS PARA O CISAM/UPE E DEMAIS ÓRGÃOS PARTICIPANTES"/>
    <m/>
    <d v="2025-04-23T00:00:00"/>
    <x v="1"/>
    <s v="Autorizada Sucesso"/>
    <s v="Concluído"/>
    <s v="Item atualizado"/>
    <m/>
    <s v="Em andamento"/>
    <s v="SEI não localizado"/>
    <m/>
    <m/>
  </r>
  <r>
    <x v="703"/>
    <x v="0"/>
    <s v="HOSPITAL REGIONAL DO AGRESTE DR.WALDEMIRO FERREIRA"/>
    <s v="Consumo"/>
    <s v="ARP.0050.00.2025.GOV.FES-PE.PE"/>
    <s v="FORMAÇÃO DE REGISTRO DE PREÇOS PARA O FORNECIMENTO EVENTUAL DE MACAS HOSPITALARES PARA TRANSPORTES DE PACIENTES, VISANDO ATENDER AS NECESSIDADES DOS HOSPITAIS E ESTABELECIMENTOS VINCULADOS À SECRETARIA ESTADUAL DE SAÚDE"/>
    <m/>
    <d v="2025-04-23T00:00:00"/>
    <x v="0"/>
    <s v="Cancelada"/>
    <s v="Cancelado"/>
    <s v="Item não atualizado"/>
    <m/>
    <s v="Cancelado"/>
    <s v="SEI não localizado"/>
    <m/>
    <m/>
  </r>
  <r>
    <x v="704"/>
    <x v="0"/>
    <s v="HOSPITAL REGIONAL DO AGRESTE DR.WALDEMIRO FERREIRA"/>
    <s v="Consumo"/>
    <s v="ARP.0063.00.2024.GOV.FES-PE.PE"/>
    <s v="Formação de Registro de Preços, por um período de 12 (doze) meses, para eventual aquisição de MATERIAL MÉDICO HOSPITALAR (Grupo 04) visando atender a demanda dos hospitais e estabelecimentos da rede estadual de saúde de Pernambuco."/>
    <m/>
    <d v="2025-04-16T00:00:00"/>
    <x v="0"/>
    <s v="Cancelada por fim vigencia ATA"/>
    <s v="Cancelado"/>
    <s v="Item atualizado"/>
    <m/>
    <s v="Cancelado"/>
    <s v="SEI não localizado"/>
    <m/>
    <m/>
  </r>
  <r>
    <x v="705"/>
    <x v="5"/>
    <s v="HOSPITAL REGIONAL DO AGRESTE DR.WALDEMIRO FERREIRA"/>
    <s v="Consumo"/>
    <s v="ARP.0021.12.2024.GOV.HOF.PE"/>
    <s v="Formação de Registro de Preços para o fornecimento eventual de Material Médico Hospitalar INSUMOS PARA HIGIENE E PROTEÇÃO, visando atender a necessidade do do Hospital Otávio de Freitas (HOF), Hospital Regional do Agreste (HRA), Hospital Getúlio Vargas (H"/>
    <m/>
    <d v="2025-04-16T00:00:00"/>
    <x v="1"/>
    <s v="Autorizada Sucesso"/>
    <s v="Concluído"/>
    <s v="Item atualizado"/>
    <m/>
    <s v="Em andamento"/>
    <s v="Enviado ao JURIDICO"/>
    <s v="2300001213.000080/2025-03"/>
    <m/>
  </r>
  <r>
    <x v="706"/>
    <x v="22"/>
    <s v="HOSPITAL REGIONAL DO AGRESTE DR.WALDEMIRO FERREIRA"/>
    <s v="Consumo"/>
    <s v="ARPC.0006.00.2025.GOV.SAD.PE"/>
    <s v="Formação de Ata de Registro de Preços Corporativa para a eventual prestação de serviços de locação de viaturas, do tipo motocicleta, caracterizada e descaracterizada, classificação VS-2, conforme especificações e quantitativos previstos no Termo de Referê"/>
    <m/>
    <d v="2025-04-15T00:00:00"/>
    <x v="0"/>
    <s v="Cancelada"/>
    <s v="Cancelado"/>
    <s v="Item não atualizado"/>
    <m/>
    <s v="Cancelado"/>
    <s v="SEI não localizado"/>
    <m/>
    <m/>
  </r>
  <r>
    <x v="707"/>
    <x v="0"/>
    <s v="HOSPITAL REGIONAL DO AGRESTE DR.WALDEMIRO FERREIRA"/>
    <s v="Consumo"/>
    <s v="ARP.0053.05.2025.GOV.FES-PE.PE"/>
    <s v="Formação de Ata de Registro de Preços para o fornecimento eventual de Dispositivos Médicos do Tipo: Diversos visando atender as necessidades dos hospitais e estabelecimentos da rede estadual de saúde de Pernambuco"/>
    <s v="NFOCPO"/>
    <d v="2025-04-15T00:00:00"/>
    <x v="6"/>
    <s v="Encaminhada para o gestor de ata"/>
    <s v="Em andamento"/>
    <s v="Item não atualizado"/>
    <s v="Jean"/>
    <s v="Em andamento"/>
    <s v="SEI não localizado"/>
    <m/>
    <m/>
  </r>
  <r>
    <x v="708"/>
    <x v="0"/>
    <s v="HOSPITAL REGIONAL DO AGRESTE DR.WALDEMIRO FERREIRA"/>
    <s v="Consumo"/>
    <s v="ARP.0049.00.2024.GOV.FES-PE.PE"/>
    <s v="Formação de Registro de Preços para o fornecimento eventual de Medicamentos Injetáveis (grupo 07), conforme especificações e quantitativos previstos no Anexo I do Edital, para atender a demanda dos hospitais e estabelecimentos da rede estadual de saúde de"/>
    <m/>
    <d v="2025-04-14T00:00:00"/>
    <x v="0"/>
    <s v="Cancelada"/>
    <s v="Cancelado"/>
    <s v="Item não atualizado"/>
    <m/>
    <s v="Cancelado"/>
    <s v="SEI não localizado"/>
    <m/>
    <m/>
  </r>
  <r>
    <x v="709"/>
    <x v="20"/>
    <s v="HOSPITAL REGIONAL DO AGRESTE DR.WALDEMIRO FERREIRA"/>
    <s v="Consumo"/>
    <s v="ARP.0003.00.2025.GOV.DASIS.PE"/>
    <s v="Registro de Preços para contratação eventual de prestação de serviços de esterilização, reesterilização e /ou processamento de artigos médicos hospitalares, visando atender as necessidades do Centro Médico Hospitalar da PMPE/CBMPE e do Hospital Regional d"/>
    <m/>
    <d v="2025-04-14T00:00:00"/>
    <x v="1"/>
    <s v="Autorizada Sucesso"/>
    <s v="Concluído"/>
    <s v="Item atualizado"/>
    <m/>
    <s v="Em andamento"/>
    <s v="SEI não localizado"/>
    <m/>
    <m/>
  </r>
  <r>
    <x v="710"/>
    <x v="0"/>
    <s v="HOSPITAL REGIONAL DO AGRESTE DR.WALDEMIRO FERREIRA"/>
    <s v="Consumo"/>
    <s v="ARP.0046.01.2024.GOV.FES-PE.PE"/>
    <s v="Registro de Preços para a eventual aquisição de Medicamentos Injetáveis (grupo 05) visando atender a demanda dos hospitais e estabelecimentos da rede estadual de saúde de Pernambuco"/>
    <m/>
    <d v="2025-04-14T00:00:00"/>
    <x v="1"/>
    <s v="Autorizada Sucesso"/>
    <s v="Concluído"/>
    <s v="Item atualizado"/>
    <m/>
    <s v="Em andamento"/>
    <s v="SEI não localizado"/>
    <m/>
    <m/>
  </r>
  <r>
    <x v="711"/>
    <x v="0"/>
    <s v="HOSPITAL REGIONAL DO AGRESTE DR.WALDEMIRO FERREIRA"/>
    <s v="Consumo"/>
    <s v="ARP.0046.02.2024.GOV.FES-PE.PE"/>
    <s v="Registro de Preços para a eventual aquisição de Medicamentos Injetáveis (grupo 05) visando atender a demanda dos hospitais e estabelecimentos da rede estadual de saúde de Pernambuco"/>
    <m/>
    <d v="2025-04-14T00:00:00"/>
    <x v="1"/>
    <s v="Autorizada Sucesso"/>
    <s v="Concluído"/>
    <s v="Item atualizado"/>
    <m/>
    <s v="Em andamento"/>
    <s v="SEI não localizado"/>
    <m/>
    <m/>
  </r>
  <r>
    <x v="712"/>
    <x v="0"/>
    <s v="HOSPITAL REGIONAL DO AGRESTE DR.WALDEMIRO FERREIRA"/>
    <s v="Consumo"/>
    <s v="ARP.0044.04.2025.GOV.FES-PE.PE"/>
    <s v="Formação de Registro de Preços para o fornecimento eventual de dispositivos médicos do Tipo DRENOS visando atender as necessidades dos hospitais e estabelecimentos vinculados à Secretaria Estadual de Saúde de Pernambuco, conforme as condições, especificaç"/>
    <m/>
    <d v="2025-04-14T00:00:00"/>
    <x v="1"/>
    <s v="Autorizada Sucesso"/>
    <s v="Concluído"/>
    <s v="Item atualizado"/>
    <m/>
    <s v="Em andamento"/>
    <s v="SEI não localizado"/>
    <m/>
    <m/>
  </r>
  <r>
    <x v="713"/>
    <x v="0"/>
    <s v="HOSPITAL REGIONAL DO AGRESTE DR.WALDEMIRO FERREIRA"/>
    <s v="Consumo"/>
    <s v="ARP.0059.02.2025.GOV.FES-PE.PE"/>
    <s v="FORMAÇÃO DE REGISTRO DE PREÇOS PARA O FORNECIMENTO DE DISPOSITIVOS MÉDICOS, DO TIPO BOLSAS PARA OSTOMIA, VISANDO ATENDER AS NECESSIDADES DOS HOSPITAIS E ESTABELECIMENTOS VINCULADOS À SECRETARIA ESTADUAL DE SAÚDE DE PERNAMBUCO."/>
    <s v="NAEN"/>
    <d v="2025-04-10T00:00:00"/>
    <x v="1"/>
    <s v="Autorizada Sucesso"/>
    <s v="Concluído"/>
    <s v="Item atualizado"/>
    <m/>
    <s v="Concluído"/>
    <s v="Enviado ao NOF"/>
    <s v="2300001213.000122/2025-06"/>
    <m/>
  </r>
  <r>
    <x v="714"/>
    <x v="20"/>
    <s v="HOSPITAL REGIONAL DO AGRESTE DR.WALDEMIRO FERREIRA"/>
    <s v="Consumo"/>
    <s v="ARP.0003.00.2025.GOV.DASIS.PE"/>
    <s v="Registro de Preços para contratação eventual de prestação de serviços de esterilização, reesterilização e /ou processamento de artigos médicos hospitalares, visando atender as necessidades do Centro Médico Hospitalar da PMPE/CBMPE e do Hospital Regional d"/>
    <s v="NAEN"/>
    <d v="2025-04-09T00:00:00"/>
    <x v="0"/>
    <s v="Em configuração"/>
    <s v="Cancelar Com o Suporte"/>
    <s v="Item atualizado"/>
    <m/>
    <s v="Cancelar Com o Suporte"/>
    <s v="SEI não localizado"/>
    <m/>
    <m/>
  </r>
  <r>
    <x v="715"/>
    <x v="0"/>
    <s v="HOSPITAL REGIONAL DO AGRESTE DR.WALDEMIRO FERREIRA"/>
    <s v="Consumo"/>
    <s v="ARP.0059.00.2025.GOV.FES-PE.PE"/>
    <s v="FORMAÇÃO DE REGISTRO DE PREÇOS PARA O FORNECIMENTO DE DISPOSITIVOS MÉDICOS, DO TIPO BOLSAS PARA OSTOMIA, VISANDO ATENDER AS NECESSIDADES DOS HOSPITAIS E ESTABELECIMENTOS VINCULADOS À SECRETARIA ESTADUAL DE SAÚDE DE PERNAMBUCO."/>
    <s v="NAEN"/>
    <d v="2025-04-09T00:00:00"/>
    <x v="1"/>
    <s v="Autorizada Sucesso"/>
    <s v="Concluído"/>
    <s v="Item atualizado"/>
    <m/>
    <s v="Concluído"/>
    <s v="Enviado ao NOF"/>
    <s v="2300001213.000075/2025-92"/>
    <m/>
  </r>
  <r>
    <x v="716"/>
    <x v="5"/>
    <s v="HOSPITAL REGIONAL DO AGRESTE DR.WALDEMIRO FERREIRA"/>
    <s v="Consumo"/>
    <s v="ARP.0021.03.2024.GOV.HOF.PE"/>
    <s v="Formação de Registro de Preços para o fornecimento eventual de Material Médico Hospitalar INSUMOS PARA HIGIENE E PROTEÇÃO, visando atender a necessidade do do Hospital Otávio de Freitas (HOF), Hospital Regional do Agreste (HRA), Hospital Getúlio Vargas (H"/>
    <m/>
    <d v="2025-04-09T00:00:00"/>
    <x v="1"/>
    <s v="Autorizada Sucesso"/>
    <s v="Concluído"/>
    <s v="Item atualizado"/>
    <m/>
    <s v="Em andamento"/>
    <s v="SEI não localizado"/>
    <m/>
    <m/>
  </r>
  <r>
    <x v="717"/>
    <x v="0"/>
    <s v="HOSPITAL REGIONAL DO AGRESTE DR.WALDEMIRO FERREIRA"/>
    <s v="Consumo"/>
    <s v="ARP.0010.05.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4-09T00:00:00"/>
    <x v="1"/>
    <s v="Autorizada Sucesso"/>
    <s v="Concluído"/>
    <s v="Item atualizado"/>
    <m/>
    <s v="Em andamento"/>
    <s v="SEI não localizado"/>
    <m/>
    <m/>
  </r>
  <r>
    <x v="718"/>
    <x v="0"/>
    <s v="HOSPITAL REGIONAL DO AGRESTE DR.WALDEMIRO FERREIRA"/>
    <s v="Consumo"/>
    <s v="ARP.0010.01.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4-09T00:00:00"/>
    <x v="0"/>
    <s v="Cancelada"/>
    <s v="Cancelado"/>
    <s v="Item não atualizado"/>
    <m/>
    <s v="Cancelado"/>
    <s v="SEI não localizado"/>
    <m/>
    <m/>
  </r>
  <r>
    <x v="719"/>
    <x v="5"/>
    <s v="HOSPITAL REGIONAL DO AGRESTE DR.WALDEMIRO FERREIRA"/>
    <s v="Consumo"/>
    <s v="ARP.0021.00.2024.GOV.HOF.PE"/>
    <s v="Formação de Registro de Preços para o fornecimento eventual de Material Médico Hospitalar INSUMOS PARA HIGIENE E PROTEÇÃO, visando atender a necessidade do do Hospital Otávio de Freitas (HOF), Hospital Regional do Agreste (HRA), Hospital Getúlio Vargas (H"/>
    <m/>
    <d v="2025-04-09T00:00:00"/>
    <x v="1"/>
    <s v="Autorizada Sucesso"/>
    <s v="Concluído"/>
    <s v="Item atualizado"/>
    <m/>
    <s v="Concluído"/>
    <s v="Enviado ao NOF"/>
    <s v="2300001213.000073/2025-01"/>
    <m/>
  </r>
  <r>
    <x v="720"/>
    <x v="0"/>
    <s v="HOSPITAL REGIONAL DO AGRESTE DR.WALDEMIRO FERREIRA"/>
    <s v="Consumo"/>
    <s v="ARP.0017.02.2025.GOV.FES-PE.PE"/>
    <s v="Formação de Registro de Preços para o fornecimento eventual de Medicamentos do tipo Diversos – Grupo 01, a fim de atender as necessidades dos hospitais e estabelecimentos vinculados à SES/PE"/>
    <s v="NFOCPO"/>
    <d v="2025-04-08T00:00:00"/>
    <x v="0"/>
    <s v="Em revisão"/>
    <s v="Cancelar Com o Suporte"/>
    <s v="Item atualizado"/>
    <m/>
    <s v="Cancelar Com o Suporte"/>
    <s v="SEI não localizado"/>
    <m/>
    <m/>
  </r>
  <r>
    <x v="721"/>
    <x v="0"/>
    <s v="HOSPITAL REGIONAL DO AGRESTE DR.WALDEMIRO FERREIRA"/>
    <s v="Consumo"/>
    <s v="ARP.0052.07.2025.GOV.FES-PE.PE"/>
    <s v="Fornecimento eventual de Medicamentos Injetáveis – Grupo 02 com a finalidade de atender às necessidades dos hospitais e estabelecimentos vinculados à Secretaria Estadual de Saúde de Pernambuco"/>
    <s v="NFOCPO"/>
    <d v="2025-04-04T00:00:00"/>
    <x v="6"/>
    <s v="Encaminhada para o gestor de ata"/>
    <s v="Em andamento"/>
    <s v="Item não atualizado"/>
    <s v="Raquel"/>
    <s v="Em andamento"/>
    <s v="SEI não localizado"/>
    <m/>
    <m/>
  </r>
  <r>
    <x v="722"/>
    <x v="0"/>
    <s v="HOSPITAL REGIONAL DO AGRESTE DR.WALDEMIRO FERREIRA"/>
    <s v="Consumo"/>
    <s v="ARP.0052.06.2025.GOV.FES-PE.PE"/>
    <s v="Fornecimento eventual de Medicamentos Injetáveis – Grupo 02 com a finalidade de atender às necessidades dos hospitais e estabelecimentos vinculados à Secretaria Estadual de Saúde de Pernambuco"/>
    <s v="NFOCPO"/>
    <d v="2025-04-04T00:00:00"/>
    <x v="0"/>
    <s v="Em revisão"/>
    <s v="Cancelar Com o Suporte"/>
    <s v="Item atualizado"/>
    <m/>
    <s v="Cancelar Com o Suporte"/>
    <s v="SEI não localizado"/>
    <m/>
    <m/>
  </r>
  <r>
    <x v="723"/>
    <x v="0"/>
    <s v="HOSPITAL REGIONAL DO AGRESTE DR.WALDEMIRO FERREIRA"/>
    <s v="Consumo"/>
    <s v="ARP.0052.05.2025.GOV.FES-PE.PE"/>
    <s v="Fornecimento eventual de Medicamentos Injetáveis – Grupo 02 com a finalidade de atender às necessidades dos hospitais e estabelecimentos vinculados à Secretaria Estadual de Saúde de Pernambuco"/>
    <s v="NFOCPO"/>
    <d v="2025-04-04T00:00:00"/>
    <x v="0"/>
    <s v="Cancelada"/>
    <s v="Cancelado"/>
    <s v="Item não atualizado"/>
    <m/>
    <s v="Cancelado"/>
    <s v="SEI não localizado"/>
    <m/>
    <m/>
  </r>
  <r>
    <x v="724"/>
    <x v="0"/>
    <s v="HOSPITAL REGIONAL DO AGRESTE DR.WALDEMIRO FERREIRA"/>
    <s v="Consumo"/>
    <s v="ARP.0052.04.2025.GOV.FES-PE.PE"/>
    <s v="Fornecimento eventual de Medicamentos Injetáveis – Grupo 02 com a finalidade de atender às necessidades dos hospitais e estabelecimentos vinculados à Secretaria Estadual de Saúde de Pernambuco"/>
    <s v="NFOCPO"/>
    <d v="2025-04-04T00:00:00"/>
    <x v="0"/>
    <s v="Cancelada"/>
    <s v="Cancelado"/>
    <s v="Item não atualizado"/>
    <m/>
    <s v="Cancelado"/>
    <s v="SEI não localizado"/>
    <m/>
    <m/>
  </r>
  <r>
    <x v="725"/>
    <x v="0"/>
    <s v="HOSPITAL REGIONAL DO AGRESTE DR.WALDEMIRO FERREIRA"/>
    <s v="Consumo"/>
    <s v="ARP.0052.03.2025.GOV.FES-PE.PE"/>
    <s v="Fornecimento eventual de Medicamentos Injetáveis – Grupo 02 com a finalidade de atender às necessidades dos hospitais e estabelecimentos vinculados à Secretaria Estadual de Saúde de Pernambuco"/>
    <s v="NFOCPO"/>
    <d v="2025-04-04T00:00:00"/>
    <x v="0"/>
    <s v="Cancelada"/>
    <s v="Cancelado"/>
    <s v="Item não atualizado"/>
    <m/>
    <s v="Cancelado"/>
    <s v="SEI não localizado"/>
    <m/>
    <m/>
  </r>
  <r>
    <x v="726"/>
    <x v="0"/>
    <s v="HOSPITAL REGIONAL DO AGRESTE DR.WALDEMIRO FERREIRA"/>
    <s v="Consumo"/>
    <s v="ARP.0052.02.2025.GOV.FES-PE.PE"/>
    <s v="Fornecimento eventual de Medicamentos Injetáveis – Grupo 02 com a finalidade de atender às necessidades dos hospitais e estabelecimentos vinculados à Secretaria Estadual de Saúde de Pernambuco"/>
    <s v="NFOCPO"/>
    <d v="2025-04-04T00:00:00"/>
    <x v="0"/>
    <s v="Cancelada"/>
    <s v="Cancelado"/>
    <s v="Item não atualizado"/>
    <m/>
    <s v="Cancelado"/>
    <s v="SEI não localizado"/>
    <m/>
    <m/>
  </r>
  <r>
    <x v="727"/>
    <x v="0"/>
    <s v="HOSPITAL REGIONAL DO AGRESTE DR.WALDEMIRO FERREIRA"/>
    <s v="Consumo"/>
    <s v="ARP.0052.01.2025.GOV.FES-PE.PE"/>
    <s v="Fornecimento eventual de Medicamentos Injetáveis – Grupo 02 com a finalidade de atender às necessidades dos hospitais e estabelecimentos vinculados à Secretaria Estadual de Saúde de Pernambuco"/>
    <s v="NFOCPO"/>
    <d v="2025-04-04T00:00:00"/>
    <x v="0"/>
    <s v="Em revisão"/>
    <s v="Cancelar Com o Suporte"/>
    <s v="Item atualizado"/>
    <m/>
    <s v="Cancelar Com o Suporte"/>
    <s v="SEI não localizado"/>
    <m/>
    <m/>
  </r>
  <r>
    <x v="728"/>
    <x v="0"/>
    <s v="HOSPITAL REGIONAL DO AGRESTE DR.WALDEMIRO FERREIRA"/>
    <s v="Consumo"/>
    <s v="ARP.0052.00.2025.GOV.FES-PE.PE"/>
    <s v="Fornecimento eventual de Medicamentos Injetáveis – Grupo 02 com a finalidade de atender às necessidades dos hospitais e estabelecimentos vinculados à Secretaria Estadual de Saúde de Pernambuco"/>
    <s v="NFOCPO"/>
    <d v="2025-04-04T00:00:00"/>
    <x v="0"/>
    <s v="Cancelada"/>
    <s v="Cancelado"/>
    <s v="Item não atualizado"/>
    <m/>
    <s v="Cancelado"/>
    <s v="SEI não localizado"/>
    <m/>
    <m/>
  </r>
  <r>
    <x v="729"/>
    <x v="0"/>
    <s v="HOSPITAL REGIONAL DO AGRESTE DR.WALDEMIRO FERREIRA"/>
    <s v="Consumo"/>
    <s v="ARP.0043.04.2025.GOV.FES-PE.PE"/>
    <s v="Formação de Registro de Preços para o fornecimento eventual de Medicamentos do tipo Diversos – Grupo 02 para atender às necessidades dos hospitais e estabelecimentos vinculados à SES/PE"/>
    <s v="NFOCPO"/>
    <d v="2025-04-04T00:00:00"/>
    <x v="0"/>
    <s v="Em revisão"/>
    <s v="Cancelar Com o Suporte"/>
    <s v="Item atualizado"/>
    <m/>
    <s v="Cancelar Com o Suporte"/>
    <s v="SEI não localizado"/>
    <m/>
    <m/>
  </r>
  <r>
    <x v="730"/>
    <x v="0"/>
    <s v="HOSPITAL REGIONAL DO AGRESTE DR.WALDEMIRO FERREIRA"/>
    <s v="Consumo"/>
    <s v="ARP.0043.03.2025.GOV.FES-PE.PE"/>
    <s v="Formação de Registro de Preços para o fornecimento eventual de Medicamentos do tipo Diversos – Grupo 02 para atender às necessidades dos hospitais e estabelecimentos vinculados à SES/PE"/>
    <s v="NFOCPO"/>
    <d v="2025-04-04T00:00:00"/>
    <x v="0"/>
    <s v="Em revisão"/>
    <s v="Cancelar Com o Suporte"/>
    <s v="Item atualizado"/>
    <m/>
    <s v="Cancelar Com o Suporte"/>
    <s v="SEI não localizado"/>
    <m/>
    <m/>
  </r>
  <r>
    <x v="731"/>
    <x v="0"/>
    <s v="HOSPITAL REGIONAL DO AGRESTE DR.WALDEMIRO FERREIRA"/>
    <s v="Consumo"/>
    <s v="ARP.0043.02.2025.GOV.FES-PE.PE"/>
    <s v="Formação de Registro de Preços para o fornecimento eventual de Medicamentos do tipo Diversos – Grupo 02 para atender às necessidades dos hospitais e estabelecimentos vinculados à SES/PE"/>
    <s v="NFOCPO"/>
    <d v="2025-04-04T00:00:00"/>
    <x v="0"/>
    <s v="Em revisão"/>
    <s v="Cancelar Com o Suporte"/>
    <s v="Item atualizado"/>
    <m/>
    <s v="Cancelar Com o Suporte"/>
    <s v="SEI não localizado"/>
    <m/>
    <m/>
  </r>
  <r>
    <x v="732"/>
    <x v="0"/>
    <s v="HOSPITAL REGIONAL DO AGRESTE DR.WALDEMIRO FERREIRA"/>
    <s v="Consumo"/>
    <s v="ARP.0043.01.2025.GOV.FES-PE.PE"/>
    <s v="Formação de Registro de Preços para o fornecimento eventual de Medicamentos do tipo Diversos – Grupo 02 para atender às necessidades dos hospitais e estabelecimentos vinculados à SES/PE"/>
    <s v="NFOCPO"/>
    <d v="2025-04-04T00:00:00"/>
    <x v="0"/>
    <s v="Em revisão"/>
    <s v="Cancelar Com o Suporte"/>
    <s v="Item atualizado"/>
    <m/>
    <s v="Cancelar Com o Suporte"/>
    <s v="SEI não localizado"/>
    <m/>
    <m/>
  </r>
  <r>
    <x v="733"/>
    <x v="0"/>
    <s v="HOSPITAL REGIONAL DO AGRESTE DR.WALDEMIRO FERREIRA"/>
    <s v="Consumo"/>
    <s v="ARP.0043.00.2025.GOV.FES-PE.PE"/>
    <s v="Formação de Registro de Preços para o fornecimento eventual de Medicamentos do tipo Diversos – Grupo 02 para atender às necessidades dos hospitais e estabelecimentos vinculados à SES/PE"/>
    <s v="NFOCPO"/>
    <d v="2025-04-04T00:00:00"/>
    <x v="0"/>
    <s v="Cancelada"/>
    <s v="Cancelado"/>
    <s v="Item não atualizado"/>
    <m/>
    <s v="Cancelado"/>
    <s v="SEI não localizado"/>
    <m/>
    <m/>
  </r>
  <r>
    <x v="734"/>
    <x v="22"/>
    <s v="HOSPITAL REGIONAL DO AGRESTE DR.WALDEMIRO FERREIRA"/>
    <s v="Consumo"/>
    <s v="ARPC.0019.00.2024.GOV.SAD.PE"/>
    <s v="Formação de Registro de Preços Corporativo para o eventual fornecimento de aparelhos condicionadores de ar, visando atender as necessidades dos órgãos da Administração Direta, Autarquias e Fundações Públicas Integrantes do Poder Executivo do estado de Per"/>
    <m/>
    <d v="2025-04-04T00:00:00"/>
    <x v="0"/>
    <s v="Cancelada por fim vigencia ATA"/>
    <s v="Cancelado"/>
    <s v="Item atualizado"/>
    <m/>
    <s v="Cancelado"/>
    <s v="SEI não localizado"/>
    <m/>
    <m/>
  </r>
  <r>
    <x v="735"/>
    <x v="0"/>
    <s v="HOSPITAL REGIONAL DO AGRESTE DR.WALDEMIRO FERREIRA"/>
    <s v="Consumo"/>
    <s v="ARP.0036.10.2025.GOV.FES-PE.PE"/>
    <s v="Formação de Registro de Preços para o fornecimento eventual de Medicamentos Injetáveis – Grupo 01 com a finalidade de atender às necessidades dos hospitais e estabelecimentos vinculados à Secretaria E"/>
    <m/>
    <d v="2025-04-03T00:00:00"/>
    <x v="1"/>
    <s v="Autorizada Sucesso"/>
    <s v="Concluído"/>
    <s v="Item atualizado"/>
    <m/>
    <s v="Em andamento"/>
    <s v="SEI não localizado"/>
    <m/>
    <m/>
  </r>
  <r>
    <x v="736"/>
    <x v="0"/>
    <s v="HOSPITAL REGIONAL DO AGRESTE DR.WALDEMIRO FERREIRA"/>
    <s v="Consumo"/>
    <s v="ARP.0036.09.2025.GOV.FES-PE.PE"/>
    <s v="Formação de Registro de Preços para o fornecimento eventual de Medicamentos Injetáveis – Grupo 01 com a finalidade de atender às necessidades dos hospitais e estabelecimentos vinculados à Secretaria E"/>
    <s v="NFOCPO"/>
    <d v="2025-04-03T00:00:00"/>
    <x v="0"/>
    <s v="Cancelada"/>
    <s v="Cancelado"/>
    <s v="Item não atualizado"/>
    <m/>
    <s v="Cancelado"/>
    <s v="SEI não localizado"/>
    <m/>
    <m/>
  </r>
  <r>
    <x v="737"/>
    <x v="0"/>
    <s v="HOSPITAL REGIONAL DO AGRESTE DR.WALDEMIRO FERREIRA"/>
    <s v="Consumo"/>
    <s v="ARP.0036.08.2025.GOV.FES-PE.PE"/>
    <s v="Formação de Registro de Preços para o fornecimento eventual de Medicamentos Injetáveis – Grupo 01 com a finalidade de atender às necessidades dos hospitais e estabelecimentos vinculados à Secretaria E"/>
    <s v="NFOCPO"/>
    <d v="2025-04-03T00:00:00"/>
    <x v="0"/>
    <s v="Cancelada"/>
    <s v="Cancelado"/>
    <s v="Item não atualizado"/>
    <m/>
    <s v="Cancelado"/>
    <s v="SEI não localizado"/>
    <m/>
    <m/>
  </r>
  <r>
    <x v="738"/>
    <x v="0"/>
    <s v="HOSPITAL REGIONAL DO AGRESTE DR.WALDEMIRO FERREIRA"/>
    <s v="Consumo"/>
    <s v="ARP.0036.07.2025.GOV.FES-PE.PE"/>
    <s v="Formação de Registro de Preços para o fornecimento eventual de Medicamentos Injetáveis – Grupo 01 com a finalidade de atender às necessidades dos hospitais e estabelecimentos vinculados à Secretaria E"/>
    <s v="NFOCPO"/>
    <d v="2025-04-03T00:00:00"/>
    <x v="0"/>
    <s v="Em revisão"/>
    <s v="Cancelar Com o Suporte"/>
    <s v="Item atualizado"/>
    <m/>
    <s v="Cancelar Com o Suporte"/>
    <s v="SEI não localizado"/>
    <m/>
    <m/>
  </r>
  <r>
    <x v="739"/>
    <x v="0"/>
    <s v="HOSPITAL REGIONAL DO AGRESTE DR.WALDEMIRO FERREIRA"/>
    <s v="Consumo"/>
    <s v="ARP.0036.06.2025.GOV.FES-PE.PE"/>
    <s v="Formação de Registro de Preços para o fornecimento eventual de Medicamentos Injetáveis – Grupo 01 com a finalidade de atender às necessidades dos hospitais e estabelecimentos vinculados à Secretaria E"/>
    <s v="NFOCPO"/>
    <d v="2025-04-03T00:00:00"/>
    <x v="0"/>
    <s v="Em revisão"/>
    <s v="Cancelar Com o Suporte"/>
    <s v="Item atualizado"/>
    <m/>
    <s v="Cancelar Com o Suporte"/>
    <s v="SEI não localizado"/>
    <m/>
    <m/>
  </r>
  <r>
    <x v="740"/>
    <x v="0"/>
    <s v="HOSPITAL REGIONAL DO AGRESTE DR.WALDEMIRO FERREIRA"/>
    <s v="Consumo"/>
    <s v="ARP.0036.05.2025.GOV.FES-PE.PE"/>
    <s v="Formação de Registro de Preços para o fornecimento eventual de Medicamentos Injetáveis – Grupo 01 com a finalidade de atender às necessidades dos hospitais e estabelecimentos vinculados à Secretaria E"/>
    <s v="NFOCPO"/>
    <d v="2025-04-03T00:00:00"/>
    <x v="0"/>
    <s v="Em revisão"/>
    <s v="Cancelar Com o Suporte"/>
    <s v="Item atualizado"/>
    <m/>
    <s v="Cancelar Com o Suporte"/>
    <s v="SEI não localizado"/>
    <m/>
    <m/>
  </r>
  <r>
    <x v="741"/>
    <x v="0"/>
    <s v="HOSPITAL REGIONAL DO AGRESTE DR.WALDEMIRO FERREIRA"/>
    <s v="Consumo"/>
    <s v="ARP.0036.03.2025.GOV.FES-PE.PE"/>
    <s v="Formação de Registro de Preços para o fornecimento eventual de Medicamentos Injetáveis – Grupo 01 com a finalidade de atender às necessidades dos hospitais e estabelecimentos vinculados à Secretaria E"/>
    <s v="NFOCPO"/>
    <d v="2025-04-03T00:00:00"/>
    <x v="0"/>
    <s v="Em revisão"/>
    <s v="Cancelar Com o Suporte"/>
    <s v="Item atualizado"/>
    <m/>
    <s v="Cancelar Com o Suporte"/>
    <s v="SEI não localizado"/>
    <m/>
    <m/>
  </r>
  <r>
    <x v="742"/>
    <x v="0"/>
    <s v="HOSPITAL REGIONAL DO AGRESTE DR.WALDEMIRO FERREIRA"/>
    <s v="Consumo"/>
    <s v="ARP.0036.01.2025.GOV.FES-PE.PE"/>
    <s v="Formação de Registro de Preços para o fornecimento eventual de Medicamentos Injetáveis – Grupo 01 com a finalidade de atender às necessidades dos hospitais e estabelecimentos vinculados à Secretaria E"/>
    <s v="NFOCPO"/>
    <d v="2025-04-03T00:00:00"/>
    <x v="0"/>
    <s v="Em revisão"/>
    <s v="Cancelar Com o Suporte"/>
    <s v="Item atualizado"/>
    <m/>
    <s v="Cancelar Com o Suporte"/>
    <s v="SEI não localizado"/>
    <m/>
    <m/>
  </r>
  <r>
    <x v="743"/>
    <x v="0"/>
    <s v="HOSPITAL REGIONAL DO AGRESTE DR.WALDEMIRO FERREIRA"/>
    <s v="Consumo"/>
    <s v="ARP.0035.05.2025.GOV.FES-PE.PE"/>
    <s v="Formação de Registro de Preços para o fornecimento eventual de Medicamentos em Comprimido – Grupo 03 com a finalidade de atender às necessidades dos hospitais e estabelecimentos vinculados a SES/PE"/>
    <s v="NFOCPO"/>
    <d v="2025-04-03T00:00:00"/>
    <x v="0"/>
    <s v="Em revisão"/>
    <s v="Cancelar Com o Suporte"/>
    <s v="Item atualizado"/>
    <m/>
    <s v="Cancelar Com o Suporte"/>
    <s v="SEI não localizado"/>
    <m/>
    <m/>
  </r>
  <r>
    <x v="744"/>
    <x v="0"/>
    <s v="HOSPITAL REGIONAL DO AGRESTE DR.WALDEMIRO FERREIRA"/>
    <s v="Consumo"/>
    <s v="ARP.0035.04.2025.GOV.FES-PE.PE"/>
    <s v="Formação de Registro de Preços para o fornecimento eventual de Medicamentos em Comprimido – Grupo 03 com a finalidade de atender às necessidades dos hospitais e estabelecimentos vinculados a SES/PE"/>
    <s v="NFOCPO"/>
    <d v="2025-04-03T00:00:00"/>
    <x v="0"/>
    <s v="Em revisão"/>
    <s v="Cancelar Com o Suporte"/>
    <s v="Item atualizado"/>
    <m/>
    <s v="Cancelar Com o Suporte"/>
    <s v="SEI não localizado"/>
    <m/>
    <m/>
  </r>
  <r>
    <x v="745"/>
    <x v="0"/>
    <s v="HOSPITAL REGIONAL DO AGRESTE DR.WALDEMIRO FERREIRA"/>
    <s v="Consumo"/>
    <s v="ARP.0035.03.2025.GOV.FES-PE.PE"/>
    <s v="Formação de Registro de Preços para o fornecimento eventual de Medicamentos em Comprimido – Grupo 03 com a finalidade de atender às necessidades dos hospitais e estabelecimentos vinculados a SES/PE"/>
    <s v="NFOCPO"/>
    <d v="2025-04-03T00:00:00"/>
    <x v="0"/>
    <s v="Em revisão"/>
    <s v="Cancelar Com o Suporte"/>
    <s v="Item atualizado"/>
    <m/>
    <s v="Cancelar Com o Suporte"/>
    <s v="SEI não localizado"/>
    <m/>
    <m/>
  </r>
  <r>
    <x v="746"/>
    <x v="0"/>
    <s v="HOSPITAL REGIONAL DO AGRESTE DR.WALDEMIRO FERREIRA"/>
    <s v="Consumo"/>
    <s v="ARP.0035.02.2025.GOV.FES-PE.PE"/>
    <s v="Formação de Registro de Preços para o fornecimento eventual de Medicamentos em Comprimido – Grupo 03 com a finalidade de atender às necessidades dos hospitais e estabelecimentos vinculados a SES/PE"/>
    <s v="NFOCPO"/>
    <d v="2025-04-03T00:00:00"/>
    <x v="0"/>
    <s v="Em revisão"/>
    <s v="Cancelar Com o Suporte"/>
    <s v="Item atualizado"/>
    <m/>
    <s v="Cancelar Com o Suporte"/>
    <s v="SEI não localizado"/>
    <m/>
    <m/>
  </r>
  <r>
    <x v="747"/>
    <x v="0"/>
    <s v="HOSPITAL REGIONAL DO AGRESTE DR.WALDEMIRO FERREIRA"/>
    <s v="Consumo"/>
    <s v="ARP.0035.01.2025.GOV.FES-PE.PE"/>
    <s v="Formação de Registro de Preços para o fornecimento eventual de Medicamentos em Comprimido – Grupo 03 com a finalidade de atender às necessidades dos hospitais e estabelecimentos vinculados a SES/PE"/>
    <s v="NFOCPO"/>
    <d v="2025-04-03T00:00:00"/>
    <x v="0"/>
    <s v="Em revisão"/>
    <s v="Cancelar Com o Suporte"/>
    <s v="Item atualizado"/>
    <m/>
    <s v="Cancelar Com o Suporte"/>
    <s v="SEI não localizado"/>
    <m/>
    <m/>
  </r>
  <r>
    <x v="748"/>
    <x v="0"/>
    <s v="HOSPITAL REGIONAL DO AGRESTE DR.WALDEMIRO FERREIRA"/>
    <s v="Consumo"/>
    <s v="ARP.0035.00.2025.GOV.FES-PE.PE"/>
    <s v="Formação de Registro de Preços para o fornecimento eventual de Medicamentos em Comprimido – Grupo 03 com a finalidade de atender às necessidades dos hospitais e estabelecimentos vinculados a SES/PE"/>
    <s v="NFOCPO"/>
    <d v="2025-04-03T00:00:00"/>
    <x v="0"/>
    <s v="Em revisão"/>
    <s v="Cancelar Com o Suporte"/>
    <s v="Item atualizado"/>
    <m/>
    <s v="Cancelar Com o Suporte"/>
    <s v="SEI não localizado"/>
    <m/>
    <m/>
  </r>
  <r>
    <x v="749"/>
    <x v="0"/>
    <s v="HOSPITAL REGIONAL DO AGRESTE DR.WALDEMIRO FERREIRA"/>
    <s v="Consumo"/>
    <s v="ARP.0031.06.2025.GOV.FES-PE.PE"/>
    <s v="Formação de Registro de Preços para o fornecimento eventual de Dispositivos Médicos do tipo Diversos (grupo 01) para atender às necessidades dos hospitais e estabelecimentos vinculados a SES/PE"/>
    <s v="NFOCPO"/>
    <d v="2025-04-03T00:00:00"/>
    <x v="0"/>
    <s v="Cancelada"/>
    <s v="Cancelado"/>
    <s v="Item não atualizado"/>
    <m/>
    <s v="Cancelado"/>
    <s v="SEI não localizado"/>
    <m/>
    <m/>
  </r>
  <r>
    <x v="750"/>
    <x v="0"/>
    <s v="HOSPITAL REGIONAL DO AGRESTE DR.WALDEMIRO FERREIRA"/>
    <s v="Consumo"/>
    <s v="ARP.0031.04.2025.GOV.FES-PE.PE"/>
    <s v="Formação de Registro de Preços para o fornecimento eventual de Dispositivos Médicos do tipo Diversos (grupo 01) para atender às necessidades dos hospitais e estabelecimentos vinculados a SES/PE"/>
    <s v="NFOCPO"/>
    <d v="2025-04-03T00:00:00"/>
    <x v="0"/>
    <s v="Em revisão"/>
    <s v="Cancelar Com o Suporte"/>
    <s v="Item atualizado"/>
    <m/>
    <s v="Cancelar Com o Suporte"/>
    <s v="SEI não localizado"/>
    <m/>
    <m/>
  </r>
  <r>
    <x v="751"/>
    <x v="0"/>
    <s v="HOSPITAL REGIONAL DO AGRESTE DR.WALDEMIRO FERREIRA"/>
    <s v="Consumo"/>
    <s v="ARP.0031.03.2025.GOV.FES-PE.PE"/>
    <s v="Formação de Registro de Preços para o fornecimento eventual de Dispositivos Médicos do tipo Diversos (grupo 01) para atender às necessidades dos hospitais e estabelecimentos vinculados a SES/PE"/>
    <s v="NFOCPO"/>
    <d v="2025-04-03T00:00:00"/>
    <x v="0"/>
    <s v="Em revisão"/>
    <s v="Cancelar Com o Suporte"/>
    <s v="Item atualizado"/>
    <m/>
    <s v="Cancelar Com o Suporte"/>
    <s v="SEI não localizado"/>
    <m/>
    <m/>
  </r>
  <r>
    <x v="752"/>
    <x v="0"/>
    <s v="HOSPITAL REGIONAL DO AGRESTE DR.WALDEMIRO FERREIRA"/>
    <s v="Consumo"/>
    <s v="ARP.0031.02.2025.GOV.FES-PE.PE"/>
    <s v="Formação de Registro de Preços para o fornecimento eventual de Dispositivos Médicos do tipo Diversos (grupo 01) para atender às necessidades dos hospitais e estabelecimentos vinculados a SES/PE"/>
    <m/>
    <d v="2025-04-03T00:00:00"/>
    <x v="1"/>
    <s v="Autorizada Sucesso"/>
    <s v="Concluído"/>
    <s v="Item atualizado"/>
    <m/>
    <s v="Em andamento"/>
    <s v="SEI não localizado"/>
    <m/>
    <m/>
  </r>
  <r>
    <x v="753"/>
    <x v="0"/>
    <s v="HOSPITAL REGIONAL DO AGRESTE DR.WALDEMIRO FERREIRA"/>
    <s v="Consumo"/>
    <s v="ARP.0031.01.2025.GOV.FES-PE.PE"/>
    <s v="Formação de Registro de Preços para o fornecimento eventual de Dispositivos Médicos do tipo Diversos (grupo 01) para atender às necessidades dos hospitais e estabelecimentos vinculados a SES/PE"/>
    <s v="NFOCPO"/>
    <d v="2025-04-03T00:00:00"/>
    <x v="0"/>
    <s v="Cancelada"/>
    <s v="Cancelado"/>
    <s v="Item não atualizado"/>
    <m/>
    <s v="Cancelado"/>
    <s v="SEI não localizado"/>
    <m/>
    <m/>
  </r>
  <r>
    <x v="754"/>
    <x v="0"/>
    <s v="HOSPITAL REGIONAL DO AGRESTE DR.WALDEMIRO FERREIRA"/>
    <s v="Consumo"/>
    <s v="ARP.0031.00.2025.GOV.FES-PE.PE"/>
    <s v="Formação de Registro de Preços para o fornecimento eventual de Dispositivos Médicos do tipo Diversos (grupo 01) para atender às necessidades dos hospitais e estabelecimentos vinculados a SES/PE"/>
    <s v="NFOCPO"/>
    <d v="2025-04-03T00:00:00"/>
    <x v="0"/>
    <s v="Em revisão"/>
    <s v="Cancelar Com o Suporte"/>
    <s v="Item atualizado"/>
    <m/>
    <s v="Cancelar Com o Suporte"/>
    <s v="SEI não localizado"/>
    <m/>
    <m/>
  </r>
  <r>
    <x v="755"/>
    <x v="0"/>
    <s v="HOSPITAL REGIONAL DO AGRESTE DR.WALDEMIRO FERREIRA"/>
    <s v="Consumo"/>
    <s v="ARP.0030.05.2025.GOV.FES-PE.PE"/>
    <s v="Formação de Registro de Preços para o fornecimento eventual de Medicamentos Antimicrobianos – Grupo 01 com a finalidade de atender às necessidades dos hospitais e estabelecimentos vinculados à SES/PE"/>
    <s v="NFOCPO"/>
    <d v="2025-04-03T00:00:00"/>
    <x v="0"/>
    <s v="Encaminhada para o gestor de ata"/>
    <s v="Cancelar Com o Suporte"/>
    <s v="Item atualizado"/>
    <m/>
    <s v="Cancelar Com o Suporte"/>
    <s v="Enviado a NFOCPO"/>
    <s v="2300001207.000127/2025-18"/>
    <m/>
  </r>
  <r>
    <x v="756"/>
    <x v="0"/>
    <s v="HOSPITAL REGIONAL DO AGRESTE DR.WALDEMIRO FERREIRA"/>
    <s v="Consumo"/>
    <s v="ARP.0030.04.2025.GOV.FES-PE.PE"/>
    <s v="Formação de Registro de Preços para o fornecimento eventual de Medicamentos Antimicrobianos – Grupo 01 com a finalidade de atender às necessidades dos hospitais e estabelecimentos vinculados à SES/PE"/>
    <s v="NFOCPO"/>
    <d v="2025-04-03T00:00:00"/>
    <x v="0"/>
    <s v="Encaminhada para o gestor de ata"/>
    <s v="Cancelar Com o Suporte"/>
    <s v="Item atualizado"/>
    <m/>
    <s v="Cancelar Com o Suporte"/>
    <s v="SEI não localizado"/>
    <m/>
    <m/>
  </r>
  <r>
    <x v="757"/>
    <x v="0"/>
    <s v="HOSPITAL REGIONAL DO AGRESTE DR.WALDEMIRO FERREIRA"/>
    <s v="Consumo"/>
    <s v="ARP.0030.01.2025.GOV.FES-PE.PE"/>
    <s v="Formação de Registro de Preços para o fornecimento eventual de Medicamentos Antimicrobianos – Grupo 01 com a finalidade de atender às necessidades dos hospitais e estabelecimentos vinculados à SES/PE"/>
    <s v="NFOCPO"/>
    <d v="2025-04-03T00:00:00"/>
    <x v="6"/>
    <s v="Encaminhada para o gestor de ata"/>
    <s v="Em andamento"/>
    <s v="Item não atualizado"/>
    <s v="Mylla"/>
    <s v="Em andamento"/>
    <s v="Enviado a SSUPRI"/>
    <s v="2300001207.000125/2025-11"/>
    <s v="Finalizar com o nucleo"/>
  </r>
  <r>
    <x v="758"/>
    <x v="0"/>
    <s v="HOSPITAL REGIONAL DO AGRESTE DR.WALDEMIRO FERREIRA"/>
    <s v="Consumo"/>
    <s v="ARP.0068.09.2024.GOV.FES-PE.PE"/>
    <s v="REGISTRO DE PREÇO, PARA FORNECIMENTO EVENTUAL DE MOBILIÁRIO HOSPITALAR E EQUIPAMENTO DE LAVANDERIA, VISANDO ATENDER ÀS NECESSIDADES DA SECRETARIA ESTADUAL DE SAÚDE DE PERNAMBUCO (SES/PE) E DAS UNIDADES HOSPITALARES QUE A COMPÕEM."/>
    <m/>
    <d v="2025-04-03T00:00:00"/>
    <x v="0"/>
    <s v="Cancelada por fim vigencia ATA"/>
    <s v="Cancelado"/>
    <s v="Item atualizado"/>
    <m/>
    <s v="Cancelado"/>
    <s v="SEI não localizado"/>
    <m/>
    <m/>
  </r>
  <r>
    <x v="759"/>
    <x v="0"/>
    <s v="HOSPITAL REGIONAL DO AGRESTE DR.WALDEMIRO FERREIRA"/>
    <s v="Consumo"/>
    <s v="ARP.0068.09.2024.GOV.FES-PE.PE"/>
    <s v="REGISTRO DE PREÇO, PARA FORNECIMENTO EVENTUAL DE MOBILIÁRIO HOSPITALAR E EQUIPAMENTO DE LAVANDERIA, VISANDO ATENDER ÀS NECESSIDADES DA SECRETARIA ESTADUAL DE SAÚDE DE PERNAMBUCO (SES/PE) E DAS UNIDADES HOSPITALARES QUE A COMPÕEM."/>
    <m/>
    <d v="2025-04-03T00:00:00"/>
    <x v="0"/>
    <s v="Cancelada por fim vigencia ATA"/>
    <s v="Cancelado"/>
    <s v="Item atualizado"/>
    <m/>
    <s v="Cancelado"/>
    <s v="SEI não localizado"/>
    <m/>
    <m/>
  </r>
  <r>
    <x v="760"/>
    <x v="0"/>
    <s v="HOSPITAL REGIONAL DO AGRESTE DR.WALDEMIRO FERREIRA"/>
    <s v="Consumo"/>
    <s v="ARP.0030.00.2025.GOV.FES-PE.PE"/>
    <s v="Formação de Registro de Preços para o fornecimento eventual de Medicamentos Antimicrobianos – Grupo 01 com a finalidade de atender às necessidades dos hospitais e estabelecimentos vinculados à SES/PE"/>
    <s v="NFOCPO"/>
    <d v="2025-04-03T00:00:00"/>
    <x v="0"/>
    <s v="Encaminhada para o gestor de ata"/>
    <s v="Cancelar Com o Suporte"/>
    <s v="Item atualizado"/>
    <m/>
    <s v="Cancelar Com o Suporte"/>
    <s v="SEI não localizado"/>
    <m/>
    <m/>
  </r>
  <r>
    <x v="761"/>
    <x v="0"/>
    <s v="HOSPITAL REGIONAL DO AGRESTE DR.WALDEMIRO FERREIRA"/>
    <s v="Consumo"/>
    <s v="ARP.0029.05.2025.GOV.FES-PE.PE"/>
    <s v="Formação de Registro de Preços para o fornecimento eventual de Medicamentos em Comprimido – Grupo 04 com a finalidade de atender às necessidades dos hospitais e estabelecimentos vinculados à SES/PE"/>
    <s v="NFOCPO"/>
    <d v="2025-04-03T00:00:00"/>
    <x v="0"/>
    <s v="Encaminhada para o gestor de ata"/>
    <s v="Cancelar Com o Suporte"/>
    <s v="Item atualizado"/>
    <m/>
    <s v="Cancelar Com o Suporte"/>
    <s v="SEI não localizado"/>
    <m/>
    <m/>
  </r>
  <r>
    <x v="762"/>
    <x v="0"/>
    <s v="HOSPITAL REGIONAL DO AGRESTE DR.WALDEMIRO FERREIRA"/>
    <s v="Consumo"/>
    <s v="ARP.0029.05.2025.GOV.FES-PE.PE"/>
    <s v="Formação de Registro de Preços para o fornecimento eventual de Medicamentos em Comprimido – Grupo 04 com a finalidade de atender às necessidades dos hospitais e estabelecimentos vinculados à SES/PE"/>
    <m/>
    <d v="2025-04-03T00:00:00"/>
    <x v="0"/>
    <s v="Cancelada"/>
    <s v="Cancelado"/>
    <s v="Item não atualizado"/>
    <m/>
    <s v="Cancelado"/>
    <s v="SEI não localizado"/>
    <m/>
    <m/>
  </r>
  <r>
    <x v="763"/>
    <x v="0"/>
    <s v="HOSPITAL REGIONAL DO AGRESTE DR.WALDEMIRO FERREIRA"/>
    <s v="Consumo"/>
    <s v="ARP.0029.04.2025.GOV.FES-PE.PE"/>
    <s v="Formação de Registro de Preços para o fornecimento eventual de Medicamentos em Comprimido – Grupo 04 com a finalidade de atender às necessidades dos hospitais e estabelecimentos vinculados à SES/PE"/>
    <s v="NFOCPO"/>
    <d v="2025-04-03T00:00:00"/>
    <x v="0"/>
    <s v="Encaminhada para o gestor de ata"/>
    <s v="Cancelar Com o Suporte"/>
    <s v="Item atualizado"/>
    <m/>
    <s v="Cancelar Com o Suporte"/>
    <s v="SEI não localizado"/>
    <m/>
    <m/>
  </r>
  <r>
    <x v="764"/>
    <x v="0"/>
    <s v="HOSPITAL REGIONAL DO AGRESTE DR.WALDEMIRO FERREIRA"/>
    <s v="Consumo"/>
    <s v="ARP.0029.03.2025.GOV.FES-PE.PE"/>
    <s v="Formação de Registro de Preços para o fornecimento eventual de Medicamentos em Comprimido – Grupo 04 com a finalidade de atender às necessidades dos hospitais e estabelecimentos vinculados à SES/PE"/>
    <s v="NFOCPO"/>
    <d v="2025-04-03T00:00:00"/>
    <x v="0"/>
    <s v="Encaminhada para o gestor de ata"/>
    <s v="Cancelar Com o Suporte"/>
    <s v="Item atualizado"/>
    <m/>
    <s v="Cancelar Com o Suporte"/>
    <s v="SEI não localizado"/>
    <m/>
    <m/>
  </r>
  <r>
    <x v="765"/>
    <x v="0"/>
    <s v="HOSPITAL REGIONAL DO AGRESTE DR.WALDEMIRO FERREIRA"/>
    <s v="Consumo"/>
    <s v="ARP.0029.02.2025.GOV.FES-PE.PE"/>
    <s v="Formação de Registro de Preços para o fornecimento eventual de Medicamentos em Comprimido – Grupo 04 com a finalidade de atender às necessidades dos hospitais e estabelecimentos vinculados à SES/PE"/>
    <s v="NFOCPO"/>
    <d v="2025-04-03T00:00:00"/>
    <x v="0"/>
    <s v="Encaminhada para o gestor de ata"/>
    <s v="Cancelar Com o Suporte"/>
    <s v="Item atualizado"/>
    <m/>
    <s v="Cancelar Com o Suporte"/>
    <s v="SEI não localizado"/>
    <m/>
    <m/>
  </r>
  <r>
    <x v="766"/>
    <x v="0"/>
    <s v="HOSPITAL REGIONAL DO AGRESTE DR.WALDEMIRO FERREIRA"/>
    <s v="Consumo"/>
    <s v="ARP.0029.01.2025.GOV.FES-PE.PE"/>
    <s v="Formação de Registro de Preços para o fornecimento eventual de Medicamentos em Comprimido – Grupo 04 com a finalidade de atender às necessidades dos hospitais e estabelecimentos vinculados à SES/PE"/>
    <s v="NFOCPO"/>
    <d v="2025-04-03T00:00:00"/>
    <x v="0"/>
    <s v="Cancelada"/>
    <s v="Cancelado"/>
    <s v="Item não atualizado"/>
    <m/>
    <s v="Cancelado"/>
    <s v="SEI não localizado"/>
    <m/>
    <m/>
  </r>
  <r>
    <x v="767"/>
    <x v="0"/>
    <s v="HOSPITAL REGIONAL DO AGRESTE DR.WALDEMIRO FERREIRA"/>
    <s v="Consumo"/>
    <s v="ARP.0054.07.2025.GOV.FES-PE.PE"/>
    <s v="Formação de Registro de Preços para Eventual Fornecimento de Dispositivos Médicos do tipo: Antissépticos, Desinfetantes e Saneantes e Cal sodada"/>
    <m/>
    <d v="2025-04-02T00:00:00"/>
    <x v="1"/>
    <s v="Autorizada Sucesso"/>
    <s v="Concluído"/>
    <s v="Item atualizado"/>
    <m/>
    <s v="Em andamento"/>
    <s v="SEI não localizado"/>
    <m/>
    <m/>
  </r>
  <r>
    <x v="768"/>
    <x v="0"/>
    <s v="HOSPITAL REGIONAL DO AGRESTE DR.WALDEMIRO FERREIRA"/>
    <s v="Consumo"/>
    <s v="ARP.0009.00.2025.GOV.FES-PE.PE"/>
    <s v="Registro de Preços para aquisição de Material Médico Hospitalar - Luvas (Unificado)"/>
    <m/>
    <d v="2025-04-01T00:00:00"/>
    <x v="1"/>
    <s v="Autorizada Sucesso"/>
    <s v="Concluído"/>
    <s v="Item atualizado"/>
    <m/>
    <s v="Em andamento"/>
    <s v="SEI não localizado"/>
    <m/>
    <m/>
  </r>
  <r>
    <x v="769"/>
    <x v="0"/>
    <s v="HOSPITAL REGIONAL DO AGRESTE DR.WALDEMIRO FERREIRA"/>
    <s v="Consumo"/>
    <s v="ARP.0009.01.2025.GOV.FES-PE.PE"/>
    <s v="Registro de Preços para aquisição de Material Médico Hospitalar - Luvas (Unificado)"/>
    <m/>
    <d v="2025-04-01T00:00:00"/>
    <x v="0"/>
    <s v="Cancelada"/>
    <s v="Cancelado"/>
    <s v="Item não atualizado"/>
    <m/>
    <s v="Cancelado"/>
    <s v="SEI não localizado"/>
    <m/>
    <m/>
  </r>
  <r>
    <x v="770"/>
    <x v="0"/>
    <s v="HOSPITAL REGIONAL DO AGRESTE DR.WALDEMIRO FERREIRA"/>
    <s v="Consumo"/>
    <s v="ARP.0009.02.2025.GOV.FES-PE.PE"/>
    <s v="Registro de Preços para aquisição de Material Médico Hospitalar - Luvas (Unificado)"/>
    <m/>
    <d v="2025-04-01T00:00:00"/>
    <x v="1"/>
    <s v="Autorizada Sucesso"/>
    <s v="Concluído"/>
    <s v="Item atualizado"/>
    <m/>
    <s v="Em andamento"/>
    <s v="SEI não localizado"/>
    <m/>
    <m/>
  </r>
  <r>
    <x v="771"/>
    <x v="0"/>
    <s v="HOSPITAL REGIONAL DO AGRESTE DR.WALDEMIRO FERREIRA"/>
    <s v="Consumo"/>
    <s v="ARP.0063.00.2024.GOV.FES-PE.PE"/>
    <s v="Formação de Registro de Preços, por um período de 12 (doze) meses, para eventual aquisição de MATERIAL MÉDICO HOSPITALAR (Grupo 04) visando atender a demanda dos hospitais e estabelecimentos da rede estadual de saúde de Pernambuco."/>
    <m/>
    <d v="2025-03-31T00:00:00"/>
    <x v="1"/>
    <s v="Autorizada Sucesso"/>
    <s v="Concluído"/>
    <s v="Item atualizado"/>
    <m/>
    <s v="Em andamento"/>
    <s v="SEI não localizado"/>
    <m/>
    <m/>
  </r>
  <r>
    <x v="772"/>
    <x v="0"/>
    <s v="HOSPITAL REGIONAL DO AGRESTE DR.WALDEMIRO FERREIRA"/>
    <s v="Consumo"/>
    <s v="ARP.0064.01.2024.GOV.FES-PE.PE"/>
    <s v="PREGÃO ELETRÔNICO PARA FORMAÇÃO DE REGISTRO DE PREÇOS PARA A EVENTUAL FORNECIMENTO DE MEDICAMENTOS INJETÁVEIS (GRUPO 04) VISANDO ATENDER A DEMANDA DOS HOSPITAIS E ESTABELECIMENTOS DA REDE ESTADUAL DE SAÚDE DE PERNAMBUCO."/>
    <m/>
    <d v="2025-03-31T00:00:00"/>
    <x v="1"/>
    <s v="Autorizada Sucesso"/>
    <s v="Concluído"/>
    <s v="Item atualizado"/>
    <m/>
    <s v="Em andamento"/>
    <s v="SEI não localizado"/>
    <m/>
    <m/>
  </r>
  <r>
    <x v="773"/>
    <x v="0"/>
    <s v="HOSPITAL REGIONAL DO AGRESTE DR.WALDEMIRO FERREIRA"/>
    <s v="Consumo"/>
    <s v="ARP.0012.05.2025.GOV.FES-PE.PE"/>
    <s v="Formação de Registro de Preços para o fornecimento eventual de Medicamentos do tipo Soluções Parenterais de Grande Volume (SPGV),para atendet os hospitais e estabelecimentos vinculados a SES/PE"/>
    <m/>
    <d v="2025-03-31T00:00:00"/>
    <x v="0"/>
    <s v="Cancelada"/>
    <s v="Cancelado"/>
    <s v="Item não atualizado"/>
    <m/>
    <s v="Cancelado"/>
    <s v="SEI não localizado"/>
    <m/>
    <m/>
  </r>
  <r>
    <x v="774"/>
    <x v="0"/>
    <s v="HOSPITAL REGIONAL DO AGRESTE DR.WALDEMIRO FERREIRA"/>
    <s v="Consumo"/>
    <s v="ARP.0022.01.2025.GOV.FES-PE.PE"/>
    <s v="Formação de Registro de Preços para o fornecimento eventual de Medicamentos Controlados – Grupo 02 com a finalidade de atender às necessidades dos hospitais e estabelecimentos vinculados à SES/PE"/>
    <m/>
    <d v="2025-03-26T00:00:00"/>
    <x v="1"/>
    <s v="Autorizada Sucesso"/>
    <s v="Concluído"/>
    <s v="Item atualizado"/>
    <m/>
    <s v="Em andamento"/>
    <s v="SEI não localizado"/>
    <m/>
    <m/>
  </r>
  <r>
    <x v="775"/>
    <x v="22"/>
    <s v="HOSPITAL REGIONAL DO AGRESTE DR.WALDEMIRO FERREIRA"/>
    <s v="Consumo"/>
    <s v="ARPC.0006.00.2025.GOV.SAD.PE"/>
    <s v="Formação de Ata de Registro de Preços Corporativa para a eventual prestação de serviços de locação de viaturas, do tipo motocicleta, caracterizada e descaracterizada, classificação VS-2, conforme especificações e quantitativos previstos no Termo de Referê"/>
    <m/>
    <d v="2025-03-25T00:00:00"/>
    <x v="0"/>
    <s v="Cancelada"/>
    <s v="Cancelado"/>
    <s v="Item não atualizado"/>
    <m/>
    <s v="Cancelado"/>
    <s v="SEI não localizado"/>
    <m/>
    <m/>
  </r>
  <r>
    <x v="776"/>
    <x v="5"/>
    <s v="HOSPITAL REGIONAL DO AGRESTE DR.WALDEMIRO FERREIRA"/>
    <s v="Consumo"/>
    <s v="ARP.0006.05.2025.GOV.HOF.PE"/>
    <s v="Registro de Preços para fornecimento de Material Médico hospitalar para abastecimento de 12 (doze) meses, cujo objeto: COLETOR DE AMOSTRA BIOLOGICA E DE URINA."/>
    <s v="NSADRE"/>
    <d v="2025-03-21T00:00:00"/>
    <x v="0"/>
    <s v="Cancelada"/>
    <s v="Cancelado"/>
    <s v="Item não atualizado"/>
    <m/>
    <s v="Cancelado"/>
    <s v="SEI não localizado"/>
    <m/>
    <m/>
  </r>
  <r>
    <x v="777"/>
    <x v="5"/>
    <s v="HOSPITAL REGIONAL DO AGRESTE DR.WALDEMIRO FERREIRA"/>
    <s v="Consumo"/>
    <s v="ARP.0006.04.2025.GOV.HOF.PE"/>
    <s v="Registro de Preços para fornecimento de Material Médico hospitalar para abastecimento de 12 (doze) meses, cujo objeto: COLETOR DE AMOSTRA BIOLOGICA E DE URINA."/>
    <s v="NSADRE"/>
    <d v="2025-03-21T00:00:00"/>
    <x v="0"/>
    <s v="Cancelada"/>
    <s v="Cancelado"/>
    <s v="Item não atualizado"/>
    <m/>
    <s v="Cancelado"/>
    <s v="SEI não localizado"/>
    <m/>
    <m/>
  </r>
  <r>
    <x v="778"/>
    <x v="5"/>
    <s v="HOSPITAL REGIONAL DO AGRESTE DR.WALDEMIRO FERREIRA"/>
    <s v="Consumo"/>
    <s v="ARP.0006.02.2025.GOV.HOF.PE"/>
    <s v="Registro de Preços para fornecimento de Material Médico hospitalar para abastecimento de 12 (doze) meses, cujo objeto: COLETOR DE AMOSTRA BIOLOGICA E DE URINA."/>
    <m/>
    <d v="2025-03-21T00:00:00"/>
    <x v="1"/>
    <s v="Autorizada Sucesso"/>
    <s v="Concluído"/>
    <s v="Item atualizado"/>
    <m/>
    <s v="Concluído"/>
    <s v="Enviado ao NOF"/>
    <s v="2300001213.000053/2025-22"/>
    <m/>
  </r>
  <r>
    <x v="779"/>
    <x v="22"/>
    <s v="HOSPITAL REGIONAL DO AGRESTE DR.WALDEMIRO FERREIRA"/>
    <s v="Consumo"/>
    <s v="ARPC.0006.00.2025.GOV.SAD.PE"/>
    <s v="Formação de Ata de Registro de Preços Corporativa para a eventual prestação de serviços de locação de viaturas, do tipo motocicleta, caracterizada e descaracterizada, classificação VS-2, conforme especificações e quantitativos previstos no Termo de Referê"/>
    <s v="NAMP"/>
    <d v="2025-03-20T00:00:00"/>
    <x v="0"/>
    <s v="Em configuração"/>
    <s v="Cancelar Com o Suporte"/>
    <s v="Item atualizado"/>
    <m/>
    <s v="Cancelar Com o Suporte"/>
    <s v="SEI não localizado"/>
    <m/>
    <m/>
  </r>
  <r>
    <x v="780"/>
    <x v="0"/>
    <s v="HOSPITAL REGIONAL DO AGRESTE DR.WALDEMIRO FERREIRA"/>
    <s v="Consumo"/>
    <s v="ARP.0048.03.2025.GOV.FES-PE.PE"/>
    <s v="FORMAÇÃO DE ATA DE REGISTRO DE PREÇOS PARA O FORNECIMENTO EVENTUAL DE DISPOSITIVOS MÉDICOS DO TIPO: INSUMOS PARA O SERVIÇO DE ENDOSCOPIA – GRUPO 3, VISANDO ATENDER AS DEMANDAS DOS HOSPITAIS E ESTABELECIMENTOS VINCULADOS À SECRETARIA ESTADUAL DE SAÚDE DE P"/>
    <m/>
    <d v="2025-03-20T00:00:00"/>
    <x v="1"/>
    <s v="Autorizada Sucesso"/>
    <s v="Concluído"/>
    <s v="Item atualizado"/>
    <m/>
    <s v="Concluído"/>
    <s v="Enviado ao NOF"/>
    <s v="2300001207.000068/2025-70"/>
    <m/>
  </r>
  <r>
    <x v="781"/>
    <x v="0"/>
    <s v="HOSPITAL REGIONAL DO AGRESTE DR.WALDEMIRO FERREIRA"/>
    <s v="Consumo"/>
    <s v="ARP.0048.02.2025.GOV.FES-PE.PE"/>
    <s v="FORMAÇÃO DE ATA DE REGISTRO DE PREÇOS PARA O FORNECIMENTO EVENTUAL DE DISPOSITIVOS MÉDICOS DO TIPO: INSUMOS PARA O SERVIÇO DE ENDOSCOPIA – GRUPO 3, VISANDO ATENDER AS DEMANDAS DOS HOSPITAIS E ESTABELECIMENTOS VINCULADOS À SECRETARIA ESTADUAL DE SAÚDE DE P"/>
    <s v="NSADRE"/>
    <d v="2025-03-20T00:00:00"/>
    <x v="0"/>
    <s v="Cancelada"/>
    <s v="Cancelado"/>
    <s v="Item não atualizado"/>
    <m/>
    <s v="Cancelado"/>
    <s v="SEI não localizado"/>
    <m/>
    <m/>
  </r>
  <r>
    <x v="782"/>
    <x v="0"/>
    <s v="HOSPITAL REGIONAL DO AGRESTE DR.WALDEMIRO FERREIRA"/>
    <s v="Consumo"/>
    <s v="ARP.0048.02.2025.GOV.FES-PE.PE"/>
    <s v="FORMAÇÃO DE ATA DE REGISTRO DE PREÇOS PARA O FORNECIMENTO EVENTUAL DE DISPOSITIVOS MÉDICOS DO TIPO: INSUMOS PARA O SERVIÇO DE ENDOSCOPIA – GRUPO 3, VISANDO ATENDER AS DEMANDAS DOS HOSPITAIS E ESTABELECIMENTOS VINCULADOS À SECRETARIA ESTADUAL DE SAÚDE DE P"/>
    <m/>
    <d v="2025-03-20T00:00:00"/>
    <x v="1"/>
    <s v="Autorizada Sucesso"/>
    <s v="Concluído"/>
    <s v="Item atualizado"/>
    <m/>
    <s v="Concluído"/>
    <s v="Enviado ao NOF"/>
    <s v="2300001207.000067/2025-25"/>
    <m/>
  </r>
  <r>
    <x v="783"/>
    <x v="0"/>
    <s v="HOSPITAL REGIONAL DO AGRESTE DR.WALDEMIRO FERREIRA"/>
    <s v="Consumo"/>
    <s v="ARP.0005.01.2025.GOV.FES-PE.PE"/>
    <s v="Formação de Registro de Preços para o Fornecimento eventual de Dispositivos Médicos do tipo Cateter/Sonda com a finalidade de atender às necessidades dos hospitais e estabelecimentos vinculados à SES"/>
    <m/>
    <d v="2025-03-19T00:00:00"/>
    <x v="1"/>
    <s v="Autorizada Sucesso"/>
    <s v="Concluído"/>
    <s v="Item atualizado"/>
    <m/>
    <s v="Concluído"/>
    <s v="Enviado ao NOF"/>
    <s v="2300001207.000022/2025-51"/>
    <m/>
  </r>
  <r>
    <x v="784"/>
    <x v="0"/>
    <s v="HOSPITAL REGIONAL DO AGRESTE DR.WALDEMIRO FERREIRA"/>
    <s v="Consumo"/>
    <s v="ARP.0048.01.2025.GOV.FES-PE.PE"/>
    <s v="FORMAÇÃO DE ATA DE REGISTRO DE PREÇOS PARA O FORNECIMENTO EVENTUAL DE DISPOSITIVOS MÉDICOS DO TIPO: INSUMOS PARA O SERVIÇO DE ENDOSCOPIA – GRUPO 3, VISANDO ATENDER AS DEMANDAS DOS HOSPITAIS E ESTABELECIMENTOS VINCULADOS À SECRETARIA ESTADUAL DE SAÚDE DE P"/>
    <m/>
    <d v="2025-03-17T00:00:00"/>
    <x v="1"/>
    <s v="Autorizada Sucesso"/>
    <s v="Concluído"/>
    <s v="Item atualizado"/>
    <m/>
    <s v="Concluído"/>
    <s v="Enviado ao NOF"/>
    <s v="2300001207.000064/2025-91"/>
    <m/>
  </r>
  <r>
    <x v="785"/>
    <x v="0"/>
    <s v="HOSPITAL REGIONAL DO AGRESTE DR.WALDEMIRO FERREIRA"/>
    <s v="Consumo"/>
    <s v="ARP.0048.00.2025.GOV.FES-PE.PE"/>
    <s v="FORMAÇÃO DE ATA DE REGISTRO DE PREÇOS PARA O FORNECIMENTO EVENTUAL DE DISPOSITIVOS MÉDICOS DO TIPO: INSUMOS PARA O SERVIÇO DE ENDOSCOPIA – GRUPO 3, VISANDO ATENDER AS DEMANDAS DOS HOSPITAIS E ESTABELECIMENTOS VINCULADOS À SECRETARIA ESTADUAL DE SAÚDE DE P"/>
    <m/>
    <d v="2025-03-17T00:00:00"/>
    <x v="7"/>
    <s v="Autorizada Sucesso"/>
    <s v="Concluído"/>
    <s v="Item atualizado"/>
    <m/>
    <s v="Concluído"/>
    <s v="Enviado ao NOF"/>
    <s v="2300001207.000065/2025-36"/>
    <m/>
  </r>
  <r>
    <x v="786"/>
    <x v="0"/>
    <s v="HOSPITAL REGIONAL DO AGRESTE DR.WALDEMIRO FERREIRA"/>
    <s v="Consumo"/>
    <s v="ARP.0009.02.2025.GOV.FES-PE.PE"/>
    <s v="Registro de Preços para aquisição de Material Médico Hospitalar - Luvas (Unificado)"/>
    <m/>
    <d v="2025-03-12T00:00:00"/>
    <x v="1"/>
    <s v="Autorizada Sucesso"/>
    <s v="Concluído"/>
    <s v="Item atualizado"/>
    <m/>
    <s v="Em andamento"/>
    <s v="SEI não localizado"/>
    <m/>
    <m/>
  </r>
  <r>
    <x v="787"/>
    <x v="4"/>
    <s v="HOSPITAL REGIONAL DO AGRESTE DR.WALDEMIRO FERREIRA"/>
    <s v="Consumo"/>
    <s v="ARP.0010.00.2025.GOV.CISAM.PE"/>
    <s v="REGISTRO DE PREÇOS PARA FORNECIMENTO EVENTUAL DE MATERIAIS MÉDICO-HOSPITALARES (DIVERSOS), VISANDO ATENDER AS NECESSIDADES DO CISAM/UPE E DEMAIS ÓRGÃOS PARTICIPANTES ."/>
    <m/>
    <d v="2025-03-12T00:00:00"/>
    <x v="1"/>
    <s v="Autorizada Sucesso"/>
    <s v="Concluído"/>
    <s v="Item atualizado"/>
    <m/>
    <s v="Em andamento"/>
    <s v="SEI não localizado"/>
    <m/>
    <m/>
  </r>
  <r>
    <x v="788"/>
    <x v="22"/>
    <s v="HOSPITAL REGIONAL DO AGRESTE DR.WALDEMIRO FERREIRA"/>
    <s v="Consumo"/>
    <s v="ARPC.0001.00.2025.GOV.SAD.PE"/>
    <s v="Formação de Registro de Preços Corporativo para o fornecimento eventual de Etiqueta Patrimonial, visando atender às necessidades dos órgãos da Administração Direta, Fundos Especiais, Autarquias e Fundações Públicas integrantes do Poder Executivo do Estado"/>
    <m/>
    <d v="2025-03-12T00:00:00"/>
    <x v="1"/>
    <s v="Autorizada Sucesso"/>
    <s v="Concluído"/>
    <s v="Item atualizado"/>
    <m/>
    <s v="Concluído"/>
    <s v="Enviado ao NOF"/>
    <s v="2300002544.000012/2025-57"/>
    <m/>
  </r>
  <r>
    <x v="789"/>
    <x v="22"/>
    <s v="HOSPITAL REGIONAL DO AGRESTE DR.WALDEMIRO FERREIRA"/>
    <s v="Consumo"/>
    <s v="ARPC.0011.00.2025.GOV.SAD.PE"/>
    <s v="Registro de Preços para o fornecimento eventual de material de expediente sustentável visando atender as necessidades dos órgãos da Administração Direta, dos fundos especiais, Autarquias e Fundações Públicas integrantes do Poder Executivo do Estado de Per"/>
    <m/>
    <d v="2025-03-12T00:00:00"/>
    <x v="1"/>
    <s v="Autorizada Sucesso"/>
    <s v="Concluído"/>
    <s v="Item atualizado"/>
    <m/>
    <s v="Concluído"/>
    <s v="Enviado ao NOF"/>
    <s v="2300002544.000024/2025-81"/>
    <m/>
  </r>
  <r>
    <x v="790"/>
    <x v="22"/>
    <s v="HOSPITAL REGIONAL DO AGRESTE DR.WALDEMIRO FERREIRA"/>
    <s v="Consumo"/>
    <s v="ARPC.0002.00.2025.GOV.SAD.PE"/>
    <s v="Registro de preços corporativo para a eventual aquisição de Material Médico-Hospitalar – Seringas e Agulhas Hipodérmicas, para atender às demandas dos órgãos da Administração Direta, dos Fundos Especiais, Autarquias e Fundações Públicas integrantes do Pod"/>
    <m/>
    <d v="2025-03-11T00:00:00"/>
    <x v="1"/>
    <s v="Autorizada Sucesso"/>
    <s v="Concluído"/>
    <s v="Item atualizado"/>
    <m/>
    <s v="Concluído"/>
    <s v="Enviado ao NOF"/>
    <s v="2300001213.000044/2025-31"/>
    <m/>
  </r>
  <r>
    <x v="791"/>
    <x v="0"/>
    <s v="HOSPITAL REGIONAL DO AGRESTE DR.WALDEMIRO FERREIRA"/>
    <s v="Consumo"/>
    <s v="ARP.0034.00.2025.GOV.FES-PE.PE"/>
    <s v="Registro de Preços para o fornecimento eventual de dispositivos médicos do tipo: Aparelho descartável de fisioterapia respiratória, Cânulas de Traqueostomia, Guedel e Máscaras para Oxigenoterapia e Nebulização"/>
    <m/>
    <d v="2025-03-02T00:00:00"/>
    <x v="1"/>
    <s v="Autorizada Sucesso"/>
    <s v="Concluído"/>
    <s v="Item atualizado"/>
    <m/>
    <s v="Concluído"/>
    <s v="Enviado ao NOF"/>
    <s v="2300001213.000018/2025-11"/>
    <m/>
  </r>
  <r>
    <x v="792"/>
    <x v="0"/>
    <s v="HOSPITAL REGIONAL DO AGRESTE DR.WALDEMIRO FERREIRA"/>
    <s v="Consumo"/>
    <s v="ARP.0034.01.2025.GOV.FES-PE.PE"/>
    <s v="Registro de Preços para o fornecimento eventual de dispositivos médicos do tipo: Aparelho descartável de fisioterapia respiratória, Cânulas de Traqueostomia, Guedel e Máscaras para Oxigenoterapia e Nebulização"/>
    <s v="NAEN"/>
    <d v="2025-03-02T00:00:00"/>
    <x v="0"/>
    <s v="Cancelada"/>
    <s v="Cancelado"/>
    <s v="Item não atualizado"/>
    <m/>
    <s v="Cancelado"/>
    <s v="SEI não localizado"/>
    <m/>
    <m/>
  </r>
  <r>
    <x v="793"/>
    <x v="0"/>
    <s v="HOSPITAL REGIONAL DO AGRESTE DR.WALDEMIRO FERREIRA"/>
    <s v="Consumo"/>
    <s v="ARP.0033.00.2025.GOV.FES-PE.PE"/>
    <s v="Registro de Preços para o fornecimento eventual de MEDICAMENTOS, visando atender as necessidades dos hospitais e estabelecimentos vinculados à Secretaria Estadual de Saúde de Pernambuco"/>
    <s v="NFOCPO"/>
    <d v="2025-03-02T00:00:00"/>
    <x v="0"/>
    <s v="Cancelada"/>
    <s v="Cancelado"/>
    <s v="Item não atualizado"/>
    <m/>
    <s v="Cancelado"/>
    <s v="SEI não localizado"/>
    <m/>
    <m/>
  </r>
  <r>
    <x v="794"/>
    <x v="0"/>
    <s v="HOSPITAL REGIONAL DO AGRESTE DR.WALDEMIRO FERREIRA"/>
    <s v="Consumo"/>
    <s v="ARP.0020.05.2025.GOV.FES-PE.PE"/>
    <s v="Formação de Registro de Preços para o fornecimento eventual de medicamentos INJETÁVEIS (GRUPO 11) visando atender as necessidades dos hospitais e estabelecimentos vinculados à Secretaria Estadual de Saúde de Pernambuco"/>
    <s v="NFOCPO"/>
    <d v="2025-03-02T00:00:00"/>
    <x v="0"/>
    <s v="Cancelada"/>
    <s v="Cancelado"/>
    <s v="Item não atualizado"/>
    <m/>
    <s v="Cancelado"/>
    <s v="SEI não localizado"/>
    <m/>
    <m/>
  </r>
  <r>
    <x v="795"/>
    <x v="0"/>
    <s v="HOSPITAL REGIONAL DO AGRESTE DR.WALDEMIRO FERREIRA"/>
    <s v="Consumo"/>
    <s v="ARP.0020.03.2025.GOV.FES-PE.PE"/>
    <s v="Formação de Registro de Preços para o fornecimento eventual de medicamentos INJETÁVEIS (GRUPO 11) visando atender as necessidades dos hospitais e estabelecimentos vinculados à Secretaria Estadual de Saúde de Pernambuco"/>
    <s v="NFOCPO"/>
    <d v="2025-03-02T00:00:00"/>
    <x v="0"/>
    <s v="Cancelada"/>
    <s v="Cancelado"/>
    <s v="Item não atualizado"/>
    <m/>
    <s v="Cancelado"/>
    <s v="SEI não localizado"/>
    <m/>
    <m/>
  </r>
  <r>
    <x v="796"/>
    <x v="0"/>
    <s v="HOSPITAL REGIONAL DO AGRESTE DR.WALDEMIRO FERREIRA"/>
    <s v="Consumo"/>
    <s v="ARP.0003.01.2025.GOV.FES-PE.PE"/>
    <s v="Formação de Registro de Preços para o fornecimento eventual de Dispositivos Médicos do tipo Curativos com a finalidade de atender às necessidades dos hospitais e estabelecimentos vinculados à SES/PE"/>
    <m/>
    <d v="2025-02-27T00:00:00"/>
    <x v="1"/>
    <s v="Autorizada Sucesso"/>
    <s v="Concluído"/>
    <s v="Item atualizado"/>
    <m/>
    <s v="Em andamento"/>
    <s v="SEI não localizado"/>
    <m/>
    <m/>
  </r>
  <r>
    <x v="797"/>
    <x v="4"/>
    <s v="HOSPITAL REGIONAL DO AGRESTE DR.WALDEMIRO FERREIRA"/>
    <s v="Consumo"/>
    <s v="ARP.0010.00.2025.GOV.CISAM.PE"/>
    <s v="REGISTRO DE PREÇOS PARA FORNECIMENTO EVENTUAL DE MATERIAIS MÉDICO-HOSPITALARES (DIVERSOS), VISANDO ATENDER AS NECESSIDADES DO CISAM/UPE E DEMAIS ÓRGÃOS PARTICIPANTES ."/>
    <m/>
    <d v="2025-02-26T00:00:00"/>
    <x v="0"/>
    <s v="Não autorizada"/>
    <s v="Cancelado"/>
    <s v="Item atualizado"/>
    <m/>
    <s v="Cancelado"/>
    <s v="SEI não localizado"/>
    <m/>
    <m/>
  </r>
  <r>
    <x v="798"/>
    <x v="4"/>
    <s v="HOSPITAL REGIONAL DO AGRESTE DR.WALDEMIRO FERREIRA"/>
    <s v="Consumo"/>
    <s v="ARP.0010.00.2025.GOV.CISAM.PE"/>
    <s v="REGISTRO DE PREÇOS PARA FORNECIMENTO EVENTUAL DE MATERIAIS MÉDICO-HOSPITALARES (DIVERSOS), VISANDO ATENDER AS NECESSIDADES DO CISAM/UPE E DEMAIS ÓRGÃOS PARTICIPANTES ."/>
    <m/>
    <d v="2025-02-26T00:00:00"/>
    <x v="0"/>
    <s v="Cancelada"/>
    <s v="Cancelado"/>
    <s v="Item não atualizado"/>
    <m/>
    <s v="Cancelado"/>
    <s v="SEI não localizado"/>
    <m/>
    <m/>
  </r>
  <r>
    <x v="799"/>
    <x v="0"/>
    <s v="HOSPITAL REGIONAL DO AGRESTE DR.WALDEMIRO FERREIRA"/>
    <s v="Consumo"/>
    <s v="ARP.0028.03.2025.GOV.FES-PE.PE"/>
    <s v="Formação de Registro de Preços para o fornecimento eventual de Dispositivos Médicos do tipo Ataduras, Compressas e Algodão com a finalidade de atender às necessidades dos hospitais e estabelecimentos"/>
    <m/>
    <d v="2025-02-25T00:00:00"/>
    <x v="0"/>
    <s v="Cancelada"/>
    <s v="Cancelado"/>
    <s v="Item não atualizado"/>
    <m/>
    <s v="Cancelado"/>
    <s v="SEI não localizado"/>
    <m/>
    <m/>
  </r>
  <r>
    <x v="800"/>
    <x v="0"/>
    <s v="HOSPITAL REGIONAL DO AGRESTE DR.WALDEMIRO FERREIRA"/>
    <s v="Consumo"/>
    <s v="ARP.0028.02.2025.GOV.FES-PE.PE"/>
    <s v="Formação de Registro de Preços para o fornecimento eventual de Dispositivos Médicos do tipo Ataduras, Compressas e Algodão com a finalidade de atender às necessidades dos hospitais e estabelecimentos"/>
    <m/>
    <d v="2025-02-25T00:00:00"/>
    <x v="1"/>
    <s v="Autorizada Sucesso"/>
    <s v="Concluído"/>
    <s v="Item atualizado"/>
    <m/>
    <s v="Em andamento"/>
    <s v="SEI não localizado"/>
    <m/>
    <m/>
  </r>
  <r>
    <x v="801"/>
    <x v="0"/>
    <s v="HOSPITAL REGIONAL DO AGRESTE DR.WALDEMIRO FERREIRA"/>
    <s v="Consumo"/>
    <s v="ARP.0028.01.2025.GOV.FES-PE.PE"/>
    <s v="Formação de Registro de Preços para o fornecimento eventual de Dispositivos Médicos do tipo Ataduras, Compressas e Algodão com a finalidade de atender às necessidades dos hospitais e estabelecimentos"/>
    <m/>
    <d v="2025-02-25T00:00:00"/>
    <x v="0"/>
    <s v="Cancelada"/>
    <s v="Cancelado"/>
    <s v="Item não atualizado"/>
    <m/>
    <s v="Cancelado"/>
    <s v="SEI não localizado"/>
    <m/>
    <m/>
  </r>
  <r>
    <x v="802"/>
    <x v="0"/>
    <s v="HOSPITAL REGIONAL DO AGRESTE DR.WALDEMIRO FERREIRA"/>
    <s v="Consumo"/>
    <s v="ARP.0028.01.2025.GOV.FES-PE.PE"/>
    <s v="Formação de Registro de Preços para o fornecimento eventual de Dispositivos Médicos do tipo Ataduras, Compressas e Algodão com a finalidade de atender às necessidades dos hospitais e estabelecimentos"/>
    <m/>
    <d v="2025-02-25T00:00:00"/>
    <x v="0"/>
    <s v="Cancelada"/>
    <s v="Cancelado"/>
    <s v="Item não atualizado"/>
    <m/>
    <s v="Cancelado"/>
    <s v="SEI não localizado"/>
    <m/>
    <m/>
  </r>
  <r>
    <x v="803"/>
    <x v="0"/>
    <s v="HOSPITAL REGIONAL DO AGRESTE DR.WALDEMIRO FERREIRA"/>
    <s v="Consumo"/>
    <s v="ARP.0028.00.2025.GOV.FES-PE.PE"/>
    <s v="Formação de Registro de Preços para o fornecimento eventual de Dispositivos Médicos do tipo Ataduras, Compressas e Algodão com a finalidade de atender às necessidades dos hospitais e estabelecimentos"/>
    <s v="NFOCPO"/>
    <d v="2025-02-25T00:00:00"/>
    <x v="0"/>
    <s v="Encaminhada para o gestor de ata"/>
    <s v="Cancelar Com o Suporte"/>
    <s v="Item atualizado"/>
    <m/>
    <s v="Cancelar Com o Suporte"/>
    <s v="SEI não localizado"/>
    <m/>
    <m/>
  </r>
  <r>
    <x v="804"/>
    <x v="0"/>
    <s v="HOSPITAL REGIONAL DO AGRESTE DR.WALDEMIRO FERREIRA"/>
    <s v="Consumo"/>
    <s v="ARP.0022.03.2025.GOV.FES-PE.PE"/>
    <s v="Formação de Registro de Preços para o fornecimento eventual de Medicamentos Controlados – Grupo 02 com a finalidade de atender às necessidades dos hospitais e estabelecimentos vinculados à SES/PE"/>
    <m/>
    <d v="2025-02-25T00:00:00"/>
    <x v="1"/>
    <s v="Autorizada Sucesso"/>
    <s v="Concluído"/>
    <s v="Item atualizado"/>
    <m/>
    <s v="Em andamento"/>
    <s v="SEI não localizado"/>
    <m/>
    <m/>
  </r>
  <r>
    <x v="805"/>
    <x v="0"/>
    <s v="HOSPITAL REGIONAL DO AGRESTE DR.WALDEMIRO FERREIRA"/>
    <s v="Consumo"/>
    <s v="ARP.0022.02.2025.GOV.FES-PE.PE"/>
    <s v="Formação de Registro de Preços para o fornecimento eventual de Medicamentos Controlados – Grupo 02 com a finalidade de atender às necessidades dos hospitais e estabelecimentos vinculados à SES/PE"/>
    <m/>
    <d v="2025-02-25T00:00:00"/>
    <x v="1"/>
    <s v="Autorizada Sucesso"/>
    <s v="Concluído"/>
    <s v="Item atualizado"/>
    <m/>
    <s v="Em andamento"/>
    <s v="SEI não localizado"/>
    <m/>
    <m/>
  </r>
  <r>
    <x v="806"/>
    <x v="0"/>
    <s v="HOSPITAL REGIONAL DO AGRESTE DR.WALDEMIRO FERREIRA"/>
    <s v="Consumo"/>
    <s v="ARP.0027.00.2025.GOV.FES-PE.PE"/>
    <s v="Formação de Registro de Preços para o fornecimento eventual de Medicamentos em Comprimido – Grupo 02 com a finalidade de atender às necessidades dos hospitais e estabelecimentos vinculados à SES/PE"/>
    <m/>
    <d v="2025-02-25T00:00:00"/>
    <x v="1"/>
    <s v="Autorizada Sucesso"/>
    <s v="Concluído"/>
    <s v="Item atualizado"/>
    <m/>
    <s v="Em andamento"/>
    <s v="SEI não localizado"/>
    <m/>
    <m/>
  </r>
  <r>
    <x v="807"/>
    <x v="0"/>
    <s v="HOSPITAL REGIONAL DO AGRESTE DR.WALDEMIRO FERREIRA"/>
    <s v="Consumo"/>
    <s v="ARP.0027.01.2025.GOV.FES-PE.PE"/>
    <s v="Formação de Registro de Preços para o fornecimento eventual de Medicamentos em Comprimido – Grupo 02 com a finalidade de atender às necessidades dos hospitais e estabelecimentos vinculados à SES/PE"/>
    <m/>
    <d v="2025-02-25T00:00:00"/>
    <x v="1"/>
    <s v="Autorizada Sucesso"/>
    <s v="Concluído"/>
    <s v="Item atualizado"/>
    <m/>
    <s v="Em andamento"/>
    <s v="SEI não localizado"/>
    <m/>
    <m/>
  </r>
  <r>
    <x v="808"/>
    <x v="0"/>
    <s v="HOSPITAL REGIONAL DO AGRESTE DR.WALDEMIRO FERREIRA"/>
    <s v="Consumo"/>
    <s v="ARP.0027.04.2025.GOV.FES-PE.PE"/>
    <s v="Formação de Registro de Preços para o fornecimento eventual de Medicamentos em Comprimido – Grupo 02 com a finalidade de atender às necessidades dos hospitais e estabelecimentos vinculados à SES/PE"/>
    <m/>
    <d v="2025-02-25T00:00:00"/>
    <x v="1"/>
    <s v="Autorizada Sucesso"/>
    <s v="Concluído"/>
    <s v="Item atualizado"/>
    <m/>
    <s v="Em andamento"/>
    <s v="SEI não localizado"/>
    <m/>
    <m/>
  </r>
  <r>
    <x v="809"/>
    <x v="0"/>
    <s v="HOSPITAL REGIONAL DO AGRESTE DR.WALDEMIRO FERREIRA"/>
    <s v="Consumo"/>
    <s v="ARP.0027.05.2025.GOV.FES-PE.PE"/>
    <s v="Formação de Registro de Preços para o fornecimento eventual de Medicamentos em Comprimido – Grupo 02 com a finalidade de atender às necessidades dos hospitais e estabelecimentos vinculados à SES/PE"/>
    <m/>
    <d v="2025-02-25T00:00:00"/>
    <x v="1"/>
    <s v="Autorizada Sucesso"/>
    <s v="Concluído"/>
    <s v="Item atualizado"/>
    <m/>
    <s v="Em andamento"/>
    <s v="SEI não localizado"/>
    <m/>
    <m/>
  </r>
  <r>
    <x v="810"/>
    <x v="0"/>
    <s v="HOSPITAL REGIONAL DO AGRESTE DR.WALDEMIRO FERREIRA"/>
    <s v="Consumo"/>
    <s v="ARP.0027.06.2025.GOV.FES-PE.PE"/>
    <s v="Formação de Registro de Preços para o fornecimento eventual de Medicamentos em Comprimido – Grupo 02 com a finalidade de atender às necessidades dos hospitais e estabelecimentos vinculados à SES/PE"/>
    <m/>
    <d v="2025-02-25T00:00:00"/>
    <x v="1"/>
    <s v="Autorizada Sucesso"/>
    <s v="Concluído"/>
    <s v="Item atualizado"/>
    <m/>
    <s v="Em andamento"/>
    <s v="SEI não localizado"/>
    <m/>
    <m/>
  </r>
  <r>
    <x v="811"/>
    <x v="0"/>
    <s v="HOSPITAL REGIONAL DO AGRESTE DR.WALDEMIRO FERREIRA"/>
    <s v="Consumo"/>
    <s v="ARP.0027.07.2025.GOV.FES-PE.PE"/>
    <s v="Formação de Registro de Preços para o fornecimento eventual de Medicamentos em Comprimido – Grupo 02 com a finalidade de atender às necessidades dos hospitais e estabelecimentos vinculados à SES/PE"/>
    <s v="NFOCPO"/>
    <d v="2025-02-25T00:00:00"/>
    <x v="0"/>
    <s v="Encaminhada para o gestor de ata"/>
    <s v="Cancelar Com o Suporte"/>
    <s v="Item atualizado"/>
    <m/>
    <s v="Cancelar Com o Suporte"/>
    <s v="SEI não localizado"/>
    <m/>
    <m/>
  </r>
  <r>
    <x v="812"/>
    <x v="0"/>
    <s v="HOSPITAL REGIONAL DO AGRESTE DR.WALDEMIRO FERREIRA"/>
    <s v="Consumo"/>
    <s v="ARP.0027.08.2025.GOV.FES-PE.PE"/>
    <s v="Formação de Registro de Preços para o fornecimento eventual de Medicamentos em Comprimido – Grupo 02 com a finalidade de atender às necessidades dos hospitais e estabelecimentos vinculados à SES/PE"/>
    <s v="NFOCPO"/>
    <d v="2025-02-25T00:00:00"/>
    <x v="0"/>
    <s v="Encaminhada para o gestor de ata"/>
    <s v="Cancelar Com o Suporte"/>
    <s v="Item atualizado"/>
    <m/>
    <s v="Cancelar Com o Suporte"/>
    <s v="SEI não localizado"/>
    <m/>
    <m/>
  </r>
  <r>
    <x v="813"/>
    <x v="0"/>
    <s v="HOSPITAL REGIONAL DO AGRESTE DR.WALDEMIRO FERREIRA"/>
    <s v="Consumo"/>
    <s v="ARP.0027.09.2025.GOV.FES-PE.PE"/>
    <s v="Formação de Registro de Preços para o fornecimento eventual de Medicamentos em Comprimido – Grupo 02 com a finalidade de atender às necessidades dos hospitais e estabelecimentos vinculados à SES/PE"/>
    <s v="NFOCPO"/>
    <d v="2025-02-25T00:00:00"/>
    <x v="6"/>
    <s v="Encaminhada para o gestor de ata"/>
    <s v="Em andamento"/>
    <s v="Item não atualizado"/>
    <s v="Raquel"/>
    <s v="Em andamento"/>
    <s v="SEI não localizado"/>
    <m/>
    <m/>
  </r>
  <r>
    <x v="814"/>
    <x v="0"/>
    <s v="HOSPITAL REGIONAL DO AGRESTE DR.WALDEMIRO FERREIRA"/>
    <s v="Consumo"/>
    <s v="ARP.0022.01.2025.GOV.FES-PE.PE"/>
    <s v="Formação de Registro de Preços para o fornecimento eventual de Medicamentos Controlados – Grupo 02 com a finalidade de atender às necessidades dos hospitais e estabelecimentos vinculados à SES/PE"/>
    <m/>
    <d v="2025-02-25T00:00:00"/>
    <x v="0"/>
    <s v="Cancelada"/>
    <s v="Cancelado"/>
    <s v="Item não atualizado"/>
    <m/>
    <s v="Cancelado"/>
    <s v="SEI não localizado"/>
    <m/>
    <m/>
  </r>
  <r>
    <x v="815"/>
    <x v="0"/>
    <s v="HOSPITAL REGIONAL DO AGRESTE DR.WALDEMIRO FERREIRA"/>
    <s v="Consumo"/>
    <s v="ARP.0022.00.2025.GOV.FES-PE.PE"/>
    <s v="Formação de Registro de Preços para o fornecimento eventual de Medicamentos Controlados – Grupo 02 com a finalidade de atender às necessidades dos hospitais e estabelecimentos vinculados à SES/PE"/>
    <s v="NFOCPO"/>
    <d v="2025-02-25T00:00:00"/>
    <x v="6"/>
    <s v="Encaminhada para o gestor de ata"/>
    <s v="Em andamento"/>
    <s v="Item não atualizado"/>
    <s v="Raquel"/>
    <s v="Em andamento"/>
    <s v="SEI não localizado"/>
    <m/>
    <m/>
  </r>
  <r>
    <x v="816"/>
    <x v="0"/>
    <s v="HOSPITAL REGIONAL DO AGRESTE DR.WALDEMIRO FERREIRA"/>
    <s v="Consumo"/>
    <s v="ARP.0021.05.2025.GOV.FES-PE.PE"/>
    <s v="Formação de Registro de Preços para o fornecimento eventual de Medicamentos Controlados – Grupo 01 com a finalidade de atender às necessidades dos hospitais e estabelecimentos vinculados à SES"/>
    <m/>
    <d v="2025-02-25T00:00:00"/>
    <x v="1"/>
    <s v="Autorizada Sucesso"/>
    <s v="Concluído"/>
    <s v="Item atualizado"/>
    <m/>
    <s v="Em andamento"/>
    <s v="SEI não localizado"/>
    <m/>
    <m/>
  </r>
  <r>
    <x v="817"/>
    <x v="0"/>
    <s v="HOSPITAL REGIONAL DO AGRESTE DR.WALDEMIRO FERREIRA"/>
    <s v="Consumo"/>
    <s v="ARP.0021.03.2025.GOV.FES-PE.PE"/>
    <s v="Formação de Registro de Preços para o fornecimento eventual de Medicamentos Controlados – Grupo 01 com a finalidade de atender às necessidades dos hospitais e estabelecimentos vinculados à SES"/>
    <m/>
    <d v="2025-02-25T00:00:00"/>
    <x v="1"/>
    <s v="Autorizada Sucesso"/>
    <s v="Concluído"/>
    <s v="Item atualizado"/>
    <m/>
    <s v="Em andamento"/>
    <s v="SEI não localizado"/>
    <m/>
    <m/>
  </r>
  <r>
    <x v="818"/>
    <x v="0"/>
    <s v="HOSPITAL REGIONAL DO AGRESTE DR.WALDEMIRO FERREIRA"/>
    <s v="Consumo"/>
    <s v="ARP.0021.02.2025.GOV.FES-PE.PE"/>
    <s v="Formação de Registro de Preços para o fornecimento eventual de Medicamentos Controlados – Grupo 01 com a finalidade de atender às necessidades dos hospitais e estabelecimentos vinculados à SES"/>
    <m/>
    <d v="2025-02-25T00:00:00"/>
    <x v="1"/>
    <s v="Autorizada Sucesso"/>
    <s v="Concluído"/>
    <s v="Item atualizado"/>
    <m/>
    <s v="Em andamento"/>
    <s v="SEI não localizado"/>
    <m/>
    <m/>
  </r>
  <r>
    <x v="819"/>
    <x v="4"/>
    <s v="HOSPITAL REGIONAL DO AGRESTE DR.WALDEMIRO FERREIRA"/>
    <s v="Consumo"/>
    <s v="ARP.0010.00.2025.GOV.CISAM.PE"/>
    <s v="REGISTRO DE PREÇOS PARA FORNECIMENTO EVENTUAL DE MATERIAIS MÉDICO-HOSPITALARES (DIVERSOS), VISANDO ATENDER AS NECESSIDADES DO CISAM/UPE E DEMAIS ÓRGÃOS PARTICIPANTES ."/>
    <m/>
    <d v="2025-02-24T00:00:00"/>
    <x v="0"/>
    <s v="Cancelada"/>
    <s v="Cancelado"/>
    <s v="Item não atualizado"/>
    <m/>
    <s v="Cancelado"/>
    <s v="SEI não localizado"/>
    <m/>
    <m/>
  </r>
  <r>
    <x v="820"/>
    <x v="0"/>
    <s v="HOSPITAL REGIONAL DO AGRESTE DR.WALDEMIRO FERREIRA"/>
    <s v="Consumo"/>
    <s v="ARP.0021.01.2025.GOV.FES-PE.PE"/>
    <s v="Formação de Registro de Preços para o fornecimento eventual de Medicamentos Controlados – Grupo 01 com a finalidade de atender às necessidades dos hospitais e estabelecimentos vinculados à SES"/>
    <s v="NFOCPO"/>
    <d v="2025-02-24T00:00:00"/>
    <x v="0"/>
    <s v="Cancelada"/>
    <s v="Cancelado"/>
    <s v="Item não atualizado"/>
    <m/>
    <s v="Cancelado"/>
    <s v="SEI não localizado"/>
    <m/>
    <m/>
  </r>
  <r>
    <x v="821"/>
    <x v="0"/>
    <s v="HOSPITAL REGIONAL DO AGRESTE DR.WALDEMIRO FERREIRA"/>
    <s v="Consumo"/>
    <s v="ARP.0019.02.2025.GOV.FES-PE.PE"/>
    <s v="Formação de Registro de Preços para o fornecimento eventual de Dispositivos Médicos do tipo Seringas e Agulhas por meio de Dispensa de licitação com fundamento no art. 75, inc. VIII da Lei nº14.133/21"/>
    <s v="NFOCPO"/>
    <d v="2025-02-24T00:00:00"/>
    <x v="0"/>
    <s v="Cancelada"/>
    <s v="Cancelado"/>
    <s v="Item não atualizado"/>
    <m/>
    <s v="Cancelado"/>
    <s v="SEI não localizado"/>
    <m/>
    <m/>
  </r>
  <r>
    <x v="822"/>
    <x v="0"/>
    <s v="HOSPITAL REGIONAL DO AGRESTE DR.WALDEMIRO FERREIRA"/>
    <s v="Consumo"/>
    <s v="ARP.0019.01.2025.GOV.FES-PE.PE"/>
    <s v="Formação de Registro de Preços para o fornecimento eventual de Dispositivos Médicos do tipo Seringas e Agulhas por meio de Dispensa de licitação com fundamento no art. 75, inc. VIII da Lei nº14.133/21"/>
    <s v="NFOCPO"/>
    <d v="2025-02-24T00:00:00"/>
    <x v="6"/>
    <s v="Encaminhada para o gestor de ata"/>
    <s v="Em andamento"/>
    <s v="Item não atualizado"/>
    <s v="Raquel"/>
    <s v="Em andamento"/>
    <s v="SEI não localizado"/>
    <m/>
    <m/>
  </r>
  <r>
    <x v="823"/>
    <x v="0"/>
    <s v="HOSPITAL REGIONAL DO AGRESTE DR.WALDEMIRO FERREIRA"/>
    <s v="Consumo"/>
    <s v="ARP.0019.00.2025.GOV.FES-PE.PE"/>
    <s v="Formação de Registro de Preços para o fornecimento eventual de Dispositivos Médicos do tipo Seringas e Agulhas por meio de Dispensa de licitação com fundamento no art. 75, inc. VIII da Lei nº14.133/21"/>
    <s v="NFOCPO"/>
    <d v="2025-02-24T00:00:00"/>
    <x v="0"/>
    <s v="Cancelada"/>
    <s v="Cancelado"/>
    <s v="Item não atualizado"/>
    <m/>
    <s v="Cancelado"/>
    <s v="SEI não localizado"/>
    <m/>
    <m/>
  </r>
  <r>
    <x v="824"/>
    <x v="0"/>
    <s v="HOSPITAL REGIONAL DO AGRESTE DR.WALDEMIRO FERREIRA"/>
    <s v="Consumo"/>
    <s v="ARP.0018.02.2025.GOV.FES-PE.PE"/>
    <s v="Formação de Registro de Preços para o fornecimento eventual de Dispositivos Médicos do tipo Seringas, Agulhas e Tubos Extensores, a fim de atender as necessidades dos hospitais e estab. da SES/PE"/>
    <m/>
    <d v="2025-02-24T00:00:00"/>
    <x v="1"/>
    <s v="Autorizada Sucesso"/>
    <s v="Concluído"/>
    <s v="Item atualizado"/>
    <m/>
    <s v="Em andamento"/>
    <s v="SEI não localizado"/>
    <m/>
    <m/>
  </r>
  <r>
    <x v="825"/>
    <x v="0"/>
    <s v="HOSPITAL REGIONAL DO AGRESTE DR.WALDEMIRO FERREIRA"/>
    <s v="Consumo"/>
    <s v="ARP.0018.01.2025.GOV.FES-PE.PE"/>
    <s v="Formação de Registro de Preços para o fornecimento eventual de Dispositivos Médicos do tipo Seringas, Agulhas e Tubos Extensores, a fim de atender as necessidades dos hospitais e estab. da SES/PE"/>
    <m/>
    <d v="2025-02-24T00:00:00"/>
    <x v="1"/>
    <s v="Autorizada Sucesso"/>
    <s v="Concluído"/>
    <s v="Item atualizado"/>
    <m/>
    <s v="Em andamento"/>
    <s v="SEI não localizado"/>
    <m/>
    <m/>
  </r>
  <r>
    <x v="826"/>
    <x v="0"/>
    <s v="HOSPITAL REGIONAL DO AGRESTE DR.WALDEMIRO FERREIRA"/>
    <s v="Consumo"/>
    <s v="ARP.0018.00.2025.GOV.FES-PE.PE"/>
    <s v="Formação de Registro de Preços para o fornecimento eventual de Dispositivos Médicos do tipo Seringas, Agulhas e Tubos Extensores, a fim de atender as necessidades dos hospitais e estab. da SES/PE"/>
    <s v="NFOCPO"/>
    <d v="2025-02-24T00:00:00"/>
    <x v="0"/>
    <s v="Cancelada"/>
    <s v="Cancelado"/>
    <s v="Item não atualizado"/>
    <m/>
    <s v="Cancelado"/>
    <s v="SEI não localizado"/>
    <m/>
    <m/>
  </r>
  <r>
    <x v="827"/>
    <x v="0"/>
    <s v="HOSPITAL REGIONAL DO AGRESTE DR.WALDEMIRO FERREIRA"/>
    <s v="Consumo"/>
    <s v="ARP.0017.06.2025.GOV.FES-PE.PE"/>
    <s v="Formação de Registro de Preços para o fornecimento eventual de Medicamentos do tipo Diversos – Grupo 01, a fim de atender as necessidades dos hospitais e estabelecimentos vinculados à SES/PE"/>
    <m/>
    <d v="2025-02-24T00:00:00"/>
    <x v="1"/>
    <s v="Autorizada Sucesso"/>
    <s v="Concluído"/>
    <s v="Item atualizado"/>
    <m/>
    <s v="Em andamento"/>
    <s v="SEI não localizado"/>
    <m/>
    <m/>
  </r>
  <r>
    <x v="828"/>
    <x v="0"/>
    <s v="HOSPITAL REGIONAL DO AGRESTE DR.WALDEMIRO FERREIRA"/>
    <s v="Consumo"/>
    <s v="ARP.0017.05.2025.GOV.FES-PE.PE"/>
    <s v="Formação de Registro de Preços para o fornecimento eventual de Medicamentos do tipo Diversos – Grupo 01, a fim de atender as necessidades dos hospitais e estabelecimentos vinculados à SES/PE"/>
    <m/>
    <d v="2025-02-24T00:00:00"/>
    <x v="0"/>
    <s v="Cancelada"/>
    <s v="Cancelado"/>
    <s v="Item não atualizado"/>
    <m/>
    <s v="Cancelado"/>
    <s v="SEI não localizado"/>
    <m/>
    <m/>
  </r>
  <r>
    <x v="829"/>
    <x v="0"/>
    <s v="HOSPITAL REGIONAL DO AGRESTE DR.WALDEMIRO FERREIRA"/>
    <s v="Consumo"/>
    <s v="ARP.0017.02.2025.GOV.FES-PE.PE"/>
    <s v="Formação de Registro de Preços para o fornecimento eventual de Medicamentos do tipo Diversos – Grupo 01, a fim de atender as necessidades dos hospitais e estabelecimentos vinculados à SES/PE"/>
    <m/>
    <d v="2025-02-24T00:00:00"/>
    <x v="0"/>
    <s v="Cancelada"/>
    <s v="Cancelado"/>
    <s v="Item não atualizado"/>
    <m/>
    <s v="Cancelado"/>
    <s v="SEI não localizado"/>
    <m/>
    <m/>
  </r>
  <r>
    <x v="830"/>
    <x v="0"/>
    <s v="HOSPITAL REGIONAL DO AGRESTE DR.WALDEMIRO FERREIRA"/>
    <s v="Consumo"/>
    <s v="ARP.0017.00.2025.GOV.FES-PE.PE"/>
    <s v="Formação de Registro de Preços para o fornecimento eventual de Medicamentos do tipo Diversos – Grupo 01, a fim de atender as necessidades dos hospitais e estabelecimentos vinculados à SES/PE"/>
    <s v="NFOCPO"/>
    <d v="2025-02-24T00:00:00"/>
    <x v="6"/>
    <s v="Encaminhada para o gestor de ata"/>
    <s v="Em andamento"/>
    <s v="Item não atualizado"/>
    <s v="Marília"/>
    <s v="Em andamento"/>
    <s v="SEI não localizado"/>
    <m/>
    <m/>
  </r>
  <r>
    <x v="831"/>
    <x v="0"/>
    <s v="HOSPITAL REGIONAL DO AGRESTE DR.WALDEMIRO FERREIRA"/>
    <s v="Consumo"/>
    <s v="ARP.0013.04.2025.GOV.FES-PE.PE"/>
    <s v="Formação de Registro de Preços para o fornecimento eventual de Medicamentos em Comprimido – Grupo 01 com a finalidade de atender às necessidades dos hospitais e estabelecimentos vinculados à SES/PE"/>
    <m/>
    <d v="2025-02-24T00:00:00"/>
    <x v="1"/>
    <s v="Autorizada Sucesso"/>
    <s v="Concluído"/>
    <s v="Item atualizado"/>
    <m/>
    <s v="Em andamento"/>
    <s v="SEI não localizado"/>
    <m/>
    <m/>
  </r>
  <r>
    <x v="832"/>
    <x v="0"/>
    <s v="HOSPITAL REGIONAL DO AGRESTE DR.WALDEMIRO FERREIRA"/>
    <s v="Consumo"/>
    <s v="ARP.0013.02.2025.GOV.FES-PE.PE"/>
    <s v="Formação de Registro de Preços para o fornecimento eventual de Medicamentos em Comprimido – Grupo 01 com a finalidade de atender às necessidades dos hospitais e estabelecimentos vinculados à SES/PE"/>
    <m/>
    <d v="2025-02-24T00:00:00"/>
    <x v="1"/>
    <s v="Autorizada Sucesso"/>
    <s v="Concluído"/>
    <s v="Item atualizado"/>
    <m/>
    <s v="Em andamento"/>
    <s v="SEI não localizado"/>
    <m/>
    <m/>
  </r>
  <r>
    <x v="833"/>
    <x v="0"/>
    <s v="HOSPITAL REGIONAL DO AGRESTE DR.WALDEMIRO FERREIRA"/>
    <s v="Consumo"/>
    <s v="ARP.0013.01.2025.GOV.FES-PE.PE"/>
    <s v="Formação de Registro de Preços para o fornecimento eventual de Medicamentos em Comprimido – Grupo 01 com a finalidade de atender às necessidades dos hospitais e estabelecimentos vinculados à SES/PE"/>
    <m/>
    <d v="2025-02-24T00:00:00"/>
    <x v="1"/>
    <s v="Autorizada Sucesso"/>
    <s v="Concluído"/>
    <s v="Item atualizado"/>
    <m/>
    <s v="Em andamento"/>
    <s v="SEI não localizado"/>
    <m/>
    <m/>
  </r>
  <r>
    <x v="834"/>
    <x v="0"/>
    <s v="HOSPITAL REGIONAL DO AGRESTE DR.WALDEMIRO FERREIRA"/>
    <s v="Consumo"/>
    <s v="ARP.0012.05.2025.GOV.FES-PE.PE"/>
    <s v="Formação de Registro de Preços para o fornecimento eventual de Medicamentos do tipo Soluções Parenterais de Grande Volume (SPGV),para atendet os hospitais e estabelecimentos vinculados a SES/PE"/>
    <m/>
    <d v="2025-02-24T00:00:00"/>
    <x v="0"/>
    <s v="Cancelada"/>
    <s v="Cancelado"/>
    <s v="Item não atualizado"/>
    <m/>
    <s v="Cancelado"/>
    <s v="SEI não localizado"/>
    <m/>
    <m/>
  </r>
  <r>
    <x v="835"/>
    <x v="0"/>
    <s v="HOSPITAL REGIONAL DO AGRESTE DR.WALDEMIRO FERREIRA"/>
    <s v="Consumo"/>
    <s v="ARP.0012.04.2025.GOV.FES-PE.PE"/>
    <s v="Formação de Registro de Preços para o fornecimento eventual de Medicamentos do tipo Soluções Parenterais de Grande Volume (SPGV),para atendet os hospitais e estabelecimentos vinculados a SES/PE"/>
    <s v="NFOCPO"/>
    <d v="2025-02-24T00:00:00"/>
    <x v="0"/>
    <s v="Cancelada"/>
    <s v="Cancelado"/>
    <s v="Item não atualizado"/>
    <m/>
    <s v="Cancelado"/>
    <s v="SEI não localizado"/>
    <m/>
    <m/>
  </r>
  <r>
    <x v="836"/>
    <x v="0"/>
    <s v="HOSPITAL REGIONAL DO AGRESTE DR.WALDEMIRO FERREIRA"/>
    <s v="Consumo"/>
    <s v="ARP.0012.02.2025.GOV.FES-PE.PE"/>
    <s v="Formação de Registro de Preços para o fornecimento eventual de Medicamentos do tipo Soluções Parenterais de Grande Volume (SPGV),para atendet os hospitais e estabelecimentos vinculados a SES/PE"/>
    <m/>
    <d v="2025-02-24T00:00:00"/>
    <x v="1"/>
    <s v="Autorizada Sucesso"/>
    <s v="Concluído"/>
    <s v="Item atualizado"/>
    <m/>
    <s v="Em andamento"/>
    <s v="SEI não localizado"/>
    <m/>
    <m/>
  </r>
  <r>
    <x v="837"/>
    <x v="10"/>
    <s v="HOSPITAL REGIONAL DO AGRESTE DR.WALDEMIRO FERREIRA"/>
    <s v="Consumo"/>
    <s v="ARP.0008.01.2025.GOV.HAM.PE"/>
    <s v="Formação de Registro de Preços para o fornecimento eventual de solução parenteral por um período de 12 meses, visando atender as necessidades do Hospital Agamenon Magalhães"/>
    <m/>
    <d v="2025-02-24T00:00:00"/>
    <x v="1"/>
    <s v="Autorizada Sucesso"/>
    <s v="Concluído"/>
    <s v="Item atualizado"/>
    <m/>
    <s v="Concluído"/>
    <s v="Enviado ao NOF"/>
    <s v="2300001213.000040/2025-53"/>
    <m/>
  </r>
  <r>
    <x v="838"/>
    <x v="0"/>
    <s v="HOSPITAL REGIONAL DO AGRESTE DR.WALDEMIRO FERREIRA"/>
    <s v="Consumo"/>
    <s v="ARP.0012.05.2025.GOV.FES-PE.PE"/>
    <s v="Formação de Registro de Preços para o fornecimento eventual de Medicamentos do tipo Soluções Parenterais de Grande Volume (SPGV),para atendet os hospitais e estabelecimentos vinculados a SES/PE"/>
    <m/>
    <d v="2025-02-20T00:00:00"/>
    <x v="1"/>
    <s v="Autorizada Sucesso"/>
    <s v="Concluído"/>
    <s v="Item atualizado"/>
    <m/>
    <s v="Em andamento"/>
    <s v="SEI não localizado"/>
    <m/>
    <m/>
  </r>
  <r>
    <x v="839"/>
    <x v="0"/>
    <s v="HOSPITAL REGIONAL DO AGRESTE DR.WALDEMIRO FERREIRA"/>
    <s v="Consumo"/>
    <s v="ARP.0012.02.2025.GOV.FES-PE.PE"/>
    <s v="Formação de Registro de Preços para o fornecimento eventual de Medicamentos do tipo Soluções Parenterais de Grande Volume (SPGV),para atendet os hospitais e estabelecimentos vinculados a SES/PE"/>
    <m/>
    <d v="2025-02-20T00:00:00"/>
    <x v="0"/>
    <s v="Cancelada"/>
    <s v="Cancelado"/>
    <s v="Item não atualizado"/>
    <m/>
    <s v="Cancelado"/>
    <s v="SEI não localizado"/>
    <m/>
    <m/>
  </r>
  <r>
    <x v="840"/>
    <x v="0"/>
    <s v="HOSPITAL REGIONAL DO AGRESTE DR.WALDEMIRO FERREIRA"/>
    <s v="Consumo"/>
    <s v="ARP.0012.01.2025.GOV.FES-PE.PE"/>
    <s v="Formação de Registro de Preços para o fornecimento eventual de Medicamentos do tipo Soluções Parenterais de Grande Volume (SPGV),para atendet os hospitais e estabelecimentos vinculados a SES/PE"/>
    <m/>
    <d v="2025-02-20T00:00:00"/>
    <x v="1"/>
    <s v="Autorizada Sucesso"/>
    <s v="Concluído"/>
    <s v="Item atualizado"/>
    <m/>
    <s v="Em andamento"/>
    <s v="SEI não localizado"/>
    <m/>
    <m/>
  </r>
  <r>
    <x v="841"/>
    <x v="0"/>
    <s v="HOSPITAL REGIONAL DO AGRESTE DR.WALDEMIRO FERREIRA"/>
    <s v="Consumo"/>
    <s v="ARP.0012.00.2025.GOV.FES-PE.PE"/>
    <s v="Formação de Registro de Preços para o fornecimento eventual de Medicamentos do tipo Soluções Parenterais de Grande Volume (SPGV),para atendet os hospitais e estabelecimentos vinculados a SES/PE"/>
    <m/>
    <d v="2025-02-20T00:00:00"/>
    <x v="1"/>
    <s v="Autorizada Sucesso"/>
    <s v="Concluído"/>
    <s v="Item atualizado"/>
    <m/>
    <s v="Em andamento"/>
    <s v="SEI não localizado"/>
    <m/>
    <m/>
  </r>
  <r>
    <x v="842"/>
    <x v="0"/>
    <s v="HOSPITAL REGIONAL DO AGRESTE DR.WALDEMIRO FERREIRA"/>
    <s v="Consumo"/>
    <s v="ARP.0010.04.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2-19T00:00:00"/>
    <x v="1"/>
    <s v="Autorizada Sucesso"/>
    <s v="Concluído"/>
    <s v="Item atualizado"/>
    <m/>
    <s v="Concluído"/>
    <s v="Enviado ao NOF"/>
    <s v="2300001213.000049/2025-64"/>
    <m/>
  </r>
  <r>
    <x v="843"/>
    <x v="0"/>
    <s v="HOSPITAL REGIONAL DO AGRESTE DR.WALDEMIRO FERREIRA"/>
    <s v="Consumo"/>
    <s v="ARP.0004.00.2025.GOV.FES-PE.PE"/>
    <s v="Formação de Registro de Preços para o fornecimento eventual de Medicamentos Antimicrobianos – Grupo 02 com a finalidade de atender às necessidades dos hospitais e estabelecimentos vinculados à SES/PE."/>
    <s v="NFOCPO"/>
    <d v="2025-02-19T00:00:00"/>
    <x v="0"/>
    <s v="Encaminhada para o gestor de ata"/>
    <s v="Cancelar Com o Suporte"/>
    <s v="Item atualizado"/>
    <m/>
    <s v="Cancelar Com o Suporte"/>
    <s v="SEI não localizado"/>
    <m/>
    <m/>
  </r>
  <r>
    <x v="844"/>
    <x v="0"/>
    <s v="HOSPITAL REGIONAL DO AGRESTE DR.WALDEMIRO FERREIRA"/>
    <s v="Consumo"/>
    <s v="ARP.0004.05.2025.GOV.FES-PE.PE"/>
    <s v="Formação de Registro de Preços para o fornecimento eventual de Medicamentos Antimicrobianos – Grupo 02 com a finalidade de atender às necessidades dos hospitais e estabelecimentos vinculados à SES/PE."/>
    <s v="NFOCPO"/>
    <d v="2025-02-19T00:00:00"/>
    <x v="0"/>
    <s v="Encaminhada para o gestor de ata"/>
    <s v="Cancelar Com o Suporte"/>
    <s v="Item atualizado"/>
    <m/>
    <s v="Cancelar Com o Suporte"/>
    <s v="SEI não localizado"/>
    <m/>
    <m/>
  </r>
  <r>
    <x v="845"/>
    <x v="0"/>
    <s v="HOSPITAL REGIONAL DO AGRESTE DR.WALDEMIRO FERREIRA"/>
    <s v="Consumo"/>
    <s v="ARP.0003.00.2025.GOV.FES-PE.PE"/>
    <s v="Formação de Registro de Preços para o fornecimento eventual de Dispositivos Médicos do tipo Curativos com a finalidade de atender às necessidades dos hospitais e estabelecimentos vinculados à SES/PE"/>
    <m/>
    <d v="2025-02-19T00:00:00"/>
    <x v="0"/>
    <s v="Cancelada"/>
    <s v="Cancelado"/>
    <s v="Item não atualizado"/>
    <m/>
    <s v="Cancelado"/>
    <s v="SEI não localizado"/>
    <m/>
    <m/>
  </r>
  <r>
    <x v="846"/>
    <x v="22"/>
    <s v="HOSPITAL REGIONAL DO AGRESTE DR.WALDEMIRO FERREIRA"/>
    <s v="Consumo"/>
    <s v="ARPC.0001.00.2025.GOV.SAD.PE"/>
    <s v="Formação de Registro de Preços Corporativo para o fornecimento eventual de Etiqueta Patrimonial, visando atender às necessidades dos órgãos da Administração Direta, Fundos Especiais, Autarquias e Fundações Públicas integrantes do Poder Executivo do Estado"/>
    <m/>
    <d v="2025-02-17T00:00:00"/>
    <x v="1"/>
    <s v="Autorizada Sucesso"/>
    <s v="Concluído"/>
    <s v="Item atualizado"/>
    <m/>
    <s v="Concluído"/>
    <s v="Enviado ao NOF"/>
    <s v="2300002544.000011/2025-11"/>
    <m/>
  </r>
  <r>
    <x v="847"/>
    <x v="0"/>
    <s v="HOSPITAL REGIONAL DO AGRESTE DR.WALDEMIRO FERREIRA"/>
    <s v="Consumo"/>
    <s v="ARP.0015.03.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s v="NFOCPO"/>
    <d v="2025-02-14T00:00:00"/>
    <x v="6"/>
    <s v="Encaminhada para o gestor de ata"/>
    <s v="Em andamento"/>
    <s v="Item não atualizado"/>
    <s v="Marília"/>
    <s v="Em andamento"/>
    <s v="SEI não localizado"/>
    <m/>
    <m/>
  </r>
  <r>
    <x v="848"/>
    <x v="0"/>
    <s v="HOSPITAL REGIONAL DO AGRESTE DR.WALDEMIRO FERREIRA"/>
    <s v="Consumo"/>
    <s v="ARP.0015.03.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2-14T00:00:00"/>
    <x v="1"/>
    <s v="Autorizada Sucesso"/>
    <s v="Concluído"/>
    <s v="Item atualizado"/>
    <m/>
    <s v="Em andamento"/>
    <s v="SEI não localizado"/>
    <m/>
    <m/>
  </r>
  <r>
    <x v="849"/>
    <x v="0"/>
    <s v="HOSPITAL REGIONAL DO AGRESTE DR.WALDEMIRO FERREIRA"/>
    <s v="Consumo"/>
    <s v="ARP.0015.00.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2-14T00:00:00"/>
    <x v="1"/>
    <s v="Autorizada Sucesso"/>
    <s v="Concluído"/>
    <s v="Item atualizado"/>
    <m/>
    <s v="Concluído"/>
    <s v="Enviado ao NOF"/>
    <s v="2300001213.000033/2025-51"/>
    <m/>
  </r>
  <r>
    <x v="850"/>
    <x v="0"/>
    <s v="HOSPITAL REGIONAL DO AGRESTE DR.WALDEMIRO FERREIRA"/>
    <s v="Consumo"/>
    <s v="ARP.0046.00.2024.GOV.FES-PE.PE"/>
    <s v="Registro de Preços para a eventual aquisição de Medicamentos Injetáveis (grupo 05) visando atender a demanda dos hospitais e estabelecimentos da rede estadual de saúde de Pernambuco"/>
    <m/>
    <d v="2025-02-13T00:00:00"/>
    <x v="1"/>
    <s v="Autorizada Sucesso"/>
    <s v="Concluído"/>
    <s v="Item atualizado"/>
    <m/>
    <s v="Em andamento"/>
    <s v="SEI não localizado"/>
    <m/>
    <m/>
  </r>
  <r>
    <x v="851"/>
    <x v="0"/>
    <s v="HOSPITAL REGIONAL DO AGRESTE DR.WALDEMIRO FERREIRA"/>
    <s v="Consumo"/>
    <s v="ARP.0046.00.2024.GOV.FES-PE.PE"/>
    <s v="Registro de Preços para a eventual aquisição de Medicamentos Injetáveis (grupo 05) visando atender a demanda dos hospitais e estabelecimentos da rede estadual de saúde de Pernambuco"/>
    <m/>
    <d v="2025-02-13T00:00:00"/>
    <x v="1"/>
    <s v="Autorizada Sucesso"/>
    <s v="Concluído"/>
    <s v="Item atualizado"/>
    <m/>
    <s v="Em andamento"/>
    <s v="SEI não localizado"/>
    <m/>
    <m/>
  </r>
  <r>
    <x v="852"/>
    <x v="0"/>
    <s v="HOSPITAL REGIONAL DO AGRESTE DR.WALDEMIRO FERREIRA"/>
    <s v="Consumo"/>
    <s v="ARP.0100.03.2024.GOV.FES-PE.PE"/>
    <s v="Formação de Registro de Preços para o fornecimento eventual de Dispositivos Médicos do tipo Curativos com a finalidade de atender às necessidades dos hospitais e estabelecimentos vinculados à SES/PE"/>
    <m/>
    <d v="2025-02-11T00:00:00"/>
    <x v="1"/>
    <s v="Autorizada Sucesso"/>
    <s v="Concluído"/>
    <s v="Item atualizado"/>
    <m/>
    <s v="Em andamento"/>
    <s v="SEI não localizado"/>
    <m/>
    <m/>
  </r>
  <r>
    <x v="853"/>
    <x v="0"/>
    <s v="HOSPITAL REGIONAL DO AGRESTE DR.WALDEMIRO FERREIRA"/>
    <s v="Consumo"/>
    <s v="ARP.0005.02.2025.GOV.FES-PE.PE"/>
    <s v="Formação de Registro de Preços para o Fornecimento eventual de Dispositivos Médicos do tipo Cateter/Sonda com a finalidade de atender às necessidades dos hospitais e estabelecimentos vinculados à SES"/>
    <m/>
    <d v="2025-02-11T00:00:00"/>
    <x v="1"/>
    <s v="Autorizada Sucesso"/>
    <s v="Concluído"/>
    <s v="Item atualizado"/>
    <m/>
    <s v="Em andamento"/>
    <s v="SEI não localizado"/>
    <m/>
    <m/>
  </r>
  <r>
    <x v="854"/>
    <x v="0"/>
    <s v="HOSPITAL REGIONAL DO AGRESTE DR.WALDEMIRO FERREIRA"/>
    <s v="Consumo"/>
    <s v="ARP.0005.00.2025.GOV.FES-PE.PE"/>
    <s v="Formação de Registro de Preços para o Fornecimento eventual de Dispositivos Médicos do tipo Cateter/Sonda com a finalidade de atender às necessidades dos hospitais e estabelecimentos vinculados à SES"/>
    <m/>
    <d v="2025-02-11T00:00:00"/>
    <x v="1"/>
    <s v="Autorizada Sucesso"/>
    <s v="Concluído"/>
    <s v="Item atualizado"/>
    <m/>
    <s v="Em andamento"/>
    <s v="SEI não localizado"/>
    <m/>
    <m/>
  </r>
  <r>
    <x v="855"/>
    <x v="0"/>
    <s v="HOSPITAL REGIONAL DO AGRESTE DR.WALDEMIRO FERREIRA"/>
    <s v="Consumo"/>
    <s v="ARP.0099.00.2024.GOV.FES-PE.PE"/>
    <s v="Formação de Registro de Preços para o fornecimento de Dispositivos Médicos do tipo descartáveis com a finalidade de atender às necessidades dos hospitais e estabelecimentos vinculados à SES/PE"/>
    <m/>
    <d v="2025-02-11T00:00:00"/>
    <x v="1"/>
    <s v="Autorizada Sucesso"/>
    <s v="Concluído"/>
    <s v="Item atualizado"/>
    <m/>
    <s v="Em andamento"/>
    <s v="SEI não localizado"/>
    <m/>
    <m/>
  </r>
  <r>
    <x v="856"/>
    <x v="0"/>
    <s v="HOSPITAL REGIONAL DO AGRESTE DR.WALDEMIRO FERREIRA"/>
    <s v="Consumo"/>
    <s v="ARP.0005.01.2025.GOV.FES-PE.PE"/>
    <s v="Formação de Registro de Preços para o Fornecimento eventual de Dispositivos Médicos do tipo Cateter/Sonda com a finalidade de atender às necessidades dos hospitais e estabelecimentos vinculados à SES"/>
    <m/>
    <d v="2025-02-11T00:00:00"/>
    <x v="0"/>
    <s v="Cancelada"/>
    <s v="Cancelado"/>
    <s v="Item não atualizado"/>
    <m/>
    <s v="Cancelado"/>
    <s v="SEI não localizado"/>
    <m/>
    <m/>
  </r>
  <r>
    <x v="857"/>
    <x v="22"/>
    <s v="HOSPITAL REGIONAL DO AGRESTE DR.WALDEMIRO FERREIRA"/>
    <s v="Consumo"/>
    <s v="ARPC.0019.00.2024.GOV.SAD.PE"/>
    <s v="Formação de Registro de Preços Corporativo para o eventual fornecimento de aparelhos condicionadores de ar, visando atender as necessidades dos órgãos da Administração Direta, Autarquias e Fundações Públicas Integrantes do Poder Executivo do estado de Per"/>
    <m/>
    <d v="2025-02-11T00:00:00"/>
    <x v="0"/>
    <s v="Cancelada por fim vigencia ATA"/>
    <s v="Cancelado"/>
    <s v="Item atualizado"/>
    <m/>
    <s v="Cancelado"/>
    <s v="SEI não localizado"/>
    <m/>
    <m/>
  </r>
  <r>
    <x v="858"/>
    <x v="4"/>
    <s v="HOSPITAL REGIONAL DO AGRESTE DR.WALDEMIRO FERREIRA"/>
    <s v="Consumo"/>
    <s v="ARP.0002.00.2025.GOV.CISAM.PE"/>
    <s v="REGISTRO DE PREÇOS PARA O FORNECIMENTO EVENTUAL DE MATERIAIS MÉDICO-HOSPITALARES (CAMPO OPERATÓRIO, COMPRESSA DE GAZE E FRALDA DESCARTÁVEL), VISANDO ATENDER AS NECESSIDADES DO CISAM/UPE E DEMAIS ÓRGÃOS PARTICIPANTES"/>
    <m/>
    <d v="2025-02-07T00:00:00"/>
    <x v="1"/>
    <s v="Autorizada Sucesso"/>
    <s v="Concluído"/>
    <s v="Item atualizado"/>
    <m/>
    <s v="Concluído"/>
    <s v="Enviado ao NOF"/>
    <s v="2300001213.000041/2025-06"/>
    <m/>
  </r>
  <r>
    <x v="859"/>
    <x v="4"/>
    <s v="HOSPITAL REGIONAL DO AGRESTE DR.WALDEMIRO FERREIRA"/>
    <s v="Consumo"/>
    <s v="ARP.0002.00.2025.GOV.CISAM.PE"/>
    <s v="REGISTRO DE PREÇOS PARA O FORNECIMENTO EVENTUAL DE MATERIAIS MÉDICO-HOSPITALARES (CAMPO OPERATÓRIO, COMPRESSA DE GAZE E FRALDA DESCARTÁVEL), VISANDO ATENDER AS NECESSIDADES DO CISAM/UPE E DEMAIS ÓRGÃOS PARTICIPANTES"/>
    <m/>
    <d v="2025-02-07T00:00:00"/>
    <x v="1"/>
    <s v="Autorizada Sucesso"/>
    <s v="Concluído"/>
    <s v="Item atualizado"/>
    <m/>
    <s v="Concluído"/>
    <s v="Enviado ao NOF"/>
    <s v="2300001213.000018/2025-11"/>
    <m/>
  </r>
  <r>
    <x v="860"/>
    <x v="4"/>
    <s v="HOSPITAL REGIONAL DO AGRESTE DR.WALDEMIRO FERREIRA"/>
    <s v="Consumo"/>
    <s v="ARP.0002.00.2025.GOV.CISAM.PE"/>
    <s v="REGISTRO DE PREÇOS PARA O FORNECIMENTO EVENTUAL DE MATERIAIS MÉDICO-HOSPITALARES (CAMPO OPERATÓRIO, COMPRESSA DE GAZE E FRALDA DESCARTÁVEL), VISANDO ATENDER AS NECESSIDADES DO CISAM/UPE E DEMAIS ÓRGÃOS PARTICIPANTES"/>
    <m/>
    <d v="2025-02-07T00:00:00"/>
    <x v="0"/>
    <s v="Cancelada"/>
    <s v="Cancelado"/>
    <s v="Item não atualizado"/>
    <m/>
    <s v="Cancelado"/>
    <s v="SEI não localizado"/>
    <m/>
    <m/>
  </r>
  <r>
    <x v="861"/>
    <x v="4"/>
    <s v="HOSPITAL REGIONAL DO AGRESTE DR.WALDEMIRO FERREIRA"/>
    <s v="Consumo"/>
    <s v="ARP.0002.00.2025.GOV.CISAM.PE"/>
    <s v="REGISTRO DE PREÇOS PARA O FORNECIMENTO EVENTUAL DE MATERIAIS MÉDICO-HOSPITALARES (CAMPO OPERATÓRIO, COMPRESSA DE GAZE E FRALDA DESCARTÁVEL), VISANDO ATENDER AS NECESSIDADES DO CISAM/UPE E DEMAIS ÓRGÃOS PARTICIPANTES"/>
    <m/>
    <d v="2025-02-07T00:00:00"/>
    <x v="0"/>
    <s v="Cancelada"/>
    <s v="Cancelado"/>
    <s v="Item não atualizado"/>
    <m/>
    <s v="Cancelado"/>
    <s v="SEI não localizado"/>
    <m/>
    <m/>
  </r>
  <r>
    <x v="862"/>
    <x v="0"/>
    <s v="HOSPITAL REGIONAL DO AGRESTE DR.WALDEMIRO FERREIRA"/>
    <s v="Consumo"/>
    <s v="ARP.0025.00.2024.GOV.FES-PE.PE"/>
    <s v="Registro de Preços para eventual aquisição de Medicamentos Injetáveis (grupo 02) visando atender a demanda dos hospitais e estabelecimentos da rede estadual de saúde de Pernambuco."/>
    <s v="NFOCPO"/>
    <d v="2025-02-05T00:00:00"/>
    <x v="0"/>
    <s v="Cancelada"/>
    <s v="Cancelado"/>
    <s v="Item não atualizado"/>
    <m/>
    <s v="Cancelado"/>
    <s v="SEI não localizado"/>
    <m/>
    <m/>
  </r>
  <r>
    <x v="863"/>
    <x v="0"/>
    <s v="HOSPITAL REGIONAL DO AGRESTE DR.WALDEMIRO FERREIRA"/>
    <s v="Consumo"/>
    <s v="ARP.0015.05.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s v="NFOCPO"/>
    <d v="2025-02-04T00:00:00"/>
    <x v="6"/>
    <s v="Encaminhada para o gestor de ata"/>
    <s v="Em andamento"/>
    <s v="Item não atualizado"/>
    <s v="Marília"/>
    <s v="Em andamento"/>
    <s v="SEI não localizado"/>
    <m/>
    <m/>
  </r>
  <r>
    <x v="864"/>
    <x v="0"/>
    <s v="HOSPITAL REGIONAL DO AGRESTE DR.WALDEMIRO FERREIRA"/>
    <s v="Consumo"/>
    <s v="ARP.0015.05.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2-04T00:00:00"/>
    <x v="1"/>
    <s v="Autorizada Sucesso"/>
    <s v="Concluído"/>
    <s v="Item atualizado"/>
    <m/>
    <s v="Em andamento"/>
    <s v="SEI não localizado"/>
    <m/>
    <m/>
  </r>
  <r>
    <x v="865"/>
    <x v="0"/>
    <s v="HOSPITAL REGIONAL DO AGRESTE DR.WALDEMIRO FERREIRA"/>
    <s v="Consumo"/>
    <s v="ARP.0015.05.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2-04T00:00:00"/>
    <x v="1"/>
    <s v="Autorizada Sucesso"/>
    <s v="Concluído"/>
    <s v="Item atualizado"/>
    <m/>
    <s v="Em andamento"/>
    <s v="SEI não localizado"/>
    <m/>
    <m/>
  </r>
  <r>
    <x v="866"/>
    <x v="0"/>
    <s v="HOSPITAL REGIONAL DO AGRESTE DR.WALDEMIRO FERREIRA"/>
    <s v="Consumo"/>
    <s v="ARP.0010.04.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2-04T00:00:00"/>
    <x v="0"/>
    <s v="Cancelada"/>
    <s v="Cancelado"/>
    <s v="Item não atualizado"/>
    <m/>
    <s v="Cancelado"/>
    <s v="SEI não localizado"/>
    <m/>
    <m/>
  </r>
  <r>
    <x v="867"/>
    <x v="0"/>
    <s v="HOSPITAL REGIONAL DO AGRESTE DR.WALDEMIRO FERREIRA"/>
    <s v="Consumo"/>
    <s v="ARP.0010.03.2025.GOV.FES-PE.PE"/>
    <s v="REGISTRO DE PREÇOS PARA A EVENTUAL AQUISIÇÃODE DISPOSITIVOS MÉDICOS DO TIPO PRODUTOS MÉDICOS (PAPEL CIRÚRGICO, ESCOVA PARA LIMPEZA DE MATERIAIS, EMBALAGEM DESCARTÁVEIS PARA ESTERILIZAÇÃO) VISANDO ATENDER A DEMANDA DOS HOSPITAIS E ESTABELECIMENTOS DA REDE "/>
    <m/>
    <d v="2025-02-04T00:00:00"/>
    <x v="1"/>
    <s v="Autorizada Sucesso"/>
    <s v="Concluído"/>
    <s v="Item atualizado"/>
    <m/>
    <s v="Em andamento"/>
    <s v="SEI não localizado"/>
    <m/>
    <m/>
  </r>
  <r>
    <x v="868"/>
    <x v="22"/>
    <s v="HOSPITAL REGIONAL DO AGRESTE DR.WALDEMIRO FERREIRA"/>
    <s v="Consumo"/>
    <s v="ARPC.0019.00.2024.GOV.SAD.PE"/>
    <s v="Formação de Registro de Preços Corporativo para o eventual fornecimento de aparelhos condicionadores de ar, visando atender as necessidades dos órgãos da Administração Direta, Autarquias e Fundações Públicas Integrantes do Poder Executivo do estado de Per"/>
    <m/>
    <d v="2025-02-03T00:00:00"/>
    <x v="1"/>
    <s v="Autorizada Sucesso"/>
    <s v="Concluído"/>
    <s v="Item atualizado"/>
    <m/>
    <s v="Concluído"/>
    <s v="Enviado ao NOF"/>
    <s v="2300001207.000047/2025-54"/>
    <m/>
  </r>
  <r>
    <x v="869"/>
    <x v="0"/>
    <s v="HOSPITAL REGIONAL DO AGRESTE DR.WALDEMIRO FERREIRA"/>
    <s v="Consumo"/>
    <s v="ARP.0016.00.2025.GOV.FES-PE.PE"/>
    <s v="Registro de Preços para o fornecimento eventual de medicamentos do tipo COMPRIMIDOS (Grupo 05"/>
    <s v="NFOCPO"/>
    <d v="2025-02-02T00:00:00"/>
    <x v="0"/>
    <s v="Cancelada"/>
    <s v="Cancelado"/>
    <s v="Item não atualizado"/>
    <m/>
    <s v="Cancelado"/>
    <s v="SEI não localizado"/>
    <m/>
    <m/>
  </r>
  <r>
    <x v="870"/>
    <x v="0"/>
    <s v="HOSPITAL REGIONAL DO AGRESTE DR.WALDEMIRO FERREIRA"/>
    <s v="Consumo"/>
    <s v="ARP.0016.00.2025.GOV.FES-PE.PE"/>
    <s v="Registro de Preços para o fornecimento eventual de medicamentos do tipo COMPRIMIDOS (Grupo 05"/>
    <m/>
    <d v="2025-02-02T00:00:00"/>
    <x v="1"/>
    <s v="Autorizada Sucesso"/>
    <s v="Concluído"/>
    <s v="Item atualizado"/>
    <m/>
    <s v="Em andamento"/>
    <s v="SEI não localizado"/>
    <m/>
    <m/>
  </r>
  <r>
    <x v="871"/>
    <x v="0"/>
    <s v="HOSPITAL REGIONAL DO AGRESTE DR.WALDEMIRO FERREIRA"/>
    <s v="Consumo"/>
    <s v="ARP.0031.14.2024.GOV.FES-PE.PE"/>
    <s v="Registro de Preços para a eventual aquisição de Medicamentos Antibióticos (grupo 01) visando atender a demanda dos hospitais e estabelecimentos da rede estadual de saúde de Pernambuco."/>
    <m/>
    <d v="2025-02-02T00:00:00"/>
    <x v="0"/>
    <s v="Cancelada"/>
    <s v="Cancelado"/>
    <s v="Item não atualizado"/>
    <m/>
    <s v="Cancelado"/>
    <s v="SEI não localizado"/>
    <m/>
    <m/>
  </r>
  <r>
    <x v="872"/>
    <x v="0"/>
    <s v="HOSPITAL REGIONAL DO AGRESTE DR.WALDEMIRO FERREIRA"/>
    <s v="Consumo"/>
    <s v="ARP.0015.06.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s v="NFOCPO"/>
    <d v="2025-01-31T00:00:00"/>
    <x v="6"/>
    <s v="Encaminhada para o gestor de ata"/>
    <s v="Em andamento"/>
    <s v="Item não atualizado"/>
    <s v="Raquel"/>
    <s v="Em andamento"/>
    <s v="SEI não localizado"/>
    <m/>
    <m/>
  </r>
  <r>
    <x v="873"/>
    <x v="0"/>
    <s v="HOSPITAL REGIONAL DO AGRESTE DR.WALDEMIRO FERREIRA"/>
    <s v="Consumo"/>
    <s v="ARP.0015.06.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1-31T00:00:00"/>
    <x v="1"/>
    <s v="Autorizada Sucesso"/>
    <s v="Concluído"/>
    <s v="Item atualizado"/>
    <m/>
    <s v="Em andamento"/>
    <s v="SEI não localizado"/>
    <m/>
    <m/>
  </r>
  <r>
    <x v="874"/>
    <x v="0"/>
    <s v="HOSPITAL REGIONAL DO AGRESTE DR.WALDEMIRO FERREIRA"/>
    <s v="Consumo"/>
    <s v="ARP.0015.02.2025.GOV.FES-PE.PE"/>
    <s v="Formação de Registro de Preços para o fornecimento eventual de medicamentos visando atender as necessidades dos hospitais e estabelecimentos vinculados à Secretaria Estadual de Saúde de Pernambuco, conforme as condições, especificações, quantidades e exig"/>
    <m/>
    <d v="2025-01-31T00:00:00"/>
    <x v="0"/>
    <s v="Cancelada"/>
    <s v="Cancelado"/>
    <s v="Item não atualizado"/>
    <m/>
    <s v="Cancelado"/>
    <s v="SEI não localizado"/>
    <m/>
    <m/>
  </r>
  <r>
    <x v="875"/>
    <x v="0"/>
    <s v="HOSPITAL REGIONAL DO AGRESTE DR.WALDEMIRO FERREIRA"/>
    <s v="Consumo"/>
    <s v="ARP.0014.02.2025.GOV.FES-PE.PE"/>
    <s v="Formação de Registro de Preços para aquisição eventual de dispositivos médicos do tipo: “TIRAS PARA PESQUISA DE GLICOSE”, com cessão gratuita do Aparelho de medição (glicosímetro) a cada 500 tiras adquiridas, visando atender as necessidades dos hospitais "/>
    <s v="NFOCPO"/>
    <d v="2025-01-31T00:00:00"/>
    <x v="6"/>
    <s v="Encaminhada para o gestor de ata"/>
    <s v="Em andamento"/>
    <s v="Item não atualizado"/>
    <s v="Raquel"/>
    <s v="Em andamento"/>
    <s v="SEI não localizado"/>
    <m/>
    <m/>
  </r>
  <r>
    <x v="876"/>
    <x v="0"/>
    <s v="HOSPITAL REGIONAL DO AGRESTE DR.WALDEMIRO FERREIRA"/>
    <s v="Consumo"/>
    <s v="ARP.0014.02.2025.GOV.FES-PE.PE"/>
    <s v="Formação de Registro de Preços para aquisição eventual de dispositivos médicos do tipo: “TIRAS PARA PESQUISA DE GLICOSE”, com cessão gratuita do Aparelho de medição (glicosímetro) a cada 500 tiras adquiridas, visando atender as necessidades dos hospitais "/>
    <s v="NFOCPO"/>
    <d v="2025-01-31T00:00:00"/>
    <x v="0"/>
    <s v="Cancelada"/>
    <s v="Cancelado"/>
    <s v="Item não atualizado"/>
    <s v="Raquel"/>
    <s v="Cancelado"/>
    <s v="SEI não localizado"/>
    <s v="2300002747.000054/2025-10"/>
    <m/>
  </r>
  <r>
    <x v="877"/>
    <x v="0"/>
    <s v="HOSPITAL REGIONAL DO AGRESTE DR.WALDEMIRO FERREIRA"/>
    <s v="Consumo"/>
    <s v="ARP.0014.02.2025.GOV.FES-PE.PE"/>
    <s v="Formação de Registro de Preços para aquisição eventual de dispositivos médicos do tipo: “TIRAS PARA PESQUISA DE GLICOSE”, com cessão gratuita do Aparelho de medição (glicosímetro) a cada 500 tiras adquiridas, visando atender as necessidades dos hospitais "/>
    <m/>
    <d v="2025-01-31T00:00:00"/>
    <x v="1"/>
    <s v="Autorizada Sucesso"/>
    <s v="Concluído"/>
    <s v="Item atualizado"/>
    <m/>
    <s v="Em andamento"/>
    <s v="SEI não localizado"/>
    <m/>
    <m/>
  </r>
  <r>
    <x v="878"/>
    <x v="0"/>
    <s v="HOSPITAL REGIONAL DO AGRESTE DR.WALDEMIRO FERREIRA"/>
    <s v="Consumo"/>
    <s v="ARP.0014.02.2025.GOV.FES-PE.PE"/>
    <s v="Formação de Registro de Preços para aquisição eventual de dispositivos médicos do tipo: “TIRAS PARA PESQUISA DE GLICOSE”, com cessão gratuita do Aparelho de medição (glicosímetro) a cada 500 tiras adquiridas, visando atender as necessidades dos hospitais "/>
    <m/>
    <d v="2025-01-31T00:00:00"/>
    <x v="1"/>
    <s v="Autorizada Sucesso"/>
    <s v="Concluído"/>
    <s v="Item atualizado"/>
    <m/>
    <s v="Em andamento"/>
    <s v="SEI não localizado"/>
    <m/>
    <m/>
  </r>
  <r>
    <x v="879"/>
    <x v="0"/>
    <s v="HOSPITAL REGIONAL DO AGRESTE DR.WALDEMIRO FERREIRA"/>
    <s v="Consumo"/>
    <s v="ARP.0092.00.2024.GOV.FES-PE.PE"/>
    <s v="Registro de Preços para a eventual aquisição de Medicamentos diversos (grupo 02) visando atender a demanda dos hospitais e estabelecimentos da rede estadual de saúde de Pernambuco"/>
    <m/>
    <d v="2025-01-30T00:00:00"/>
    <x v="1"/>
    <s v="Autorizada Sucesso"/>
    <s v="Concluído"/>
    <s v="Item atualizado"/>
    <m/>
    <s v="Em andamento"/>
    <s v="SEI não localizado"/>
    <m/>
    <m/>
  </r>
  <r>
    <x v="880"/>
    <x v="22"/>
    <s v="HOSPITAL REGIONAL DO AGRESTE DR.WALDEMIRO FERREIRA"/>
    <s v="Consumo"/>
    <s v="ARPC.0006.00.2024.GOV.SAD.PE"/>
    <s v="Registro de preços para fornecimento eventual de material de Expediente - Escrita e papel A4, visando atender as necessidades dos órgãos da Administração Direta, Autarquias e Fundações Públicas integrantes do Poder Executivo do Estado de Pernambuco."/>
    <m/>
    <d v="2025-01-30T00:00:00"/>
    <x v="0"/>
    <s v="Cancelada"/>
    <s v="Cancelado"/>
    <s v="Item não atualizado"/>
    <m/>
    <s v="Cancelado"/>
    <s v="SEI não localizado"/>
    <m/>
    <m/>
  </r>
  <r>
    <x v="881"/>
    <x v="5"/>
    <s v="HOSPITAL REGIONAL DO AGRESTE DR.WALDEMIRO FERREIRA"/>
    <s v="Consumo"/>
    <s v="ARP.0001.00.2025.GOV.HOF.PE"/>
    <s v="Formação de Registro de Preços para contratação eventual de prestação de serviços de esterilização, reesterilização e/ou reprocessamento dos artigos médicos hospitalares termossensíveis, pelo método de plasma de peróxido de hidrogênio a baixa temperatura,"/>
    <m/>
    <d v="2025-01-30T00:00:00"/>
    <x v="1"/>
    <s v="Autorizada Sucesso"/>
    <s v="Concluído"/>
    <s v="Item atualizado"/>
    <m/>
    <s v="Em andamento"/>
    <s v="SEI não localizado"/>
    <m/>
    <m/>
  </r>
  <r>
    <x v="882"/>
    <x v="0"/>
    <s v="HOSPITAL REGIONAL DO AGRESTE DR.WALDEMIRO FERREIRA"/>
    <s v="Consumo"/>
    <s v="ARP.0009.02.2025.GOV.FES-PE.PE"/>
    <s v="Registro de Preços para aquisição de Material Médico Hospitalar - Luvas (Unificado)"/>
    <m/>
    <d v="2025-01-29T00:00:00"/>
    <x v="1"/>
    <s v="Autorizada Sucesso"/>
    <s v="Concluído"/>
    <s v="Item atualizado"/>
    <m/>
    <s v="Em andamento"/>
    <s v="Enviado ao JURIDICO"/>
    <s v="2300001213.000248/2025-72"/>
    <m/>
  </r>
  <r>
    <x v="883"/>
    <x v="0"/>
    <s v="HOSPITAL REGIONAL DO AGRESTE DR.WALDEMIRO FERREIRA"/>
    <s v="Consumo"/>
    <s v="ARP.0009.02.2025.GOV.FES-PE.PE"/>
    <s v="Registro de Preços para aquisição de Material Médico Hospitalar - Luvas (Unificado)"/>
    <m/>
    <d v="2025-01-29T00:00:00"/>
    <x v="1"/>
    <s v="Autorizada Sucesso"/>
    <s v="Concluído"/>
    <s v="Item atualizado"/>
    <m/>
    <s v="Em andamento"/>
    <s v="SEI não localizado"/>
    <m/>
    <m/>
  </r>
  <r>
    <x v="884"/>
    <x v="0"/>
    <s v="HOSPITAL REGIONAL DO AGRESTE DR.WALDEMIRO FERREIRA"/>
    <s v="Consumo"/>
    <s v="ARP.0009.02.2025.GOV.FES-PE.PE"/>
    <s v="Registro de Preços para aquisição de Material Médico Hospitalar - Luvas (Unificado)"/>
    <m/>
    <d v="2025-01-29T00:00:00"/>
    <x v="1"/>
    <s v="Autorizada Sucesso"/>
    <s v="Concluído"/>
    <s v="Item atualizado"/>
    <m/>
    <s v="Em andamento"/>
    <s v="SEI não localizado"/>
    <m/>
    <m/>
  </r>
  <r>
    <x v="885"/>
    <x v="0"/>
    <s v="HOSPITAL REGIONAL DO AGRESTE DR.WALDEMIRO FERREIRA"/>
    <s v="Consumo"/>
    <s v="ARP.0003.00.2025.GOV.FES-PE.PE"/>
    <s v="Formação de Registro de Preços para o fornecimento eventual de Dispositivos Médicos do tipo Curativos com a finalidade de atender às necessidades dos hospitais e estabelecimentos vinculados à SES/PE"/>
    <m/>
    <d v="2025-01-29T00:00:00"/>
    <x v="0"/>
    <s v="Cancelada"/>
    <s v="Cancelado"/>
    <s v="Item não atualizado"/>
    <m/>
    <s v="Cancelado"/>
    <s v="SEI não localizado"/>
    <m/>
    <m/>
  </r>
  <r>
    <x v="886"/>
    <x v="0"/>
    <s v="HOSPITAL REGIONAL DO AGRESTE DR.WALDEMIRO FERREIRA"/>
    <s v="Consumo"/>
    <s v="ARP.0100.02.2024.GOV.FES-PE.PE"/>
    <s v="Formação de Registro de Preços para o fornecimento eventual de Dispositivos Médicos do tipo Curativos com a finalidade de atender às necessidades dos hospitais e estabelecimentos vinculados à SES/PE"/>
    <m/>
    <d v="2025-01-29T00:00:00"/>
    <x v="0"/>
    <s v="Cancelada"/>
    <s v="Cancelado"/>
    <s v="Item não atualizado"/>
    <m/>
    <s v="Cancelado"/>
    <s v="SEI não localizado"/>
    <m/>
    <m/>
  </r>
  <r>
    <x v="887"/>
    <x v="0"/>
    <s v="HOSPITAL REGIONAL DO AGRESTE DR.WALDEMIRO FERREIRA"/>
    <s v="Consumo"/>
    <s v="ARP.0100.02.2024.GOV.FES-PE.PE"/>
    <s v="Formação de Registro de Preços para o fornecimento eventual de Dispositivos Médicos do tipo Curativos com a finalidade de atender às necessidades dos hospitais e estabelecimentos vinculados à SES/PE"/>
    <m/>
    <d v="2025-01-29T00:00:00"/>
    <x v="1"/>
    <s v="Autorizada Sucesso"/>
    <s v="Concluído"/>
    <s v="Item atualizado"/>
    <m/>
    <s v="Em andamento"/>
    <s v="SEI não localizado"/>
    <m/>
    <m/>
  </r>
  <r>
    <x v="888"/>
    <x v="0"/>
    <s v="HOSPITAL REGIONAL DO AGRESTE DR.WALDEMIRO FERREIRA"/>
    <s v="Consumo"/>
    <s v="ARP.0005.02.2025.GOV.FES-PE.PE"/>
    <s v="Formação de Registro de Preços para o Fornecimento eventual de Dispositivos Médicos do tipo Cateter/Sonda com a finalidade de atender às necessidades dos hospitais e estabelecimentos vinculados à SES"/>
    <m/>
    <d v="2025-01-27T00:00:00"/>
    <x v="0"/>
    <s v="Cancelada"/>
    <s v="Cancelado"/>
    <s v="Item não atualizado"/>
    <m/>
    <s v="Cancelado"/>
    <s v="SEI não localizado"/>
    <m/>
    <m/>
  </r>
  <r>
    <x v="889"/>
    <x v="0"/>
    <s v="HOSPITAL REGIONAL DO AGRESTE DR.WALDEMIRO FERREIRA"/>
    <s v="Consumo"/>
    <s v="ARP.0005.01.2025.GOV.FES-PE.PE"/>
    <s v="Formação de Registro de Preços para o Fornecimento eventual de Dispositivos Médicos do tipo Cateter/Sonda com a finalidade de atender às necessidades dos hospitais e estabelecimentos vinculados à SES"/>
    <m/>
    <d v="2025-01-27T00:00:00"/>
    <x v="0"/>
    <s v="Cancelada"/>
    <s v="Cancelado"/>
    <s v="Item não atualizado"/>
    <m/>
    <s v="Cancelado"/>
    <s v="SEI não localizado"/>
    <m/>
    <m/>
  </r>
  <r>
    <x v="890"/>
    <x v="0"/>
    <s v="HOSPITAL REGIONAL DO AGRESTE DR.WALDEMIRO FERREIRA"/>
    <s v="Consumo"/>
    <s v="ARP.0005.00.2025.GOV.FES-PE.PE"/>
    <s v="Formação de Registro de Preços para o Fornecimento eventual de Dispositivos Médicos do tipo Cateter/Sonda com a finalidade de atender às necessidades dos hospitais e estabelecimentos vinculados à SES"/>
    <m/>
    <d v="2025-01-27T00:00:00"/>
    <x v="0"/>
    <s v="Cancelada"/>
    <s v="Cancelado"/>
    <s v="Item não atualizado"/>
    <m/>
    <s v="Cancelado"/>
    <s v="SEI não localizado"/>
    <m/>
    <m/>
  </r>
  <r>
    <x v="891"/>
    <x v="0"/>
    <s v="HOSPITAL REGIONAL DO AGRESTE DR.WALDEMIRO FERREIRA"/>
    <s v="Consumo"/>
    <s v="ARP.0005.00.2025.GOV.FES-PE.PE"/>
    <s v="Formação de Registro de Preços para o Fornecimento eventual de Dispositivos Médicos do tipo Cateter/Sonda com a finalidade de atender às necessidades dos hospitais e estabelecimentos vinculados à SES"/>
    <m/>
    <d v="2025-01-27T00:00:00"/>
    <x v="0"/>
    <s v="Cancelada"/>
    <s v="Cancelado"/>
    <s v="Item não atualizado"/>
    <m/>
    <s v="Cancelado"/>
    <s v="SEI não localizado"/>
    <m/>
    <m/>
  </r>
  <r>
    <x v="892"/>
    <x v="0"/>
    <s v="HOSPITAL REGIONAL DO AGRESTE DR.WALDEMIRO FERREIRA"/>
    <s v="Consumo"/>
    <s v="ARP.0099.04.2024.GOV.FES-PE.PE"/>
    <s v="Formação de Registro de Preços para o fornecimento de Dispositivos Médicos do tipo descartáveis com a finalidade de atender às necessidades dos hospitais e estabelecimentos vinculados à SES/PE"/>
    <m/>
    <d v="2025-01-22T00:00:00"/>
    <x v="1"/>
    <s v="Autorizada Sucesso"/>
    <s v="Concluído"/>
    <s v="Item atualizado"/>
    <m/>
    <s v="Em andamento"/>
    <s v="SEI não localizado"/>
    <m/>
    <m/>
  </r>
  <r>
    <x v="893"/>
    <x v="0"/>
    <s v="HOSPITAL REGIONAL DO AGRESTE DR.WALDEMIRO FERREIRA"/>
    <s v="Consumo"/>
    <s v="ARP.0099.03.2024.GOV.FES-PE.PE"/>
    <s v="Formação de Registro de Preços para o fornecimento de Dispositivos Médicos do tipo descartáveis com a finalidade de atender às necessidades dos hospitais e estabelecimentos vinculados à SES/PE"/>
    <m/>
    <d v="2025-01-22T00:00:00"/>
    <x v="1"/>
    <s v="Autorizada Sucesso"/>
    <s v="Concluído"/>
    <s v="Item atualizado"/>
    <m/>
    <s v="Em andamento"/>
    <s v="SEI não localizado"/>
    <m/>
    <m/>
  </r>
  <r>
    <x v="894"/>
    <x v="0"/>
    <s v="HOSPITAL REGIONAL DO AGRESTE DR.WALDEMIRO FERREIRA"/>
    <s v="Consumo"/>
    <s v="ARP.0099.03.2024.GOV.FES-PE.PE"/>
    <s v="Formação de Registro de Preços para o fornecimento de Dispositivos Médicos do tipo descartáveis com a finalidade de atender às necessidades dos hospitais e estabelecimentos vinculados à SES/PE"/>
    <m/>
    <d v="2025-01-22T00:00:00"/>
    <x v="0"/>
    <s v="Cancelada"/>
    <s v="Cancelado"/>
    <s v="Item não atualizado"/>
    <m/>
    <s v="Cancelado"/>
    <s v="SEI não localizado"/>
    <m/>
    <m/>
  </r>
  <r>
    <x v="895"/>
    <x v="0"/>
    <s v="HOSPITAL REGIONAL DO AGRESTE DR.WALDEMIRO FERREIRA"/>
    <s v="Consumo"/>
    <s v="ARP.0099.02.2024.GOV.FES-PE.PE"/>
    <s v="Formação de Registro de Preços para o fornecimento de Dispositivos Médicos do tipo descartáveis com a finalidade de atender às necessidades dos hospitais e estabelecimentos vinculados à SES/PE"/>
    <m/>
    <d v="2025-01-22T00:00:00"/>
    <x v="1"/>
    <s v="Autorizada Sucesso"/>
    <s v="Concluído"/>
    <s v="Item atualizado"/>
    <m/>
    <s v="Em andamento"/>
    <s v="SEI não localizado"/>
    <m/>
    <m/>
  </r>
  <r>
    <x v="896"/>
    <x v="0"/>
    <s v="HOSPITAL REGIONAL DO AGRESTE DR.WALDEMIRO FERREIRA"/>
    <s v="Consumo"/>
    <s v="ARP.0099.00.2024.GOV.FES-PE.PE"/>
    <s v="Formação de Registro de Preços para o fornecimento de Dispositivos Médicos do tipo descartáveis com a finalidade de atender às necessidades dos hospitais e estabelecimentos vinculados à SES/PE"/>
    <m/>
    <d v="2025-01-22T00:00:00"/>
    <x v="0"/>
    <s v="Cancelada"/>
    <s v="Cancelado"/>
    <s v="Item não atualizado"/>
    <m/>
    <s v="Cancelado"/>
    <s v="SEI não localizado"/>
    <m/>
    <m/>
  </r>
  <r>
    <x v="897"/>
    <x v="0"/>
    <s v="HOSPITAL REGIONAL DO AGRESTE DR.WALDEMIRO FERREIRA"/>
    <s v="Consumo"/>
    <s v="ARP.0098.02.2024.GOV.FES-PE.PE"/>
    <s v="Dispensa de licitação com fundamento no art. 75, inc. VIII da Lei nº 14.133/21, visando o Registro de Preços para eventual fornecimento de Dispositivos Médicos do tipo Avental para atender às necessi"/>
    <m/>
    <d v="2025-01-22T00:00:00"/>
    <x v="1"/>
    <s v="Autorizada Sucesso"/>
    <s v="Concluído"/>
    <s v="Item atualizado"/>
    <m/>
    <s v="Em andamento"/>
    <s v="SEI não localizado"/>
    <m/>
    <m/>
  </r>
  <r>
    <x v="898"/>
    <x v="0"/>
    <s v="HOSPITAL REGIONAL DO AGRESTE DR.WALDEMIRO FERREIRA"/>
    <s v="Consumo"/>
    <s v="ARP.0098.04.2024.GOV.FES-PE.PE"/>
    <s v="Dispensa de licitação com fundamento no art. 75, inc. VIII da Lei nº 14.133/21, visando o Registro de Preços para eventual fornecimento de Dispositivos Médicos do tipo Avental para atender às necessi"/>
    <m/>
    <d v="2025-01-22T00:00:00"/>
    <x v="1"/>
    <s v="Autorizada Sucesso"/>
    <s v="Concluído"/>
    <s v="Item atualizado"/>
    <m/>
    <s v="Em andamento"/>
    <s v="SEI não localizado"/>
    <m/>
    <m/>
  </r>
  <r>
    <x v="899"/>
    <x v="0"/>
    <s v="HOSPITAL REGIONAL DO AGRESTE DR.WALDEMIRO FERREIRA"/>
    <s v="Consumo"/>
    <s v="ARP.0098.01.2024.GOV.FES-PE.PE"/>
    <s v="Dispensa de licitação com fundamento no art. 75, inc. VIII da Lei nº 14.133/21, visando o Registro de Preços para eventual fornecimento de Dispositivos Médicos do tipo Avental para atender às necessi"/>
    <m/>
    <d v="2025-01-22T00:00:00"/>
    <x v="1"/>
    <s v="Autorizada Sucesso"/>
    <s v="Concluído"/>
    <s v="Item atualizado"/>
    <m/>
    <s v="Em andamento"/>
    <s v="SEI não localizado"/>
    <m/>
    <m/>
  </r>
  <r>
    <x v="900"/>
    <x v="0"/>
    <s v="HOSPITAL REGIONAL DO AGRESTE DR.WALDEMIRO FERREIRA"/>
    <s v="Consumo"/>
    <s v="ARP.0098.00.2024.GOV.FES-PE.PE"/>
    <s v="Dispensa de licitação com fundamento no art. 75, inc. VIII da Lei nº 14.133/21, visando o Registro de Preços para eventual fornecimento de Dispositivos Médicos do tipo Avental para atender às necessi"/>
    <m/>
    <d v="2025-01-22T00:00:00"/>
    <x v="1"/>
    <s v="Autorizada Sucesso"/>
    <s v="Concluído"/>
    <s v="Item atualizado"/>
    <m/>
    <s v="Em andamento"/>
    <s v="SEI não localizado"/>
    <m/>
    <m/>
  </r>
  <r>
    <x v="901"/>
    <x v="22"/>
    <s v="HOSPITAL REGIONAL DO AGRESTE DR.WALDEMIRO FERREIRA"/>
    <s v="Consumo"/>
    <s v="ARPC.0002.00.2025.GOV.SAD.PE"/>
    <s v="Registro de preços corporativo para a eventual aquisição de Material Médico-Hospitalar – Seringas e Agulhas Hipodérmicas, para atender às demandas dos órgãos da Administração Direta, dos Fundos Especiais, Autarquias e Fundações Públicas integrantes do Pod"/>
    <s v="NFOCPO"/>
    <d v="2025-01-16T00:00:00"/>
    <x v="1"/>
    <s v="Autorizada Sucesso"/>
    <s v="Concluído"/>
    <s v="Item atualizado"/>
    <m/>
    <s v="Em andamento"/>
    <s v="Enviado a NFOCPO"/>
    <s v="2300001213.000247/2025-28"/>
    <m/>
  </r>
  <r>
    <x v="902"/>
    <x v="22"/>
    <s v="HOSPITAL REGIONAL DO AGRESTE DR.WALDEMIRO FERREIRA"/>
    <s v="Consumo"/>
    <s v="ARPC.0002.00.2025.GOV.SAD.PE"/>
    <s v="Registro de preços corporativo para a eventual aquisição de Material Médico-Hospitalar – Seringas e Agulhas Hipodérmicas, para atender às demandas dos órgãos da Administração Direta, dos Fundos Especiais, Autarquias e Fundações Públicas integrantes do Pod"/>
    <m/>
    <d v="2025-01-16T00:00:00"/>
    <x v="0"/>
    <s v="Cancelada"/>
    <s v="Cancelado"/>
    <s v="Item não atualizado"/>
    <m/>
    <s v="Cancelado"/>
    <s v="SEI não localizado"/>
    <m/>
    <m/>
  </r>
  <r>
    <x v="903"/>
    <x v="22"/>
    <s v="HOSPITAL REGIONAL DO AGRESTE DR.WALDEMIRO FERREIRA"/>
    <s v="Consumo"/>
    <s v="ARPC.0001.00.2025.GOV.SAD.PE"/>
    <s v="Formação de Registro de Preços Corporativo para o fornecimento eventual de Etiqueta Patrimonial, visando atender às necessidades dos órgãos da Administração Direta, Fundos Especiais, Autarquias e Fundações Públicas integrantes do Poder Executivo do Estado"/>
    <m/>
    <d v="2025-01-16T00:00:00"/>
    <x v="0"/>
    <s v="Cancelada"/>
    <s v="Cancelado"/>
    <s v="Item não atualizado"/>
    <m/>
    <s v="Cancelado"/>
    <s v="SEI não localizado"/>
    <m/>
    <m/>
  </r>
  <r>
    <x v="904"/>
    <x v="22"/>
    <s v="HOSPITAL REGIONAL DO AGRESTE DR.WALDEMIRO FERREIRA"/>
    <s v="Consumo"/>
    <s v="ARPC.0002.00.2025.GOV.SAD.PE"/>
    <s v="Registro de preços corporativo para a eventual aquisição de Material Médico-Hospitalar – Seringas e Agulhas Hipodérmicas, para atender às demandas dos órgãos da Administração Direta, dos Fundos Especiais, Autarquias e Fundações Públicas integrantes do Pod"/>
    <m/>
    <d v="2025-01-16T00:00:00"/>
    <x v="0"/>
    <s v="Cancelada"/>
    <s v="Cancelado"/>
    <s v="Item não atualizado"/>
    <m/>
    <s v="Cancelado"/>
    <s v="SEI não localizado"/>
    <m/>
    <m/>
  </r>
  <r>
    <x v="905"/>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12-20T00:00:00"/>
    <x v="1"/>
    <s v="Autorizada Sucesso"/>
    <s v="Concluído"/>
    <s v="Item atualizado"/>
    <m/>
    <s v="Processo 2024"/>
    <m/>
    <m/>
    <m/>
  </r>
  <r>
    <x v="906"/>
    <x v="0"/>
    <s v="HOSPITAL REGIONAL DO AGRESTE DR.WALDEMIRO FERREIRA"/>
    <s v="Consumo"/>
    <s v="ARP.0050.00.2024.GOV.FES-PE.PE"/>
    <s v="Registro de Preços para a eventual aquisição de Medicamentos Controlados (grupo 03) visando atender a demanda dos hospitais e estabelecimentos da rede estadual de saúde de Pernambuco."/>
    <s v="NFOCPO"/>
    <d v="2024-12-20T00:00:00"/>
    <x v="0"/>
    <s v="Cancelada"/>
    <s v="Cancelado"/>
    <s v="Item não atualizado"/>
    <m/>
    <s v="Processo 2024"/>
    <m/>
    <m/>
    <m/>
  </r>
  <r>
    <x v="907"/>
    <x v="0"/>
    <s v="HOSPITAL REGIONAL DO AGRESTE DR.WALDEMIRO FERREIRA"/>
    <s v="Consumo"/>
    <s v="ARP.0061.03.2024.GOV.FES-PE.PE"/>
    <s v="Registro de Preços para o fornecimento eventual de Medicamentos Controlados (grupo 02), conforme especificações e quantitativos previstos no Anexo I do Edital, para atender a demanda dos hospitais e estabelecimentos da rede estadual de saúde de Pernambuco"/>
    <m/>
    <d v="2024-12-20T00:00:00"/>
    <x v="0"/>
    <s v="Cancelada por fim vigencia ATA"/>
    <s v="Cancelado"/>
    <s v="Item atualizado"/>
    <m/>
    <s v="Processo 2024"/>
    <m/>
    <m/>
    <m/>
  </r>
  <r>
    <x v="908"/>
    <x v="4"/>
    <s v="HOSPITAL REGIONAL DO AGRESTE DR.WALDEMIRO FERREIRA"/>
    <s v="Consumo"/>
    <s v="ARP.0088.01.2024.GOV.CISAM.PE"/>
    <s v="REGISTRO DE PREÇOS PARA FORNECIMENTO EVENTUAL DE MATERIAIS MÉDICO-HOSPITALARES (DIVERSOS), VISANDO ATENDER AS NECESSIDADES DO CISAM/UPE E DEMAIS ÓRGÃOS PARTICIPANTES ."/>
    <m/>
    <d v="2024-12-18T00:00:00"/>
    <x v="1"/>
    <s v="Autorizada Sucesso"/>
    <s v="Concluído"/>
    <s v="Item atualizado"/>
    <m/>
    <s v="Processo 2024"/>
    <m/>
    <m/>
    <m/>
  </r>
  <r>
    <x v="909"/>
    <x v="4"/>
    <s v="HOSPITAL REGIONAL DO AGRESTE DR.WALDEMIRO FERREIRA"/>
    <s v="Consumo"/>
    <s v="ARP.0088.01.2024.GOV.CISAM.PE"/>
    <s v="REGISTRO DE PREÇOS PARA FORNECIMENTO EVENTUAL DE MATERIAIS MÉDICO-HOSPITALARES (DIVERSOS), VISANDO ATENDER AS NECESSIDADES DO CISAM/UPE E DEMAIS ÓRGÃOS PARTICIPANTES ."/>
    <m/>
    <d v="2024-12-18T00:00:00"/>
    <x v="1"/>
    <s v="Autorizada Sucesso"/>
    <s v="Concluído"/>
    <s v="Item atualizado"/>
    <m/>
    <s v="Processo 2024"/>
    <m/>
    <m/>
    <m/>
  </r>
  <r>
    <x v="910"/>
    <x v="4"/>
    <s v="HOSPITAL REGIONAL DO AGRESTE DR.WALDEMIRO FERREIRA"/>
    <s v="Consumo"/>
    <s v="ARP.0089.01.2024.GOV.CISAM.PE"/>
    <s v="REGISTRO DE PREÇOS PARA O FORNECIMENTO EVENTUAL DE MATERIAIS MÉDICO-HOSPITALARES (CAMPO OPERATÓRIO, COMPRESSA DE GAZE E FRALDA DESCARTÁVEL), VISANDO ATENDER AS NECESSIDADES DO CISAM/UPE E DEMAIS ÓRGÃOS PARTICIPANTES"/>
    <m/>
    <d v="2024-12-18T00:00:00"/>
    <x v="0"/>
    <s v="Cancelada"/>
    <s v="Cancelado"/>
    <s v="Item não atualizado"/>
    <m/>
    <s v="Processo 2024"/>
    <m/>
    <m/>
    <m/>
  </r>
  <r>
    <x v="911"/>
    <x v="4"/>
    <s v="HOSPITAL REGIONAL DO AGRESTE DR.WALDEMIRO FERREIRA"/>
    <s v="Consumo"/>
    <s v="ARP.0089.01.2024.GOV.CISAM.PE"/>
    <s v="REGISTRO DE PREÇOS PARA O FORNECIMENTO EVENTUAL DE MATERIAIS MÉDICO-HOSPITALARES (CAMPO OPERATÓRIO, COMPRESSA DE GAZE E FRALDA DESCARTÁVEL), VISANDO ATENDER AS NECESSIDADES DO CISAM/UPE E DEMAIS ÓRGÃOS PARTICIPANTES"/>
    <m/>
    <d v="2024-12-18T00:00:00"/>
    <x v="0"/>
    <s v="Cancelada"/>
    <s v="Cancelado"/>
    <s v="Item não atualizado"/>
    <m/>
    <s v="Processo 2024"/>
    <m/>
    <m/>
    <m/>
  </r>
  <r>
    <x v="912"/>
    <x v="4"/>
    <s v="HOSPITAL REGIONAL DO AGRESTE DR.WALDEMIRO FERREIRA"/>
    <s v="Consumo"/>
    <s v="ARP.0087.00.2024.GOV.CISAM.PE"/>
    <s v="REGISTRO DE PREÇOS PARA FORNECIMENTO EVENTUAL DE MATERIAIS MÉDICO-HOSPITALARES (DIVERSOS), VISANDO ATENDER AS NECESSIDADES DO CISAM/UPE E DEMAIS ÓRGÃO PARTICIPANTES."/>
    <s v="NFOCPO"/>
    <d v="2024-12-18T00:00:00"/>
    <x v="0"/>
    <s v="Cancelada"/>
    <s v="Cancelado"/>
    <s v="Item não atualizado"/>
    <m/>
    <s v="Processo 2024"/>
    <m/>
    <m/>
    <m/>
  </r>
  <r>
    <x v="913"/>
    <x v="4"/>
    <s v="HOSPITAL REGIONAL DO AGRESTE DR.WALDEMIRO FERREIRA"/>
    <s v="Consumo"/>
    <s v="ARP.0087.00.2024.GOV.CISAM.PE"/>
    <s v="REGISTRO DE PREÇOS PARA FORNECIMENTO EVENTUAL DE MATERIAIS MÉDICO-HOSPITALARES (DIVERSOS), VISANDO ATENDER AS NECESSIDADES DO CISAM/UPE E DEMAIS ÓRGÃO PARTICIPANTES."/>
    <s v="NFOCPO"/>
    <d v="2024-12-18T00:00:00"/>
    <x v="0"/>
    <s v="Cancelada"/>
    <s v="Cancelado"/>
    <s v="Item não atualizado"/>
    <m/>
    <s v="Processo 2024"/>
    <m/>
    <m/>
    <m/>
  </r>
  <r>
    <x v="914"/>
    <x v="4"/>
    <s v="HOSPITAL REGIONAL DO AGRESTE DR.WALDEMIRO FERREIRA"/>
    <s v="Consumo"/>
    <s v="ARP.0087.01.2024.GOV.CISAM.PE"/>
    <s v="REGISTRO DE PREÇOS PARA FORNECIMENTO EVENTUAL DE MATERIAIS MÉDICO-HOSPITALARES (DIVERSOS), VISANDO ATENDER AS NECESSIDADES DO CISAM/UPE E DEMAIS ÓRGÃO PARTICIPANTES."/>
    <m/>
    <d v="2024-12-18T00:00:00"/>
    <x v="1"/>
    <s v="Autorizada Sucesso"/>
    <s v="Concluído"/>
    <s v="Item atualizado"/>
    <m/>
    <s v="Processo 2024"/>
    <m/>
    <m/>
    <m/>
  </r>
  <r>
    <x v="915"/>
    <x v="4"/>
    <s v="HOSPITAL REGIONAL DO AGRESTE DR.WALDEMIRO FERREIRA"/>
    <s v="Consumo"/>
    <s v="ARP.0087.01.2024.GOV.CISAM.PE"/>
    <s v="REGISTRO DE PREÇOS PARA FORNECIMENTO EVENTUAL DE MATERIAIS MÉDICO-HOSPITALARES (DIVERSOS), VISANDO ATENDER AS NECESSIDADES DO CISAM/UPE E DEMAIS ÓRGÃO PARTICIPANTES."/>
    <m/>
    <d v="2024-12-18T00:00:00"/>
    <x v="1"/>
    <s v="Autorizada Sucesso"/>
    <s v="Concluído"/>
    <s v="Item atualizado"/>
    <m/>
    <s v="Processo 2024"/>
    <m/>
    <m/>
    <m/>
  </r>
  <r>
    <x v="916"/>
    <x v="4"/>
    <s v="HOSPITAL REGIONAL DO AGRESTE DR.WALDEMIRO FERREIRA"/>
    <s v="Consumo"/>
    <s v="ARP.0087.01.2024.GOV.CISAM.PE"/>
    <s v="REGISTRO DE PREÇOS PARA FORNECIMENTO EVENTUAL DE MATERIAIS MÉDICO-HOSPITALARES (DIVERSOS), VISANDO ATENDER AS NECESSIDADES DO CISAM/UPE E DEMAIS ÓRGÃO PARTICIPANTES."/>
    <m/>
    <d v="2024-12-18T00:00:00"/>
    <x v="1"/>
    <s v="Autorizada Sucesso"/>
    <s v="Concluído"/>
    <s v="Item atualizado"/>
    <m/>
    <s v="Processo 2024"/>
    <m/>
    <m/>
    <m/>
  </r>
  <r>
    <x v="917"/>
    <x v="4"/>
    <s v="HOSPITAL REGIONAL DO AGRESTE DR.WALDEMIRO FERREIRA"/>
    <s v="Consumo"/>
    <s v="ARP.0087.02.2024.GOV.CISAM.PE"/>
    <s v="REGISTRO DE PREÇOS PARA FORNECIMENTO EVENTUAL DE MATERIAIS MÉDICO-HOSPITALARES (DIVERSOS), VISANDO ATENDER AS NECESSIDADES DO CISAM/UPE E DEMAIS ÓRGÃO PARTICIPANTES."/>
    <m/>
    <d v="2024-12-18T00:00:00"/>
    <x v="1"/>
    <s v="Autorizada Sucesso"/>
    <s v="Concluído"/>
    <s v="Item atualizado"/>
    <m/>
    <s v="Processo 2024"/>
    <m/>
    <m/>
    <m/>
  </r>
  <r>
    <x v="918"/>
    <x v="4"/>
    <s v="HOSPITAL REGIONAL DO AGRESTE DR.WALDEMIRO FERREIRA"/>
    <s v="Consumo"/>
    <s v="ARP.0087.03.2024.GOV.CISAM.PE"/>
    <s v="REGISTRO DE PREÇOS PARA FORNECIMENTO EVENTUAL DE MATERIAIS MÉDICO-HOSPITALARES (DIVERSOS), VISANDO ATENDER AS NECESSIDADES DO CISAM/UPE E DEMAIS ÓRGÃO PARTICIPANTES."/>
    <m/>
    <d v="2024-12-18T00:00:00"/>
    <x v="1"/>
    <s v="Autorizada Sucesso"/>
    <s v="Concluído"/>
    <s v="Item atualizado"/>
    <m/>
    <s v="Processo 2024"/>
    <m/>
    <m/>
    <m/>
  </r>
  <r>
    <x v="919"/>
    <x v="4"/>
    <s v="HOSPITAL REGIONAL DO AGRESTE DR.WALDEMIRO FERREIRA"/>
    <s v="Consumo"/>
    <s v="ARP.0087.05.2024.GOV.CISAM.PE"/>
    <s v="REGISTRO DE PREÇOS PARA FORNECIMENTO EVENTUAL DE MATERIAIS MÉDICO-HOSPITALARES (DIVERSOS), VISANDO ATENDER AS NECESSIDADES DO CISAM/UPE E DEMAIS ÓRGÃO PARTICIPANTES."/>
    <s v="NFOCPO"/>
    <d v="2024-12-18T00:00:00"/>
    <x v="0"/>
    <s v="Cancelada"/>
    <s v="Cancelado"/>
    <s v="Item não atualizado"/>
    <m/>
    <s v="Processo 2024"/>
    <m/>
    <m/>
    <m/>
  </r>
  <r>
    <x v="920"/>
    <x v="4"/>
    <s v="HOSPITAL REGIONAL DO AGRESTE DR.WALDEMIRO FERREIRA"/>
    <s v="Consumo"/>
    <s v="ARP.0088.02.2024.GOV.CISAM.PE"/>
    <s v="REGISTRO DE PREÇOS PARA FORNECIMENTO EVENTUAL DE MATERIAIS MÉDICO-HOSPITALARES (DIVERSOS), VISANDO ATENDER AS NECESSIDADES DO CISAM/UPE E DEMAIS ÓRGÃOS PARTICIPANTES ."/>
    <s v="NFOCPO"/>
    <d v="2024-12-18T00:00:00"/>
    <x v="0"/>
    <s v="Em revisão"/>
    <s v="Cancelar Com o Suporte"/>
    <s v="Item atualizado"/>
    <m/>
    <s v="Cancelar Com o Suporte"/>
    <m/>
    <m/>
    <m/>
  </r>
  <r>
    <x v="921"/>
    <x v="4"/>
    <s v="HOSPITAL REGIONAL DO AGRESTE DR.WALDEMIRO FERREIRA"/>
    <s v="Consumo"/>
    <s v="ARP.0088.02.2024.GOV.CISAM.PE"/>
    <s v="REGISTRO DE PREÇOS PARA FORNECIMENTO EVENTUAL DE MATERIAIS MÉDICO-HOSPITALARES (DIVERSOS), VISANDO ATENDER AS NECESSIDADES DO CISAM/UPE E DEMAIS ÓRGÃOS PARTICIPANTES ."/>
    <s v="NFOCPO"/>
    <d v="2024-12-18T00:00:00"/>
    <x v="0"/>
    <s v="Em revisão"/>
    <s v="Cancelar Com o Suporte"/>
    <s v="Item atualizado"/>
    <m/>
    <s v="Cancelar Com o Suporte"/>
    <m/>
    <m/>
    <m/>
  </r>
  <r>
    <x v="922"/>
    <x v="4"/>
    <s v="HOSPITAL REGIONAL DO AGRESTE DR.WALDEMIRO FERREIRA"/>
    <s v="Consumo"/>
    <s v="ARP.0088.02.2024.GOV.CISAM.PE"/>
    <s v="REGISTRO DE PREÇOS PARA FORNECIMENTO EVENTUAL DE MATERIAIS MÉDICO-HOSPITALARES (DIVERSOS), VISANDO ATENDER AS NECESSIDADES DO CISAM/UPE E DEMAIS ÓRGÃOS PARTICIPANTES ."/>
    <s v="NFOCPO"/>
    <d v="2024-12-18T00:00:00"/>
    <x v="0"/>
    <s v="Em revisão"/>
    <s v="Cancelar Com o Suporte"/>
    <s v="Item atualizado"/>
    <m/>
    <s v="Cancelar Com o Suporte"/>
    <m/>
    <m/>
    <m/>
  </r>
  <r>
    <x v="923"/>
    <x v="4"/>
    <s v="HOSPITAL REGIONAL DO AGRESTE DR.WALDEMIRO FERREIRA"/>
    <s v="Consumo"/>
    <s v="ARP.0088.02.2024.GOV.CISAM.PE"/>
    <s v="REGISTRO DE PREÇOS PARA FORNECIMENTO EVENTUAL DE MATERIAIS MÉDICO-HOSPITALARES (DIVERSOS), VISANDO ATENDER AS NECESSIDADES DO CISAM/UPE E DEMAIS ÓRGÃOS PARTICIPANTES ."/>
    <s v="NFOCPO"/>
    <d v="2024-12-18T00:00:00"/>
    <x v="0"/>
    <s v="Em revisão"/>
    <s v="Cancelar Com o Suporte"/>
    <s v="Item atualizado"/>
    <m/>
    <s v="Cancelar Com o Suporte"/>
    <m/>
    <m/>
    <m/>
  </r>
  <r>
    <x v="924"/>
    <x v="4"/>
    <s v="HOSPITAL REGIONAL DO AGRESTE DR.WALDEMIRO FERREIRA"/>
    <s v="Consumo"/>
    <s v="ARP.0088.02.2024.GOV.CISAM.PE"/>
    <s v="REGISTRO DE PREÇOS PARA FORNECIMENTO EVENTUAL DE MATERIAIS MÉDICO-HOSPITALARES (DIVERSOS), VISANDO ATENDER AS NECESSIDADES DO CISAM/UPE E DEMAIS ÓRGÃOS PARTICIPANTES ."/>
    <s v="NFOCPO"/>
    <d v="2024-12-18T00:00:00"/>
    <x v="4"/>
    <s v="Em revisão"/>
    <s v="Cancelar Com o Suporte"/>
    <s v="Item não atualizado"/>
    <m/>
    <s v="Cancelar Com o Suporte"/>
    <m/>
    <m/>
    <m/>
  </r>
  <r>
    <x v="925"/>
    <x v="4"/>
    <s v="HOSPITAL REGIONAL DO AGRESTE DR.WALDEMIRO FERREIRA"/>
    <s v="Consumo"/>
    <s v="ARP.0088.02.2024.GOV.CISAM.PE"/>
    <s v="REGISTRO DE PREÇOS PARA FORNECIMENTO EVENTUAL DE MATERIAIS MÉDICO-HOSPITALARES (DIVERSOS), VISANDO ATENDER AS NECESSIDADES DO CISAM/UPE E DEMAIS ÓRGÃOS PARTICIPANTES ."/>
    <m/>
    <d v="2024-12-18T00:00:00"/>
    <x v="1"/>
    <s v="Autorizada Sucesso"/>
    <s v="Concluído"/>
    <s v="Item atualizado"/>
    <m/>
    <s v="Processo 2024"/>
    <m/>
    <m/>
    <m/>
  </r>
  <r>
    <x v="926"/>
    <x v="4"/>
    <s v="HOSPITAL REGIONAL DO AGRESTE DR.WALDEMIRO FERREIRA"/>
    <s v="Consumo"/>
    <s v="ARP.0088.03.2024.GOV.CISAM.PE"/>
    <s v="REGISTRO DE PREÇOS PARA FORNECIMENTO EVENTUAL DE MATERIAIS MÉDICO-HOSPITALARES (DIVERSOS), VISANDO ATENDER AS NECESSIDADES DO CISAM/UPE E DEMAIS ÓRGÃOS PARTICIPANTES ."/>
    <m/>
    <d v="2024-12-18T00:00:00"/>
    <x v="0"/>
    <s v="Cancelada"/>
    <s v="Cancelado"/>
    <s v="Item não atualizado"/>
    <m/>
    <s v="Processo 2024"/>
    <m/>
    <m/>
    <m/>
  </r>
  <r>
    <x v="927"/>
    <x v="0"/>
    <s v="HOSPITAL REGIONAL DO AGRESTE DR.WALDEMIRO FERREIRA"/>
    <s v="Consumo"/>
    <s v="ARP.0097.02.2024.GOV.FES-PE.PE"/>
    <s v="Formação de Ata de Registro de Preços para o fornecimento eventual de medicamentos COMPRIMIDOS (Grupo 06), visando atender as necessidades dos Hospitais e estabelecimentos da rede estadual de saúde de Pernambuco."/>
    <m/>
    <d v="2024-12-17T00:00:00"/>
    <x v="0"/>
    <s v="Cancelada"/>
    <s v="Cancelado"/>
    <s v="Item não atualizado"/>
    <m/>
    <s v="Processo 2024"/>
    <m/>
    <m/>
    <m/>
  </r>
  <r>
    <x v="928"/>
    <x v="0"/>
    <s v="HOSPITAL REGIONAL DO AGRESTE DR.WALDEMIRO FERREIRA"/>
    <s v="Consumo"/>
    <s v="ARP.0097.04.2024.GOV.FES-PE.PE"/>
    <s v="Formação de Ata de Registro de Preços para o fornecimento eventual de medicamentos COMPRIMIDOS (Grupo 06), visando atender as necessidades dos Hospitais e estabelecimentos da rede estadual de saúde de Pernambuco."/>
    <m/>
    <d v="2024-12-17T00:00:00"/>
    <x v="1"/>
    <s v="Autorizada Sucesso"/>
    <s v="Concluído"/>
    <s v="Item atualizado"/>
    <m/>
    <s v="Processo 2024"/>
    <m/>
    <m/>
    <m/>
  </r>
  <r>
    <x v="929"/>
    <x v="4"/>
    <s v="HOSPITAL REGIONAL DO AGRESTE DR.WALDEMIRO FERREIRA"/>
    <s v="Consumo"/>
    <s v="ARP.0052.12.2024.GOV.CISAM.PE"/>
    <s v="REGISTRO DE PREÇOS PARA O EVENTUAL FORNECIMENTO DE MEDICAMENTOS PARA O CISAM/UPE E DEMAIS ÓRGÃOS PARTICIPANTES"/>
    <m/>
    <d v="2024-12-15T00:00:00"/>
    <x v="1"/>
    <s v="Autorizada Sucesso"/>
    <s v="Concluído"/>
    <s v="Item atualizado"/>
    <m/>
    <s v="Processo 2024"/>
    <m/>
    <m/>
    <m/>
  </r>
  <r>
    <x v="930"/>
    <x v="0"/>
    <s v="HOSPITAL REGIONAL DO AGRESTE DR.WALDEMIRO FERREIRA"/>
    <s v="Consumo"/>
    <s v="ARP.0096.01.2024.GOV.FES-PE.PE"/>
    <s v="Formação de Registro de Preços para o fornecimento eventual de Medicamentos Comprimidos (Grupo 02), visando atender as necessidades dos hospitais e estabelecimentos da rede estadual de saúde de Pernambuco, conforme condições, especificações, quantidades e"/>
    <m/>
    <d v="2024-12-15T00:00:00"/>
    <x v="1"/>
    <s v="Autorizada Sucesso"/>
    <s v="Concluído"/>
    <s v="Item atualizado"/>
    <m/>
    <s v="Processo 2024"/>
    <m/>
    <m/>
    <m/>
  </r>
  <r>
    <x v="931"/>
    <x v="0"/>
    <s v="HOSPITAL REGIONAL DO AGRESTE DR.WALDEMIRO FERREIRA"/>
    <s v="Consumo"/>
    <s v="ARP.0068.10.2024.GOV.FES-PE.PE"/>
    <s v="REGISTRO DE PREÇO, PARA FORNECIMENTO EVENTUAL DE MOBILIÁRIO HOSPITALAR E EQUIPAMENTO DE LAVANDERIA, VISANDO ATENDER ÀS NECESSIDADES DA SECRETARIA ESTADUAL DE SAÚDE DE PERNAMBUCO (SES/PE) E DAS UNIDADES HOSPITALARES QUE A COMPÕEM."/>
    <m/>
    <d v="2024-12-13T00:00:00"/>
    <x v="0"/>
    <s v="Cancelada por fim vigencia ATA"/>
    <s v="Cancelado"/>
    <s v="Item atualizado"/>
    <m/>
    <s v="Processo 2024"/>
    <m/>
    <m/>
    <m/>
  </r>
  <r>
    <x v="932"/>
    <x v="0"/>
    <s v="HOSPITAL REGIONAL DO AGRESTE DR.WALDEMIRO FERREIRA"/>
    <s v="Consumo"/>
    <s v="ARP.0068.10.2024.GOV.FES-PE.PE"/>
    <s v="REGISTRO DE PREÇO, PARA FORNECIMENTO EVENTUAL DE MOBILIÁRIO HOSPITALAR E EQUIPAMENTO DE LAVANDERIA, VISANDO ATENDER ÀS NECESSIDADES DA SECRETARIA ESTADUAL DE SAÚDE DE PERNAMBUCO (SES/PE) E DAS UNIDADES HOSPITALARES QUE A COMPÕEM."/>
    <m/>
    <d v="2024-12-13T00:00:00"/>
    <x v="0"/>
    <s v="Cancelada por fim vigencia ATA"/>
    <s v="Cancelado"/>
    <s v="Item atualizado"/>
    <m/>
    <s v="Processo 2024"/>
    <m/>
    <m/>
    <m/>
  </r>
  <r>
    <x v="933"/>
    <x v="22"/>
    <s v="HOSPITAL REGIONAL DO AGRESTE DR.WALDEMIRO FERREIRA"/>
    <s v="Consumo"/>
    <s v="ARPC.0004.00.2024.GOV.SAD.PE"/>
    <s v="Formação de Ata de Registro de Preços Corporativa para o fornecimento eventual de Etiqueta Patrimonial, conforme especificações e quantitativos previstos no Termo de Referência (Anexo I), destinada a atender às demandas dos órgãos da Administração Direta,"/>
    <m/>
    <d v="2024-12-11T00:00:00"/>
    <x v="1"/>
    <s v="Autorizada Sucesso"/>
    <s v="Concluído"/>
    <s v="Item atualizado"/>
    <m/>
    <s v="Processo 2024"/>
    <m/>
    <m/>
    <m/>
  </r>
  <r>
    <x v="934"/>
    <x v="22"/>
    <s v="HOSPITAL REGIONAL DO AGRESTE DR.WALDEMIRO FERREIRA"/>
    <s v="Consumo"/>
    <s v="ARPC.0029.00.2024.GOV.SAD.PE"/>
    <s v="Registro de Preços Corporativo para contratação de serviços terceirizados de Jardinagem, a serem executados com regime de dedicação exclusiva de mão de obra, visando atender às necessidades dos órgãos da Administração Direta, Autarquias e Fundações Públic"/>
    <m/>
    <d v="2024-12-10T00:00:00"/>
    <x v="0"/>
    <s v="Cancelada"/>
    <s v="Cancelado"/>
    <s v="Item não atualizado"/>
    <m/>
    <s v="Processo 2024"/>
    <m/>
    <m/>
    <m/>
  </r>
  <r>
    <x v="935"/>
    <x v="4"/>
    <s v="HOSPITAL REGIONAL DO AGRESTE DR.WALDEMIRO FERREIRA"/>
    <s v="Consumo"/>
    <s v="ARP.0065.06.2024.GOV.CISAM.PE"/>
    <s v="REGISTRO DE PREÇOS PARA FORNECIMENTO EVENTUAL DE MEDICAMENTOS (DIVERSOS), VISANDO ATENDER ÀS NECESSIDADES DO CISAM/UPE E DEMAIS ÓRGÃOS PARTICIPANTES."/>
    <m/>
    <d v="2024-12-09T00:00:00"/>
    <x v="1"/>
    <s v="Autorizada Sucesso"/>
    <s v="Concluído"/>
    <s v="Item atualizado"/>
    <m/>
    <s v="Processo 2024"/>
    <m/>
    <m/>
    <m/>
  </r>
  <r>
    <x v="936"/>
    <x v="0"/>
    <s v="HOSPITAL REGIONAL DO AGRESTE DR.WALDEMIRO FERREIRA"/>
    <s v="Consumo"/>
    <s v="ARP.0089.00.2024.GOV.FES-PE.PE"/>
    <s v="Formação de Registro de Preços para o fornecimento eventual de Dispositivos Médicos do tipo máscaras com a finalidade de atender às necessidades dos hospitais e estabelecimentos vinculados à SES/PE"/>
    <m/>
    <d v="2024-12-03T00:00:00"/>
    <x v="1"/>
    <s v="Autorizada Sucesso"/>
    <s v="Concluído"/>
    <s v="Item atualizado"/>
    <m/>
    <s v="Processo 2024"/>
    <m/>
    <m/>
    <m/>
  </r>
  <r>
    <x v="937"/>
    <x v="0"/>
    <s v="HOSPITAL REGIONAL DO AGRESTE DR.WALDEMIRO FERREIRA"/>
    <s v="Consumo"/>
    <s v="ARP.0089.01.2024.GOV.FES-PE.PE"/>
    <s v="Formação de Registro de Preços para o fornecimento eventual de Dispositivos Médicos do tipo máscaras com a finalidade de atender às necessidades dos hospitais e estabelecimentos vinculados à SES/PE"/>
    <m/>
    <d v="2024-12-03T00:00:00"/>
    <x v="1"/>
    <s v="Autorizada Sucesso"/>
    <s v="Concluído"/>
    <s v="Item atualizado"/>
    <m/>
    <s v="Processo 2024"/>
    <m/>
    <m/>
    <m/>
  </r>
  <r>
    <x v="938"/>
    <x v="0"/>
    <s v="HOSPITAL REGIONAL DO AGRESTE DR.WALDEMIRO FERREIRA"/>
    <s v="Consumo"/>
    <s v="ARP.0040.01.2024.GOV.FES-PE.PE"/>
    <s v="PREGÃO ELETRÔNICO PARA REGISTRO DE PREÇOS COM VALIDADE DE 12 (DOZE) MESES PARA EVENTUAL FORNECIMENTO DE MEDICAMENTOS INJETÁVEIS (GRUPO 03) VISANDO ATENDER A DEMANDA DOS HOSPITAIS E ESTABELECIMENTOS DA REDE ESTADUAL DE SAÚDE DE PERNAMBUCO"/>
    <m/>
    <d v="2024-12-02T00:00:00"/>
    <x v="1"/>
    <s v="Autorizada Sucesso"/>
    <s v="Concluído"/>
    <s v="Item atualizado"/>
    <m/>
    <s v="Processo 2024"/>
    <m/>
    <m/>
    <m/>
  </r>
  <r>
    <x v="939"/>
    <x v="0"/>
    <s v="HOSPITAL REGIONAL DO AGRESTE DR.WALDEMIRO FERREIRA"/>
    <s v="Consumo"/>
    <s v="ARP.0031.11.2024.GOV.FES-PE.PE"/>
    <s v="Registro de Preços para a eventual aquisição de Medicamentos Antibióticos (grupo 01) visando atender a demanda dos hospitais e estabelecimentos da rede estadual de saúde de Pernambuco."/>
    <m/>
    <d v="2024-12-02T00:00:00"/>
    <x v="1"/>
    <s v="Autorizada Sucesso"/>
    <s v="Concluído"/>
    <s v="Item atualizado"/>
    <m/>
    <s v="Processo 2024"/>
    <m/>
    <m/>
    <m/>
  </r>
  <r>
    <x v="940"/>
    <x v="0"/>
    <s v="HOSPITAL REGIONAL DO AGRESTE DR.WALDEMIRO FERREIRA"/>
    <s v="Consumo"/>
    <s v="ARP.0050.00.2024.GOV.FES-PE.PE"/>
    <s v="Registro de Preços para a eventual aquisição de Medicamentos Controlados (grupo 03) visando atender a demanda dos hospitais e estabelecimentos da rede estadual de saúde de Pernambuco."/>
    <m/>
    <d v="2024-12-02T00:00:00"/>
    <x v="1"/>
    <s v="Autorizada Sucesso"/>
    <s v="Concluído"/>
    <s v="Item atualizado"/>
    <m/>
    <s v="Processo 2024"/>
    <m/>
    <m/>
    <m/>
  </r>
  <r>
    <x v="941"/>
    <x v="0"/>
    <s v="HOSPITAL REGIONAL DO AGRESTE DR.WALDEMIRO FERREIRA"/>
    <s v="Consumo"/>
    <s v="ARP.0097.03.2024.GOV.FES-PE.PE"/>
    <s v="Formação de Ata de Registro de Preços para o fornecimento eventual de medicamentos COMPRIMIDOS (Grupo 06), visando atender as necessidades dos Hospitais e estabelecimentos da rede estadual de saúde de Pernambuco."/>
    <m/>
    <d v="2024-12-02T00:00:00"/>
    <x v="1"/>
    <s v="Autorizada Sucesso"/>
    <s v="Concluído"/>
    <s v="Item atualizado"/>
    <m/>
    <s v="Processo 2024"/>
    <m/>
    <m/>
    <m/>
  </r>
  <r>
    <x v="942"/>
    <x v="0"/>
    <s v="HOSPITAL REGIONAL DO AGRESTE DR.WALDEMIRO FERREIRA"/>
    <s v="Consumo"/>
    <s v="ARP.0097.00.2024.GOV.FES-PE.PE"/>
    <s v="Formação de Ata de Registro de Preços para o fornecimento eventual de medicamentos COMPRIMIDOS (Grupo 06), visando atender as necessidades dos Hospitais e estabelecimentos da rede estadual de saúde de Pernambuco."/>
    <m/>
    <d v="2024-12-02T00:00:00"/>
    <x v="1"/>
    <s v="Autorizada Sucesso"/>
    <s v="Concluído"/>
    <s v="Item atualizado"/>
    <m/>
    <s v="Processo 2024"/>
    <m/>
    <m/>
    <m/>
  </r>
  <r>
    <x v="943"/>
    <x v="0"/>
    <s v="HOSPITAL REGIONAL DO AGRESTE DR.WALDEMIRO FERREIRA"/>
    <s v="Consumo"/>
    <s v="ARP.0096.02.2024.GOV.FES-PE.PE"/>
    <s v="Formação de Registro de Preços para o fornecimento eventual de Medicamentos Comprimidos (Grupo 02), visando atender as necessidades dos hospitais e estabelecimentos da rede estadual de saúde de Pernambuco, conforme condições, especificações, quantidades e"/>
    <m/>
    <d v="2024-12-02T00:00:00"/>
    <x v="0"/>
    <s v="Cancelada"/>
    <s v="Cancelado"/>
    <s v="Item não atualizado"/>
    <m/>
    <s v="Processo 2024"/>
    <m/>
    <m/>
    <m/>
  </r>
  <r>
    <x v="944"/>
    <x v="0"/>
    <s v="HOSPITAL REGIONAL DO AGRESTE DR.WALDEMIRO FERREIRA"/>
    <s v="Consumo"/>
    <s v="ARP.0096.00.2024.GOV.FES-PE.PE"/>
    <s v="Formação de Registro de Preços para o fornecimento eventual de Medicamentos Comprimidos (Grupo 02), visando atender as necessidades dos hospitais e estabelecimentos da rede estadual de saúde de Pernambuco, conforme condições, especificações, quantidades e"/>
    <m/>
    <d v="2024-12-02T00:00:00"/>
    <x v="1"/>
    <s v="Autorizada Sucesso"/>
    <s v="Concluído"/>
    <s v="Item atualizado"/>
    <m/>
    <s v="Processo 2024"/>
    <m/>
    <m/>
    <m/>
  </r>
  <r>
    <x v="945"/>
    <x v="0"/>
    <s v="HOSPITAL REGIONAL DO AGRESTE DR.WALDEMIRO FERREIRA"/>
    <s v="Consumo"/>
    <s v="ARP.0078.01.2024.GOV.FES-PE.PE"/>
    <s v="REGISTRO DE PREÇO FORMAÇÃO DE ATA DE REGISTRO DE PREÇOS PARA EVENTUAL AQUISIÇÃO DE EQUIPAMENTOS MÉDICO-HOSPITALARES PARA ATENDER AS NECESSIDADES DA SES/PE"/>
    <m/>
    <d v="2024-11-29T00:00:00"/>
    <x v="0"/>
    <s v="Cancelada por fim vigencia ATA"/>
    <s v="Cancelado"/>
    <s v="Item atualizado"/>
    <m/>
    <s v="Processo 2024"/>
    <m/>
    <m/>
    <m/>
  </r>
  <r>
    <x v="946"/>
    <x v="0"/>
    <s v="HOSPITAL REGIONAL DO AGRESTE DR.WALDEMIRO FERREIRA"/>
    <s v="Consumo"/>
    <s v="ARP.0048.01.2024.GOV.FES-PE.PE"/>
    <s v="Registro de Preços para a eventual aquisição de Medicamentos Controlados (grupo 04) visando atender a demanda dos hospitais e estabelecimentos da rede estadual de saúde de Pernambuco."/>
    <m/>
    <d v="2024-11-27T00:00:00"/>
    <x v="1"/>
    <s v="Autorizada Sucesso"/>
    <s v="Concluído"/>
    <s v="Item atualizado"/>
    <m/>
    <s v="Processo 2024"/>
    <m/>
    <m/>
    <m/>
  </r>
  <r>
    <x v="947"/>
    <x v="0"/>
    <s v="HOSPITAL REGIONAL DO AGRESTE DR.WALDEMIRO FERREIRA"/>
    <s v="Consumo"/>
    <s v="ARP.0048.01.2024.GOV.FES-PE.PE"/>
    <s v="Registro de Preços para a eventual aquisição de Medicamentos Controlados (grupo 04) visando atender a demanda dos hospitais e estabelecimentos da rede estadual de saúde de Pernambuco."/>
    <m/>
    <d v="2024-11-27T00:00:00"/>
    <x v="1"/>
    <s v="Autorizada Sucesso"/>
    <s v="Concluído"/>
    <s v="Item atualizado"/>
    <m/>
    <s v="Processo 2024"/>
    <m/>
    <m/>
    <m/>
  </r>
  <r>
    <x v="948"/>
    <x v="0"/>
    <s v="HOSPITAL REGIONAL DO AGRESTE DR.WALDEMIRO FERREIRA"/>
    <s v="Consumo"/>
    <s v="ARP.0094.00.2024.GOV.FES-PE.PE"/>
    <s v="Registro de Preços para o fornecimento eventual de Medicamentos Comprimidos (Grupo 01), visando atender as necessidades dos hospitais e estabelecimentos vinculados à Secretaria Estadual de Saúde de Pernambuco"/>
    <m/>
    <d v="2024-11-26T00:00:00"/>
    <x v="0"/>
    <s v="Cancelada"/>
    <s v="Cancelado"/>
    <s v="Item não atualizado"/>
    <m/>
    <s v="Processo 2024"/>
    <m/>
    <m/>
    <m/>
  </r>
  <r>
    <x v="949"/>
    <x v="0"/>
    <s v="HOSPITAL REGIONAL DO AGRESTE DR.WALDEMIRO FERREIRA"/>
    <s v="Consumo"/>
    <s v="ARP.0094.03.2024.GOV.FES-PE.PE"/>
    <s v="Registro de Preços para o fornecimento eventual de Medicamentos Comprimidos (Grupo 01), visando atender as necessidades dos hospitais e estabelecimentos vinculados à Secretaria Estadual de Saúde de Pernambuco"/>
    <m/>
    <d v="2024-11-26T00:00:00"/>
    <x v="1"/>
    <s v="Autorizada Sucesso"/>
    <s v="Concluído"/>
    <s v="Item atualizado"/>
    <m/>
    <s v="Processo 2024"/>
    <m/>
    <m/>
    <m/>
  </r>
  <r>
    <x v="950"/>
    <x v="0"/>
    <s v="HOSPITAL REGIONAL DO AGRESTE DR.WALDEMIRO FERREIRA"/>
    <s v="Consumo"/>
    <s v="ARP.0094.03.2024.GOV.FES-PE.PE"/>
    <s v="Registro de Preços para o fornecimento eventual de Medicamentos Comprimidos (Grupo 01), visando atender as necessidades dos hospitais e estabelecimentos vinculados à Secretaria Estadual de Saúde de Pernambuco"/>
    <m/>
    <d v="2024-11-26T00:00:00"/>
    <x v="1"/>
    <s v="Autorizada Sucesso"/>
    <s v="Concluído"/>
    <s v="Item atualizado"/>
    <m/>
    <s v="Processo 2024"/>
    <m/>
    <m/>
    <m/>
  </r>
  <r>
    <x v="951"/>
    <x v="0"/>
    <s v="HOSPITAL REGIONAL DO AGRESTE DR.WALDEMIRO FERREIRA"/>
    <s v="Consumo"/>
    <s v="ARP.0094.02.2024.GOV.FES-PE.PE"/>
    <s v="Registro de Preços para o fornecimento eventual de Medicamentos Comprimidos (Grupo 01), visando atender as necessidades dos hospitais e estabelecimentos vinculados à Secretaria Estadual de Saúde de Pernambuco"/>
    <m/>
    <d v="2024-11-26T00:00:00"/>
    <x v="1"/>
    <s v="Autorizada Sucesso"/>
    <s v="Concluído"/>
    <s v="Item atualizado"/>
    <m/>
    <s v="Processo 2024"/>
    <m/>
    <m/>
    <m/>
  </r>
  <r>
    <x v="952"/>
    <x v="0"/>
    <s v="HOSPITAL REGIONAL DO AGRESTE DR.WALDEMIRO FERREIRA"/>
    <s v="Consumo"/>
    <s v="ARP.0094.01.2024.GOV.FES-PE.PE"/>
    <s v="Registro de Preços para o fornecimento eventual de Medicamentos Comprimidos (Grupo 01), visando atender as necessidades dos hospitais e estabelecimentos vinculados à Secretaria Estadual de Saúde de Pernambuco"/>
    <m/>
    <d v="2024-11-26T00:00:00"/>
    <x v="0"/>
    <s v="Cancelada"/>
    <s v="Cancelado"/>
    <s v="Item não atualizado"/>
    <m/>
    <s v="Processo 2024"/>
    <m/>
    <m/>
    <m/>
  </r>
  <r>
    <x v="953"/>
    <x v="0"/>
    <s v="HOSPITAL REGIONAL DO AGRESTE DR.WALDEMIRO FERREIRA"/>
    <s v="Consumo"/>
    <s v="ARP.0094.01.2024.GOV.FES-PE.PE"/>
    <s v="Registro de Preços para o fornecimento eventual de Medicamentos Comprimidos (Grupo 01), visando atender as necessidades dos hospitais e estabelecimentos vinculados à Secretaria Estadual de Saúde de Pernambuco"/>
    <m/>
    <d v="2024-11-26T00:00:00"/>
    <x v="1"/>
    <s v="Autorizada Sucesso"/>
    <s v="Concluído"/>
    <s v="Item atualizado"/>
    <m/>
    <s v="Processo 2024"/>
    <m/>
    <m/>
    <m/>
  </r>
  <r>
    <x v="954"/>
    <x v="4"/>
    <s v="HOSPITAL REGIONAL DO AGRESTE DR.WALDEMIRO FERREIRA"/>
    <s v="Consumo"/>
    <s v="ARP.0065.00.2024.GOV.CISAM.PE"/>
    <s v="REGISTRO DE PREÇOS PARA FORNECIMENTO EVENTUAL DE MEDICAMENTOS (DIVERSOS), VISANDO ATENDER ÀS NECESSIDADES DO CISAM/UPE E DEMAIS ÓRGÃOS PARTICIPANTES."/>
    <m/>
    <d v="2024-11-25T00:00:00"/>
    <x v="0"/>
    <s v="Cancelada"/>
    <s v="Cancelado"/>
    <s v="Item não atualizado"/>
    <m/>
    <s v="Processo 2024"/>
    <m/>
    <m/>
    <m/>
  </r>
  <r>
    <x v="955"/>
    <x v="4"/>
    <s v="HOSPITAL REGIONAL DO AGRESTE DR.WALDEMIRO FERREIRA"/>
    <s v="Consumo"/>
    <s v="ARP.0065.05.2024.GOV.CISAM.PE"/>
    <s v="REGISTRO DE PREÇOS PARA FORNECIMENTO EVENTUAL DE MEDICAMENTOS (DIVERSOS), VISANDO ATENDER ÀS NECESSIDADES DO CISAM/UPE E DEMAIS ÓRGÃOS PARTICIPANTES."/>
    <m/>
    <d v="2024-11-25T00:00:00"/>
    <x v="0"/>
    <s v="Cancelada"/>
    <s v="Cancelado"/>
    <s v="Item não atualizado"/>
    <m/>
    <s v="Processo 2024"/>
    <m/>
    <m/>
    <m/>
  </r>
  <r>
    <x v="956"/>
    <x v="4"/>
    <s v="HOSPITAL REGIONAL DO AGRESTE DR.WALDEMIRO FERREIRA"/>
    <s v="Consumo"/>
    <s v="ARP.0049.00.2024.GOV.CISAM.PE"/>
    <s v="REGISTRO DE PREÇOS PARA O FORNECIMENTO EVENTUAL MEDICAMENTOS (DIVERSOS) PARA O CISAM/UPE"/>
    <m/>
    <d v="2024-11-25T00:00:00"/>
    <x v="0"/>
    <s v="Cancelada"/>
    <s v="Cancelado"/>
    <s v="Item não atualizado"/>
    <m/>
    <s v="Processo 2024"/>
    <m/>
    <m/>
    <m/>
  </r>
  <r>
    <x v="957"/>
    <x v="0"/>
    <s v="HOSPITAL REGIONAL DO AGRESTE DR.WALDEMIRO FERREIRA"/>
    <s v="Consumo"/>
    <s v="ARP.0092.02.2024.GOV.FES-PE.PE"/>
    <s v="Registro de Preços para a eventual aquisição de Medicamentos diversos (grupo 02) visando atender a demanda dos hospitais e estabelecimentos da rede estadual de saúde de Pernambuco"/>
    <m/>
    <d v="2024-11-22T00:00:00"/>
    <x v="1"/>
    <s v="Autorizada Sucesso"/>
    <s v="Concluído"/>
    <s v="Item atualizado"/>
    <m/>
    <s v="Processo 2024"/>
    <m/>
    <m/>
    <m/>
  </r>
  <r>
    <x v="958"/>
    <x v="0"/>
    <s v="HOSPITAL REGIONAL DO AGRESTE DR.WALDEMIRO FERREIRA"/>
    <s v="Consumo"/>
    <s v="ARP.0092.03.2024.GOV.FES-PE.PE"/>
    <s v="Registro de Preços para a eventual aquisição de Medicamentos diversos (grupo 02) visando atender a demanda dos hospitais e estabelecimentos da rede estadual de saúde de Pernambuco"/>
    <m/>
    <d v="2024-11-22T00:00:00"/>
    <x v="1"/>
    <s v="Autorizada Sucesso"/>
    <s v="Concluído"/>
    <s v="Item atualizado"/>
    <m/>
    <s v="Processo 2024"/>
    <m/>
    <m/>
    <m/>
  </r>
  <r>
    <x v="959"/>
    <x v="0"/>
    <s v="HOSPITAL REGIONAL DO AGRESTE DR.WALDEMIRO FERREIRA"/>
    <s v="Consumo"/>
    <s v="ARP.0092.04.2024.GOV.FES-PE.PE"/>
    <s v="Registro de Preços para a eventual aquisição de Medicamentos diversos (grupo 02) visando atender a demanda dos hospitais e estabelecimentos da rede estadual de saúde de Pernambuco"/>
    <s v="NFOCPO"/>
    <d v="2024-11-22T00:00:00"/>
    <x v="0"/>
    <s v="Cancelada"/>
    <s v="Cancelado"/>
    <s v="Item não atualizado"/>
    <m/>
    <s v="Processo 2024"/>
    <m/>
    <m/>
    <m/>
  </r>
  <r>
    <x v="960"/>
    <x v="0"/>
    <s v="HOSPITAL REGIONAL DO AGRESTE DR.WALDEMIRO FERREIRA"/>
    <s v="Consumo"/>
    <s v="ARP.0092.04.2024.GOV.FES-PE.PE"/>
    <s v="Registro de Preços para a eventual aquisição de Medicamentos diversos (grupo 02) visando atender a demanda dos hospitais e estabelecimentos da rede estadual de saúde de Pernambuco"/>
    <m/>
    <d v="2024-11-22T00:00:00"/>
    <x v="1"/>
    <s v="Autorizada Sucesso"/>
    <s v="Concluído"/>
    <s v="Item atualizado"/>
    <m/>
    <s v="Processo 2024"/>
    <m/>
    <m/>
    <m/>
  </r>
  <r>
    <x v="961"/>
    <x v="0"/>
    <s v="HOSPITAL REGIONAL DO AGRESTE DR.WALDEMIRO FERREIRA"/>
    <s v="Consumo"/>
    <s v="ARP.0092.03.2024.GOV.FES-PE.PE"/>
    <s v="Registro de Preços para a eventual aquisição de Medicamentos diversos (grupo 02) visando atender a demanda dos hospitais e estabelecimentos da rede estadual de saúde de Pernambuco"/>
    <m/>
    <d v="2024-11-22T00:00:00"/>
    <x v="1"/>
    <s v="Autorizada Sucesso"/>
    <s v="Concluído"/>
    <s v="Item atualizado"/>
    <m/>
    <s v="Processo 2024"/>
    <m/>
    <m/>
    <m/>
  </r>
  <r>
    <x v="962"/>
    <x v="0"/>
    <s v="HOSPITAL REGIONAL DO AGRESTE DR.WALDEMIRO FERREIRA"/>
    <s v="Consumo"/>
    <s v="ARP.0063.00.2024.GOV.FES-PE.PE"/>
    <s v="Formação de Registro de Preços, por um período de 12 (doze) meses, para eventual aquisição de MATERIAL MÉDICO HOSPITALAR (Grupo 04) visando atender a demanda dos hospitais e estabelecimentos da rede estadual de saúde de Pernambuco."/>
    <m/>
    <d v="2024-11-22T00:00:00"/>
    <x v="1"/>
    <s v="Autorizada Sucesso"/>
    <s v="Concluído"/>
    <s v="Item atualizado"/>
    <m/>
    <s v="Processo 2024"/>
    <m/>
    <m/>
    <m/>
  </r>
  <r>
    <x v="963"/>
    <x v="0"/>
    <s v="HOSPITAL REGIONAL DO AGRESTE DR.WALDEMIRO FERREIRA"/>
    <s v="Consumo"/>
    <s v="ARP.0063.00.2024.GOV.FES-PE.PE"/>
    <s v="Formação de Registro de Preços, por um período de 12 (doze) meses, para eventual aquisição de MATERIAL MÉDICO HOSPITALAR (Grupo 04) visando atender a demanda dos hospitais e estabelecimentos da rede estadual de saúde de Pernambuco."/>
    <m/>
    <d v="2024-11-22T00:00:00"/>
    <x v="0"/>
    <s v="Cancelada Integrado"/>
    <s v="Cancelado"/>
    <s v="Item atualizado"/>
    <m/>
    <s v="Processo 2024"/>
    <m/>
    <m/>
    <m/>
  </r>
  <r>
    <x v="964"/>
    <x v="0"/>
    <s v="HOSPITAL REGIONAL DO AGRESTE DR.WALDEMIRO FERREIRA"/>
    <s v="Consumo"/>
    <s v="ARP.0063.00.2024.GOV.FES-PE.PE"/>
    <s v="Formação de Registro de Preços, por um período de 12 (doze) meses, para eventual aquisição de MATERIAL MÉDICO HOSPITALAR (Grupo 04) visando atender a demanda dos hospitais e estabelecimentos da rede estadual de saúde de Pernambuco."/>
    <m/>
    <d v="2024-11-22T00:00:00"/>
    <x v="0"/>
    <s v="Cancelada"/>
    <s v="Cancelado"/>
    <s v="Item não atualizado"/>
    <m/>
    <s v="Processo 2024"/>
    <m/>
    <m/>
    <m/>
  </r>
  <r>
    <x v="965"/>
    <x v="0"/>
    <s v="HOSPITAL REGIONAL DO AGRESTE DR.WALDEMIRO FERREIRA"/>
    <s v="Consumo"/>
    <s v="ARP.0063.04.2024.GOV.FES-PE.PE"/>
    <s v="Formação de Registro de Preços, por um período de 12 (doze) meses, para eventual aquisição de MATERIAL MÉDICO HOSPITALAR (Grupo 04) visando atender a demanda dos hospitais e estabelecimentos da rede estadual de saúde de Pernambuco."/>
    <m/>
    <d v="2024-11-22T00:00:00"/>
    <x v="0"/>
    <s v="Cancelada"/>
    <s v="Cancelado"/>
    <s v="Item não atualizado"/>
    <m/>
    <s v="Processo 2024"/>
    <m/>
    <m/>
    <m/>
  </r>
  <r>
    <x v="966"/>
    <x v="0"/>
    <s v="HOSPITAL REGIONAL DO AGRESTE DR.WALDEMIRO FERREIRA"/>
    <s v="Consumo"/>
    <s v="ARP.0025.06.2024.GOV.FES-PE.PE"/>
    <s v="Registro de Preços para eventual aquisição de Medicamentos Injetáveis (grupo 02) visando atender a demanda dos hospitais e estabelecimentos da rede estadual de saúde de Pernambuco."/>
    <m/>
    <d v="2024-11-22T00:00:00"/>
    <x v="1"/>
    <s v="Autorizada Sucesso"/>
    <s v="Concluído"/>
    <s v="Item atualizado"/>
    <m/>
    <s v="Processo 2024"/>
    <m/>
    <m/>
    <m/>
  </r>
  <r>
    <x v="967"/>
    <x v="0"/>
    <s v="HOSPITAL REGIONAL DO AGRESTE DR.WALDEMIRO FERREIRA"/>
    <s v="Consumo"/>
    <s v="ARP.0025.04.2024.GOV.FES-PE.PE"/>
    <s v="Registro de Preços para eventual aquisição de Medicamentos Injetáveis (grupo 02) visando atender a demanda dos hospitais e estabelecimentos da rede estadual de saúde de Pernambuco."/>
    <m/>
    <d v="2024-11-22T00:00:00"/>
    <x v="1"/>
    <s v="Autorizada Sucesso"/>
    <s v="Concluído"/>
    <s v="Item atualizado"/>
    <m/>
    <s v="Processo 2024"/>
    <m/>
    <m/>
    <m/>
  </r>
  <r>
    <x v="968"/>
    <x v="0"/>
    <s v="HOSPITAL REGIONAL DO AGRESTE DR.WALDEMIRO FERREIRA"/>
    <s v="Consumo"/>
    <s v="ARP.0025.03.2024.GOV.FES-PE.PE"/>
    <s v="Registro de Preços para eventual aquisição de Medicamentos Injetáveis (grupo 02) visando atender a demanda dos hospitais e estabelecimentos da rede estadual de saúde de Pernambuco."/>
    <m/>
    <d v="2024-11-22T00:00:00"/>
    <x v="1"/>
    <s v="Autorizada Sucesso"/>
    <s v="Concluído"/>
    <s v="Item atualizado"/>
    <m/>
    <s v="Processo 2024"/>
    <m/>
    <m/>
    <m/>
  </r>
  <r>
    <x v="969"/>
    <x v="0"/>
    <s v="HOSPITAL REGIONAL DO AGRESTE DR.WALDEMIRO FERREIRA"/>
    <s v="Consumo"/>
    <s v="ARP.0025.01.2024.GOV.FES-PE.PE"/>
    <s v="Registro de Preços para eventual aquisição de Medicamentos Injetáveis (grupo 02) visando atender a demanda dos hospitais e estabelecimentos da rede estadual de saúde de Pernambuco."/>
    <m/>
    <d v="2024-11-22T00:00:00"/>
    <x v="1"/>
    <s v="Autorizada Sucesso"/>
    <s v="Concluído"/>
    <s v="Item atualizado"/>
    <m/>
    <s v="Processo 2024"/>
    <m/>
    <m/>
    <m/>
  </r>
  <r>
    <x v="970"/>
    <x v="0"/>
    <s v="HOSPITAL REGIONAL DO AGRESTE DR.WALDEMIRO FERREIRA"/>
    <s v="Consumo"/>
    <s v="ARP.0018.01.2024.GOV.FES-PE.PE"/>
    <s v="Registro de Preços para a eventual aquisição de Medicamentos Antibióticos (grupo 02) visando atender a demanda dos hospitais e estabelecimentos da rede estadual de saúde de Pernambuco."/>
    <m/>
    <d v="2024-11-22T00:00:00"/>
    <x v="1"/>
    <s v="Autorizada Sucesso"/>
    <s v="Concluído"/>
    <s v="Item atualizado"/>
    <m/>
    <s v="Processo 2024"/>
    <m/>
    <m/>
    <m/>
  </r>
  <r>
    <x v="971"/>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11-22T00:00:00"/>
    <x v="1"/>
    <s v="Autorizada Sucesso"/>
    <s v="Concluído"/>
    <s v="Item atualizado"/>
    <m/>
    <s v="Processo 2024"/>
    <m/>
    <m/>
    <m/>
  </r>
  <r>
    <x v="972"/>
    <x v="0"/>
    <s v="HOSPITAL REGIONAL DO AGRESTE DR.WALDEMIRO FERREIRA"/>
    <s v="Consumo"/>
    <s v="ARP.0024.01.2024.GOV.FES-PE.PE"/>
    <s v="Registro de Preços para a eventual aquisição de Medicamentos Antimicrobianos (grupo 02) visando atender a demanda dos hospitais e estabelecimentos da rede estadual de saúde de Pernambuco."/>
    <m/>
    <d v="2024-11-22T00:00:00"/>
    <x v="1"/>
    <s v="Autorizada Sucesso"/>
    <s v="Concluído"/>
    <s v="Item atualizado"/>
    <m/>
    <s v="Processo 2024"/>
    <m/>
    <m/>
    <m/>
  </r>
  <r>
    <x v="973"/>
    <x v="0"/>
    <s v="HOSPITAL REGIONAL DO AGRESTE DR.WALDEMIRO FERREIRA"/>
    <s v="Consumo"/>
    <s v="ARP.0063.04.2024.GOV.FES-PE.PE"/>
    <s v="Formação de Registro de Preços, por um período de 12 (doze) meses, para eventual aquisição de MATERIAL MÉDICO HOSPITALAR (Grupo 04) visando atender a demanda dos hospitais e estabelecimentos da rede estadual de saúde de Pernambuco."/>
    <m/>
    <d v="2024-11-22T00:00:00"/>
    <x v="1"/>
    <s v="Autorizada Sucesso"/>
    <s v="Concluído"/>
    <s v="Item atualizado"/>
    <m/>
    <s v="Processo 2024"/>
    <m/>
    <m/>
    <m/>
  </r>
  <r>
    <x v="974"/>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11-21T00:00:00"/>
    <x v="0"/>
    <s v="Cancelada"/>
    <s v="Cancelado"/>
    <s v="Item não atualizado"/>
    <m/>
    <s v="Processo 2024"/>
    <m/>
    <m/>
    <m/>
  </r>
  <r>
    <x v="975"/>
    <x v="0"/>
    <s v="HOSPITAL REGIONAL DO AGRESTE DR.WALDEMIRO FERREIRA"/>
    <s v="Consumo"/>
    <s v="ARP.0083.04.2024.GOV.FES-PE.PE"/>
    <s v="Registro de Preços para o fornecimento eventual de Medicamentos Diversos (Grupo 03), visando atender as necessidades dos hospitais e estabelecimentos da rede estadual de saúde de Pernambuco"/>
    <s v="NFOCPO"/>
    <d v="2024-11-19T00:00:00"/>
    <x v="0"/>
    <s v="Cancelada"/>
    <s v="Cancelado"/>
    <s v="Item não atualizado"/>
    <m/>
    <s v="Processo 2024"/>
    <m/>
    <m/>
    <m/>
  </r>
  <r>
    <x v="976"/>
    <x v="0"/>
    <s v="HOSPITAL REGIONAL DO AGRESTE DR.WALDEMIRO FERREIRA"/>
    <s v="Consumo"/>
    <s v="ARP.0088.07.2024.GOV.FES-PE.PE"/>
    <s v="Registro de Preço para fornecimento eventual de Medicamentos Diversos - Grupo 3, visando atender às demandas dos órgão participantes da rede estadual de saúde de Pernambuco."/>
    <m/>
    <d v="2024-11-18T00:00:00"/>
    <x v="1"/>
    <s v="Autorizada Sucesso"/>
    <s v="Concluído"/>
    <s v="Item atualizado"/>
    <m/>
    <s v="Processo 2024"/>
    <m/>
    <m/>
    <m/>
  </r>
  <r>
    <x v="977"/>
    <x v="0"/>
    <s v="HOSPITAL REGIONAL DO AGRESTE DR.WALDEMIRO FERREIRA"/>
    <s v="Consumo"/>
    <s v="ARP.0088.00.2024.GOV.FES-PE.PE"/>
    <s v="Registro de Preço para fornecimento eventual de Medicamentos Diversos - Grupo 3, visando atender às demandas dos órgão participantes da rede estadual de saúde de Pernambuco."/>
    <s v="NFOCPO"/>
    <d v="2024-11-18T00:00:00"/>
    <x v="0"/>
    <s v="Cancelada"/>
    <s v="Cancelado"/>
    <s v="Item não atualizado"/>
    <m/>
    <s v="Processo 2024"/>
    <m/>
    <m/>
    <m/>
  </r>
  <r>
    <x v="978"/>
    <x v="0"/>
    <s v="HOSPITAL REGIONAL DO AGRESTE DR.WALDEMIRO FERREIRA"/>
    <s v="Consumo"/>
    <s v="ARP.0088.00.2024.GOV.FES-PE.PE"/>
    <s v="Registro de Preço para fornecimento eventual de Medicamentos Diversos - Grupo 3, visando atender às demandas dos órgão participantes da rede estadual de saúde de Pernambuco."/>
    <s v="NFOCPO"/>
    <d v="2024-11-18T00:00:00"/>
    <x v="0"/>
    <s v="Cancelada"/>
    <s v="Cancelado"/>
    <s v="Item não atualizado"/>
    <m/>
    <s v="Processo 2024"/>
    <m/>
    <m/>
    <m/>
  </r>
  <r>
    <x v="979"/>
    <x v="0"/>
    <s v="HOSPITAL REGIONAL DO AGRESTE DR.WALDEMIRO FERREIRA"/>
    <s v="Consumo"/>
    <s v="ARP.0088.00.2024.GOV.FES-PE.PE"/>
    <s v="Registro de Preço para fornecimento eventual de Medicamentos Diversos - Grupo 3, visando atender às demandas dos órgão participantes da rede estadual de saúde de Pernambuco."/>
    <m/>
    <d v="2024-11-18T00:00:00"/>
    <x v="1"/>
    <s v="Autorizada Sucesso"/>
    <s v="Concluído"/>
    <s v="Item atualizado"/>
    <m/>
    <s v="Processo 2024"/>
    <m/>
    <m/>
    <m/>
  </r>
  <r>
    <x v="980"/>
    <x v="0"/>
    <s v="HOSPITAL REGIONAL DO AGRESTE DR.WALDEMIRO FERREIRA"/>
    <s v="Consumo"/>
    <s v="ARP.0090.05.2024.GOV.FES-PE.PE"/>
    <s v="Registro de Preços para a eventual aquisição de Medicamentos diversos (grupo 01) visando atender a demanda dos hospitais e estabelecimentos da rede estadual de saúde de Pernambuco"/>
    <m/>
    <d v="2024-11-18T00:00:00"/>
    <x v="1"/>
    <s v="Autorizada Sucesso"/>
    <s v="Concluído"/>
    <s v="Item atualizado"/>
    <m/>
    <s v="Processo 2024"/>
    <m/>
    <m/>
    <m/>
  </r>
  <r>
    <x v="981"/>
    <x v="0"/>
    <s v="HOSPITAL REGIONAL DO AGRESTE DR.WALDEMIRO FERREIRA"/>
    <s v="Consumo"/>
    <s v="ARP.0090.02.2024.GOV.FES-PE.PE"/>
    <s v="Registro de Preços para a eventual aquisição de Medicamentos diversos (grupo 01) visando atender a demanda dos hospitais e estabelecimentos da rede estadual de saúde de Pernambuco"/>
    <m/>
    <d v="2024-11-18T00:00:00"/>
    <x v="1"/>
    <s v="Autorizada Sucesso"/>
    <s v="Concluído"/>
    <s v="Item atualizado"/>
    <m/>
    <s v="Processo 2024"/>
    <m/>
    <m/>
    <m/>
  </r>
  <r>
    <x v="982"/>
    <x v="0"/>
    <s v="HOSPITAL REGIONAL DO AGRESTE DR.WALDEMIRO FERREIRA"/>
    <s v="Consumo"/>
    <s v="ARP.0090.02.2024.GOV.FES-PE.PE"/>
    <s v="Registro de Preços para a eventual aquisição de Medicamentos diversos (grupo 01) visando atender a demanda dos hospitais e estabelecimentos da rede estadual de saúde de Pernambuco"/>
    <m/>
    <d v="2024-11-18T00:00:00"/>
    <x v="1"/>
    <s v="Autorizada Sucesso"/>
    <s v="Concluído"/>
    <s v="Item atualizado"/>
    <m/>
    <s v="Processo 2024"/>
    <m/>
    <m/>
    <m/>
  </r>
  <r>
    <x v="983"/>
    <x v="0"/>
    <s v="HOSPITAL REGIONAL DO AGRESTE DR.WALDEMIRO FERREIRA"/>
    <s v="Consumo"/>
    <s v="ARP.0049.00.2024.GOV.FES-PE.PE"/>
    <s v="Formação de Registro de Preços para o fornecimento eventual de Medicamentos Injetáveis (grupo 07), conforme especificações e quantitativos previstos no Anexo I do Edital, para atender a demanda dos hospitais e estabelecimentos da rede estadual de saúde de"/>
    <m/>
    <d v="2024-11-14T00:00:00"/>
    <x v="0"/>
    <s v="Cancelada"/>
    <s v="Cancelado"/>
    <s v="Item não atualizado"/>
    <m/>
    <s v="Processo 2024"/>
    <m/>
    <m/>
    <m/>
  </r>
  <r>
    <x v="984"/>
    <x v="0"/>
    <s v="HOSPITAL REGIONAL DO AGRESTE DR.WALDEMIRO FERREIRA"/>
    <s v="Consumo"/>
    <s v="ARP.0049.00.2024.GOV.FES-PE.PE"/>
    <s v="Formação de Registro de Preços para o fornecimento eventual de Medicamentos Injetáveis (grupo 07), conforme especificações e quantitativos previstos no Anexo I do Edital, para atender a demanda dos hospitais e estabelecimentos da rede estadual de saúde de"/>
    <m/>
    <d v="2024-11-14T00:00:00"/>
    <x v="0"/>
    <s v="Cancelada"/>
    <s v="Cancelado"/>
    <s v="Item não atualizado"/>
    <m/>
    <s v="Processo 2024"/>
    <m/>
    <m/>
    <m/>
  </r>
  <r>
    <x v="985"/>
    <x v="0"/>
    <s v="HOSPITAL REGIONAL DO AGRESTE DR.WALDEMIRO FERREIRA"/>
    <s v="Consumo"/>
    <s v="ARP.0052.08.2024.GOV.FES-PE.PE"/>
    <s v="Formação de registro de preços para o eventual fornecimento de medicamentos injetáveis (grupo 06), visando atender a demanda dos Hospitais e Estabelecimentos da Rede Estadual de Saúde de Pernambuco"/>
    <m/>
    <d v="2024-11-13T00:00:00"/>
    <x v="1"/>
    <s v="Autorizada Sucesso"/>
    <s v="Concluído"/>
    <s v="Item atualizado"/>
    <m/>
    <s v="Processo 2024"/>
    <m/>
    <m/>
    <m/>
  </r>
  <r>
    <x v="986"/>
    <x v="0"/>
    <s v="HOSPITAL REGIONAL DO AGRESTE DR.WALDEMIRO FERREIRA"/>
    <s v="Consumo"/>
    <s v="ARP.0031.14.2024.GOV.FES-PE.PE"/>
    <s v="Registro de Preços para a eventual aquisição de Medicamentos Antibióticos (grupo 01) visando atender a demanda dos hospitais e estabelecimentos da rede estadual de saúde de Pernambuco."/>
    <m/>
    <d v="2024-11-13T00:00:00"/>
    <x v="1"/>
    <s v="Autorizada Sucesso"/>
    <s v="Concluído"/>
    <s v="Item atualizado"/>
    <m/>
    <s v="Processo 2024"/>
    <m/>
    <m/>
    <m/>
  </r>
  <r>
    <x v="987"/>
    <x v="0"/>
    <s v="HOSPITAL REGIONAL DO AGRESTE DR.WALDEMIRO FERREIRA"/>
    <s v="Consumo"/>
    <s v="ARP.0043.02.2024.GOV.FES-PE.PE"/>
    <s v="Formação de Registro de Preços, por um período de 12 (doze) meses, para eventual aquisição de Medicamentos Controlados (grupo 01) visando atender a demanda dos hospitais e estabelecimentos da rede estadual de saúde de Pernambuco."/>
    <m/>
    <d v="2024-11-13T00:00:00"/>
    <x v="1"/>
    <s v="Autorizada Sucesso"/>
    <s v="Concluído"/>
    <s v="Item atualizado"/>
    <m/>
    <s v="Processo 2024"/>
    <m/>
    <m/>
    <m/>
  </r>
  <r>
    <x v="988"/>
    <x v="4"/>
    <s v="HOSPITAL REGIONAL DO AGRESTE DR.WALDEMIRO FERREIRA"/>
    <s v="Consumo"/>
    <s v="ARP.0063.05.2024.GOV.CISAM.PE"/>
    <s v="REGISTRO DE PREÇO PARA FORNECIMENTO EVENTUAL DE COMPONENTE/ACESSÓRIOS (VACUOMETRO, BRAÇADEIRAS PARA EQUIPAMENTOS, CABOS E CABOS EXTENSORES, SENSORES DE SPO2, ELETRODO, PERA, PAPEL PARA CARDIOTOCO, ESTETOSCÓPIO NEONATAL E ETC) PARA EQUIPAMENTOS MÉDICO-HOSP"/>
    <m/>
    <d v="2024-11-13T00:00:00"/>
    <x v="0"/>
    <s v="Cancelada por fim vigencia ATA"/>
    <s v="Cancelado"/>
    <s v="Item atualizado"/>
    <m/>
    <s v="Processo 2024"/>
    <m/>
    <m/>
    <m/>
  </r>
  <r>
    <x v="989"/>
    <x v="4"/>
    <s v="HOSPITAL REGIONAL DO AGRESTE DR.WALDEMIRO FERREIRA"/>
    <s v="Consumo"/>
    <s v="ARP.0063.05.2024.GOV.CISAM.PE"/>
    <s v="REGISTRO DE PREÇO PARA FORNECIMENTO EVENTUAL DE COMPONENTE/ACESSÓRIOS (VACUOMETRO, BRAÇADEIRAS PARA EQUIPAMENTOS, CABOS E CABOS EXTENSORES, SENSORES DE SPO2, ELETRODO, PERA, PAPEL PARA CARDIOTOCO, ESTETOSCÓPIO NEONATAL E ETC) PARA EQUIPAMENTOS MÉDICO-HOSP"/>
    <m/>
    <d v="2024-11-12T00:00:00"/>
    <x v="0"/>
    <s v="Cancelada"/>
    <s v="Cancelado"/>
    <s v="Item não atualizado"/>
    <m/>
    <s v="Processo 2024"/>
    <m/>
    <m/>
    <m/>
  </r>
  <r>
    <x v="990"/>
    <x v="22"/>
    <s v="HOSPITAL REGIONAL DO AGRESTE DR.WALDEMIRO FERREIRA"/>
    <s v="Consumo"/>
    <s v="ARPC.0005.00.2024.GOV.SAD.PE"/>
    <s v="Registro de preços corporativo para a eventual aquisição de Material Médico-Hospitalar (Cloreto de Sódio), para atender às demandas dos órgãos da Administração Direta, Autarquias e Fundações Públicas integrantes do Poder Executivo do Estado de Pernambuco."/>
    <m/>
    <d v="2024-11-12T00:00:00"/>
    <x v="0"/>
    <s v="Cancelada"/>
    <s v="Cancelado"/>
    <s v="Item não atualizado"/>
    <m/>
    <s v="Processo 2024"/>
    <m/>
    <m/>
    <m/>
  </r>
  <r>
    <x v="991"/>
    <x v="0"/>
    <s v="HOSPITAL REGIONAL DO AGRESTE DR.WALDEMIRO FERREIRA"/>
    <s v="Consumo"/>
    <s v="ARP.0040.00.2024.GOV.FES-PE.PE"/>
    <s v="PREGÃO ELETRÔNICO PARA REGISTRO DE PREÇOS COM VALIDADE DE 12 (DOZE) MESES PARA EVENTUAL FORNECIMENTO DE MEDICAMENTOS INJETÁVEIS (GRUPO 03) VISANDO ATENDER A DEMANDA DOS HOSPITAIS E ESTABELECIMENTOS DA REDE ESTADUAL DE SAÚDE DE PERNAMBUCO"/>
    <m/>
    <d v="2024-11-12T00:00:00"/>
    <x v="0"/>
    <s v="Cancelada"/>
    <s v="Cancelado"/>
    <s v="Item não atualizado"/>
    <m/>
    <s v="Processo 2024"/>
    <m/>
    <m/>
    <m/>
  </r>
  <r>
    <x v="992"/>
    <x v="0"/>
    <s v="HOSPITAL REGIONAL DO AGRESTE DR.WALDEMIRO FERREIRA"/>
    <s v="Consumo"/>
    <s v="ARP.0061.02.2024.GOV.FES-PE.PE"/>
    <s v="Registro de Preços para o fornecimento eventual de Medicamentos Controlados (grupo 02), conforme especificações e quantitativos previstos no Anexo I do Edital, para atender a demanda dos hospitais e estabelecimentos da rede estadual de saúde de Pernambuco"/>
    <m/>
    <d v="2024-11-11T00:00:00"/>
    <x v="1"/>
    <s v="Autorizada Sucesso"/>
    <s v="Concluído"/>
    <s v="Item atualizado"/>
    <m/>
    <s v="Processo 2024"/>
    <m/>
    <m/>
    <m/>
  </r>
  <r>
    <x v="993"/>
    <x v="0"/>
    <s v="HOSPITAL REGIONAL DO AGRESTE DR.WALDEMIRO FERREIRA"/>
    <s v="Consumo"/>
    <s v="ARP.0040.03.2024.GOV.FES-PE.PE"/>
    <s v="PREGÃO ELETRÔNICO PARA REGISTRO DE PREÇOS COM VALIDADE DE 12 (DOZE) MESES PARA EVENTUAL FORNECIMENTO DE MEDICAMENTOS INJETÁVEIS (GRUPO 03) VISANDO ATENDER A DEMANDA DOS HOSPITAIS E ESTABELECIMENTOS DA REDE ESTADUAL DE SAÚDE DE PERNAMBUCO"/>
    <m/>
    <d v="2024-11-11T00:00:00"/>
    <x v="1"/>
    <s v="Autorizada Sucesso"/>
    <s v="Concluído"/>
    <s v="Item atualizado"/>
    <m/>
    <s v="Processo 2024"/>
    <m/>
    <m/>
    <m/>
  </r>
  <r>
    <x v="994"/>
    <x v="0"/>
    <s v="HOSPITAL REGIONAL DO AGRESTE DR.WALDEMIRO FERREIRA"/>
    <s v="Consumo"/>
    <s v="ARP.0075.00.2024.GOV.FES-PE.PE"/>
    <s v="Formação de Registro de Preços para o fornecimento eventual de Medicamentos Diversos (Grupo 05), visando atender as necessidades dos hospitais e estabelecimentos da rede estadual de saúde de Pernambuco."/>
    <m/>
    <d v="2024-11-11T00:00:00"/>
    <x v="0"/>
    <s v="Cancelada por fim vigencia ATA"/>
    <s v="Cancelado"/>
    <s v="Item atualizado"/>
    <m/>
    <s v="Processo 2024"/>
    <m/>
    <m/>
    <m/>
  </r>
  <r>
    <x v="995"/>
    <x v="0"/>
    <s v="HOSPITAL REGIONAL DO AGRESTE DR.WALDEMIRO FERREIRA"/>
    <s v="Consumo"/>
    <s v="ARP.0075.00.2024.GOV.FES-PE.PE"/>
    <s v="Formação de Registro de Preços para o fornecimento eventual de Medicamentos Diversos (Grupo 05), visando atender as necessidades dos hospitais e estabelecimentos da rede estadual de saúde de Pernambuco."/>
    <m/>
    <d v="2024-11-11T00:00:00"/>
    <x v="0"/>
    <s v="Cancelada"/>
    <s v="Cancelado"/>
    <s v="Item não atualizado"/>
    <m/>
    <s v="Processo 2024"/>
    <m/>
    <m/>
    <m/>
  </r>
  <r>
    <x v="996"/>
    <x v="0"/>
    <s v="HOSPITAL REGIONAL DO AGRESTE DR.WALDEMIRO FERREIRA"/>
    <s v="Consumo"/>
    <s v="ARP.0088.03.2024.GOV.FES-PE.PE"/>
    <s v="Registro de Preço para fornecimento eventual de Medicamentos Diversos - Grupo 3, visando atender às demandas dos órgão participantes da rede estadual de saúde de Pernambuco."/>
    <m/>
    <d v="2024-11-11T00:00:00"/>
    <x v="1"/>
    <s v="Autorizada Sucesso"/>
    <s v="Concluído"/>
    <s v="Item atualizado"/>
    <m/>
    <s v="Processo 2024"/>
    <m/>
    <m/>
    <m/>
  </r>
  <r>
    <x v="997"/>
    <x v="22"/>
    <s v="HOSPITAL REGIONAL DO AGRESTE DR.WALDEMIRO FERREIRA"/>
    <s v="Consumo"/>
    <s v="ARPC.0026.00.2024.GOV.SAD.PE"/>
    <s v="Formação de Registro de Preços Corporativo para o fornecimento eventual de MATERIAL DE LIMPEZA, visando atender as necessidades dos órgãos da Administração Direta, dos Fundos Especiais, Autarquias e Fundações Públicas integrantes do Poder Executivo do Est"/>
    <m/>
    <d v="2024-11-08T00:00:00"/>
    <x v="1"/>
    <s v="Autorizada Sucesso"/>
    <s v="Concluído"/>
    <s v="Item atualizado"/>
    <m/>
    <s v="Processo 2024"/>
    <m/>
    <m/>
    <m/>
  </r>
  <r>
    <x v="998"/>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11-07T00:00:00"/>
    <x v="1"/>
    <s v="Autorizada Sucesso"/>
    <s v="Concluído"/>
    <s v="Item atualizado"/>
    <m/>
    <s v="Processo 2024"/>
    <m/>
    <m/>
    <m/>
  </r>
  <r>
    <x v="999"/>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11-07T00:00:00"/>
    <x v="1"/>
    <s v="Autorizada Sucesso"/>
    <s v="Concluído"/>
    <s v="Item atualizado"/>
    <m/>
    <s v="Processo 2024"/>
    <m/>
    <m/>
    <m/>
  </r>
  <r>
    <x v="1000"/>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11-07T00:00:00"/>
    <x v="1"/>
    <s v="Autorizada Sucesso"/>
    <s v="Concluído"/>
    <s v="Item atualizado"/>
    <m/>
    <s v="Processo 2024"/>
    <m/>
    <m/>
    <m/>
  </r>
  <r>
    <x v="1001"/>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11-07T00:00:00"/>
    <x v="1"/>
    <s v="Autorizada Sucesso"/>
    <s v="Concluído"/>
    <s v="Item atualizado"/>
    <m/>
    <s v="Processo 2024"/>
    <m/>
    <m/>
    <m/>
  </r>
  <r>
    <x v="1002"/>
    <x v="0"/>
    <s v="HOSPITAL REGIONAL DO AGRESTE DR.WALDEMIRO FERREIRA"/>
    <s v="Consumo"/>
    <s v="ARP.0083.04.2024.GOV.FES-PE.PE"/>
    <s v="Registro de Preços para o fornecimento eventual de Medicamentos Diversos (Grupo 03), visando atender as necessidades dos hospitais e estabelecimentos da rede estadual de saúde de Pernambuco"/>
    <m/>
    <d v="2024-11-05T00:00:00"/>
    <x v="1"/>
    <s v="Autorizada Sucesso"/>
    <s v="Concluído"/>
    <s v="Item atualizado"/>
    <m/>
    <s v="Processo 2024"/>
    <m/>
    <m/>
    <m/>
  </r>
  <r>
    <x v="1003"/>
    <x v="0"/>
    <s v="HOSPITAL REGIONAL DO AGRESTE DR.WALDEMIRO FERREIRA"/>
    <s v="Consumo"/>
    <s v="ARP.0038.02.2024.GOV.FES-PE.PE"/>
    <s v="Pregão Eletrônico para Registro de Preço, com validade de 12 (doze) meses, para eventual fornecimento de materiais hospitalares , visando atender as necessidades da Secretaria Estadual de Saúde de Pernambuco (SES/PE) e das Unidades Hospitalares que a comp"/>
    <s v="NFOCPO"/>
    <d v="2024-10-29T00:00:00"/>
    <x v="0"/>
    <s v="Cancelada"/>
    <s v="Cancelado"/>
    <s v="Item não atualizado"/>
    <m/>
    <s v="Processo 2024"/>
    <m/>
    <m/>
    <m/>
  </r>
  <r>
    <x v="1004"/>
    <x v="0"/>
    <s v="HOSPITAL REGIONAL DO AGRESTE DR.WALDEMIRO FERREIRA"/>
    <s v="Consumo"/>
    <s v="ARP.0083.02.2024.GOV.FES-PE.PE"/>
    <s v="Registro de Preços para o fornecimento eventual de Medicamentos Diversos (Grupo 03), visando atender as necessidades dos hospitais e estabelecimentos da rede estadual de saúde de Pernambuco"/>
    <m/>
    <d v="2024-10-25T00:00:00"/>
    <x v="1"/>
    <s v="Autorizada Sucesso"/>
    <s v="Concluído"/>
    <s v="Item atualizado"/>
    <m/>
    <s v="Processo 2024"/>
    <m/>
    <m/>
    <m/>
  </r>
  <r>
    <x v="1005"/>
    <x v="0"/>
    <s v="HOSPITAL REGIONAL DO AGRESTE DR.WALDEMIRO FERREIRA"/>
    <s v="Consumo"/>
    <s v="ARP.0083.03.2024.GOV.FES-PE.PE"/>
    <s v="Registro de Preços para o fornecimento eventual de Medicamentos Diversos (Grupo 03), visando atender as necessidades dos hospitais e estabelecimentos da rede estadual de saúde de Pernambuco"/>
    <m/>
    <d v="2024-10-25T00:00:00"/>
    <x v="0"/>
    <s v="Cancelada"/>
    <s v="Cancelado"/>
    <s v="Item não atualizado"/>
    <m/>
    <s v="Processo 2024"/>
    <m/>
    <m/>
    <m/>
  </r>
  <r>
    <x v="1006"/>
    <x v="0"/>
    <s v="HOSPITAL REGIONAL DO AGRESTE DR.WALDEMIRO FERREIRA"/>
    <s v="Consumo"/>
    <s v="ARP.0083.03.2024.GOV.FES-PE.PE"/>
    <s v="Registro de Preços para o fornecimento eventual de Medicamentos Diversos (Grupo 03), visando atender as necessidades dos hospitais e estabelecimentos da rede estadual de saúde de Pernambuco"/>
    <m/>
    <d v="2024-10-25T00:00:00"/>
    <x v="0"/>
    <s v="Cancelada"/>
    <s v="Cancelado"/>
    <s v="Item não atualizado"/>
    <m/>
    <s v="Processo 2024"/>
    <m/>
    <m/>
    <m/>
  </r>
  <r>
    <x v="1007"/>
    <x v="0"/>
    <s v="HOSPITAL REGIONAL DO AGRESTE DR.WALDEMIRO FERREIRA"/>
    <s v="Consumo"/>
    <s v="ARP.0083.05.2024.GOV.FES-PE.PE"/>
    <s v="Registro de Preços para o fornecimento eventual de Medicamentos Diversos (Grupo 03), visando atender as necessidades dos hospitais e estabelecimentos da rede estadual de saúde de Pernambuco"/>
    <s v="NFOCPO"/>
    <d v="2024-10-25T00:00:00"/>
    <x v="0"/>
    <s v="Cancelada"/>
    <s v="Cancelado"/>
    <s v="Item não atualizado"/>
    <m/>
    <s v="Processo 2024"/>
    <m/>
    <m/>
    <m/>
  </r>
  <r>
    <x v="1008"/>
    <x v="4"/>
    <s v="HOSPITAL REGIONAL DO AGRESTE DR.WALDEMIRO FERREIRA"/>
    <s v="Consumo"/>
    <s v="ARP.0065.00.2024.GOV.CISAM.PE"/>
    <s v="REGISTRO DE PREÇOS PARA FORNECIMENTO EVENTUAL DE MEDICAMENTOS (DIVERSOS), VISANDO ATENDER ÀS NECESSIDADES DO CISAM/UPE E DEMAIS ÓRGÃOS PARTICIPANTES."/>
    <m/>
    <d v="2024-10-21T00:00:00"/>
    <x v="0"/>
    <s v="Cancelada por fim vigencia ATA"/>
    <s v="Cancelado"/>
    <s v="Item atualizado"/>
    <m/>
    <s v="Processo 2024"/>
    <m/>
    <m/>
    <m/>
  </r>
  <r>
    <x v="1009"/>
    <x v="22"/>
    <s v="HOSPITAL REGIONAL DO AGRESTE DR.WALDEMIRO FERREIRA"/>
    <s v="Consumo"/>
    <s v="ARPC.0021.00.2024.GOV.SAD.PE"/>
    <s v="Formação de Ata de Registro de Preços Corporativa para a eventual prestação de serviços terceirizados de Assessor Administrativo, a serem executados com regime de dedicação exclusiva de mão de obra, conforme especificações e quantitativos previstos no Ter"/>
    <m/>
    <d v="2024-10-18T00:00:00"/>
    <x v="0"/>
    <s v="Cancelada por fim vigencia ATA"/>
    <s v="Cancelado"/>
    <s v="Item atualizado"/>
    <m/>
    <s v="Processo 2024"/>
    <m/>
    <m/>
    <m/>
  </r>
  <r>
    <x v="1010"/>
    <x v="0"/>
    <s v="HOSPITAL REGIONAL DO AGRESTE DR.WALDEMIRO FERREIRA"/>
    <s v="Consumo"/>
    <s v="ARP.0065.01.2024.GOV.FES-PE.PE"/>
    <s v="PREGÃO ELETRÕNICO PARA REGISTRO DE PREÇOS COM EVENTUAL AQUISIÇÃO DE MATERIAL MÉDICO HOSPITALAR (GRUPO 02) VISANDO ATENDER A DEMANDA DOS HOSPITAIS E ESTABELECIMENTOS DA REDE ESTADUAL DE SAÚDE DE PERNAMBUCO."/>
    <m/>
    <d v="2024-10-17T00:00:00"/>
    <x v="1"/>
    <s v="Autorizada Sucesso"/>
    <s v="Concluído"/>
    <s v="Item atualizado"/>
    <m/>
    <s v="Processo 2024"/>
    <m/>
    <m/>
    <m/>
  </r>
  <r>
    <x v="1011"/>
    <x v="26"/>
    <s v="HOSPITAL REGIONAL DO AGRESTE DR.WALDEMIRO FERREIRA"/>
    <s v="Consumo"/>
    <s v="ARP.0001.00.2024.FES-PE.PE"/>
    <s v="Formação de Registro de Preços para o fornecimento eventual de Água Mineral sem gás, visando atender as necessidades da Secretaria Estadual de Saúde de Pernambuco e dos hospitais da Região Metropolitana do Recife (RMR) e das cidades de Caruaru, Garanhuns "/>
    <m/>
    <d v="2024-10-15T00:00:00"/>
    <x v="1"/>
    <s v="Autorizada Sucesso"/>
    <s v="Concluído"/>
    <s v="Item atualizado"/>
    <m/>
    <s v="Processo 2024"/>
    <m/>
    <m/>
    <m/>
  </r>
  <r>
    <x v="1012"/>
    <x v="22"/>
    <s v="HOSPITAL REGIONAL DO AGRESTE DR.WALDEMIRO FERREIRA"/>
    <s v="Consumo"/>
    <s v="ARPC.0006.00.2024.GOV.SAD.PE"/>
    <s v="Registro de preços para fornecimento eventual de material de Expediente - Escrita e papel A4, visando atender as necessidades dos órgãos da Administração Direta, Autarquias e Fundações Públicas integrantes do Poder Executivo do Estado de Pernambuco."/>
    <m/>
    <d v="2024-10-14T00:00:00"/>
    <x v="1"/>
    <s v="Autorizada Sucesso"/>
    <s v="Concluído"/>
    <s v="Item atualizado"/>
    <m/>
    <s v="Processo 2024"/>
    <m/>
    <m/>
    <m/>
  </r>
  <r>
    <x v="1013"/>
    <x v="0"/>
    <s v="HOSPITAL REGIONAL DO AGRESTE DR.WALDEMIRO FERREIRA"/>
    <s v="Consumo"/>
    <s v="ARP.0018.01.2024.GOV.FES-PE.PE"/>
    <s v="Registro de Preços para a eventual aquisição de Medicamentos Antibióticos (grupo 02) visando atender a demanda dos hospitais e estabelecimentos da rede estadual de saúde de Pernambuco."/>
    <m/>
    <d v="2024-10-11T00:00:00"/>
    <x v="1"/>
    <s v="Autorizada Sucesso"/>
    <s v="Concluído"/>
    <s v="Item atualizado"/>
    <m/>
    <s v="Processo 2024"/>
    <m/>
    <m/>
    <m/>
  </r>
  <r>
    <x v="1014"/>
    <x v="25"/>
    <s v="HOSPITAL REGIONAL DO AGRESTE DR.WALDEMIRO FERREIRA"/>
    <s v="Consumo"/>
    <s v="ARP.0005.00.2024.GOV.UPECMN.PE"/>
    <s v="REGISTRO DE PREÇOS PARA FORNECIMENTO EVENTUAL DE MATERIAIS DE EXPEDIENTE"/>
    <m/>
    <d v="2024-10-10T00:00:00"/>
    <x v="1"/>
    <s v="Autorizada Sucesso"/>
    <s v="Concluído"/>
    <s v="Item atualizado"/>
    <m/>
    <s v="Processo 2024"/>
    <m/>
    <m/>
    <m/>
  </r>
  <r>
    <x v="1015"/>
    <x v="0"/>
    <s v="HOSPITAL REGIONAL DO AGRESTE DR.WALDEMIRO FERREIRA"/>
    <s v="Consumo"/>
    <s v="ARP.0024.00.2024.GOV.FES-PE.PE"/>
    <s v="Registro de Preços para a eventual aquisição de Medicamentos Antimicrobianos (grupo 02) visando atender a demanda dos hospitais e estabelecimentos da rede estadual de saúde de Pernambuco."/>
    <m/>
    <d v="2024-10-10T00:00:00"/>
    <x v="0"/>
    <s v="Cancelada"/>
    <s v="Cancelado"/>
    <s v="Item não atualizado"/>
    <m/>
    <s v="Processo 2024"/>
    <m/>
    <m/>
    <m/>
  </r>
  <r>
    <x v="1016"/>
    <x v="0"/>
    <s v="HOSPITAL REGIONAL DO AGRESTE DR.WALDEMIRO FERREIRA"/>
    <s v="Consumo"/>
    <s v="ARP.0075.01.2024.GOV.FES-PE.PE"/>
    <s v="Formação de Registro de Preços para o fornecimento eventual de Medicamentos Diversos (Grupo 05), visando atender as necessidades dos hospitais e estabelecimentos da rede estadual de saúde de Pernambuco."/>
    <m/>
    <d v="2024-10-09T00:00:00"/>
    <x v="1"/>
    <s v="Autorizada Sucesso"/>
    <s v="Concluído"/>
    <s v="Item atualizado"/>
    <m/>
    <s v="Processo 2024"/>
    <m/>
    <m/>
    <m/>
  </r>
  <r>
    <x v="1017"/>
    <x v="0"/>
    <s v="HOSPITAL REGIONAL DO AGRESTE DR.WALDEMIRO FERREIRA"/>
    <s v="Consumo"/>
    <s v="ARP.0075.01.2024.GOV.FES-PE.PE"/>
    <s v="Formação de Registro de Preços para o fornecimento eventual de Medicamentos Diversos (Grupo 05), visando atender as necessidades dos hospitais e estabelecimentos da rede estadual de saúde de Pernambuco."/>
    <m/>
    <d v="2024-10-09T00:00:00"/>
    <x v="1"/>
    <s v="Autorizada Sucesso"/>
    <s v="Concluído"/>
    <s v="Item atualizado"/>
    <m/>
    <s v="Processo 2024"/>
    <m/>
    <m/>
    <m/>
  </r>
  <r>
    <x v="1018"/>
    <x v="0"/>
    <s v="HOSPITAL REGIONAL DO AGRESTE DR.WALDEMIRO FERREIRA"/>
    <s v="Consumo"/>
    <s v="ARP.0022.01.2024.GOV.FES-PE.PE"/>
    <s v="Formação de Registro de Preços, por um período de 12 (doze) meses, para eventual aquisição de Medicamentos Injetáveis (grupo 01) visando atender a demanda dos hospitais e estabelecimentos da rede estadual de saúde de Pernambuco."/>
    <m/>
    <d v="2024-10-07T00:00:00"/>
    <x v="1"/>
    <s v="Autorizada Sucesso"/>
    <s v="Concluído"/>
    <s v="Item atualizado"/>
    <m/>
    <s v="Processo 2024"/>
    <m/>
    <m/>
    <m/>
  </r>
  <r>
    <x v="1019"/>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10-04T00:00:00"/>
    <x v="1"/>
    <s v="Autorizada Sucesso"/>
    <s v="Concluído"/>
    <s v="Item atualizado"/>
    <m/>
    <s v="Processo 2024"/>
    <m/>
    <m/>
    <m/>
  </r>
  <r>
    <x v="1020"/>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s v="NFOCPO"/>
    <d v="2024-10-03T00:00:00"/>
    <x v="0"/>
    <s v="Cancelada"/>
    <s v="Cancelado"/>
    <s v="Item não atualizado"/>
    <m/>
    <s v="Processo 2024"/>
    <m/>
    <m/>
    <m/>
  </r>
  <r>
    <x v="1021"/>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10-03T00:00:00"/>
    <x v="0"/>
    <s v="Cancelada"/>
    <s v="Cancelado"/>
    <s v="Item não atualizado"/>
    <m/>
    <s v="Processo 2024"/>
    <m/>
    <m/>
    <m/>
  </r>
  <r>
    <x v="1022"/>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10-03T00:00:00"/>
    <x v="0"/>
    <s v="Cancelada"/>
    <s v="Cancelado"/>
    <s v="Item não atualizado"/>
    <m/>
    <s v="Processo 2024"/>
    <m/>
    <m/>
    <m/>
  </r>
  <r>
    <x v="1023"/>
    <x v="0"/>
    <s v="HOSPITAL REGIONAL DO AGRESTE DR.WALDEMIRO FERREIRA"/>
    <s v="Consumo"/>
    <s v="ARP.0034.01.2024.GOV.FES-PE.PE"/>
    <s v="Formação de REGISTRO DE PREÇOS para eventual aquisição de MATERIAIS E EQUIPAMENTOS MÉDICO-HOSPITALARES, com validade de 12 (doze) meses, para atender as necessidades da SES/PE."/>
    <m/>
    <d v="2024-10-03T00:00:00"/>
    <x v="0"/>
    <s v="Cancelada"/>
    <s v="Cancelado"/>
    <s v="Item não atualizado"/>
    <m/>
    <s v="Processo 2024"/>
    <m/>
    <m/>
    <m/>
  </r>
  <r>
    <x v="1024"/>
    <x v="4"/>
    <s v="HOSPITAL REGIONAL DO AGRESTE DR.WALDEMIRO FERREIRA"/>
    <s v="Consumo"/>
    <s v="ARP.0063.05.2024.GOV.CISAM.PE"/>
    <s v="REGISTRO DE PREÇO PARA FORNECIMENTO EVENTUAL DE COMPONENTE/ACESSÓRIOS (VACUOMETRO, BRAÇADEIRAS PARA EQUIPAMENTOS, CABOS E CABOS EXTENSORES, SENSORES DE SPO2, ELETRODO, PERA, PAPEL PARA CARDIOTOCO, ESTETOSCÓPIO NEONATAL E ETC) PARA EQUIPAMENTOS MÉDICO-HOSP"/>
    <m/>
    <d v="2024-10-03T00:00:00"/>
    <x v="0"/>
    <s v="Cancelada"/>
    <s v="Cancelado"/>
    <s v="Item não atualizado"/>
    <m/>
    <s v="Processo 2024"/>
    <m/>
    <m/>
    <m/>
  </r>
  <r>
    <x v="1025"/>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10-03T00:00:00"/>
    <x v="0"/>
    <s v="Cancelada"/>
    <s v="Cancelado"/>
    <s v="Item não atualizado"/>
    <m/>
    <s v="Processo 2024"/>
    <m/>
    <m/>
    <m/>
  </r>
  <r>
    <x v="1026"/>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10-03T00:00:00"/>
    <x v="0"/>
    <s v="Cancelada"/>
    <s v="Cancelado"/>
    <s v="Item não atualizado"/>
    <m/>
    <s v="Processo 2024"/>
    <m/>
    <m/>
    <m/>
  </r>
  <r>
    <x v="1027"/>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10-01T00:00:00"/>
    <x v="0"/>
    <s v="Cancelada"/>
    <s v="Cancelado"/>
    <s v="Item não atualizado"/>
    <m/>
    <s v="Processo 2024"/>
    <m/>
    <m/>
    <m/>
  </r>
  <r>
    <x v="1028"/>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30T00:00:00"/>
    <x v="0"/>
    <s v="Cancelada"/>
    <s v="Cancelado"/>
    <s v="Item não atualizado"/>
    <m/>
    <s v="Processo 2024"/>
    <m/>
    <m/>
    <m/>
  </r>
  <r>
    <x v="1029"/>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9-30T00:00:00"/>
    <x v="1"/>
    <s v="Autorizada Sucesso"/>
    <s v="Concluído"/>
    <s v="Item atualizado"/>
    <m/>
    <s v="Processo 2024"/>
    <m/>
    <m/>
    <m/>
  </r>
  <r>
    <x v="1030"/>
    <x v="0"/>
    <s v="HOSPITAL REGIONAL DO AGRESTE DR.WALDEMIRO FERREIRA"/>
    <s v="Consumo"/>
    <s v="ARP.0066.03.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4-09-26T00:00:00"/>
    <x v="0"/>
    <s v="Cancelada por fim vigencia ATA"/>
    <s v="Cancelado"/>
    <s v="Item atualizado"/>
    <m/>
    <s v="Processo 2024"/>
    <m/>
    <m/>
    <m/>
  </r>
  <r>
    <x v="1031"/>
    <x v="0"/>
    <s v="HOSPITAL REGIONAL DO AGRESTE DR.WALDEMIRO FERREIRA"/>
    <s v="Consumo"/>
    <s v="ARP.0066.02.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4-09-26T00:00:00"/>
    <x v="0"/>
    <s v="Cancelada"/>
    <s v="Cancelado"/>
    <s v="Item não atualizado"/>
    <m/>
    <s v="Processo 2024"/>
    <m/>
    <m/>
    <m/>
  </r>
  <r>
    <x v="1032"/>
    <x v="0"/>
    <s v="HOSPITAL REGIONAL DO AGRESTE DR.WALDEMIRO FERREIRA"/>
    <s v="Consumo"/>
    <s v="ARP.0066.01.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4-09-26T00:00:00"/>
    <x v="0"/>
    <s v="Cancelada"/>
    <s v="Cancelado"/>
    <s v="Item não atualizado"/>
    <m/>
    <s v="Processo 2024"/>
    <m/>
    <m/>
    <m/>
  </r>
  <r>
    <x v="1033"/>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26T00:00:00"/>
    <x v="0"/>
    <s v="Cancelada"/>
    <s v="Cancelado"/>
    <s v="Item não atualizado"/>
    <m/>
    <s v="Processo 2024"/>
    <m/>
    <m/>
    <m/>
  </r>
  <r>
    <x v="1034"/>
    <x v="0"/>
    <s v="HOSPITAL REGIONAL DO AGRESTE DR.WALDEMIRO FERREIRA"/>
    <s v="Consumo"/>
    <s v="ARP.0066.08.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4-09-25T00:00:00"/>
    <x v="1"/>
    <s v="Autorizada Sucesso"/>
    <s v="Concluído"/>
    <s v="Item atualizado"/>
    <m/>
    <s v="Processo 2024"/>
    <m/>
    <m/>
    <m/>
  </r>
  <r>
    <x v="1035"/>
    <x v="0"/>
    <s v="HOSPITAL REGIONAL DO AGRESTE DR.WALDEMIRO FERREIRA"/>
    <s v="Consumo"/>
    <s v="ARP.0066.04.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4-09-25T00:00:00"/>
    <x v="0"/>
    <s v="Cancelada por fim vigencia ATA"/>
    <s v="Cancelado"/>
    <s v="Item atualizado"/>
    <m/>
    <s v="Processo 2024"/>
    <m/>
    <m/>
    <m/>
  </r>
  <r>
    <x v="1036"/>
    <x v="0"/>
    <s v="HOSPITAL REGIONAL DO AGRESTE DR.WALDEMIRO FERREIRA"/>
    <s v="Consumo"/>
    <s v="ARP.0066.06.2024.GOV.FES-PE.PE"/>
    <s v="Registro de Preço, para fornecimento EVENTUAL de mobiliário hospitalar e de fisioterapia, visando atender às necessidades da Secretaria Estadual de Saúde de Pernambuco (SES/PE) e das unidades hospitalares que a compõem, nos termos da legislação vigente e "/>
    <m/>
    <d v="2024-09-25T00:00:00"/>
    <x v="1"/>
    <s v="Autorizada Sucesso"/>
    <s v="Concluído"/>
    <s v="Item atualizado"/>
    <m/>
    <s v="Processo 2024"/>
    <m/>
    <m/>
    <m/>
  </r>
  <r>
    <x v="1037"/>
    <x v="0"/>
    <s v="HOSPITAL REGIONAL DO AGRESTE DR.WALDEMIRO FERREIRA"/>
    <s v="Consumo"/>
    <s v="ARP.0025.01.2024.GOV.FES-PE.PE"/>
    <s v="Registro de Preços para eventual aquisição de Medicamentos Injetáveis (grupo 02) visando atender a demanda dos hospitais e estabelecimentos da rede estadual de saúde de Pernambuco."/>
    <m/>
    <d v="2024-09-24T00:00:00"/>
    <x v="1"/>
    <s v="Autorizada Sucesso"/>
    <s v="Concluído"/>
    <s v="Item atualizado"/>
    <m/>
    <s v="Processo 2024"/>
    <m/>
    <m/>
    <m/>
  </r>
  <r>
    <x v="1038"/>
    <x v="0"/>
    <s v="HOSPITAL REGIONAL DO AGRESTE DR.WALDEMIRO FERREIRA"/>
    <s v="Consumo"/>
    <s v="ARP.0063.03.2024.GOV.FES-PE.PE"/>
    <s v="Formação de Registro de Preços, por um período de 12 (doze) meses, para eventual aquisição de MATERIAL MÉDICO HOSPITALAR (Grupo 04) visando atender a demanda dos hospitais e estabelecimentos da rede estadual de saúde de Pernambuco."/>
    <m/>
    <d v="2024-09-23T00:00:00"/>
    <x v="1"/>
    <s v="Autorizada Sucesso"/>
    <s v="Concluído"/>
    <s v="Item atualizado"/>
    <m/>
    <s v="Processo 2024"/>
    <m/>
    <m/>
    <m/>
  </r>
  <r>
    <x v="1039"/>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23T00:00:00"/>
    <x v="0"/>
    <s v="Cancelada"/>
    <s v="Cancelado"/>
    <s v="Item não atualizado"/>
    <m/>
    <s v="Processo 2024"/>
    <m/>
    <m/>
    <m/>
  </r>
  <r>
    <x v="1040"/>
    <x v="0"/>
    <s v="HOSPITAL REGIONAL DO AGRESTE DR.WALDEMIRO FERREIRA"/>
    <s v="Consumo"/>
    <s v="ARP.0052.10.2024.GOV.FES-PE.PE"/>
    <s v="Formação de registro de preços para o eventual fornecimento de medicamentos injetáveis (grupo 06), visando atender a demanda dos Hospitais e Estabelecimentos da Rede Estadual de Saúde de Pernambuco"/>
    <m/>
    <d v="2024-09-23T00:00:00"/>
    <x v="1"/>
    <s v="Autorizada Sucesso"/>
    <s v="Concluído"/>
    <s v="Item atualizado"/>
    <m/>
    <s v="Processo 2024"/>
    <m/>
    <m/>
    <m/>
  </r>
  <r>
    <x v="1041"/>
    <x v="0"/>
    <s v="HOSPITAL REGIONAL DO AGRESTE DR.WALDEMIRO FERREIRA"/>
    <s v="Consumo"/>
    <s v="ARP.0052.10.2024.GOV.FES-PE.PE"/>
    <s v="Formação de registro de preços para o eventual fornecimento de medicamentos injetáveis (grupo 06), visando atender a demanda dos Hospitais e Estabelecimentos da Rede Estadual de Saúde de Pernambuco"/>
    <m/>
    <d v="2024-09-23T00:00:00"/>
    <x v="1"/>
    <s v="Autorizada Sucesso"/>
    <s v="Concluído"/>
    <s v="Item atualizado"/>
    <m/>
    <s v="Processo 2024"/>
    <m/>
    <m/>
    <m/>
  </r>
  <r>
    <x v="1042"/>
    <x v="0"/>
    <s v="HOSPITAL REGIONAL DO AGRESTE DR.WALDEMIRO FERREIRA"/>
    <s v="Consumo"/>
    <s v="ARP.0025.06.2024.GOV.FES-PE.PE"/>
    <s v="Registro de Preços para eventual aquisição de Medicamentos Injetáveis (grupo 02) visando atender a demanda dos hospitais e estabelecimentos da rede estadual de saúde de Pernambuco."/>
    <m/>
    <d v="2024-09-23T00:00:00"/>
    <x v="1"/>
    <s v="Autorizada Sucesso"/>
    <s v="Concluído"/>
    <s v="Item atualizado"/>
    <m/>
    <s v="Processo 2024"/>
    <m/>
    <m/>
    <m/>
  </r>
  <r>
    <x v="1043"/>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09-22T00:00:00"/>
    <x v="0"/>
    <s v="Cancelada"/>
    <s v="Cancelado"/>
    <s v="Item não atualizado"/>
    <m/>
    <s v="Processo 2024"/>
    <m/>
    <m/>
    <m/>
  </r>
  <r>
    <x v="1044"/>
    <x v="0"/>
    <s v="HOSPITAL REGIONAL DO AGRESTE DR.WALDEMIRO FERREIRA"/>
    <s v="Consumo"/>
    <s v="ARP.0052.03.2024.GOV.FES-PE.PE"/>
    <s v="Formação de registro de preços para o eventual fornecimento de medicamentos injetáveis (grupo 06), visando atender a demanda dos Hospitais e Estabelecimentos da Rede Estadual de Saúde de Pernambuco"/>
    <m/>
    <d v="2024-09-20T00:00:00"/>
    <x v="1"/>
    <s v="Autorizada Sucesso"/>
    <s v="Concluído"/>
    <s v="Item atualizado"/>
    <m/>
    <s v="Processo 2024"/>
    <m/>
    <m/>
    <m/>
  </r>
  <r>
    <x v="1045"/>
    <x v="0"/>
    <s v="HOSPITAL REGIONAL DO AGRESTE DR.WALDEMIRO FERREIRA"/>
    <s v="Consumo"/>
    <s v="ARP.0052.03.2024.GOV.FES-PE.PE"/>
    <s v="Formação de registro de preços para o eventual fornecimento de medicamentos injetáveis (grupo 06), visando atender a demanda dos Hospitais e Estabelecimentos da Rede Estadual de Saúde de Pernambuco"/>
    <m/>
    <d v="2024-09-20T00:00:00"/>
    <x v="1"/>
    <s v="Autorizada Sucesso"/>
    <s v="Concluído"/>
    <s v="Item atualizado"/>
    <m/>
    <s v="Processo 2024"/>
    <m/>
    <m/>
    <m/>
  </r>
  <r>
    <x v="1046"/>
    <x v="4"/>
    <s v="HOSPITAL REGIONAL DO AGRESTE DR.WALDEMIRO FERREIRA"/>
    <s v="Consumo"/>
    <s v="ARP.0063.05.2024.GOV.CISAM.PE"/>
    <s v="REGISTRO DE PREÇO PARA FORNECIMENTO EVENTUAL DE COMPONENTE/ACESSÓRIOS (VACUOMETRO, BRAÇADEIRAS PARA EQUIPAMENTOS, CABOS E CABOS EXTENSORES, SENSORES DE SPO2, ELETRODO, PERA, PAPEL PARA CARDIOTOCO, ESTETOSCÓPIO NEONATAL E ETC) PARA EQUIPAMENTOS MÉDICO-HOSP"/>
    <m/>
    <d v="2024-09-20T00:00:00"/>
    <x v="0"/>
    <s v="Cancelada"/>
    <s v="Cancelado"/>
    <s v="Item não atualizado"/>
    <m/>
    <s v="Processo 2024"/>
    <m/>
    <m/>
    <m/>
  </r>
  <r>
    <x v="1047"/>
    <x v="0"/>
    <s v="HOSPITAL REGIONAL DO AGRESTE DR.WALDEMIRO FERREIRA"/>
    <s v="Consumo"/>
    <s v="ARP.0064.00.2024.GOV.FES-PE.PE"/>
    <s v="PREGÃO ELETRÔNICO PARA FORMAÇÃO DE REGISTRO DE PREÇOS PARA A EVENTUAL FORNECIMENTO DE MEDICAMENTOS INJETÁVEIS (GRUPO 04) VISANDO ATENDER A DEMANDA DOS HOSPITAIS E ESTABELECIMENTOS DA REDE ESTADUAL DE SAÚDE DE PERNAMBUCO."/>
    <m/>
    <d v="2024-09-20T00:00:00"/>
    <x v="1"/>
    <s v="Autorizada Sucesso"/>
    <s v="Concluído"/>
    <s v="Item atualizado"/>
    <m/>
    <s v="Processo 2024"/>
    <m/>
    <m/>
    <m/>
  </r>
  <r>
    <x v="1048"/>
    <x v="0"/>
    <s v="HOSPITAL REGIONAL DO AGRESTE DR.WALDEMIRO FERREIRA"/>
    <s v="Consumo"/>
    <s v="ARP.0022.00.2024.GOV.FES-PE.PE"/>
    <s v="Formação de Registro de Preços, por um período de 12 (doze) meses, para eventual aquisição de Medicamentos Injetáveis (grupo 01) visando atender a demanda dos hospitais e estabelecimentos da rede estadual de saúde de Pernambuco."/>
    <m/>
    <d v="2024-09-20T00:00:00"/>
    <x v="1"/>
    <s v="Autorizada Sucesso"/>
    <s v="Concluído"/>
    <s v="Item atualizado"/>
    <m/>
    <s v="Processo 2024"/>
    <m/>
    <m/>
    <m/>
  </r>
  <r>
    <x v="1049"/>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20T00:00:00"/>
    <x v="0"/>
    <s v="Cancelada"/>
    <s v="Cancelado"/>
    <s v="Item não atualizado"/>
    <m/>
    <s v="Processo 2024"/>
    <m/>
    <m/>
    <m/>
  </r>
  <r>
    <x v="1050"/>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19T00:00:00"/>
    <x v="0"/>
    <s v="Cancelada"/>
    <s v="Cancelado"/>
    <s v="Item não atualizado"/>
    <m/>
    <s v="Processo 2024"/>
    <m/>
    <m/>
    <m/>
  </r>
  <r>
    <x v="1051"/>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18T00:00:00"/>
    <x v="0"/>
    <s v="Cancelada"/>
    <s v="Cancelado"/>
    <s v="Item não atualizado"/>
    <m/>
    <s v="Processo 2024"/>
    <m/>
    <m/>
    <m/>
  </r>
  <r>
    <x v="1052"/>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s v="NFOCPO"/>
    <d v="2024-09-18T00:00:00"/>
    <x v="0"/>
    <s v="Cancelada"/>
    <s v="Cancelado"/>
    <s v="Item não atualizado"/>
    <m/>
    <s v="Processo 2024"/>
    <m/>
    <m/>
    <m/>
  </r>
  <r>
    <x v="1053"/>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s v="NFOCPO"/>
    <d v="2024-09-18T00:00:00"/>
    <x v="0"/>
    <s v="Cancelada"/>
    <s v="Cancelado"/>
    <s v="Item não atualizado"/>
    <m/>
    <s v="Processo 2024"/>
    <m/>
    <m/>
    <m/>
  </r>
  <r>
    <x v="1054"/>
    <x v="22"/>
    <s v="HOSPITAL REGIONAL DO AGRESTE DR.WALDEMIRO FERREIRA"/>
    <s v="Consumo"/>
    <s v="ARPC.0015.02.2024.GOV.SAD.PE"/>
    <s v="REGISTRO DE PREÇOS CORPORATIVO PARA O FORNECIMENTO CONTÍNUO DE ÁGUA MINERAL PARA REGIÃO GEOGRÁFICA IMEDIATA DE CARUARU"/>
    <m/>
    <d v="2024-09-18T00:00:00"/>
    <x v="1"/>
    <s v="Autorizada Sucesso"/>
    <s v="Concluído"/>
    <s v="Item atualizado"/>
    <m/>
    <s v="Processo 2024"/>
    <m/>
    <m/>
    <m/>
  </r>
  <r>
    <x v="1055"/>
    <x v="22"/>
    <s v="HOSPITAL REGIONAL DO AGRESTE DR.WALDEMIRO FERREIRA"/>
    <s v="Consumo"/>
    <s v="ARPC.0015.02.2024.GOV.SAD.PE"/>
    <s v="REGISTRO DE PREÇOS CORPORATIVO PARA O FORNECIMENTO CONTÍNUO DE ÁGUA MINERAL PARA REGIÃO GEOGRÁFICA IMEDIATA DE CARUARU"/>
    <m/>
    <d v="2024-09-18T00:00:00"/>
    <x v="0"/>
    <s v="Cancelada"/>
    <s v="Cancelado"/>
    <s v="Item não atualizado"/>
    <m/>
    <s v="Processo 2024"/>
    <m/>
    <m/>
    <m/>
  </r>
  <r>
    <x v="1056"/>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18T00:00:00"/>
    <x v="0"/>
    <s v="Cancelada"/>
    <s v="Cancelado"/>
    <s v="Item não atualizado"/>
    <m/>
    <s v="Processo 2024"/>
    <m/>
    <m/>
    <m/>
  </r>
  <r>
    <x v="1057"/>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18T00:00:00"/>
    <x v="0"/>
    <s v="Cancelada"/>
    <s v="Cancelado"/>
    <s v="Item não atualizado"/>
    <m/>
    <s v="Processo 2024"/>
    <m/>
    <m/>
    <m/>
  </r>
  <r>
    <x v="1058"/>
    <x v="0"/>
    <s v="HOSPITAL REGIONAL DO AGRESTE DR.WALDEMIRO FERREIRA"/>
    <s v="Consumo"/>
    <s v="ARP.0022.01.2024.GOV.FES-PE.PE"/>
    <s v="Formação de Registro de Preços, por um período de 12 (doze) meses, para eventual aquisição de Medicamentos Injetáveis (grupo 01) visando atender a demanda dos hospitais e estabelecimentos da rede estadual de saúde de Pernambuco."/>
    <m/>
    <d v="2024-09-17T00:00:00"/>
    <x v="1"/>
    <s v="Autorizada Sucesso"/>
    <s v="Concluído"/>
    <s v="Item atualizado"/>
    <m/>
    <s v="Processo 2024"/>
    <m/>
    <m/>
    <m/>
  </r>
  <r>
    <x v="1059"/>
    <x v="0"/>
    <s v="HOSPITAL REGIONAL DO AGRESTE DR.WALDEMIRO FERREIRA"/>
    <s v="Consumo"/>
    <s v="ARP.0022.01.2024.GOV.FES-PE.PE"/>
    <s v="Formação de Registro de Preços, por um período de 12 (doze) meses, para eventual aquisição de Medicamentos Injetáveis (grupo 01) visando atender a demanda dos hospitais e estabelecimentos da rede estadual de saúde de Pernambuco."/>
    <m/>
    <d v="2024-09-17T00:00:00"/>
    <x v="1"/>
    <s v="Autorizada Integrado"/>
    <s v="Concluído"/>
    <s v="Item atualizado"/>
    <m/>
    <s v="Processo 2024"/>
    <m/>
    <m/>
    <m/>
  </r>
  <r>
    <x v="1060"/>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17T00:00:00"/>
    <x v="0"/>
    <s v="Cancelada"/>
    <s v="Cancelado"/>
    <s v="Item não atualizado"/>
    <m/>
    <s v="Processo 2024"/>
    <m/>
    <m/>
    <m/>
  </r>
  <r>
    <x v="1061"/>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17T00:00:00"/>
    <x v="0"/>
    <s v="Cancelada"/>
    <s v="Cancelado"/>
    <s v="Item não atualizado"/>
    <m/>
    <s v="Processo 2024"/>
    <m/>
    <m/>
    <m/>
  </r>
  <r>
    <x v="1062"/>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09-17T00:00:00"/>
    <x v="1"/>
    <s v="Autorizada Sucesso"/>
    <s v="Concluído"/>
    <s v="Item atualizado"/>
    <m/>
    <s v="Processo 2024"/>
    <m/>
    <m/>
    <m/>
  </r>
  <r>
    <x v="1063"/>
    <x v="22"/>
    <s v="HOSPITAL REGIONAL DO AGRESTE DR.WALDEMIRO FERREIRA"/>
    <s v="Consumo"/>
    <s v="ARPC.0018.00.2024.GOV.SAD.PE"/>
    <s v="Registro de Preços Corporativo para o fornecimento eventual de material médico-hospitalar – luvas descartáveis visando atender as necessidades dos órgãos da Administração Direta, Autarquias e Fundações Públicas integrantes do Poder Executivo do Estado de "/>
    <m/>
    <d v="2024-09-17T00:00:00"/>
    <x v="1"/>
    <s v="Autorizada Sucesso"/>
    <s v="Concluído"/>
    <s v="Item atualizado"/>
    <m/>
    <s v="Processo 2024"/>
    <m/>
    <m/>
    <m/>
  </r>
  <r>
    <x v="1064"/>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9-17T00:00:00"/>
    <x v="0"/>
    <s v="Cancelada"/>
    <s v="Cancelado"/>
    <s v="Item não atualizado"/>
    <m/>
    <s v="Processo 2024"/>
    <m/>
    <m/>
    <m/>
  </r>
  <r>
    <x v="1065"/>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9-17T00:00:00"/>
    <x v="0"/>
    <s v="Cancelada"/>
    <s v="Cancelado"/>
    <s v="Item não atualizado"/>
    <m/>
    <s v="Processo 2024"/>
    <m/>
    <m/>
    <m/>
  </r>
  <r>
    <x v="1066"/>
    <x v="0"/>
    <s v="HOSPITAL REGIONAL DO AGRESTE DR.WALDEMIRO FERREIRA"/>
    <s v="Consumo"/>
    <s v="ARP.0048.07.2024.GOV.FES-PE.PE"/>
    <s v="Registro de Preços para a eventual aquisição de Medicamentos Controlados (grupo 04) visando atender a demanda dos hospitais e estabelecimentos da rede estadual de saúde de Pernambuco."/>
    <m/>
    <d v="2024-09-16T00:00:00"/>
    <x v="1"/>
    <s v="Autorizada Sucesso"/>
    <s v="Concluído"/>
    <s v="Item atualizado"/>
    <m/>
    <s v="Processo 2024"/>
    <m/>
    <m/>
    <m/>
  </r>
  <r>
    <x v="1067"/>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9-16T00:00:00"/>
    <x v="0"/>
    <s v="Cancelada"/>
    <s v="Cancelado"/>
    <s v="Item não atualizado"/>
    <m/>
    <s v="Processo 2024"/>
    <m/>
    <m/>
    <m/>
  </r>
  <r>
    <x v="1068"/>
    <x v="0"/>
    <s v="HOSPITAL REGIONAL DO AGRESTE DR.WALDEMIRO FERREIRA"/>
    <s v="Consumo"/>
    <s v="ARP.0065.01.2024.GOV.FES-PE.PE"/>
    <s v="PREGÃO ELETRÕNICO PARA REGISTRO DE PREÇOS COM EVENTUAL AQUISIÇÃO DE MATERIAL MÉDICO HOSPITALAR (GRUPO 02) VISANDO ATENDER A DEMANDA DOS HOSPITAIS E ESTABELECIMENTOS DA REDE ESTADUAL DE SAÚDE DE PERNAMBUCO."/>
    <m/>
    <d v="2024-09-16T00:00:00"/>
    <x v="0"/>
    <s v="Cancelada"/>
    <s v="Cancelado"/>
    <s v="Item não atualizado"/>
    <m/>
    <s v="Processo 2024"/>
    <m/>
    <m/>
    <m/>
  </r>
  <r>
    <x v="1069"/>
    <x v="0"/>
    <s v="HOSPITAL REGIONAL DO AGRESTE DR.WALDEMIRO FERREIRA"/>
    <s v="Consumo"/>
    <s v="ARP.0065.01.2024.GOV.FES-PE.PE"/>
    <s v="PREGÃO ELETRÕNICO PARA REGISTRO DE PREÇOS COM EVENTUAL AQUISIÇÃO DE MATERIAL MÉDICO HOSPITALAR (GRUPO 02) VISANDO ATENDER A DEMANDA DOS HOSPITAIS E ESTABELECIMENTOS DA REDE ESTADUAL DE SAÚDE DE PERNAMBUCO."/>
    <m/>
    <d v="2024-09-16T00:00:00"/>
    <x v="0"/>
    <s v="Cancelada Sucesso"/>
    <s v="Cancelado"/>
    <s v="Item atualizado"/>
    <m/>
    <s v="Processo 2024"/>
    <m/>
    <m/>
    <m/>
  </r>
  <r>
    <x v="1070"/>
    <x v="0"/>
    <s v="HOSPITAL REGIONAL DO AGRESTE DR.WALDEMIRO FERREIRA"/>
    <s v="Consumo"/>
    <s v="ARP.0065.01.2024.GOV.FES-PE.PE"/>
    <s v="PREGÃO ELETRÕNICO PARA REGISTRO DE PREÇOS COM EVENTUAL AQUISIÇÃO DE MATERIAL MÉDICO HOSPITALAR (GRUPO 02) VISANDO ATENDER A DEMANDA DOS HOSPITAIS E ESTABELECIMENTOS DA REDE ESTADUAL DE SAÚDE DE PERNAMBUCO."/>
    <m/>
    <d v="2024-09-16T00:00:00"/>
    <x v="0"/>
    <s v="Cancelada"/>
    <s v="Cancelado"/>
    <s v="Item não atualizado"/>
    <m/>
    <s v="Processo 2024"/>
    <m/>
    <m/>
    <m/>
  </r>
  <r>
    <x v="1071"/>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9-16T00:00:00"/>
    <x v="1"/>
    <s v="Autorizada Integrado"/>
    <s v="Concluído"/>
    <s v="Item atualizado"/>
    <m/>
    <s v="Processo 2024"/>
    <m/>
    <m/>
    <m/>
  </r>
  <r>
    <x v="1072"/>
    <x v="0"/>
    <s v="HOSPITAL REGIONAL DO AGRESTE DR.WALDEMIRO FERREIRA"/>
    <s v="Consumo"/>
    <s v="ARP.0065.06.2024.GOV.FES-PE.PE"/>
    <s v="PREGÃO ELETRÕNICO PARA REGISTRO DE PREÇOS COM EVENTUAL AQUISIÇÃO DE MATERIAL MÉDICO HOSPITALAR (GRUPO 02) VISANDO ATENDER A DEMANDA DOS HOSPITAIS E ESTABELECIMENTOS DA REDE ESTADUAL DE SAÚDE DE PERNAMBUCO."/>
    <m/>
    <d v="2024-09-16T00:00:00"/>
    <x v="0"/>
    <s v="Cancelada por fim vigencia ATA"/>
    <s v="Cancelado"/>
    <s v="Item atualizado"/>
    <m/>
    <s v="Processo 2024"/>
    <m/>
    <m/>
    <m/>
  </r>
  <r>
    <x v="1073"/>
    <x v="0"/>
    <s v="HOSPITAL REGIONAL DO AGRESTE DR.WALDEMIRO FERREIRA"/>
    <s v="Consumo"/>
    <s v="ARP.0065.06.2024.GOV.FES-PE.PE"/>
    <s v="PREGÃO ELETRÕNICO PARA REGISTRO DE PREÇOS COM EVENTUAL AQUISIÇÃO DE MATERIAL MÉDICO HOSPITALAR (GRUPO 02) VISANDO ATENDER A DEMANDA DOS HOSPITAIS E ESTABELECIMENTOS DA REDE ESTADUAL DE SAÚDE DE PERNAMBUCO."/>
    <m/>
    <d v="2024-09-16T00:00:00"/>
    <x v="1"/>
    <s v="Autorizada Sucesso"/>
    <s v="Concluído"/>
    <s v="Item atualizado"/>
    <m/>
    <s v="Processo 2024"/>
    <m/>
    <m/>
    <m/>
  </r>
  <r>
    <x v="1074"/>
    <x v="4"/>
    <s v="HOSPITAL REGIONAL DO AGRESTE DR.WALDEMIRO FERREIRA"/>
    <s v="Consumo"/>
    <s v="ARP.0065.02.2024.GOV.CISAM.PE"/>
    <s v="REGISTRO DE PREÇOS PARA FORNECIMENTO EVENTUAL DE MEDICAMENTOS (DIVERSOS), VISANDO ATENDER ÀS NECESSIDADES DO CISAM/UPE E DEMAIS ÓRGÃOS PARTICIPANTES."/>
    <m/>
    <d v="2024-09-12T00:00:00"/>
    <x v="1"/>
    <s v="Autorizada Sucesso"/>
    <s v="Concluído"/>
    <s v="Item atualizado"/>
    <m/>
    <s v="Processo 2024"/>
    <m/>
    <m/>
    <m/>
  </r>
  <r>
    <x v="1075"/>
    <x v="22"/>
    <s v="HOSPITAL REGIONAL DO AGRESTE DR.WALDEMIRO FERREIRA"/>
    <s v="Consumo"/>
    <s v="ARPC.0014.00.2024.GOV.SAD.PE"/>
    <s v="Registro de Preços Corporativa para o fornecimento eventual de copos descartáveis, visando atender as necessidades dos órgãos da Administração Direta, Autarquias e Fundações Públicas integrantes do Poder Executivo do Estado de Pernambuco, nos termos da le"/>
    <m/>
    <d v="2024-09-11T00:00:00"/>
    <x v="1"/>
    <s v="Autorizada Sucesso"/>
    <s v="Concluído"/>
    <s v="Item atualizado"/>
    <m/>
    <s v="Processo 2024"/>
    <m/>
    <m/>
    <m/>
  </r>
  <r>
    <x v="1076"/>
    <x v="0"/>
    <s v="HOSPITAL REGIONAL DO AGRESTE DR.WALDEMIRO FERREIRA"/>
    <s v="Consumo"/>
    <s v="ARP.0018.08.2024.GOV.FES-PE.PE"/>
    <s v="Registro de Preços para a eventual aquisição de Medicamentos Antibióticos (grupo 02) visando atender a demanda dos hospitais e estabelecimentos da rede estadual de saúde de Pernambuco."/>
    <m/>
    <d v="2024-09-10T00:00:00"/>
    <x v="1"/>
    <s v="Autorizada Sucesso"/>
    <s v="Concluído"/>
    <s v="Item atualizado"/>
    <m/>
    <s v="Processo 2024"/>
    <m/>
    <m/>
    <m/>
  </r>
  <r>
    <x v="1077"/>
    <x v="0"/>
    <s v="HOSPITAL REGIONAL DO AGRESTE DR.WALDEMIRO FERREIRA"/>
    <s v="Consumo"/>
    <s v="ARP.0022.04.2024.GOV.FES-PE.PE"/>
    <s v="Formação de Registro de Preços, por um período de 12 (doze) meses, para eventual aquisição de Medicamentos Injetáveis (grupo 01) visando atender a demanda dos hospitais e estabelecimentos da rede estadual de saúde de Pernambuco."/>
    <m/>
    <d v="2024-09-10T00:00:00"/>
    <x v="1"/>
    <s v="Autorizada Sucesso"/>
    <s v="Concluído"/>
    <s v="Item atualizado"/>
    <m/>
    <s v="Processo 2024"/>
    <m/>
    <m/>
    <m/>
  </r>
  <r>
    <x v="1078"/>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9-06T00:00:00"/>
    <x v="1"/>
    <s v="Autorizada Sucesso"/>
    <s v="Concluído"/>
    <s v="Item atualizado"/>
    <m/>
    <s v="Processo 2024"/>
    <m/>
    <m/>
    <m/>
  </r>
  <r>
    <x v="1079"/>
    <x v="0"/>
    <s v="HOSPITAL REGIONAL DO AGRESTE DR.WALDEMIRO FERREIRA"/>
    <s v="Consumo"/>
    <s v="ARP.0048.01.2024.GOV.FES-PE.PE"/>
    <s v="Registro de Preços para a eventual aquisição de Medicamentos Controlados (grupo 04) visando atender a demanda dos hospitais e estabelecimentos da rede estadual de saúde de Pernambuco."/>
    <m/>
    <d v="2024-09-06T00:00:00"/>
    <x v="1"/>
    <s v="Autorizada Sucesso"/>
    <s v="Concluído"/>
    <s v="Item atualizado"/>
    <m/>
    <s v="Processo 2024"/>
    <m/>
    <m/>
    <m/>
  </r>
  <r>
    <x v="1080"/>
    <x v="0"/>
    <s v="HOSPITAL REGIONAL DO AGRESTE DR.WALDEMIRO FERREIRA"/>
    <s v="Consumo"/>
    <s v="ARP.0031.11.2024.GOV.FES-PE.PE"/>
    <s v="Registro de Preços para a eventual aquisição de Medicamentos Antibióticos (grupo 01) visando atender a demanda dos hospitais e estabelecimentos da rede estadual de saúde de Pernambuco."/>
    <m/>
    <d v="2024-09-06T00:00:00"/>
    <x v="1"/>
    <s v="Autorizada Sucesso"/>
    <s v="Concluído"/>
    <s v="Item atualizado"/>
    <m/>
    <s v="Processo 2024"/>
    <m/>
    <m/>
    <m/>
  </r>
  <r>
    <x v="1081"/>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9-05T00:00:00"/>
    <x v="1"/>
    <s v="Autorizada Sucesso"/>
    <s v="Concluído"/>
    <s v="Item atualizado"/>
    <m/>
    <s v="Processo 2024"/>
    <m/>
    <m/>
    <m/>
  </r>
  <r>
    <x v="1082"/>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05T00:00:00"/>
    <x v="0"/>
    <s v="Cancelada"/>
    <s v="Cancelado"/>
    <s v="Item não atualizado"/>
    <m/>
    <s v="Processo 2024"/>
    <m/>
    <m/>
    <m/>
  </r>
  <r>
    <x v="1083"/>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9-05T00:00:00"/>
    <x v="1"/>
    <s v="Autorizada Sucesso"/>
    <s v="Concluído"/>
    <s v="Item atualizado"/>
    <m/>
    <s v="Processo 2024"/>
    <m/>
    <m/>
    <m/>
  </r>
  <r>
    <x v="1084"/>
    <x v="0"/>
    <s v="HOSPITAL REGIONAL DO AGRESTE DR.WALDEMIRO FERREIRA"/>
    <s v="Consumo"/>
    <s v="ARP.0046.02.2024.GOV.FES-PE.PE"/>
    <s v="Registro de Preços para a eventual aquisição de Medicamentos Injetáveis (grupo 05) visando atender a demanda dos hospitais e estabelecimentos da rede estadual de saúde de Pernambuco"/>
    <m/>
    <d v="2024-09-05T00:00:00"/>
    <x v="1"/>
    <s v="Autorizada Sucesso"/>
    <s v="Concluído"/>
    <s v="Item atualizado"/>
    <m/>
    <s v="Processo 2024"/>
    <m/>
    <m/>
    <m/>
  </r>
  <r>
    <x v="1085"/>
    <x v="0"/>
    <s v="HOSPITAL REGIONAL DO AGRESTE DR.WALDEMIRO FERREIRA"/>
    <s v="Consumo"/>
    <s v="ARP.0064.01.2024.GOV.FES-PE.PE"/>
    <s v="PREGÃO ELETRÔNICO PARA FORMAÇÃO DE REGISTRO DE PREÇOS PARA A EVENTUAL FORNECIMENTO DE MEDICAMENTOS INJETÁVEIS (GRUPO 04) VISANDO ATENDER A DEMANDA DOS HOSPITAIS E ESTABELECIMENTOS DA REDE ESTADUAL DE SAÚDE DE PERNAMBUCO."/>
    <m/>
    <d v="2024-09-05T00:00:00"/>
    <x v="1"/>
    <s v="Autorizada Sucesso"/>
    <s v="Concluído"/>
    <s v="Item atualizado"/>
    <m/>
    <s v="Processo 2024"/>
    <m/>
    <m/>
    <m/>
  </r>
  <r>
    <x v="1086"/>
    <x v="0"/>
    <s v="HOSPITAL REGIONAL DO AGRESTE DR.WALDEMIRO FERREIRA"/>
    <s v="Consumo"/>
    <s v="ARP.0107.00.2023.GOV.FES-PE.PE"/>
    <s v="PREGÃO ELETRÔNICO PARA REGISTRO DE PREÇOS COM VALIDADE DE 12 (DOZE) MESES PARA EVENTUAL FORNECIMENTO DE EQUIPAMENTOS LABORATORIAIS, VISANDO ATENDER AS NECESSIDADES DA SECRETARIA ESTADUAL DE SAÚDE DE PERNAMBUCO - SES/PE."/>
    <m/>
    <d v="2024-09-05T00:00:00"/>
    <x v="0"/>
    <s v="Cancelada"/>
    <s v="Processo 2024"/>
    <s v="Item não atualizado"/>
    <m/>
    <s v="Processo 2024"/>
    <m/>
    <m/>
    <m/>
  </r>
  <r>
    <x v="1087"/>
    <x v="0"/>
    <s v="HOSPITAL REGIONAL DO AGRESTE DR.WALDEMIRO FERREIRA"/>
    <s v="Consumo"/>
    <s v="ARP.0064.01.2024.GOV.FES-PE.PE"/>
    <s v="PREGÃO ELETRÔNICO PARA FORMAÇÃO DE REGISTRO DE PREÇOS PARA A EVENTUAL FORNECIMENTO DE MEDICAMENTOS INJETÁVEIS (GRUPO 04) VISANDO ATENDER A DEMANDA DOS HOSPITAIS E ESTABELECIMENTOS DA REDE ESTADUAL DE SAÚDE DE PERNAMBUCO."/>
    <m/>
    <d v="2024-09-03T00:00:00"/>
    <x v="0"/>
    <s v="Cancelada"/>
    <s v="Cancelado"/>
    <s v="Item não atualizado"/>
    <m/>
    <s v="Processo 2024"/>
    <m/>
    <m/>
    <m/>
  </r>
  <r>
    <x v="1088"/>
    <x v="0"/>
    <s v="HOSPITAL REGIONAL DO AGRESTE DR.WALDEMIRO FERREIRA"/>
    <s v="Consumo"/>
    <s v="ARP.0031.11.2024.GOV.FES-PE.PE"/>
    <s v="Registro de Preços para a eventual aquisição de Medicamentos Antibióticos (grupo 01) visando atender a demanda dos hospitais e estabelecimentos da rede estadual de saúde de Pernambuco."/>
    <m/>
    <d v="2024-08-28T00:00:00"/>
    <x v="1"/>
    <s v="Autorizada Integrado"/>
    <s v="Concluído"/>
    <s v="Item atualizado"/>
    <m/>
    <s v="Processo 2024"/>
    <m/>
    <m/>
    <m/>
  </r>
  <r>
    <x v="1089"/>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8-28T00:00:00"/>
    <x v="0"/>
    <s v="Cancelada"/>
    <s v="Cancelado"/>
    <s v="Item não atualizado"/>
    <m/>
    <s v="Processo 2024"/>
    <m/>
    <m/>
    <m/>
  </r>
  <r>
    <x v="1090"/>
    <x v="0"/>
    <s v="HOSPITAL REGIONAL DO AGRESTE DR.WALDEMIRO FERREIRA"/>
    <s v="Consumo"/>
    <s v="ARP.0046.02.2024.GOV.FES-PE.PE"/>
    <s v="Registro de Preços para a eventual aquisição de Medicamentos Injetáveis (grupo 05) visando atender a demanda dos hospitais e estabelecimentos da rede estadual de saúde de Pernambuco"/>
    <m/>
    <d v="2024-08-28T00:00:00"/>
    <x v="1"/>
    <s v="Autorizada Sucesso"/>
    <s v="Concluído"/>
    <s v="Item atualizado"/>
    <m/>
    <s v="Processo 2024"/>
    <m/>
    <m/>
    <m/>
  </r>
  <r>
    <x v="1091"/>
    <x v="0"/>
    <s v="HOSPITAL REGIONAL DO AGRESTE DR.WALDEMIRO FERREIRA"/>
    <s v="Consumo"/>
    <s v="ARP.0046.02.2024.GOV.FES-PE.PE"/>
    <s v="Registro de Preços para a eventual aquisição de Medicamentos Injetáveis (grupo 05) visando atender a demanda dos hospitais e estabelecimentos da rede estadual de saúde de Pernambuco"/>
    <m/>
    <d v="2024-08-27T00:00:00"/>
    <x v="0"/>
    <s v="Cancelada"/>
    <s v="Cancelado"/>
    <s v="Item não atualizado"/>
    <m/>
    <s v="Processo 2024"/>
    <m/>
    <m/>
    <m/>
  </r>
  <r>
    <x v="1092"/>
    <x v="0"/>
    <s v="HOSPITAL REGIONAL DO AGRESTE DR.WALDEMIRO FERREIRA"/>
    <s v="Consumo"/>
    <s v="ARP.0064.02.2024.GOV.FES-PE.PE"/>
    <s v="PREGÃO ELETRÔNICO PARA FORMAÇÃO DE REGISTRO DE PREÇOS PARA A EVENTUAL FORNECIMENTO DE MEDICAMENTOS INJETÁVEIS (GRUPO 04) VISANDO ATENDER A DEMANDA DOS HOSPITAIS E ESTABELECIMENTOS DA REDE ESTADUAL DE SAÚDE DE PERNAMBUCO."/>
    <m/>
    <d v="2024-08-26T00:00:00"/>
    <x v="1"/>
    <s v="Autorizada Sucesso"/>
    <s v="Concluído"/>
    <s v="Item atualizado"/>
    <m/>
    <s v="Processo 2024"/>
    <m/>
    <m/>
    <m/>
  </r>
  <r>
    <x v="1093"/>
    <x v="0"/>
    <s v="HOSPITAL REGIONAL DO AGRESTE DR.WALDEMIRO FERREIRA"/>
    <s v="Consumo"/>
    <s v="ARP.0012.00.2024.GOV.FES-PE.PE"/>
    <s v="FORMAÇÃO DE REGISTRO DE PREÇOS PARA EVENTUAL AQUISIÇÃO DE INSUMOS PARA ATENDER TODA REDE PÚBLICA ESTADUAL DE SAÚDE DE PERNAMBUCO (TIRAS REAGENTES PARA ADETECÇÃO DE GLICOSE NO SANGUE)"/>
    <m/>
    <d v="2024-08-25T00:00:00"/>
    <x v="0"/>
    <s v="Cancelada"/>
    <s v="Cancelado"/>
    <s v="Item não atualizado"/>
    <m/>
    <s v="Processo 2024"/>
    <m/>
    <m/>
    <m/>
  </r>
  <r>
    <x v="1094"/>
    <x v="0"/>
    <s v="HOSPITAL REGIONAL DO AGRESTE DR.WALDEMIRO FERREIRA"/>
    <s v="Consumo"/>
    <s v="ARP.0065.01.2024.GOV.FES-PE.PE"/>
    <s v="PREGÃO ELETRÕNICO PARA REGISTRO DE PREÇOS COM EVENTUAL AQUISIÇÃO DE MATERIAL MÉDICO HOSPITALAR (GRUPO 02) VISANDO ATENDER A DEMANDA DOS HOSPITAIS E ESTABELECIMENTOS DA REDE ESTADUAL DE SAÚDE DE PERNAMBUCO."/>
    <m/>
    <d v="2024-08-25T00:00:00"/>
    <x v="0"/>
    <s v="Cancelada Sucesso"/>
    <s v="Cancelado"/>
    <s v="Item atualizado"/>
    <m/>
    <s v="Processo 2024"/>
    <m/>
    <m/>
    <m/>
  </r>
  <r>
    <x v="1095"/>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8-24T00:00:00"/>
    <x v="0"/>
    <s v="Cancelada Sucesso"/>
    <s v="Cancelado"/>
    <s v="Item atualizado"/>
    <m/>
    <s v="Processo 2024"/>
    <m/>
    <m/>
    <m/>
  </r>
  <r>
    <x v="1096"/>
    <x v="0"/>
    <s v="HOSPITAL REGIONAL DO AGRESTE DR.WALDEMIRO FERREIRA"/>
    <s v="Consumo"/>
    <s v="ARP.0112.00.2023.GOV.FES-PE.PE"/>
    <s v="PREGÃO ELETRÔNICO PARA REGISTRO DE PREÇOS COM VALIDADE DE 12 (DOZE) MESES PARA EVENTUAL FORNECIMENTO DE EQUIPAMENTOS MÉDICO-HOSPITALARES PARA O PERÍODO DE 12 (DOZE) MESES VISANDO ATENDER AS NECESSIDDES DO HOSPITAL REGIONAL DO LIMOEIRO JOSÉ FERNANDES SALSA"/>
    <m/>
    <d v="2024-08-22T00:00:00"/>
    <x v="0"/>
    <s v="Cancelada"/>
    <s v="Processo 2024"/>
    <s v="Item não atualizado"/>
    <m/>
    <s v="Processo 2024"/>
    <m/>
    <m/>
    <m/>
  </r>
  <r>
    <x v="1097"/>
    <x v="0"/>
    <s v="HOSPITAL REGIONAL DO AGRESTE DR.WALDEMIRO FERREIRA"/>
    <s v="Consumo"/>
    <s v="ARP.0112.00.2023.GOV.FES-PE.PE"/>
    <s v="PREGÃO ELETRÔNICO PARA REGISTRO DE PREÇOS COM VALIDADE DE 12 (DOZE) MESES PARA EVENTUAL FORNECIMENTO DE EQUIPAMENTOS MÉDICO-HOSPITALARES PARA O PERÍODO DE 12 (DOZE) MESES VISANDO ATENDER AS NECESSIDDES DO HOSPITAL REGIONAL DO LIMOEIRO JOSÉ FERNANDES SALSA"/>
    <m/>
    <d v="2024-08-22T00:00:00"/>
    <x v="0"/>
    <s v="Cancelada"/>
    <s v="Processo 2024"/>
    <s v="Item não atualizado"/>
    <m/>
    <s v="Processo 2024"/>
    <m/>
    <m/>
    <m/>
  </r>
  <r>
    <x v="1098"/>
    <x v="0"/>
    <s v="HOSPITAL REGIONAL DO AGRESTE DR.WALDEMIRO FERREIRA"/>
    <s v="Consumo"/>
    <s v="ARP.0048.07.2024.GOV.FES-PE.PE"/>
    <s v="Registro de Preços para a eventual aquisição de Medicamentos Controlados (grupo 04) visando atender a demanda dos hospitais e estabelecimentos da rede estadual de saúde de Pernambuco."/>
    <m/>
    <d v="2024-08-20T00:00:00"/>
    <x v="0"/>
    <s v="Cancelada"/>
    <s v="Cancelado"/>
    <s v="Item não atualizado"/>
    <m/>
    <s v="Processo 2024"/>
    <m/>
    <m/>
    <m/>
  </r>
  <r>
    <x v="1099"/>
    <x v="0"/>
    <s v="HOSPITAL REGIONAL DO AGRESTE DR.WALDEMIRO FERREIRA"/>
    <s v="Consumo"/>
    <s v="ARP.0018.08.2024.GOV.FES-PE.PE"/>
    <s v="Registro de Preços para a eventual aquisição de Medicamentos Antibióticos (grupo 02) visando atender a demanda dos hospitais e estabelecimentos da rede estadual de saúde de Pernambuco."/>
    <m/>
    <d v="2024-08-20T00:00:00"/>
    <x v="1"/>
    <s v="Autorizada Sucesso"/>
    <s v="Concluído"/>
    <s v="Item atualizado"/>
    <m/>
    <s v="Processo 2024"/>
    <m/>
    <m/>
    <m/>
  </r>
  <r>
    <x v="1100"/>
    <x v="0"/>
    <s v="HOSPITAL REGIONAL DO AGRESTE DR.WALDEMIRO FERREIRA"/>
    <s v="Consumo"/>
    <s v="ARP.0031.14.2024.GOV.FES-PE.PE"/>
    <s v="Registro de Preços para a eventual aquisição de Medicamentos Antibióticos (grupo 01) visando atender a demanda dos hospitais e estabelecimentos da rede estadual de saúde de Pernambuco."/>
    <m/>
    <d v="2024-08-20T00:00:00"/>
    <x v="1"/>
    <s v="Autorizada Sucesso"/>
    <s v="Concluído"/>
    <s v="Item atualizado"/>
    <m/>
    <s v="Processo 2024"/>
    <m/>
    <m/>
    <m/>
  </r>
  <r>
    <x v="1101"/>
    <x v="0"/>
    <s v="HOSPITAL REGIONAL DO AGRESTE DR.WALDEMIRO FERREIRA"/>
    <s v="Consumo"/>
    <s v="ARP.0046.02.2024.GOV.FES-PE.PE"/>
    <s v="Registro de Preços para a eventual aquisição de Medicamentos Injetáveis (grupo 05) visando atender a demanda dos hospitais e estabelecimentos da rede estadual de saúde de Pernambuco"/>
    <m/>
    <d v="2024-08-20T00:00:00"/>
    <x v="0"/>
    <s v="Cancelada"/>
    <s v="Cancelado"/>
    <s v="Item não atualizado"/>
    <m/>
    <s v="Processo 2024"/>
    <m/>
    <m/>
    <m/>
  </r>
  <r>
    <x v="1102"/>
    <x v="36"/>
    <s v="HOSPITAL REGIONAL DO AGRESTE DR.WALDEMIRO FERREIRA"/>
    <s v="Consumo"/>
    <s v="ARP.0002.00.2024.GOV.HRA.PE"/>
    <s v="Registro de Preços para eventual fornecimento de ÓRTESES, PRÓTESES E MATERIAIS ESPECIAIS"/>
    <m/>
    <d v="2024-08-19T00:00:00"/>
    <x v="1"/>
    <s v="Autorizada Sucesso"/>
    <s v="Concluído"/>
    <s v="Item atualizado"/>
    <m/>
    <s v="Processo 2024"/>
    <m/>
    <m/>
    <m/>
  </r>
  <r>
    <x v="1103"/>
    <x v="0"/>
    <s v="HOSPITAL REGIONAL DO AGRESTE DR.WALDEMIRO FERREIRA"/>
    <s v="Consumo"/>
    <s v="ARP.0064.01.2024.GOV.FES-PE.PE"/>
    <s v="PREGÃO ELETRÔNICO PARA FORMAÇÃO DE REGISTRO DE PREÇOS PARA A EVENTUAL FORNECIMENTO DE MEDICAMENTOS INJETÁVEIS (GRUPO 04) VISANDO ATENDER A DEMANDA DOS HOSPITAIS E ESTABELECIMENTOS DA REDE ESTADUAL DE SAÚDE DE PERNAMBUCO."/>
    <m/>
    <d v="2024-08-12T00:00:00"/>
    <x v="0"/>
    <s v="Cancelada Integrado"/>
    <s v="Cancelado"/>
    <s v="Item atualizado"/>
    <m/>
    <s v="Processo 2024"/>
    <m/>
    <m/>
    <m/>
  </r>
  <r>
    <x v="1104"/>
    <x v="0"/>
    <s v="HOSPITAL REGIONAL DO AGRESTE DR.WALDEMIRO FERREIRA"/>
    <s v="Consumo"/>
    <s v="ARP.0064.01.2024.GOV.FES-PE.PE"/>
    <s v="PREGÃO ELETRÔNICO PARA FORMAÇÃO DE REGISTRO DE PREÇOS PARA A EVENTUAL FORNECIMENTO DE MEDICAMENTOS INJETÁVEIS (GRUPO 04) VISANDO ATENDER A DEMANDA DOS HOSPITAIS E ESTABELECIMENTOS DA REDE ESTADUAL DE SAÚDE DE PERNAMBUCO."/>
    <m/>
    <d v="2024-08-12T00:00:00"/>
    <x v="0"/>
    <s v="Cancelada"/>
    <s v="Cancelado"/>
    <s v="Item não atualizado"/>
    <m/>
    <s v="Processo 2024"/>
    <m/>
    <m/>
    <m/>
  </r>
  <r>
    <x v="1105"/>
    <x v="0"/>
    <s v="HOSPITAL REGIONAL DO AGRESTE DR.WALDEMIRO FERREIRA"/>
    <s v="Consumo"/>
    <s v="ARP.0064.01.2024.GOV.FES-PE.PE"/>
    <s v="PREGÃO ELETRÔNICO PARA FORMAÇÃO DE REGISTRO DE PREÇOS PARA A EVENTUAL FORNECIMENTO DE MEDICAMENTOS INJETÁVEIS (GRUPO 04) VISANDO ATENDER A DEMANDA DOS HOSPITAIS E ESTABELECIMENTOS DA REDE ESTADUAL DE SAÚDE DE PERNAMBUCO."/>
    <m/>
    <d v="2024-08-12T00:00:00"/>
    <x v="1"/>
    <s v="Autorizada Sucesso"/>
    <s v="Concluído"/>
    <s v="Item atualizado"/>
    <m/>
    <s v="Processo 2024"/>
    <m/>
    <m/>
    <m/>
  </r>
  <r>
    <x v="1106"/>
    <x v="0"/>
    <s v="HOSPITAL REGIONAL DO AGRESTE DR.WALDEMIRO FERREIRA"/>
    <s v="Consumo"/>
    <s v="ARP.0048.01.2024.GOV.FES-PE.PE"/>
    <s v="Registro de Preços para a eventual aquisição de Medicamentos Controlados (grupo 04) visando atender a demanda dos hospitais e estabelecimentos da rede estadual de saúde de Pernambuco."/>
    <m/>
    <d v="2024-08-09T00:00:00"/>
    <x v="1"/>
    <s v="Autorizada Sucesso"/>
    <s v="Concluído"/>
    <s v="Item atualizado"/>
    <m/>
    <s v="Processo 2024"/>
    <m/>
    <m/>
    <m/>
  </r>
  <r>
    <x v="1107"/>
    <x v="0"/>
    <s v="HOSPITAL REGIONAL DO AGRESTE DR.WALDEMIRO FERREIRA"/>
    <s v="Consumo"/>
    <s v="ARP.0031.11.2024.GOV.FES-PE.PE"/>
    <s v="Registro de Preços para a eventual aquisição de Medicamentos Antibióticos (grupo 01) visando atender a demanda dos hospitais e estabelecimentos da rede estadual de saúde de Pernambuco."/>
    <m/>
    <d v="2024-08-08T00:00:00"/>
    <x v="0"/>
    <s v="Cancelada"/>
    <s v="Cancelado"/>
    <s v="Item não atualizado"/>
    <m/>
    <s v="Processo 2024"/>
    <m/>
    <m/>
    <m/>
  </r>
  <r>
    <x v="1108"/>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8-08T00:00:00"/>
    <x v="0"/>
    <s v="Cancelada"/>
    <s v="Cancelado"/>
    <s v="Item não atualizado"/>
    <m/>
    <s v="Processo 2024"/>
    <m/>
    <m/>
    <m/>
  </r>
  <r>
    <x v="1109"/>
    <x v="0"/>
    <s v="HOSPITAL REGIONAL DO AGRESTE DR.WALDEMIRO FERREIRA"/>
    <s v="Consumo"/>
    <s v="ARP.0063.10.2024.GOV.FES-PE.PE"/>
    <s v="Formação de Registro de Preços, por um período de 12 (doze) meses, para eventual aquisição de MATERIAL MÉDICO HOSPITALAR (Grupo 04) visando atender a demanda dos hospitais e estabelecimentos da rede estadual de saúde de Pernambuco."/>
    <m/>
    <d v="2024-08-06T00:00:00"/>
    <x v="1"/>
    <s v="Autorizada Sucesso"/>
    <s v="Concluído"/>
    <s v="Item atualizado"/>
    <m/>
    <s v="Processo 2024"/>
    <m/>
    <m/>
    <m/>
  </r>
  <r>
    <x v="1110"/>
    <x v="22"/>
    <s v="HOSPITAL REGIONAL DO AGRESTE DR.WALDEMIRO FERREIRA"/>
    <s v="Consumo"/>
    <s v="ARPC.0033.00.2023.GOV.SAD.PE"/>
    <s v="Formação de Registro de Preços Corporativo para prestação de serviços especializados de impressão, incluindo: locação de equipamentos (impressoras e multifuncionais); reposição de suprimentos (exceto papel); disponibilização de sistemas para gestão inform"/>
    <m/>
    <d v="2024-07-29T00:00:00"/>
    <x v="1"/>
    <s v="Autorizada Sucesso"/>
    <s v="Processo 2024"/>
    <s v="Item atualizado"/>
    <m/>
    <s v="Processo 2024"/>
    <m/>
    <m/>
    <m/>
  </r>
  <r>
    <x v="1111"/>
    <x v="22"/>
    <s v="HOSPITAL REGIONAL DO AGRESTE DR.WALDEMIRO FERREIRA"/>
    <s v="Consumo"/>
    <s v="ARPC.0005.00.2024.GOV.SAD.PE"/>
    <s v="Registro de preços corporativo para a eventual aquisição de Material Médico-Hospitalar (Cloreto de Sódio), para atender às demandas dos órgãos da Administração Direta, Autarquias e Fundações Públicas integrantes do Poder Executivo do Estado de Pernambuco."/>
    <m/>
    <d v="2024-07-25T00:00:00"/>
    <x v="0"/>
    <s v="Cancelada Sucesso"/>
    <s v="Cancelado"/>
    <s v="Item atualizado"/>
    <m/>
    <s v="Processo 2024"/>
    <m/>
    <m/>
    <m/>
  </r>
  <r>
    <x v="1112"/>
    <x v="4"/>
    <s v="HOSPITAL REGIONAL DO AGRESTE DR.WALDEMIRO FERREIRA"/>
    <s v="Consumo"/>
    <s v="ARP.0052.07.2024.GOV.CISAM.PE"/>
    <s v="REGISTRO DE PREÇOS PARA O EVENTUAL FORNECIMENTO DE MEDICAMENTOS PARA O CISAM/UPE E DEMAIS ÓRGÃOS PARTICIPANTES"/>
    <m/>
    <d v="2024-07-21T00:00:00"/>
    <x v="0"/>
    <s v="Cancelada"/>
    <s v="Cancelado"/>
    <s v="Item não atualizado"/>
    <m/>
    <s v="Processo 2024"/>
    <m/>
    <m/>
    <m/>
  </r>
  <r>
    <x v="1113"/>
    <x v="0"/>
    <s v="HOSPITAL REGIONAL DO AGRESTE DR.WALDEMIRO FERREIRA"/>
    <s v="Consumo"/>
    <s v="ARP.0065.06.2024.GOV.FES-PE.PE"/>
    <s v="PREGÃO ELETRÕNICO PARA REGISTRO DE PREÇOS COM EVENTUAL AQUISIÇÃO DE MATERIAL MÉDICO HOSPITALAR (GRUPO 02) VISANDO ATENDER A DEMANDA DOS HOSPITAIS E ESTABELECIMENTOS DA REDE ESTADUAL DE SAÚDE DE PERNAMBUCO."/>
    <m/>
    <d v="2024-07-17T00:00:00"/>
    <x v="0"/>
    <s v="Cancelada"/>
    <s v="Cancelado"/>
    <s v="Item não atualizado"/>
    <m/>
    <s v="Processo 2024"/>
    <m/>
    <m/>
    <m/>
  </r>
  <r>
    <x v="1114"/>
    <x v="0"/>
    <s v="HOSPITAL REGIONAL DO AGRESTE DR.WALDEMIRO FERREIRA"/>
    <s v="Consumo"/>
    <s v="ARP.0064.04.2024.GOV.FES-PE.PE"/>
    <s v="PREGÃO ELETRÔNICO PARA FORMAÇÃO DE REGISTRO DE PREÇOS PARA A EVENTUAL FORNECIMENTO DE MEDICAMENTOS INJETÁVEIS (GRUPO 04) VISANDO ATENDER A DEMANDA DOS HOSPITAIS E ESTABELECIMENTOS DA REDE ESTADUAL DE SAÚDE DE PERNAMBUCO."/>
    <m/>
    <d v="2024-07-16T00:00:00"/>
    <x v="1"/>
    <s v="Autorizada Sucesso"/>
    <s v="Concluído"/>
    <s v="Item atualizado"/>
    <m/>
    <s v="Processo 2024"/>
    <m/>
    <m/>
    <m/>
  </r>
  <r>
    <x v="1115"/>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7-11T00:00:00"/>
    <x v="1"/>
    <s v="Autorizada Sucesso"/>
    <s v="Concluído"/>
    <s v="Item atualizado"/>
    <m/>
    <s v="Processo 2024"/>
    <m/>
    <m/>
    <m/>
  </r>
  <r>
    <x v="1116"/>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7-11T00:00:00"/>
    <x v="1"/>
    <s v="Autorizada Sucesso"/>
    <s v="Concluído"/>
    <s v="Item atualizado"/>
    <m/>
    <s v="Processo 2024"/>
    <m/>
    <m/>
    <m/>
  </r>
  <r>
    <x v="1117"/>
    <x v="4"/>
    <s v="HOSPITAL REGIONAL DO AGRESTE DR.WALDEMIRO FERREIRA"/>
    <s v="Consumo"/>
    <s v="ARP.0052.11.2024.GOV.CISAM.PE"/>
    <s v="REGISTRO DE PREÇOS PARA O EVENTUAL FORNECIMENTO DE MEDICAMENTOS PARA O CISAM/UPE E DEMAIS ÓRGÃOS PARTICIPANTES"/>
    <m/>
    <d v="2024-07-09T00:00:00"/>
    <x v="1"/>
    <s v="Autorizada Sucesso"/>
    <s v="Concluído"/>
    <s v="Item atualizado"/>
    <m/>
    <s v="Processo 2024"/>
    <m/>
    <m/>
    <m/>
  </r>
  <r>
    <x v="1118"/>
    <x v="4"/>
    <s v="HOSPITAL REGIONAL DO AGRESTE DR.WALDEMIRO FERREIRA"/>
    <s v="Consumo"/>
    <s v="ARP.0052.12.2024.GOV.CISAM.PE"/>
    <s v="REGISTRO DE PREÇOS PARA O EVENTUAL FORNECIMENTO DE MEDICAMENTOS PARA O CISAM/UPE E DEMAIS ÓRGÃOS PARTICIPANTES"/>
    <m/>
    <d v="2024-07-08T00:00:00"/>
    <x v="1"/>
    <s v="Autorizada Sucesso"/>
    <s v="Concluído"/>
    <s v="Item atualizado"/>
    <m/>
    <s v="Processo 2024"/>
    <m/>
    <m/>
    <m/>
  </r>
  <r>
    <x v="1119"/>
    <x v="0"/>
    <s v="HOSPITAL REGIONAL DO AGRESTE DR.WALDEMIRO FERREIRA"/>
    <s v="Consumo"/>
    <s v="ARP.0063.06.2024.GOV.FES-PE.PE"/>
    <s v="Formação de Registro de Preços, por um período de 12 (doze) meses, para eventual aquisição de MATERIAL MÉDICO HOSPITALAR (Grupo 04) visando atender a demanda dos hospitais e estabelecimentos da rede estadual de saúde de Pernambuco."/>
    <m/>
    <d v="2024-07-05T00:00:00"/>
    <x v="1"/>
    <s v="Autorizada Sucesso"/>
    <s v="Concluído"/>
    <s v="Item atualizado"/>
    <m/>
    <s v="Processo 2024"/>
    <m/>
    <m/>
    <m/>
  </r>
  <r>
    <x v="1120"/>
    <x v="4"/>
    <s v="HOSPITAL REGIONAL DO AGRESTE DR.WALDEMIRO FERREIRA"/>
    <s v="Consumo"/>
    <s v="ARP.0052.07.2024.GOV.CISAM.PE"/>
    <s v="REGISTRO DE PREÇOS PARA O EVENTUAL FORNECIMENTO DE MEDICAMENTOS PARA O CISAM/UPE E DEMAIS ÓRGÃOS PARTICIPANTES"/>
    <m/>
    <d v="2024-07-05T00:00:00"/>
    <x v="1"/>
    <s v="Autorizada Sucesso"/>
    <s v="Concluído"/>
    <s v="Item atualizado"/>
    <m/>
    <s v="Processo 2024"/>
    <m/>
    <m/>
    <m/>
  </r>
  <r>
    <x v="1121"/>
    <x v="0"/>
    <s v="HOSPITAL REGIONAL DO AGRESTE DR.WALDEMIRO FERREIRA"/>
    <s v="Consumo"/>
    <s v="ARP.0063.00.2024.GOV.FES-PE.PE"/>
    <s v="Formação de Registro de Preços, por um período de 12 (doze) meses, para eventual aquisição de MATERIAL MÉDICO HOSPITALAR (Grupo 04) visando atender a demanda dos hospitais e estabelecimentos da rede estadual de saúde de Pernambuco."/>
    <m/>
    <d v="2024-07-05T00:00:00"/>
    <x v="1"/>
    <s v="Autorizada Sucesso"/>
    <s v="Concluído"/>
    <s v="Item atualizado"/>
    <m/>
    <s v="Processo 2024"/>
    <m/>
    <m/>
    <m/>
  </r>
  <r>
    <x v="1122"/>
    <x v="22"/>
    <s v="HOSPITAL REGIONAL DO AGRESTE DR.WALDEMIRO FERREIRA"/>
    <s v="Consumo"/>
    <s v="ARPC.0026.00.2023.GOV.SAD.PE"/>
    <s v="Formação de Registro de Preços Corporativo para o fornecimento eventual de material de expediente (utensílios), visando atender as necessidades dos órgãos da Administração Direta, Autarquias e Fundações Públicas integrantes do Poder Executivo do Estado de"/>
    <m/>
    <d v="2024-07-04T00:00:00"/>
    <x v="0"/>
    <s v="Cancelada"/>
    <s v="Processo 2024"/>
    <s v="Item não atualizado"/>
    <m/>
    <s v="Processo 2024"/>
    <m/>
    <m/>
    <m/>
  </r>
  <r>
    <x v="1123"/>
    <x v="0"/>
    <s v="HOSPITAL REGIONAL DO AGRESTE DR.WALDEMIRO FERREIRA"/>
    <s v="Consumo"/>
    <s v="ARP.0064.05.2024.GOV.FES-PE.PE"/>
    <s v="PREGÃO ELETRÔNICO PARA FORMAÇÃO DE REGISTRO DE PREÇOS PARA A EVENTUAL FORNECIMENTO DE MEDICAMENTOS INJETÁVEIS (GRUPO 04) VISANDO ATENDER A DEMANDA DOS HOSPITAIS E ESTABELECIMENTOS DA REDE ESTADUAL DE SAÚDE DE PERNAMBUCO."/>
    <m/>
    <d v="2024-07-04T00:00:00"/>
    <x v="1"/>
    <s v="Autorizada Sucesso"/>
    <s v="Concluído"/>
    <s v="Item atualizado"/>
    <m/>
    <s v="Processo 2024"/>
    <m/>
    <m/>
    <m/>
  </r>
  <r>
    <x v="1124"/>
    <x v="0"/>
    <s v="HOSPITAL REGIONAL DO AGRESTE DR.WALDEMIRO FERREIRA"/>
    <s v="Consumo"/>
    <s v="ARP.0048.07.2024.GOV.FES-PE.PE"/>
    <s v="Registro de Preços para a eventual aquisição de Medicamentos Controlados (grupo 04) visando atender a demanda dos hospitais e estabelecimentos da rede estadual de saúde de Pernambuco."/>
    <m/>
    <d v="2024-07-02T00:00:00"/>
    <x v="1"/>
    <s v="Autorizada Sucesso"/>
    <s v="Concluído"/>
    <s v="Item atualizado"/>
    <m/>
    <s v="Processo 2024"/>
    <m/>
    <m/>
    <m/>
  </r>
  <r>
    <x v="1125"/>
    <x v="0"/>
    <s v="HOSPITAL REGIONAL DO AGRESTE DR.WALDEMIRO FERREIRA"/>
    <s v="Consumo"/>
    <s v="ARP.0025.04.2024.GOV.FES-PE.PE"/>
    <s v="Registro de Preços para eventual aquisição de Medicamentos Injetáveis (grupo 02) visando atender a demanda dos hospitais e estabelecimentos da rede estadual de saúde de Pernambuco."/>
    <m/>
    <d v="2024-06-28T00:00:00"/>
    <x v="1"/>
    <s v="Autorizada Sucesso"/>
    <s v="Concluído"/>
    <s v="Item atualizado"/>
    <m/>
    <s v="Processo 2024"/>
    <m/>
    <m/>
    <m/>
  </r>
  <r>
    <x v="1126"/>
    <x v="0"/>
    <s v="HOSPITAL REGIONAL DO AGRESTE DR.WALDEMIRO FERREIRA"/>
    <s v="Consumo"/>
    <s v="ARP.0018.07.2024.GOV.FES-PE.PE"/>
    <s v="Registro de Preços para a eventual aquisição de Medicamentos Antibióticos (grupo 02) visando atender a demanda dos hospitais e estabelecimentos da rede estadual de saúde de Pernambuco."/>
    <m/>
    <d v="2024-06-25T00:00:00"/>
    <x v="1"/>
    <s v="Autorizada Sucesso"/>
    <s v="Concluído"/>
    <s v="Item atualizado"/>
    <m/>
    <s v="Processo 2024"/>
    <m/>
    <m/>
    <m/>
  </r>
  <r>
    <x v="1127"/>
    <x v="0"/>
    <s v="HOSPITAL REGIONAL DO AGRESTE DR.WALDEMIRO FERREIRA"/>
    <s v="Consumo"/>
    <s v="ARP.0046.02.2024.GOV.FES-PE.PE"/>
    <s v="Registro de Preços para a eventual aquisição de Medicamentos Injetáveis (grupo 05) visando atender a demanda dos hospitais e estabelecimentos da rede estadual de saúde de Pernambuco"/>
    <m/>
    <d v="2024-06-19T00:00:00"/>
    <x v="1"/>
    <s v="Autorizada Sucesso"/>
    <s v="Concluído"/>
    <s v="Item atualizado"/>
    <m/>
    <s v="Processo 2024"/>
    <m/>
    <m/>
    <m/>
  </r>
  <r>
    <x v="1128"/>
    <x v="0"/>
    <s v="HOSPITAL REGIONAL DO AGRESTE DR.WALDEMIRO FERREIRA"/>
    <s v="Consumo"/>
    <s v="ARP.0025.04.2024.GOV.FES-PE.PE"/>
    <s v="Registro de Preços para eventual aquisição de Medicamentos Injetáveis (grupo 02) visando atender a demanda dos hospitais e estabelecimentos da rede estadual de saúde de Pernambuco."/>
    <m/>
    <d v="2024-06-18T00:00:00"/>
    <x v="1"/>
    <s v="Autorizada Sucesso"/>
    <s v="Concluído"/>
    <s v="Item atualizado"/>
    <m/>
    <s v="Processo 2024"/>
    <m/>
    <m/>
    <m/>
  </r>
  <r>
    <x v="1129"/>
    <x v="0"/>
    <s v="HOSPITAL REGIONAL DO AGRESTE DR.WALDEMIRO FERREIRA"/>
    <s v="Consumo"/>
    <s v="ARP.0048.07.2024.GOV.FES-PE.PE"/>
    <s v="Registro de Preços para a eventual aquisição de Medicamentos Controlados (grupo 04) visando atender a demanda dos hospitais e estabelecimentos da rede estadual de saúde de Pernambuco."/>
    <m/>
    <d v="2024-06-14T00:00:00"/>
    <x v="0"/>
    <s v="Cancelada"/>
    <s v="Cancelado"/>
    <s v="Item não atualizado"/>
    <m/>
    <s v="Processo 2024"/>
    <m/>
    <m/>
    <m/>
  </r>
  <r>
    <x v="1130"/>
    <x v="0"/>
    <s v="HOSPITAL REGIONAL DO AGRESTE DR.WALDEMIRO FERREIRA"/>
    <s v="Consumo"/>
    <s v="ARP.0048.06.2024.GOV.FES-PE.PE"/>
    <s v="Registro de Preços para a eventual aquisição de Medicamentos Controlados (grupo 04) visando atender a demanda dos hospitais e estabelecimentos da rede estadual de saúde de Pernambuco."/>
    <m/>
    <d v="2024-06-14T00:00:00"/>
    <x v="1"/>
    <s v="Autorizada Sucesso"/>
    <s v="Concluído"/>
    <s v="Item atualizado"/>
    <m/>
    <s v="Processo 2024"/>
    <m/>
    <m/>
    <m/>
  </r>
  <r>
    <x v="1131"/>
    <x v="0"/>
    <s v="HOSPITAL REGIONAL DO AGRESTE DR.WALDEMIRO FERREIRA"/>
    <s v="Consumo"/>
    <s v="ARP.0061.02.2024.GOV.FES-PE.PE"/>
    <s v="Registro de Preços para o fornecimento eventual de Medicamentos Controlados (grupo 02), conforme especificações e quantitativos previstos no Anexo I do Edital, para atender a demanda dos hospitais e estabelecimentos da rede estadual de saúde de Pernambuco"/>
    <m/>
    <d v="2024-06-13T00:00:00"/>
    <x v="1"/>
    <s v="Autorizada Sucesso"/>
    <s v="Concluído"/>
    <s v="Item atualizado"/>
    <m/>
    <s v="Processo 2024"/>
    <m/>
    <m/>
    <m/>
  </r>
  <r>
    <x v="1132"/>
    <x v="0"/>
    <s v="HOSPITAL REGIONAL DO AGRESTE DR.WALDEMIRO FERREIRA"/>
    <s v="Consumo"/>
    <s v="ARP.0038.01.2024.GOV.FES-PE.PE"/>
    <s v="Pregão Eletrônico para Registro de Preço, com validade de 12 (doze) meses, para eventual fornecimento de materiais hospitalares , visando atender as necessidades da Secretaria Estadual de Saúde de Pernambuco (SES/PE) e das Unidades Hospitalares que a comp"/>
    <s v="NAEN"/>
    <d v="2024-06-12T00:00:00"/>
    <x v="6"/>
    <s v="Encaminhada para o gestor de ata"/>
    <s v="Em andamento"/>
    <s v="Item não atualizado"/>
    <s v="Marcia"/>
    <s v="Processo 2024"/>
    <m/>
    <s v="2300001207.000089/2024-12"/>
    <s v="Finalizar com o nucleo"/>
  </r>
  <r>
    <x v="1133"/>
    <x v="0"/>
    <s v="HOSPITAL REGIONAL DO AGRESTE DR.WALDEMIRO FERREIRA"/>
    <s v="Consumo"/>
    <s v="ARP.0038.01.2024.GOV.FES-PE.PE"/>
    <s v="Pregão Eletrônico para Registro de Preço, com validade de 12 (doze) meses, para eventual fornecimento de materiais hospitalares , visando atender as necessidades da Secretaria Estadual de Saúde de Pernambuco (SES/PE) e das Unidades Hospitalares que a comp"/>
    <m/>
    <d v="2024-06-12T00:00:00"/>
    <x v="0"/>
    <s v="Cancelada"/>
    <s v="Cancelado"/>
    <s v="Item não atualizado"/>
    <m/>
    <s v="Processo 2024"/>
    <m/>
    <m/>
    <m/>
  </r>
  <r>
    <x v="1134"/>
    <x v="0"/>
    <s v="HOSPITAL REGIONAL DO AGRESTE DR.WALDEMIRO FERREIRA"/>
    <s v="Consumo"/>
    <s v="ARP.0061.06.2024.GOV.FES-PE.PE"/>
    <s v="Registro de Preços para o fornecimento eventual de Medicamentos Controlados (grupo 02), conforme especificações e quantitativos previstos no Anexo I do Edital, para atender a demanda dos hospitais e estabelecimentos da rede estadual de saúde de Pernambuco"/>
    <m/>
    <d v="2024-06-12T00:00:00"/>
    <x v="1"/>
    <s v="Autorizada Sucesso"/>
    <s v="Concluído"/>
    <s v="Item atualizado"/>
    <m/>
    <s v="Processo 2024"/>
    <m/>
    <m/>
    <m/>
  </r>
  <r>
    <x v="1135"/>
    <x v="0"/>
    <s v="HOSPITAL REGIONAL DO AGRESTE DR.WALDEMIRO FERREIRA"/>
    <s v="Consumo"/>
    <s v="ARP.0040.02.2024.GOV.FES-PE.PE"/>
    <s v="PREGÃO ELETRÔNICO PARA REGISTRO DE PREÇOS COM VALIDADE DE 12 (DOZE) MESES PARA EVENTUAL FORNECIMENTO DE MEDICAMENTOS INJETÁVEIS (GRUPO 03) VISANDO ATENDER A DEMANDA DOS HOSPITAIS E ESTABELECIMENTOS DA REDE ESTADUAL DE SAÚDE DE PERNAMBUCO"/>
    <m/>
    <d v="2024-06-12T00:00:00"/>
    <x v="1"/>
    <s v="Autorizada Sucesso"/>
    <s v="Concluído"/>
    <s v="Item atualizado"/>
    <m/>
    <s v="Processo 2024"/>
    <m/>
    <m/>
    <m/>
  </r>
  <r>
    <x v="1136"/>
    <x v="0"/>
    <s v="HOSPITAL REGIONAL DO AGRESTE DR.WALDEMIRO FERREIRA"/>
    <s v="Consumo"/>
    <s v="ARP.0040.03.2024.GOV.FES-PE.PE"/>
    <s v="PREGÃO ELETRÔNICO PARA REGISTRO DE PREÇOS COM VALIDADE DE 12 (DOZE) MESES PARA EVENTUAL FORNECIMENTO DE MEDICAMENTOS INJETÁVEIS (GRUPO 03) VISANDO ATENDER A DEMANDA DOS HOSPITAIS E ESTABELECIMENTOS DA REDE ESTADUAL DE SAÚDE DE PERNAMBUCO"/>
    <m/>
    <d v="2024-06-12T00:00:00"/>
    <x v="1"/>
    <s v="Autorizada Sucesso"/>
    <s v="Concluído"/>
    <s v="Item atualizado"/>
    <m/>
    <s v="Processo 2024"/>
    <m/>
    <m/>
    <m/>
  </r>
  <r>
    <x v="1137"/>
    <x v="0"/>
    <s v="HOSPITAL REGIONAL DO AGRESTE DR.WALDEMIRO FERREIRA"/>
    <s v="Consumo"/>
    <s v="ARP.0031.10.2024.GOV.FES-PE.PE"/>
    <s v="Registro de Preços para a eventual aquisição de Medicamentos Antibióticos (grupo 01) visando atender a demanda dos hospitais e estabelecimentos da rede estadual de saúde de Pernambuco."/>
    <m/>
    <d v="2024-06-10T00:00:00"/>
    <x v="1"/>
    <s v="Autorizada Sucesso"/>
    <s v="Concluído"/>
    <s v="Item atualizado"/>
    <m/>
    <s v="Processo 2024"/>
    <m/>
    <m/>
    <m/>
  </r>
  <r>
    <x v="1138"/>
    <x v="0"/>
    <s v="HOSPITAL REGIONAL DO AGRESTE DR.WALDEMIRO FERREIRA"/>
    <s v="Consumo"/>
    <s v="ARP.0038.01.2024.GOV.FES-PE.PE"/>
    <s v="Pregão Eletrônico para Registro de Preço, com validade de 12 (doze) meses, para eventual fornecimento de materiais hospitalares , visando atender as necessidades da Secretaria Estadual de Saúde de Pernambuco (SES/PE) e das Unidades Hospitalares que a comp"/>
    <m/>
    <d v="2024-06-06T00:00:00"/>
    <x v="0"/>
    <s v="Cancelada"/>
    <s v="Cancelado"/>
    <s v="Item não atualizado"/>
    <m/>
    <s v="Processo 2024"/>
    <m/>
    <m/>
    <m/>
  </r>
  <r>
    <x v="1139"/>
    <x v="0"/>
    <s v="HOSPITAL REGIONAL DO AGRESTE DR.WALDEMIRO FERREIRA"/>
    <s v="Consumo"/>
    <s v="ARP.0031.14.2024.GOV.FES-PE.PE"/>
    <s v="Registro de Preços para a eventual aquisição de Medicamentos Antibióticos (grupo 01) visando atender a demanda dos hospitais e estabelecimentos da rede estadual de saúde de Pernambuco."/>
    <m/>
    <d v="2024-06-06T00:00:00"/>
    <x v="1"/>
    <s v="Autorizada Sucesso"/>
    <s v="Concluído"/>
    <s v="Item atualizado"/>
    <m/>
    <s v="Processo 2024"/>
    <m/>
    <m/>
    <m/>
  </r>
  <r>
    <x v="1140"/>
    <x v="0"/>
    <s v="HOSPITAL REGIONAL DO AGRESTE DR.WALDEMIRO FERREIRA"/>
    <s v="Consumo"/>
    <s v="ARP.0038.01.2024.GOV.FES-PE.PE"/>
    <s v="Pregão Eletrônico para Registro de Preço, com validade de 12 (doze) meses, para eventual fornecimento de materiais hospitalares , visando atender as necessidades da Secretaria Estadual de Saúde de Pernambuco (SES/PE) e das Unidades Hospitalares que a comp"/>
    <m/>
    <d v="2024-06-04T00:00:00"/>
    <x v="0"/>
    <s v="Cancelada"/>
    <s v="Cancelado"/>
    <s v="Item não atualizado"/>
    <m/>
    <s v="Processo 2024"/>
    <m/>
    <m/>
    <m/>
  </r>
  <r>
    <x v="1141"/>
    <x v="22"/>
    <s v="HOSPITAL REGIONAL DO AGRESTE DR.WALDEMIRO FERREIRA"/>
    <s v="Consumo"/>
    <s v="ARPC.0005.00.2024.GOV.SAD.PE"/>
    <s v="Registro de preços corporativo para a eventual aquisição de Material Médico-Hospitalar (Cloreto de Sódio), para atender às demandas dos órgãos da Administração Direta, Autarquias e Fundações Públicas integrantes do Poder Executivo do Estado de Pernambuco."/>
    <m/>
    <d v="2024-06-03T00:00:00"/>
    <x v="1"/>
    <s v="Autorizada Sucesso"/>
    <s v="Concluído"/>
    <s v="Item atualizado"/>
    <m/>
    <s v="Processo 2024"/>
    <m/>
    <m/>
    <m/>
  </r>
  <r>
    <x v="1142"/>
    <x v="0"/>
    <s v="HOSPITAL REGIONAL DO AGRESTE DR.WALDEMIRO FERREIRA"/>
    <s v="Consumo"/>
    <s v="ARP.0024.01.2024.GOV.FES-PE.PE"/>
    <s v="Registro de Preços para a eventual aquisição de Medicamentos Antimicrobianos (grupo 02) visando atender a demanda dos hospitais e estabelecimentos da rede estadual de saúde de Pernambuco."/>
    <m/>
    <d v="2024-06-03T00:00:00"/>
    <x v="1"/>
    <s v="Autorizada Sucesso"/>
    <s v="Concluído"/>
    <s v="Item atualizado"/>
    <m/>
    <s v="Processo 2024"/>
    <m/>
    <m/>
    <m/>
  </r>
  <r>
    <x v="1143"/>
    <x v="0"/>
    <s v="HOSPITAL REGIONAL DO AGRESTE DR.WALDEMIRO FERREIRA"/>
    <s v="Consumo"/>
    <s v="ARP.0052.12.2024.GOV.FES-PE.PE"/>
    <s v="Formação de registro de preços para o eventual fornecimento de medicamentos injetáveis (grupo 06), visando atender a demanda dos Hospitais e Estabelecimentos da Rede Estadual de Saúde de Pernambuco"/>
    <m/>
    <d v="2024-06-03T00:00:00"/>
    <x v="1"/>
    <s v="Autorizada Sucesso"/>
    <s v="Concluído"/>
    <s v="Item atualizado"/>
    <m/>
    <s v="Processo 2024"/>
    <m/>
    <m/>
    <m/>
  </r>
  <r>
    <x v="1144"/>
    <x v="0"/>
    <s v="HOSPITAL REGIONAL DO AGRESTE DR.WALDEMIRO FERREIRA"/>
    <s v="Consumo"/>
    <s v="ARP.0046.01.2024.GOV.FES-PE.PE"/>
    <s v="Registro de Preços para a eventual aquisição de Medicamentos Injetáveis (grupo 05) visando atender a demanda dos hospitais e estabelecimentos da rede estadual de saúde de Pernambuco"/>
    <m/>
    <d v="2024-06-03T00:00:00"/>
    <x v="1"/>
    <s v="Autorizada Sucesso"/>
    <s v="Concluído"/>
    <s v="Item atualizado"/>
    <m/>
    <s v="Processo 2024"/>
    <m/>
    <m/>
    <m/>
  </r>
  <r>
    <x v="1145"/>
    <x v="0"/>
    <s v="HOSPITAL REGIONAL DO AGRESTE DR.WALDEMIRO FERREIRA"/>
    <s v="Consumo"/>
    <s v="ARP.0025.01.2024.GOV.FES-PE.PE"/>
    <s v="Registro de Preços para eventual aquisição de Medicamentos Injetáveis (grupo 02) visando atender a demanda dos hospitais e estabelecimentos da rede estadual de saúde de Pernambuco."/>
    <m/>
    <d v="2024-05-31T00:00:00"/>
    <x v="1"/>
    <s v="Autorizada Sucesso"/>
    <s v="Concluído"/>
    <s v="Item atualizado"/>
    <m/>
    <s v="Processo 2024"/>
    <m/>
    <m/>
    <m/>
  </r>
  <r>
    <x v="1146"/>
    <x v="0"/>
    <s v="HOSPITAL REGIONAL DO AGRESTE DR.WALDEMIRO FERREIRA"/>
    <s v="Consumo"/>
    <s v="ARP.0031.14.2024.GOV.FES-PE.PE"/>
    <s v="Registro de Preços para a eventual aquisição de Medicamentos Antibióticos (grupo 01) visando atender a demanda dos hospitais e estabelecimentos da rede estadual de saúde de Pernambuco."/>
    <m/>
    <d v="2024-05-31T00:00:00"/>
    <x v="1"/>
    <s v="Autorizada Sucesso"/>
    <s v="Concluído"/>
    <s v="Item atualizado"/>
    <m/>
    <s v="Processo 2024"/>
    <m/>
    <m/>
    <m/>
  </r>
  <r>
    <x v="1147"/>
    <x v="0"/>
    <s v="HOSPITAL REGIONAL DO AGRESTE DR.WALDEMIRO FERREIRA"/>
    <s v="Consumo"/>
    <s v="ARP.0058.03.2024.GOV.FES-PE.PE"/>
    <s v="Formação de Registro de Preços, por um período de 12 (doze) meses, para eventual aquisição de MATERIAL MÉDICO HOSPITALAR (Grupo 06) visando atender a demanda dos hospitais e estabelecimentos da rede estadual de saúde de Pernambuco."/>
    <m/>
    <d v="2024-05-31T00:00:00"/>
    <x v="1"/>
    <s v="Autorizada Sucesso"/>
    <s v="Concluído"/>
    <s v="Item atualizado"/>
    <m/>
    <s v="Processo 2024"/>
    <m/>
    <m/>
    <m/>
  </r>
  <r>
    <x v="1148"/>
    <x v="22"/>
    <s v="HOSPITAL REGIONAL DO AGRESTE DR.WALDEMIRO FERREIRA"/>
    <s v="Consumo"/>
    <s v="ARPC.0005.00.2024.GOV.SAD.PE"/>
    <s v="Registro de preços corporativo para a eventual aquisição de Material Médico-Hospitalar (Cloreto de Sódio), para atender às demandas dos órgãos da Administração Direta, Autarquias e Fundações Públicas integrantes do Poder Executivo do Estado de Pernambuco."/>
    <m/>
    <d v="2024-05-31T00:00:00"/>
    <x v="0"/>
    <s v="Cancelada"/>
    <s v="Cancelado"/>
    <s v="Item não atualizado"/>
    <m/>
    <s v="Processo 2024"/>
    <m/>
    <m/>
    <m/>
  </r>
  <r>
    <x v="1149"/>
    <x v="0"/>
    <s v="HOSPITAL REGIONAL DO AGRESTE DR.WALDEMIRO FERREIRA"/>
    <s v="Consumo"/>
    <s v="ARP.0058.00.2024.GOV.FES-PE.PE"/>
    <s v="Formação de Registro de Preços, por um período de 12 (doze) meses, para eventual aquisição de MATERIAL MÉDICO HOSPITALAR (Grupo 06) visando atender a demanda dos hospitais e estabelecimentos da rede estadual de saúde de Pernambuco."/>
    <m/>
    <d v="2024-05-29T00:00:00"/>
    <x v="1"/>
    <s v="Autorizada Sucesso"/>
    <s v="Concluído"/>
    <s v="Item atualizado"/>
    <m/>
    <s v="Processo 2024"/>
    <m/>
    <m/>
    <m/>
  </r>
  <r>
    <x v="1150"/>
    <x v="0"/>
    <s v="HOSPITAL REGIONAL DO AGRESTE DR.WALDEMIRO FERREIRA"/>
    <s v="Consumo"/>
    <s v="ARP.0031.16.2024.GOV.FES-PE.PE"/>
    <s v="Registro de Preços para a eventual aquisição de Medicamentos Antibióticos (grupo 01) visando atender a demanda dos hospitais e estabelecimentos da rede estadual de saúde de Pernambuco."/>
    <m/>
    <d v="2024-05-29T00:00:00"/>
    <x v="1"/>
    <s v="Autorizada Sucesso"/>
    <s v="Concluído"/>
    <s v="Item atualizado"/>
    <m/>
    <s v="Processo 2024"/>
    <m/>
    <m/>
    <m/>
  </r>
  <r>
    <x v="1151"/>
    <x v="0"/>
    <s v="HOSPITAL REGIONAL DO AGRESTE DR.WALDEMIRO FERREIRA"/>
    <s v="Consumo"/>
    <s v="ARP.0031.11.2024.GOV.FES-PE.PE"/>
    <s v="Registro de Preços para a eventual aquisição de Medicamentos Antibióticos (grupo 01) visando atender a demanda dos hospitais e estabelecimentos da rede estadual de saúde de Pernambuco."/>
    <m/>
    <d v="2024-05-27T00:00:00"/>
    <x v="1"/>
    <s v="Autorizada Sucesso"/>
    <s v="Concluído"/>
    <s v="Item atualizado"/>
    <m/>
    <s v="Processo 2024"/>
    <m/>
    <m/>
    <m/>
  </r>
  <r>
    <x v="1152"/>
    <x v="22"/>
    <s v="HOSPITAL REGIONAL DO AGRESTE DR.WALDEMIRO FERREIRA"/>
    <s v="Consumo"/>
    <s v="ARPC.0012.00.2023.GOV.SAD.PE"/>
    <s v="Registro de preços corporativo para a eventual aquisição de Material Médico-Hospitalar – Seringas e Agulhas Hipodérmicas, para atender às demandas dos órgãos da Administração Direta, Autarquias e Fundações Públicas integrantes do Poder Executivo do Estado"/>
    <m/>
    <d v="2024-05-21T00:00:00"/>
    <x v="1"/>
    <s v="Autorizada Sucesso"/>
    <s v="Processo 2024"/>
    <s v="Item atualizado"/>
    <m/>
    <s v="Processo 2024"/>
    <m/>
    <m/>
    <m/>
  </r>
  <r>
    <x v="1153"/>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5-20T00:00:00"/>
    <x v="1"/>
    <s v="Autorizada Sucesso"/>
    <s v="Concluído"/>
    <s v="Item atualizado"/>
    <m/>
    <s v="Processo 2024"/>
    <m/>
    <m/>
    <m/>
  </r>
  <r>
    <x v="1154"/>
    <x v="0"/>
    <s v="HOSPITAL REGIONAL DO AGRESTE DR.WALDEMIRO FERREIRA"/>
    <s v="Consumo"/>
    <s v="ARP.0050.00.2024.GOV.FES-PE.PE"/>
    <s v="Registro de Preços para a eventual aquisição de Medicamentos Controlados (grupo 03) visando atender a demanda dos hospitais e estabelecimentos da rede estadual de saúde de Pernambuco."/>
    <m/>
    <d v="2024-05-20T00:00:00"/>
    <x v="1"/>
    <s v="Autorizada Sucesso"/>
    <s v="Concluído"/>
    <s v="Item atualizado"/>
    <m/>
    <s v="Processo 2024"/>
    <m/>
    <m/>
    <m/>
  </r>
  <r>
    <x v="1155"/>
    <x v="0"/>
    <s v="HOSPITAL REGIONAL DO AGRESTE DR.WALDEMIRO FERREIRA"/>
    <s v="Consumo"/>
    <s v="ARP.0037.02.2024.GOV.FES-PE.PE"/>
    <s v="Registro de Preços para a eventual aquisição de Medicamentos Injetáveis (grupo 08)  visando atender a demanda dos hospitais e estabelecimentos da rede estadual de saúde de Pernambuco, conforme especificações e quantitativos previstos no Anexo I, para aten"/>
    <m/>
    <d v="2024-05-16T00:00:00"/>
    <x v="1"/>
    <s v="Autorizada Sucesso"/>
    <s v="Concluído"/>
    <s v="Item atualizado"/>
    <m/>
    <s v="Processo 2024"/>
    <m/>
    <m/>
    <m/>
  </r>
  <r>
    <x v="1156"/>
    <x v="22"/>
    <s v="HOSPITAL REGIONAL DO AGRESTE DR.WALDEMIRO FERREIRA"/>
    <s v="Consumo"/>
    <s v="ARPC.0026.00.2023.GOV.SAD.PE"/>
    <s v="Formação de Registro de Preços Corporativo para o fornecimento eventual de material de expediente (utensílios), visando atender as necessidades dos órgãos da Administração Direta, Autarquias e Fundações Públicas integrantes do Poder Executivo do Estado de"/>
    <m/>
    <d v="2024-05-15T00:00:00"/>
    <x v="1"/>
    <s v="Autorizada Sucesso"/>
    <s v="Processo 2024"/>
    <s v="Item atualizado"/>
    <m/>
    <s v="Processo 2024"/>
    <m/>
    <m/>
    <m/>
  </r>
  <r>
    <x v="1157"/>
    <x v="0"/>
    <s v="HOSPITAL REGIONAL DO AGRESTE DR.WALDEMIRO FERREIRA"/>
    <s v="Consumo"/>
    <s v="ARP.0048.11.2024.GOV.FES-PE.PE"/>
    <s v="Registro de Preços para a eventual aquisição de Medicamentos Controlados (grupo 04) visando atender a demanda dos hospitais e estabelecimentos da rede estadual de saúde de Pernambuco."/>
    <m/>
    <d v="2024-05-15T00:00:00"/>
    <x v="1"/>
    <s v="Autorizada Sucesso"/>
    <s v="Concluído"/>
    <s v="Item atualizado"/>
    <m/>
    <s v="Processo 2024"/>
    <m/>
    <m/>
    <m/>
  </r>
  <r>
    <x v="1158"/>
    <x v="0"/>
    <s v="HOSPITAL REGIONAL DO AGRESTE DR.WALDEMIRO FERREIRA"/>
    <s v="Consumo"/>
    <s v="ARP.0052.00.2024.GOV.FES-PE.PE"/>
    <s v="Formação de registro de preços para o eventual fornecimento de medicamentos injetáveis (grupo 06), visando atender a demanda dos Hospitais e Estabelecimentos da Rede Estadual de Saúde de Pernambuco"/>
    <m/>
    <d v="2024-05-15T00:00:00"/>
    <x v="1"/>
    <s v="Autorizada Sucesso"/>
    <s v="Concluído"/>
    <s v="Item atualizado"/>
    <m/>
    <s v="Processo 2024"/>
    <m/>
    <m/>
    <m/>
  </r>
  <r>
    <x v="1159"/>
    <x v="36"/>
    <s v="HOSPITAL REGIONAL DO AGRESTE DR.WALDEMIRO FERREIRA"/>
    <s v="Consumo"/>
    <s v="ARP.0005.05.2023.GOV.HRA.PE"/>
    <s v="REGISTRO DE PREÇO PARA EVENTUAL AQUISIÇÃO DE MATERIAL HOSPITALAR EM GERAL V"/>
    <m/>
    <d v="2024-05-14T00:00:00"/>
    <x v="1"/>
    <s v="Autorizada Sucesso"/>
    <s v="Processo 2024"/>
    <s v="Item atualizado"/>
    <m/>
    <s v="Processo 2024"/>
    <m/>
    <m/>
    <m/>
  </r>
  <r>
    <x v="1160"/>
    <x v="0"/>
    <s v="HOSPITAL REGIONAL DO AGRESTE DR.WALDEMIRO FERREIRA"/>
    <s v="Consumo"/>
    <s v="ARP.0046.05.2024.GOV.FES-PE.PE"/>
    <s v="Registro de Preços para a eventual aquisição de Medicamentos Injetáveis (grupo 05) visando atender a demanda dos hospitais e estabelecimentos da rede estadual de saúde de Pernambuco"/>
    <m/>
    <d v="2024-05-13T00:00:00"/>
    <x v="1"/>
    <s v="Autorizada Sucesso"/>
    <s v="Concluído"/>
    <s v="Item atualizado"/>
    <m/>
    <s v="Processo 2024"/>
    <m/>
    <m/>
    <m/>
  </r>
  <r>
    <x v="1161"/>
    <x v="0"/>
    <s v="HOSPITAL REGIONAL DO AGRESTE DR.WALDEMIRO FERREIRA"/>
    <s v="Consumo"/>
    <s v="ARP.0052.05.2024.GOV.FES-PE.PE"/>
    <s v="Formação de registro de preços para o eventual fornecimento de medicamentos injetáveis (grupo 06), visando atender a demanda dos Hospitais e Estabelecimentos da Rede Estadual de Saúde de Pernambuco"/>
    <m/>
    <d v="2024-05-13T00:00:00"/>
    <x v="1"/>
    <s v="Autorizada Sucesso"/>
    <s v="Concluído"/>
    <s v="Item atualizado"/>
    <m/>
    <s v="Processo 2024"/>
    <m/>
    <m/>
    <m/>
  </r>
  <r>
    <x v="1162"/>
    <x v="0"/>
    <s v="HOSPITAL REGIONAL DO AGRESTE DR.WALDEMIRO FERREIRA"/>
    <s v="Consumo"/>
    <s v="ARP.0025.02.2024.GOV.FES-PE.PE"/>
    <s v="Registro de Preços para eventual aquisição de Medicamentos Injetáveis (grupo 02) visando atender a demanda dos hospitais e estabelecimentos da rede estadual de saúde de Pernambuco."/>
    <m/>
    <d v="2024-05-10T00:00:00"/>
    <x v="1"/>
    <s v="Autorizada Sucesso"/>
    <s v="Concluído"/>
    <s v="Item atualizado"/>
    <m/>
    <s v="Processo 2024"/>
    <m/>
    <m/>
    <m/>
  </r>
  <r>
    <x v="1163"/>
    <x v="22"/>
    <s v="HOSPITAL REGIONAL DO AGRESTE DR.WALDEMIRO FERREIRA"/>
    <s v="Consumo"/>
    <s v="ARPC.0006.00.2024.GOV.SAD.PE"/>
    <s v="Registro de preços para fornecimento eventual de material de Expediente - Escrita e papel A4, visando atender as necessidades dos órgãos da Administração Direta, Autarquias e Fundações Públicas integrantes do Poder Executivo do Estado de Pernambuco."/>
    <m/>
    <d v="2024-05-09T00:00:00"/>
    <x v="0"/>
    <s v="Cancelada"/>
    <s v="Cancelado"/>
    <s v="Item não atualizado"/>
    <m/>
    <s v="Processo 2024"/>
    <m/>
    <m/>
    <m/>
  </r>
  <r>
    <x v="1164"/>
    <x v="22"/>
    <s v="HOSPITAL REGIONAL DO AGRESTE DR.WALDEMIRO FERREIRA"/>
    <s v="Consumo"/>
    <s v="ARPC.0026.00.2023.GOV.SAD.PE"/>
    <s v="Formação de Registro de Preços Corporativo para o fornecimento eventual de material de expediente (utensílios), visando atender as necessidades dos órgãos da Administração Direta, Autarquias e Fundações Públicas integrantes do Poder Executivo do Estado de"/>
    <m/>
    <d v="2024-05-08T00:00:00"/>
    <x v="1"/>
    <s v="Autorizada Sucesso"/>
    <s v="Processo 2024"/>
    <s v="Item atualizado"/>
    <m/>
    <s v="Processo 2024"/>
    <m/>
    <m/>
    <m/>
  </r>
  <r>
    <x v="1165"/>
    <x v="0"/>
    <s v="HOSPITAL REGIONAL DO AGRESTE DR.WALDEMIRO FERREIRA"/>
    <s v="Consumo"/>
    <s v="ARP.0031.14.2024.GOV.FES-PE.PE"/>
    <s v="Registro de Preços para a eventual aquisição de Medicamentos Antibióticos (grupo 01) visando atender a demanda dos hospitais e estabelecimentos da rede estadual de saúde de Pernambuco."/>
    <m/>
    <d v="2024-05-03T00:00:00"/>
    <x v="1"/>
    <s v="Autorizada Sucesso"/>
    <s v="Concluído"/>
    <s v="Item atualizado"/>
    <m/>
    <s v="Processo 2024"/>
    <m/>
    <m/>
    <m/>
  </r>
  <r>
    <x v="1166"/>
    <x v="36"/>
    <s v="HOSPITAL REGIONAL DO AGRESTE DR.WALDEMIRO FERREIRA"/>
    <s v="Consumo"/>
    <s v="ARP.0005.02.2023.GOV.HRA.PE"/>
    <s v="REGISTRO DE PREÇO PARA EVENTUAL AQUISIÇÃO DE MATERIAL HOSPITALAR EM GERAL V"/>
    <m/>
    <d v="2024-05-03T00:00:00"/>
    <x v="1"/>
    <s v="Autorizada Sucesso"/>
    <s v="Processo 2024"/>
    <s v="Item atualizado"/>
    <m/>
    <s v="Processo 2024"/>
    <m/>
    <m/>
    <m/>
  </r>
  <r>
    <x v="1167"/>
    <x v="36"/>
    <s v="HOSPITAL REGIONAL DO AGRESTE DR.WALDEMIRO FERREIRA"/>
    <s v="Consumo"/>
    <s v="ARP.0005.01.2023.GOV.HRA.PE"/>
    <s v="REGISTRO DE PREÇO PARA EVENTUAL AQUISIÇÃO DE MATERIAL HOSPITALAR EM GERAL V"/>
    <m/>
    <d v="2024-05-03T00:00:00"/>
    <x v="1"/>
    <s v="Autorizada Sucesso"/>
    <s v="Processo 2024"/>
    <s v="Item atualizado"/>
    <m/>
    <s v="Processo 2024"/>
    <m/>
    <m/>
    <m/>
  </r>
  <r>
    <x v="1168"/>
    <x v="0"/>
    <s v="HOSPITAL REGIONAL DO AGRESTE DR.WALDEMIRO FERREIRA"/>
    <s v="Consumo"/>
    <s v="ARP.0046.05.2024.GOV.FES-PE.PE"/>
    <s v="Registro de Preços para a eventual aquisição de Medicamentos Injetáveis (grupo 05) visando atender a demanda dos hospitais e estabelecimentos da rede estadual de saúde de Pernambuco"/>
    <m/>
    <d v="2024-05-02T00:00:00"/>
    <x v="1"/>
    <s v="Autorizada Sucesso"/>
    <s v="Concluído"/>
    <s v="Item atualizado"/>
    <m/>
    <s v="Processo 2024"/>
    <m/>
    <m/>
    <m/>
  </r>
  <r>
    <x v="1169"/>
    <x v="22"/>
    <s v="HOSPITAL REGIONAL DO AGRESTE DR.WALDEMIRO FERREIRA"/>
    <s v="Consumo"/>
    <s v="ARPC.0006.00.2024.GOV.SAD.PE"/>
    <s v="Registro de preços para fornecimento eventual de material de Expediente - Escrita e papel A4, visando atender as necessidades dos órgãos da Administração Direta, Autarquias e Fundações Públicas integrantes do Poder Executivo do Estado de Pernambuco."/>
    <m/>
    <d v="2024-04-30T00:00:00"/>
    <x v="1"/>
    <s v="Autorizada Sucesso"/>
    <s v="Concluído"/>
    <s v="Item atualizado"/>
    <m/>
    <s v="Processo 2024"/>
    <m/>
    <m/>
    <m/>
  </r>
  <r>
    <x v="1170"/>
    <x v="36"/>
    <s v="HOSPITAL REGIONAL DO AGRESTE DR.WALDEMIRO FERREIRA"/>
    <s v="Consumo"/>
    <s v="ARP.0005.07.2023.GOV.HRA.PE"/>
    <s v="REGISTRO DE PREÇO PARA EVENTUAL AQUISIÇÃO DE MATERIAL HOSPITALAR EM GERAL V"/>
    <m/>
    <d v="2024-04-26T00:00:00"/>
    <x v="1"/>
    <s v="Autorizada Sucesso"/>
    <s v="Processo 2024"/>
    <s v="Item atualizado"/>
    <m/>
    <s v="Processo 2024"/>
    <m/>
    <m/>
    <m/>
  </r>
  <r>
    <x v="1171"/>
    <x v="36"/>
    <s v="HOSPITAL REGIONAL DO AGRESTE DR.WALDEMIRO FERREIRA"/>
    <s v="Consumo"/>
    <s v="ARP.0005.10.2023.GOV.HRA.PE"/>
    <s v="REGISTRO DE PREÇO PARA EVENTUAL AQUISIÇÃO DE MATERIAL HOSPITALAR EM GERAL V"/>
    <m/>
    <d v="2024-04-26T00:00:00"/>
    <x v="1"/>
    <s v="Autorizada Sucesso"/>
    <s v="Processo 2024"/>
    <s v="Item atualizado"/>
    <m/>
    <s v="Processo 2024"/>
    <m/>
    <m/>
    <m/>
  </r>
  <r>
    <x v="1172"/>
    <x v="22"/>
    <s v="HOSPITAL REGIONAL DO AGRESTE DR.WALDEMIRO FERREIRA"/>
    <s v="Consumo"/>
    <s v="ARPC.0006.00.2024.GOV.SAD.PE"/>
    <s v="Registro de preços para fornecimento eventual de material de Expediente - Escrita e papel A4, visando atender as necessidades dos órgãos da Administração Direta, Autarquias e Fundações Públicas integrantes do Poder Executivo do Estado de Pernambuco."/>
    <m/>
    <d v="2024-04-26T00:00:00"/>
    <x v="1"/>
    <s v="Autorizada Sucesso"/>
    <s v="Concluído"/>
    <s v="Item atualizado"/>
    <m/>
    <s v="Processo 2024"/>
    <m/>
    <m/>
    <m/>
  </r>
  <r>
    <x v="1173"/>
    <x v="0"/>
    <s v="HOSPITAL REGIONAL DO AGRESTE DR.WALDEMIRO FERREIRA"/>
    <s v="Consumo"/>
    <s v="ARP.0046.05.2024.GOV.FES-PE.PE"/>
    <s v="Registro de Preços para a eventual aquisição de Medicamentos Injetáveis (grupo 05) visando atender a demanda dos hospitais e estabelecimentos da rede estadual de saúde de Pernambuco"/>
    <m/>
    <d v="2024-04-24T00:00:00"/>
    <x v="1"/>
    <s v="Autorizada Sucesso"/>
    <s v="Concluído"/>
    <s v="Item atualizado"/>
    <m/>
    <s v="Processo 2024"/>
    <m/>
    <m/>
    <m/>
  </r>
  <r>
    <x v="1174"/>
    <x v="22"/>
    <s v="HOSPITAL REGIONAL DO AGRESTE DR.WALDEMIRO FERREIRA"/>
    <s v="Consumo"/>
    <s v="ARPC.0007.00.2024.GOV.SAD.PE"/>
    <s v="Formação de Registro de Preços Corporativo para o fornecimento eventual de material de higiene pessoal, visando atender as necessidades dos órgãos da Administração Direta, Autarquias e Fundações Públicas integrantes do Poder Executivo do Estado de Pernamb"/>
    <m/>
    <d v="2024-04-19T00:00:00"/>
    <x v="1"/>
    <s v="Autorizada Sucesso"/>
    <s v="Concluído"/>
    <s v="Item atualizado"/>
    <m/>
    <s v="Processo 2024"/>
    <m/>
    <m/>
    <m/>
  </r>
  <r>
    <x v="1175"/>
    <x v="22"/>
    <s v="HOSPITAL REGIONAL DO AGRESTE DR.WALDEMIRO FERREIRA"/>
    <s v="Consumo"/>
    <s v="ARPC.0007.00.2024.GOV.SAD.PE"/>
    <s v="Formação de Registro de Preços Corporativo para o fornecimento eventual de material de higiene pessoal, visando atender as necessidades dos órgãos da Administração Direta, Autarquias e Fundações Públicas integrantes do Poder Executivo do Estado de Pernamb"/>
    <m/>
    <d v="2024-04-16T00:00:00"/>
    <x v="0"/>
    <s v="Cancelada"/>
    <s v="Cancelado"/>
    <s v="Item não atualizado"/>
    <m/>
    <s v="Processo 2024"/>
    <m/>
    <m/>
    <m/>
  </r>
  <r>
    <x v="1176"/>
    <x v="0"/>
    <s v="HOSPITAL REGIONAL DO AGRESTE DR.WALDEMIRO FERREIRA"/>
    <s v="Consumo"/>
    <s v="ARP.0040.03.2024.GOV.FES-PE.PE"/>
    <s v="PREGÃO ELETRÔNICO PARA REGISTRO DE PREÇOS COM VALIDADE DE 12 (DOZE) MESES PARA EVENTUAL FORNECIMENTO DE MEDICAMENTOS INJETÁVEIS (GRUPO 03) VISANDO ATENDER A DEMANDA DOS HOSPITAIS E ESTABELECIMENTOS DA REDE ESTADUAL DE SAÚDE DE PERNAMBUCO"/>
    <m/>
    <d v="2024-04-12T00:00:00"/>
    <x v="1"/>
    <s v="Autorizada Sucesso"/>
    <s v="Concluído"/>
    <s v="Item atualizado"/>
    <m/>
    <s v="Processo 2024"/>
    <m/>
    <m/>
    <m/>
  </r>
  <r>
    <x v="1177"/>
    <x v="0"/>
    <s v="HOSPITAL REGIONAL DO AGRESTE DR.WALDEMIRO FERREIRA"/>
    <s v="Consumo"/>
    <s v="ARP.0040.04.2024.GOV.FES-PE.PE"/>
    <s v="PREGÃO ELETRÔNICO PARA REGISTRO DE PREÇOS COM VALIDADE DE 12 (DOZE) MESES PARA EVENTUAL FORNECIMENTO DE MEDICAMENTOS INJETÁVEIS (GRUPO 03) VISANDO ATENDER A DEMANDA DOS HOSPITAIS E ESTABELECIMENTOS DA REDE ESTADUAL DE SAÚDE DE PERNAMBUCO"/>
    <m/>
    <d v="2024-04-12T00:00:00"/>
    <x v="1"/>
    <s v="Autorizada Sucesso"/>
    <s v="Concluído"/>
    <s v="Item atualizado"/>
    <m/>
    <s v="Processo 2024"/>
    <m/>
    <m/>
    <m/>
  </r>
  <r>
    <x v="1178"/>
    <x v="22"/>
    <s v="HOSPITAL REGIONAL DO AGRESTE DR.WALDEMIRO FERREIRA"/>
    <s v="Consumo"/>
    <s v="ARPC.0003.00.2024.GOV.SAD.PE"/>
    <s v="Registro de Preços Corporativo para o fornecimento eventual de MATERIAL DE LIMPEZA, visando atender as necessidades dos órgãos da Administração Direta, Autarquias e Fundações Públicas integrantes do Poder Executivo do Estado de Pernambuco"/>
    <m/>
    <d v="2024-04-11T00:00:00"/>
    <x v="1"/>
    <s v="Autorizada Sucesso"/>
    <s v="Concluído"/>
    <s v="Item atualizado"/>
    <m/>
    <s v="Processo 2024"/>
    <m/>
    <m/>
    <m/>
  </r>
  <r>
    <x v="1179"/>
    <x v="22"/>
    <s v="HOSPITAL REGIONAL DO AGRESTE DR.WALDEMIRO FERREIRA"/>
    <s v="Consumo"/>
    <s v="ARPC.0018.00.2023.GOV.SAD.PE"/>
    <s v="Registro de preços corporativo para a eventual aquisição de Material Médico-Hospitalar(kit cirúrgico), para atender ás demandas dos órgãos da Administração Direta, Autarquias e Fundações Públicas integrantes do Poder Executivo do Estado de Pernambuco."/>
    <m/>
    <d v="2024-04-11T00:00:00"/>
    <x v="1"/>
    <s v="Autorizada Sucesso"/>
    <s v="Processo 2024"/>
    <s v="Item atualizado"/>
    <m/>
    <s v="Processo 2024"/>
    <m/>
    <m/>
    <m/>
  </r>
  <r>
    <x v="1180"/>
    <x v="0"/>
    <s v="HOSPITAL REGIONAL DO AGRESTE DR.WALDEMIRO FERREIRA"/>
    <s v="Consumo"/>
    <s v="ARP.0025.04.2024.GOV.FES-PE.PE"/>
    <s v="Registro de Preços para eventual aquisição de Medicamentos Injetáveis (grupo 02) visando atender a demanda dos hospitais e estabelecimentos da rede estadual de saúde de Pernambuco."/>
    <m/>
    <d v="2024-04-09T00:00:00"/>
    <x v="0"/>
    <s v="Cancelada"/>
    <s v="Cancelado"/>
    <s v="Item não atualizado"/>
    <m/>
    <s v="Processo 2024"/>
    <m/>
    <m/>
    <m/>
  </r>
  <r>
    <x v="1181"/>
    <x v="0"/>
    <s v="HOSPITAL REGIONAL DO AGRESTE DR.WALDEMIRO FERREIRA"/>
    <s v="Consumo"/>
    <s v="ARP.0024.01.2024.GOV.FES-PE.PE"/>
    <s v="Registro de Preços para a eventual aquisição de Medicamentos Antimicrobianos (grupo 02) visando atender a demanda dos hospitais e estabelecimentos da rede estadual de saúde de Pernambuco."/>
    <m/>
    <d v="2024-04-09T00:00:00"/>
    <x v="1"/>
    <s v="Autorizada Sucesso"/>
    <s v="Concluído"/>
    <s v="Item atualizado"/>
    <m/>
    <s v="Processo 2024"/>
    <m/>
    <m/>
    <m/>
  </r>
  <r>
    <x v="1182"/>
    <x v="0"/>
    <s v="HOSPITAL REGIONAL DO AGRESTE DR.WALDEMIRO FERREIRA"/>
    <s v="Consumo"/>
    <s v="ARP.0037.00.2024.GOV.FES-PE.PE"/>
    <s v="Registro de Preços para a eventual aquisição de Medicamentos Injetáveis (grupo 08)  visando atender a demanda dos hospitais e estabelecimentos da rede estadual de saúde de Pernambuco, conforme especificações e quantitativos previstos no Anexo I, para aten"/>
    <m/>
    <d v="2024-04-08T00:00:00"/>
    <x v="1"/>
    <s v="Autorizada Sucesso"/>
    <s v="Concluído"/>
    <s v="Item atualizado"/>
    <m/>
    <s v="Processo 2024"/>
    <m/>
    <m/>
    <m/>
  </r>
  <r>
    <x v="1183"/>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m/>
    <d v="2024-04-08T00:00:00"/>
    <x v="1"/>
    <s v="Autorizada Sucesso"/>
    <s v="Concluído"/>
    <s v="Item atualizado"/>
    <m/>
    <s v="Processo 2024"/>
    <m/>
    <m/>
    <m/>
  </r>
  <r>
    <x v="1184"/>
    <x v="22"/>
    <s v="HOSPITAL REGIONAL DO AGRESTE DR.WALDEMIRO FERREIRA"/>
    <s v="Consumo"/>
    <s v="ARPC.0008.00.2023.GOV.SAD.PE"/>
    <s v="Registro de Preços Corporativo para o fornecimento de aparelhos condicionadores de ar, conforme especificações e quantitativos previstos no Termo de Referência (Anexo I), para atender às demandas dos órgãos participantes indicados no mencionado Anexo"/>
    <m/>
    <d v="2024-04-04T00:00:00"/>
    <x v="1"/>
    <s v="Autorizada Sucesso"/>
    <s v="Processo 2024"/>
    <s v="Item atualizado"/>
    <m/>
    <s v="Processo 2024"/>
    <m/>
    <m/>
    <m/>
  </r>
  <r>
    <x v="1185"/>
    <x v="36"/>
    <s v="HOSPITAL REGIONAL DO AGRESTE DR.WALDEMIRO FERREIRA"/>
    <s v="Consumo"/>
    <s v="ARP.0005.08.2023.GOV.HRA.PE"/>
    <s v="REGISTRO DE PREÇO PARA EVENTUAL AQUISIÇÃO DE MATERIAL HOSPITALAR EM GERAL V"/>
    <m/>
    <d v="2024-04-03T00:00:00"/>
    <x v="1"/>
    <s v="Autorizada Sucesso"/>
    <s v="Processo 2024"/>
    <s v="Item atualizado"/>
    <m/>
    <s v="Processo 2024"/>
    <m/>
    <m/>
    <m/>
  </r>
  <r>
    <x v="1186"/>
    <x v="36"/>
    <s v="HOSPITAL REGIONAL DO AGRESTE DR.WALDEMIRO FERREIRA"/>
    <s v="Consumo"/>
    <s v="ARP.0005.08.2023.GOV.HRA.PE"/>
    <s v="REGISTRO DE PREÇO PARA EVENTUAL AQUISIÇÃO DE MATERIAL HOSPITALAR EM GERAL V"/>
    <m/>
    <d v="2024-04-03T00:00:00"/>
    <x v="1"/>
    <s v="Autorizada Sucesso"/>
    <s v="Processo 2024"/>
    <s v="Item atualizado"/>
    <m/>
    <s v="Processo 2024"/>
    <m/>
    <m/>
    <m/>
  </r>
  <r>
    <x v="1187"/>
    <x v="22"/>
    <s v="HOSPITAL REGIONAL DO AGRESTE DR.WALDEMIRO FERREIRA"/>
    <s v="Consumo"/>
    <s v="ARPC.0026.00.2023.GOV.SAD.PE"/>
    <s v="Formação de Registro de Preços Corporativo para o fornecimento eventual de material de expediente (utensílios), visando atender as necessidades dos órgãos da Administração Direta, Autarquias e Fundações Públicas integrantes do Poder Executivo do Estado de"/>
    <m/>
    <d v="2024-04-01T00:00:00"/>
    <x v="1"/>
    <s v="Autorizada Sucesso"/>
    <s v="Processo 2024"/>
    <s v="Item atualizado"/>
    <m/>
    <s v="Processo 2024"/>
    <m/>
    <m/>
    <m/>
  </r>
  <r>
    <x v="1188"/>
    <x v="22"/>
    <s v="HOSPITAL REGIONAL DO AGRESTE DR.WALDEMIRO FERREIRA"/>
    <s v="Consumo"/>
    <s v="ARPC.0003.00.2024.GOV.SAD.PE"/>
    <s v="Registro de Preços Corporativo para o fornecimento eventual de MATERIAL DE LIMPEZA, visando atender as necessidades dos órgãos da Administração Direta, Autarquias e Fundações Públicas integrantes do Poder Executivo do Estado de Pernambuco"/>
    <m/>
    <d v="2024-04-01T00:00:00"/>
    <x v="0"/>
    <s v="Cancelada"/>
    <s v="Cancelado"/>
    <s v="Item não atualizado"/>
    <m/>
    <s v="Processo 2024"/>
    <m/>
    <m/>
    <m/>
  </r>
  <r>
    <x v="1189"/>
    <x v="22"/>
    <s v="HOSPITAL REGIONAL DO AGRESTE DR.WALDEMIRO FERREIRA"/>
    <s v="Consumo"/>
    <s v="ARPC.0006.00.2024.GOV.SAD.PE"/>
    <s v="Registro de preços para fornecimento eventual de material de Expediente - Escrita e papel A4, visando atender as necessidades dos órgãos da Administração Direta, Autarquias e Fundações Públicas integrantes do Poder Executivo do Estado de Pernambuco."/>
    <m/>
    <d v="2024-03-27T00:00:00"/>
    <x v="0"/>
    <s v="Cancelada"/>
    <s v="Cancelado"/>
    <s v="Item não atualizado"/>
    <m/>
    <s v="Processo 2024"/>
    <m/>
    <m/>
    <m/>
  </r>
  <r>
    <x v="1190"/>
    <x v="36"/>
    <s v="HOSPITAL REGIONAL DO AGRESTE DR.WALDEMIRO FERREIRA"/>
    <s v="Consumo"/>
    <s v="ARP.0001.00.2024.GOV.HRA.PE"/>
    <s v="PREGÃO ELETRÔNICO para Registro de Preços para contratação de prestação de serviços de LOCAÇÃO DE EQUIPAMENTO DE EXAMES LABORATORIAIS-DO TIPO ANALISADOR QUÍMICO, visando atender as necessidades do Hospital Regional do Agreste"/>
    <s v="NFOCPO"/>
    <d v="2024-03-22T00:00:00"/>
    <x v="1"/>
    <s v="Autorizada Sucesso"/>
    <s v="Concluído"/>
    <s v="Item atualizado"/>
    <m/>
    <s v="Processo 2024"/>
    <s v="Enviado ao GFIN"/>
    <s v="2300001216.000021/2023-35"/>
    <s v="-"/>
  </r>
  <r>
    <x v="1191"/>
    <x v="36"/>
    <s v="HOSPITAL REGIONAL DO AGRESTE DR.WALDEMIRO FERREIRA"/>
    <s v="Consumo"/>
    <s v="ARP.0005.05.2023.GOV.HRA.PE"/>
    <s v="REGISTRO DE PREÇO PARA EVENTUAL AQUISIÇÃO DE MATERIAL HOSPITALAR EM GERAL V"/>
    <m/>
    <d v="2024-03-21T00:00:00"/>
    <x v="1"/>
    <s v="Autorizada Sucesso"/>
    <s v="Processo 2024"/>
    <s v="Item atualizado"/>
    <m/>
    <s v="Processo 2024"/>
    <m/>
    <m/>
    <m/>
  </r>
  <r>
    <x v="1192"/>
    <x v="36"/>
    <s v="HOSPITAL REGIONAL DO AGRESTE DR.WALDEMIRO FERREIRA"/>
    <s v="Consumo"/>
    <s v="ARP.0005.04.2023.GOV.HRA.PE"/>
    <s v="REGISTRO DE PREÇO PARA EVENTUAL AQUISIÇÃO DE MATERIAL HOSPITALAR EM GERAL V"/>
    <m/>
    <d v="2024-03-21T00:00:00"/>
    <x v="1"/>
    <s v="Autorizada Sucesso"/>
    <s v="Processo 2024"/>
    <s v="Item atualizado"/>
    <m/>
    <s v="Processo 2024"/>
    <m/>
    <m/>
    <m/>
  </r>
  <r>
    <x v="1193"/>
    <x v="36"/>
    <s v="HOSPITAL REGIONAL DO AGRESTE DR.WALDEMIRO FERREIRA"/>
    <s v="Consumo"/>
    <s v="ARP.0005.00.2023.GOV.HRA.PE"/>
    <s v="REGISTRO DE PREÇO PARA EVENTUAL AQUISIÇÃO DE MATERIAL HOSPITALAR EM GERAL V"/>
    <m/>
    <d v="2024-03-21T00:00:00"/>
    <x v="1"/>
    <s v="Autorizada Sucesso"/>
    <s v="Processo 2024"/>
    <s v="Item atualizado"/>
    <m/>
    <s v="Processo 2024"/>
    <m/>
    <m/>
    <m/>
  </r>
  <r>
    <x v="1194"/>
    <x v="36"/>
    <s v="HOSPITAL REGIONAL DO AGRESTE DR.WALDEMIRO FERREIRA"/>
    <s v="Consumo"/>
    <s v="ARP.0003.06.2023.GOV.HRA.PE"/>
    <s v="REGISTRO DE PREÇOS PARA AQUISIÇÃO DE MEDICAMENTOS EM GERAL VI"/>
    <s v="NFOCPO"/>
    <d v="2024-03-21T00:00:00"/>
    <x v="1"/>
    <s v="Cancelada"/>
    <s v="Processo 2024"/>
    <s v="Item atualizado"/>
    <m/>
    <s v="Processo 2024"/>
    <m/>
    <m/>
    <m/>
  </r>
  <r>
    <x v="1195"/>
    <x v="36"/>
    <s v="HOSPITAL REGIONAL DO AGRESTE DR.WALDEMIRO FERREIRA"/>
    <s v="Consumo"/>
    <s v="ARP.0003.05.2023.GOV.HRA.PE"/>
    <s v="REGISTRO DE PREÇOS PARA AQUISIÇÃO DE MEDICAMENTOS EM GERAL VI"/>
    <s v="NFOCPO"/>
    <d v="2024-03-21T00:00:00"/>
    <x v="1"/>
    <s v="Cancelada"/>
    <s v="Processo 2024"/>
    <s v="Item atualizado"/>
    <m/>
    <s v="Processo 2024"/>
    <m/>
    <m/>
    <m/>
  </r>
  <r>
    <x v="1196"/>
    <x v="36"/>
    <s v="HOSPITAL REGIONAL DO AGRESTE DR.WALDEMIRO FERREIRA"/>
    <s v="Consumo"/>
    <s v="ARP.0003.04.2023.GOV.HRA.PE"/>
    <s v="REGISTRO DE PREÇOS PARA AQUISIÇÃO DE MEDICAMENTOS EM GERAL VI"/>
    <s v="NFOCPO"/>
    <d v="2024-03-21T00:00:00"/>
    <x v="1"/>
    <s v="Cancelada"/>
    <s v="Processo 2024"/>
    <s v="Item atualizado"/>
    <m/>
    <s v="Processo 2024"/>
    <m/>
    <m/>
    <m/>
  </r>
  <r>
    <x v="1197"/>
    <x v="36"/>
    <s v="HOSPITAL REGIONAL DO AGRESTE DR.WALDEMIRO FERREIRA"/>
    <s v="Consumo"/>
    <s v="ARP.0003.08.2023.GOV.HRA.PE"/>
    <s v="REGISTRO DE PREÇOS PARA AQUISIÇÃO DE MEDICAMENTOS EM GERAL VI"/>
    <s v="NFOCPO"/>
    <d v="2024-03-21T00:00:00"/>
    <x v="1"/>
    <s v="Cancelada"/>
    <s v="Processo 2024"/>
    <s v="Item atualizado"/>
    <m/>
    <s v="Processo 2024"/>
    <m/>
    <m/>
    <m/>
  </r>
  <r>
    <x v="1198"/>
    <x v="22"/>
    <s v="HOSPITAL REGIONAL DO AGRESTE DR.WALDEMIRO FERREIRA"/>
    <s v="Consumo"/>
    <s v="ARPC.0005.00.2024.GOV.SAD.PE"/>
    <s v="Registro de preços corporativo para a eventual aquisição de Material Médico-Hospitalar (Cloreto de Sódio), para atender às demandas dos órgãos da Administração Direta, Autarquias e Fundações Públicas integrantes do Poder Executivo do Estado de Pernambuco."/>
    <m/>
    <d v="2024-03-15T00:00:00"/>
    <x v="0"/>
    <s v="Cancelada"/>
    <s v="Cancelado"/>
    <s v="Item não atualizado"/>
    <m/>
    <s v="Processo 2024"/>
    <m/>
    <m/>
    <m/>
  </r>
  <r>
    <x v="1199"/>
    <x v="22"/>
    <s v="HOSPITAL REGIONAL DO AGRESTE DR.WALDEMIRO FERREIRA"/>
    <s v="Consumo"/>
    <s v="ARPC.0005.00.2024.GOV.SAD.PE"/>
    <s v="Registro de preços corporativo para a eventual aquisição de Material Médico-Hospitalar (Cloreto de Sódio), para atender às demandas dos órgãos da Administração Direta, Autarquias e Fundações Públicas integrantes do Poder Executivo do Estado de Pernambuco."/>
    <s v="NFOCPO"/>
    <d v="2024-03-15T00:00:00"/>
    <x v="1"/>
    <s v="Autorizada Sucesso"/>
    <s v="Concluído"/>
    <s v="Item atualizado"/>
    <s v="Daniele"/>
    <s v="Processo 2024"/>
    <s v="Enviado ao GFIN"/>
    <s v="2300001213.000109/2024-68"/>
    <s v="ITEM RECEBIDO E PAGO"/>
  </r>
  <r>
    <x v="1200"/>
    <x v="0"/>
    <s v="HOSPITAL REGIONAL DO AGRESTE DR.WALDEMIRO FERREIRA"/>
    <s v="Consumo"/>
    <s v="ARP.0025.06.2024.GOV.FES-PE.PE"/>
    <s v="Registro de Preços para eventual aquisição de Medicamentos Injetáveis (grupo 02) visando atender a demanda dos hospitais e estabelecimentos da rede estadual de saúde de Pernambuco."/>
    <s v="NFOCPO"/>
    <d v="2024-03-13T00:00:00"/>
    <x v="1"/>
    <s v="Autorizada Sucesso"/>
    <s v="Concluído"/>
    <s v="Item atualizado"/>
    <s v="Daniele"/>
    <s v="Processo 2024"/>
    <s v="Enviado ao GFIN"/>
    <s v="2300001213.000111/2024-37"/>
    <s v="ITEM RECEBIDO E PAGO"/>
  </r>
  <r>
    <x v="1201"/>
    <x v="0"/>
    <s v="HOSPITAL REGIONAL DO AGRESTE DR.WALDEMIRO FERREIRA"/>
    <s v="Consumo"/>
    <s v="ARP.0025.03.2024.GOV.FES-PE.PE"/>
    <s v="Registro de Preços para eventual aquisição de Medicamentos Injetáveis (grupo 02) visando atender a demanda dos hospitais e estabelecimentos da rede estadual de saúde de Pernambuco."/>
    <s v="NFOCPO"/>
    <d v="2024-03-13T00:00:00"/>
    <x v="1"/>
    <s v="Autorizada Sucesso"/>
    <s v="Concluído"/>
    <s v="Item atualizado"/>
    <s v="Daniele"/>
    <s v="Processo 2024"/>
    <s v="Enviado ao GFIN"/>
    <s v="2300001213.000110/2024-92"/>
    <s v="ITEM RECEBIDO E PAGO"/>
  </r>
  <r>
    <x v="1202"/>
    <x v="0"/>
    <s v="HOSPITAL REGIONAL DO AGRESTE DR.WALDEMIRO FERREIRA"/>
    <s v="Consumo"/>
    <s v="ARP.0025.02.2024.GOV.FES-PE.PE"/>
    <s v="Registro de Preços para eventual aquisição de Medicamentos Injetáveis (grupo 02) visando atender a demanda dos hospitais e estabelecimentos da rede estadual de saúde de Pernambuco."/>
    <s v="NFOCPO"/>
    <d v="2024-03-12T00:00:00"/>
    <x v="1"/>
    <s v="Autorizada Sucesso"/>
    <s v="Concluído"/>
    <s v="Item atualizado"/>
    <s v="Daniele"/>
    <s v="Processo 2024"/>
    <s v="Enviado ao GFIN"/>
    <s v="2300001213.000108/2024-13"/>
    <s v="ITEM RECEBIDO E PAGO"/>
  </r>
  <r>
    <x v="1203"/>
    <x v="0"/>
    <s v="HOSPITAL REGIONAL DO AGRESTE DR.WALDEMIRO FERREIRA"/>
    <s v="Consumo"/>
    <s v="ARP.0025.01.2024.GOV.FES-PE.PE"/>
    <s v="Registro de Preços para eventual aquisição de Medicamentos Injetáveis (grupo 02) visando atender a demanda dos hospitais e estabelecimentos da rede estadual de saúde de Pernambuco."/>
    <s v="NFOCPO"/>
    <d v="2024-03-12T00:00:00"/>
    <x v="1"/>
    <s v="Autorizada Sucesso"/>
    <s v="Concluído"/>
    <s v="Item atualizado"/>
    <s v="Daniele"/>
    <s v="Processo 2024"/>
    <s v="Enviado ao GFIN"/>
    <s v="2300001213.000107/2024-79"/>
    <s v="ITEM RECEBIDO E PAGO"/>
  </r>
  <r>
    <x v="1204"/>
    <x v="0"/>
    <s v="HOSPITAL REGIONAL DO AGRESTE DR.WALDEMIRO FERREIRA"/>
    <s v="Consumo"/>
    <s v="ARP.0018.06.2024.GOV.FES-PE.PE"/>
    <s v="Registro de Preços para a eventual aquisição de Medicamentos Antibióticos (grupo 02) visando atender a demanda dos hospitais e estabelecimentos da rede estadual de saúde de Pernambuco."/>
    <s v="NFOCPO"/>
    <d v="2024-03-12T00:00:00"/>
    <x v="1"/>
    <s v="Autorizada Sucesso"/>
    <s v="Concluído"/>
    <s v="Item atualizado"/>
    <s v="Daniele"/>
    <s v="Processo 2024"/>
    <s v="Enviado ao NOF"/>
    <s v="2300001213.000106/2024-24"/>
    <s v="ITEM NÃO FOI RECEBIDO"/>
  </r>
  <r>
    <x v="1205"/>
    <x v="0"/>
    <s v="HOSPITAL REGIONAL DO AGRESTE DR.WALDEMIRO FERREIRA"/>
    <s v="Consumo"/>
    <s v="ARP.0018.01.2024.GOV.FES-PE.PE"/>
    <s v="Registro de Preços para a eventual aquisição de Medicamentos Antibióticos (grupo 02) visando atender a demanda dos hospitais e estabelecimentos da rede estadual de saúde de Pernambuco."/>
    <s v="NFOCPO"/>
    <d v="2024-03-12T00:00:00"/>
    <x v="1"/>
    <s v="Autorizada Sucesso"/>
    <s v="Concluído"/>
    <s v="Item atualizado"/>
    <s v="Daniele"/>
    <s v="Processo 2024"/>
    <s v="Enviado ao GFIN"/>
    <s v="2300001213.000105/2024-80"/>
    <s v="ITEM RECEBIDO E PAGO"/>
  </r>
  <r>
    <x v="1206"/>
    <x v="0"/>
    <s v="HOSPITAL REGIONAL DO AGRESTE DR.WALDEMIRO FERREIRA"/>
    <s v="Consumo"/>
    <s v="ARP.0018.00.2024.GOV.FES-PE.PE"/>
    <s v="Registro de Preços para a eventual aquisição de Medicamentos Antibióticos (grupo 02) visando atender a demanda dos hospitais e estabelecimentos da rede estadual de saúde de Pernambuco."/>
    <s v="NFOCPO"/>
    <d v="2024-03-11T00:00:00"/>
    <x v="1"/>
    <s v="Autorizada Sucesso"/>
    <s v="Concluído"/>
    <s v="Item atualizado"/>
    <s v="Daniele"/>
    <s v="Processo 2024"/>
    <s v="Enviado ao GFIN"/>
    <s v="2300001213.000129/2024-39"/>
    <s v="ITEM RECEBIDO E PAGO"/>
  </r>
  <r>
    <x v="1207"/>
    <x v="36"/>
    <s v="HOSPITAL REGIONAL DO AGRESTE DR.WALDEMIRO FERREIRA"/>
    <s v="Consumo"/>
    <s v="ARP.0005.08.2023.GOV.HRA.PE"/>
    <s v="REGISTRO DE PREÇO PARA EVENTUAL AQUISIÇÃO DE MATERIAL HOSPITALAR EM GERAL V"/>
    <m/>
    <d v="2024-03-05T00:00:00"/>
    <x v="1"/>
    <s v="Autorizada Sucesso"/>
    <s v="Processo 2024"/>
    <s v="Item atualizado"/>
    <m/>
    <s v="Processo 2024"/>
    <m/>
    <m/>
    <m/>
  </r>
  <r>
    <x v="1208"/>
    <x v="36"/>
    <s v="HOSPITAL REGIONAL DO AGRESTE DR.WALDEMIRO FERREIRA"/>
    <s v="Consumo"/>
    <s v="ARP.0003.08.2023.GOV.HRA.PE"/>
    <s v="REGISTRO DE PREÇOS PARA AQUISIÇÃO DE MEDICAMENTOS EM GERAL VI"/>
    <m/>
    <d v="2024-02-14T00:00:00"/>
    <x v="0"/>
    <s v="Cancelada"/>
    <s v="Processo 2024"/>
    <s v="Item não atualizado"/>
    <m/>
    <s v="Processo 2024"/>
    <m/>
    <m/>
    <m/>
  </r>
  <r>
    <x v="1209"/>
    <x v="36"/>
    <s v="HOSPITAL REGIONAL DO AGRESTE DR.WALDEMIRO FERREIRA"/>
    <s v="Consumo"/>
    <s v="ARP.0003.02.2023.GOV.HRA.PE"/>
    <s v="REGISTRO DE PREÇOS PARA AQUISIÇÃO DE MEDICAMENTOS EM GERAL VI"/>
    <m/>
    <d v="2024-02-02T00:00:00"/>
    <x v="1"/>
    <s v="Autorizada Sucesso"/>
    <s v="Processo 2024"/>
    <s v="Item atualizado"/>
    <m/>
    <s v="Processo 2024"/>
    <m/>
    <m/>
    <m/>
  </r>
  <r>
    <x v="37"/>
    <x v="0"/>
    <s v="HOSPITAL REGIONAL DO AGRESTE DR.WALDEMIRO FERREIRA"/>
    <s v="Adesão"/>
    <s v="ARP.0068.04.2025.GOV.FES-PE.PE"/>
    <s v="REGISTRO DE PREÇOS PARA O FORNECIMENTO DE DISPOSITIVOS MÉDICOS, DO TIPO INSUMOS PARA OSTOMIA"/>
    <s v="NFOCPO"/>
    <d v="2025-09-18T00:00:00"/>
    <x v="0"/>
    <s v="Em configuração"/>
    <s v="Cancelar Com o Suporte"/>
    <s v="Item atualizado"/>
    <m/>
    <s v="Cancelar Com o Suporte"/>
    <s v="SEI não localizado"/>
    <m/>
    <m/>
  </r>
  <r>
    <x v="1210"/>
    <x v="0"/>
    <s v="HOSPITAL REGIONAL DO AGRESTE DR.WALDEMIRO FERREIRA"/>
    <s v="Consumo"/>
    <s v="ARP.0017.04.2025.GOV.FES-PE.PE"/>
    <s v="Formação de Registro de Preços para o fornecimento eventual de Medicamentos do tipo Diversos – Grupo 01, a fim de atender as necessidades dos hospitais e estabelecimentos vinculados à SES/PE"/>
    <s v="NFOCPO"/>
    <d v="2025-02-24T00:00:00"/>
    <x v="6"/>
    <s v="Encaminhada para o gestor de ata"/>
    <s v="Cancelar Com o Suporte"/>
    <s v="Item não atualizado"/>
    <s v="Raquel"/>
    <s v="Cancelado"/>
    <s v="Enviado a SSUPRI"/>
    <s v="2300001207.000062/2025-01"/>
    <s v="CANCELAR CONSUMO - ATA CCD"/>
  </r>
  <r>
    <x v="1211"/>
    <x v="1"/>
    <s v="HOSPITAL REGIONAL DO AGRESTE DR.WALDEMIRO FERREIRA"/>
    <s v="Adesão"/>
    <s v="ARP.0189.00.2025.GOV.HUOC.PE"/>
    <s v="Registro de Preços para o eventual fornecimento de MEDICAMENTOS ANTI-INFLAMATÓRIOS ESTEROIDAIS E NÃO ESTEROIDAIS (SEI nº 0040609437.000105/2025-52)"/>
    <s v="NFOCPO"/>
    <d v="2025-10-23T00:00:00"/>
    <x v="1"/>
    <s v="Autorizada Sucesso"/>
    <s v="Concluído"/>
    <s v="Item atualizado"/>
    <s v="Daniele"/>
    <s v="Em andamento"/>
    <s v="Enviado a NFOCPO"/>
    <s v="2300001213.000432/2025-12"/>
    <s v="Finalizar com o nucleo"/>
  </r>
  <r>
    <x v="658"/>
    <x v="5"/>
    <s v="HOSPITAL REGIONAL DO AGRESTE DR.WALDEMIRO FERREIRA"/>
    <s v="Consumo"/>
    <s v="ARP.0021.01.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21T00:00:00"/>
    <x v="2"/>
    <s v="Em configuração"/>
    <s v="Cancelar Com o Suporte"/>
    <s v="Item não atualizado"/>
    <m/>
    <s v="Cancelar Com o Suporte"/>
    <s v="SEI não localizado"/>
    <m/>
    <m/>
  </r>
  <r>
    <x v="663"/>
    <x v="5"/>
    <s v="HOSPITAL REGIONAL DO AGRESTE DR.WALDEMIRO FERREIRA"/>
    <s v="Consumo"/>
    <s v="ARP.0021.11.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20T00:00:00"/>
    <x v="2"/>
    <s v="Em configuração"/>
    <s v="Cancelar Com o Suporte"/>
    <s v="Item não atualizado"/>
    <m/>
    <s v="Cancelar Com o Suporte"/>
    <s v="SEI não localizado"/>
    <m/>
    <m/>
  </r>
  <r>
    <x v="681"/>
    <x v="5"/>
    <s v="HOSPITAL REGIONAL DO AGRESTE DR.WALDEMIRO FERREIRA"/>
    <s v="Consumo"/>
    <s v="ARP.0021.00.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15T00:00:00"/>
    <x v="2"/>
    <s v="Em configuração"/>
    <s v="Cancelar Com o Suporte"/>
    <s v="Item não atualizado"/>
    <m/>
    <s v="Cancelar Com o Suporte"/>
    <s v="SEI não localizado"/>
    <m/>
    <m/>
  </r>
  <r>
    <x v="694"/>
    <x v="5"/>
    <s v="HOSPITAL REGIONAL DO AGRESTE DR.WALDEMIRO FERREIRA"/>
    <s v="Consumo"/>
    <s v="ARP.0021.01.2024.GOV.HOF.PE"/>
    <s v="Formação de Registro de Preços para o fornecimento eventual de Material Médico Hospitalar INSUMOS PARA HIGIENE E PROTEÇÃO, visando atender a necessidade do do Hospital Otávio de Freitas (HOF), Hospital Regional do Agreste (HRA), Hospital Getúlio Vargas (H"/>
    <s v="NFOCPO"/>
    <d v="2025-05-05T00:00:00"/>
    <x v="2"/>
    <s v="Em configuração"/>
    <s v="Cancelar Com o Suporte"/>
    <s v="Item não atualizado"/>
    <m/>
    <s v="Cancelar Com o Suporte"/>
    <s v="SEI não localizado"/>
    <m/>
    <m/>
  </r>
  <r>
    <x v="779"/>
    <x v="22"/>
    <s v="HOSPITAL REGIONAL DO AGRESTE DR.WALDEMIRO FERREIRA"/>
    <s v="Consumo"/>
    <s v="ARPC.0006.00.2025.GOV.SAD.PE"/>
    <s v="Formação de Ata de Registro de Preços Corporativa para a eventual prestação de serviços de locação de viaturas, do tipo motocicleta, caracterizada e descaracterizada, classificação VS-2, conforme especificações e quantitativos previstos no Termo de Referê"/>
    <s v="NAMP"/>
    <d v="2025-03-20T00:00:00"/>
    <x v="2"/>
    <s v="Em configuração"/>
    <s v="Cancelar Com o Suporte"/>
    <s v="Item não atualizado"/>
    <m/>
    <s v="Cancelar Com o Suporte"/>
    <s v="SEI não localizado"/>
    <m/>
    <m/>
  </r>
  <r>
    <x v="1212"/>
    <x v="9"/>
    <s v="HOSPITAL REGIONAL DO AGRESTE DR.WALDEMIRO FERREIRA"/>
    <s v="Adesão"/>
    <s v="ARP.0004.00.2025.GOV.HR.PE"/>
    <s v="Formação de Ata de Registro de Preços para o fornecimento eventual de produtos médicos (MATERIAL MÉDICO HOSPITALAR), com cessão de equipamentos em regime de comodato, visando atender as necessidades do Hospital da Restauração Gov. Paulo Guerra._x0009_"/>
    <s v="NAEN"/>
    <d v="2025-10-31T00:00:00"/>
    <x v="1"/>
    <s v="Autorizada Sucesso"/>
    <s v="Concluído"/>
    <s v="Item atualizado"/>
    <m/>
    <s v="Em andamento"/>
    <s v="Enviado ao JURIDICO"/>
    <s v="2300002942.000008/2025-04_x000a_"/>
    <m/>
  </r>
  <r>
    <x v="1213"/>
    <x v="0"/>
    <s v="HOSPITAL REGIONAL DO AGRESTE DR.WALDEMIRO FERREIRA"/>
    <s v="Consumo"/>
    <s v="ARP.0077.07.2025.GOV.FES-PE.PE"/>
    <s v="Aquisição eventual de Dispositivos Médicos do tipo: Antissépticos, Desinfetantes e Saneantes - Grupo 2"/>
    <s v="NAEN"/>
    <d v="2025-10-29T00:00:00"/>
    <x v="1"/>
    <s v="Autorizada Sucesso"/>
    <s v="Concluído"/>
    <s v="Item atualizado"/>
    <m/>
    <s v="Em andamento"/>
    <s v="Enviado a GCONTRATOS"/>
    <s v="2300002942.000007/2025-51"/>
    <m/>
  </r>
  <r>
    <x v="176"/>
    <x v="9"/>
    <s v="HOSPITAL REGIONAL DO AGRESTE DR.WALDEMIRO FERREIRA"/>
    <s v="Adesão"/>
    <s v="ARP.0004.00.2025.GOV.HR.PE"/>
    <s v="Formação de Ata de Registro de Preços para o fornecimento eventual de produtos médicos (MATERIAL MÉDICO HOSPITALAR), com cessão de equipamentos em regime de comodato, visando atender as necessidades do Hospital da Restauração Gov. Paulo Guerra."/>
    <s v="NAEN"/>
    <d v="2025-06-03T00:00:00"/>
    <x v="1"/>
    <s v="Autorizada Sucesso"/>
    <s v="Concluído"/>
    <s v="Item atualizado"/>
    <m/>
    <s v="Em andamento"/>
    <s v="Enviado ao JURIDICO"/>
    <s v="2300001213.000130/2025-44"/>
    <m/>
  </r>
  <r>
    <x v="1214"/>
    <x v="0"/>
    <s v="HOSPITAL REGIONAL DO AGRESTE DR.WALDEMIRO FERREIRA"/>
    <s v="Consumo"/>
    <s v="ARP.0010.03.2025.GOV.FES-PE.PE"/>
    <s v="REGISTRO DE PREÇOS PARA A EVENTUAL AQUISIÇÃODE DISPOSITIVOS MÉDICOS DO TIPO PRODUTOS MÉDICOS (PAPEL CIRÚRGICO, ESCOVA PARA LIMPEZA DE MATERIAIS, EMBALAGEM DESCARTÁVEIS PARA ESTERILIZAÇÃO) VISANDO ATENDER A DEMANDA DOS HOSPITAIS E ESTABELECIMENTOS DA REDE "/>
    <s v="NAEN"/>
    <d v="2025-10-28T00:00:00"/>
    <x v="1"/>
    <s v="Autorizada Sucesso"/>
    <s v="Concluído"/>
    <s v="Item atualizado"/>
    <m/>
    <s v="Em andamento"/>
    <s v="Enviado a NAEN"/>
    <s v="2300002942.000006/2025-15_x000a_"/>
    <m/>
  </r>
  <r>
    <x v="1215"/>
    <x v="5"/>
    <s v="HOSPITAL REGIONAL DO AGRESTE DR.WALDEMIRO FERREIRA"/>
    <s v="Adesão"/>
    <s v="ARP.0013.02.2025.GOV.HOF.PE"/>
    <s v="REGISTRO DE PREÇOS PARA O FORNECIMENTO DE DISPOSITIVOS MÉDICOS DO TIPO INSUMOS PARA OXIGENOTERAPIA, VISANDO ATENDER AS NECESSIDADES DO HOSPITAL OTÁVIO DE FREITAS."/>
    <s v="NFOCPO"/>
    <d v="2025-10-28T00:00:00"/>
    <x v="2"/>
    <s v="Em configuração"/>
    <s v="Cancelar Com o Suporte"/>
    <s v="Item não atualizado"/>
    <s v="Hannah"/>
    <s v="Cancelar Com o Suporte"/>
    <s v="SEI não localizado"/>
    <m/>
    <m/>
  </r>
  <r>
    <x v="1216"/>
    <x v="15"/>
    <s v="HOSPITAL REGIONAL DO AGRESTE DR.WALDEMIRO FERREIRA"/>
    <s v="Adesão"/>
    <s v="ARP.0005.12.2025.GOV.HEMOPE.PE"/>
    <s v="Formação de Ata de Registro de Preços para o fornecimento eventual de Material Médico Hospitalar - MMH Grupo 3 (eletrodos, equipos para alimentação enteral, parenteral, transfusão de sangue, escovas para limpeza de material, fios, fitas, lâmina de bisturi"/>
    <s v="NFOCPO"/>
    <d v="2025-10-28T00:00:00"/>
    <x v="2"/>
    <s v="Em configuração"/>
    <s v="Cancelar Com o Suporte"/>
    <s v="Item não atualizado"/>
    <m/>
    <s v="Cancelar Com o Suporte"/>
    <s v="SEI não localizado"/>
    <m/>
    <m/>
  </r>
  <r>
    <x v="574"/>
    <x v="0"/>
    <s v="HOSPITAL REGIONAL DO AGRESTE DR.WALDEMIRO FERREIRA"/>
    <s v="Consumo"/>
    <s v="ARP.0049.04.2025.GOV.FES-PE.PE"/>
    <s v="Aquisição eventual de_x000a_MEDICAMENTOS COMPRIMIDOS GRUPO 4 (ISOSSORBIDA, DINITRATO)"/>
    <s v="NFOCPO"/>
    <d v="2025-09-11T00:00:00"/>
    <x v="1"/>
    <s v="Autorizada Sucesso"/>
    <s v="Concluído"/>
    <s v="Item atualizado"/>
    <m/>
    <s v="Em andamento"/>
    <s v="Enviado ao JURIDICO"/>
    <s v="2300001213.000406/2025-94"/>
    <m/>
  </r>
  <r>
    <x v="577"/>
    <x v="0"/>
    <s v="HOSPITAL REGIONAL DO AGRESTE DR.WALDEMIRO FERREIRA"/>
    <s v="Consumo"/>
    <s v="ARP.0077.01.2025.GOV.FES-PE.PE"/>
    <s v="Aquisição eventual de Dispositivos Médicos do tipo: Antissépticos, Desinfetantes e Saneantes - Grupo 2 (EMBALAGENS DESCARTAVEIS PARA ESTERILIZACOES)"/>
    <s v="NFOCPO"/>
    <d v="2025-09-04T00:00:00"/>
    <x v="1"/>
    <s v="Autorizada Sucesso"/>
    <s v="Concluído"/>
    <s v="Item atualizado"/>
    <m/>
    <s v="Concluído"/>
    <s v="Enviado ao NOF"/>
    <s v="2300001213.000393/2025-53"/>
    <m/>
  </r>
  <r>
    <x v="572"/>
    <x v="0"/>
    <s v="HOSPITAL REGIONAL DO AGRESTE DR.WALDEMIRO FERREIRA"/>
    <s v="Consumo"/>
    <s v="ARP.0049.03.2025.GOV.FES-PE.PE"/>
    <s v="Aquisição eventual de MEDICAMENTOS COMPRIMIDOS GRUPO 4 (IBUPROFENO)"/>
    <s v="NFOCPO"/>
    <d v="2025-09-16T00:00:00"/>
    <x v="1"/>
    <s v="Autorizada Sucesso"/>
    <s v="Concluído"/>
    <s v="Item atualizado"/>
    <m/>
    <s v="Concluído"/>
    <s v="Enviado ao NOF"/>
    <s v="2300001213.000413/2025-96"/>
    <m/>
  </r>
  <r>
    <x v="1217"/>
    <x v="4"/>
    <s v="HOSPITAL REGIONAL DO AGRESTE DR.WALDEMIRO FERREIRA"/>
    <s v="Consumo"/>
    <s v="ARP.0030.03.2025.GOV.CISAM.PE"/>
    <s v="Fornecimento eventual de MEDICAMENTOS (Aciclovir, Albendazol, Amiodarona e Carbamazepina)"/>
    <s v="NFOCPO"/>
    <d v="2025-08-04T00:00:00"/>
    <x v="1"/>
    <s v="Autorizada Sucesso"/>
    <s v="Concluído"/>
    <s v="Item atualizado"/>
    <s v="Daniele"/>
    <s v="Em andamento"/>
    <s v="Enviado ao JURIDICO"/>
    <s v="2300001213.000316/2025-01"/>
    <m/>
  </r>
  <r>
    <x v="590"/>
    <x v="0"/>
    <s v="HOSPITAL REGIONAL DO AGRESTE DR.WALDEMIRO FERREIRA"/>
    <s v="Consumo"/>
    <s v="ARP.0015.06.2025.GOV.FES-PE.PE"/>
    <s v="Aquisição eventual de medicamento (FITOMENADIONA, VITAMINAS DO COMPLEXO B)"/>
    <s v="NFOCPO"/>
    <d v="2025-11-04T00:00:00"/>
    <x v="1"/>
    <s v="Autorizada Sucesso"/>
    <s v="Concluído"/>
    <s v="Item atualizado"/>
    <m/>
    <s v="Em andamento"/>
    <s v="Enviado a SADM SUPRI"/>
    <s v="2300002944.000006/2025-97"/>
    <m/>
  </r>
  <r>
    <x v="1218"/>
    <x v="26"/>
    <s v="HOSPITAL REGIONAL DO AGRESTE DR.WALDEMIRO FERREIRA"/>
    <s v="Compra Direta"/>
    <s v=" 530409000232025000023"/>
    <s v="Formação de Compra Direta para aquisição de  MATERIAL PARA ACONDICIONAMENTO E EMBALAGEM"/>
    <s v="NAMP"/>
    <d v="2025-08-08T00:00:00"/>
    <x v="1"/>
    <e v="#N/A"/>
    <s v="Em andamento"/>
    <s v="Item não localizado"/>
    <m/>
    <s v="Em andamento"/>
    <s v="Enviado a SADM SUPRI"/>
    <s v="2300001213.000331/2025-41"/>
    <m/>
  </r>
  <r>
    <x v="1219"/>
    <x v="10"/>
    <s v="HOSPITAL REGIONAL DO AGRESTE DR.WALDEMIRO FERREIRA"/>
    <s v="Consumo"/>
    <m/>
    <s v="Formação de Registro de Preços para o fornecimento eventual de solução parenteral"/>
    <s v="NFOCPO"/>
    <d v="2025-11-07T00:00:00"/>
    <x v="6"/>
    <s v="Encaminhada para o gestor de ata"/>
    <s v="Em andamento"/>
    <s v="Item não atualizado"/>
    <s v="Daniele"/>
    <s v="Em andamento"/>
    <s v="Enviado ao GFIN"/>
    <s v="2300002747.000050/2025-23"/>
    <s v="Finalizar com o nucleo"/>
  </r>
  <r>
    <x v="576"/>
    <x v="0"/>
    <s v="HOSPITAL REGIONAL DO AGRESTE DR.WALDEMIRO FERREIRA"/>
    <s v="Consumo"/>
    <s v="ARP.0067.01.2025.GOV.FES-PE.PE"/>
    <s v="Formação de Registro de Preços para o fornecimento eventual de MMH (GRUPO 8), visando atender as necessidades dos hospitais e estabelecimentos da rede estadual de saúde de Pernambuco."/>
    <s v="NFOCPO"/>
    <d v="2025-09-05T00:00:00"/>
    <x v="1"/>
    <s v="Autorizada Sucesso"/>
    <s v="Concluído"/>
    <s v="Item atualizado"/>
    <m/>
    <s v="Concluído"/>
    <s v="Enviado ao NOF"/>
    <s v="2300001213.000395/2025-42"/>
    <m/>
  </r>
  <r>
    <x v="1220"/>
    <x v="26"/>
    <s v="HOSPITAL REGIONAL DO AGRESTE DR.WALDEMIRO FERREIRA"/>
    <s v="Compra Direta"/>
    <s v="530409000232025000010"/>
    <s v="SERVICO DE CONFECCAO DE CARTAO DE IDENTIFICAO - DO TIPO CRACHA"/>
    <s v="NAMP"/>
    <d v="2025-05-12T00:00:00"/>
    <x v="1"/>
    <e v="#N/A"/>
    <s v="Concluído"/>
    <s v="Item não localizado"/>
    <m/>
    <s v="Em andamento"/>
    <s v="Enviado a SSUPRI"/>
    <s v="2300001212.000338/2025-73"/>
    <m/>
  </r>
  <r>
    <x v="6"/>
    <x v="3"/>
    <s v="HOSPITAL REGIONAL DO AGRESTE DR.WALDEMIRO FERREIRA"/>
    <s v="Adesão"/>
    <s v="ARP.0017.00.2025.EXT.131763.PB"/>
    <s v="AQUISIÇÃO DE MEDICAMENTOS ANTIBACTERIANOS INJETÁVEIS"/>
    <s v="NFOCPO"/>
    <m/>
    <x v="1"/>
    <s v="Autorizada Integrado"/>
    <s v="Concluído"/>
    <s v="Item atualizado"/>
    <s v="Daniele"/>
    <s v="Em andamento"/>
    <s v="Enviado a GCONTRATOS"/>
    <s v="2300001213.000259/2025-52"/>
    <m/>
  </r>
  <r>
    <x v="1221"/>
    <x v="9"/>
    <s v="HOSPITAL REGIONAL DO AGRESTE DR.WALDEMIRO FERREIRA"/>
    <s v="Adesão"/>
    <s v="#N/A"/>
    <s v="aquisição eventual de_x000a_MEDICAMENTOS (BOLSAS MANIPULADAS PARA NUTRIÇÃO PARENTERAL)"/>
    <s v="NFOCPO"/>
    <d v="2025-11-16T00:00:00"/>
    <x v="1"/>
    <e v="#N/A"/>
    <s v="Em andamento"/>
    <s v="Item não localizado"/>
    <s v="Jean"/>
    <s v="Em andamento"/>
    <s v="Enviado ao GFIN"/>
    <s v="2300001213.000416/2025-20"/>
    <m/>
  </r>
  <r>
    <x v="319"/>
    <x v="26"/>
    <s v="HOSPITAL REGIONAL DO AGRESTE DR.WALDEMIRO FERREIRA"/>
    <s v="Adesão"/>
    <s v="#N/A"/>
    <s v="eventual aquisição de sondas_x000a_urinárias"/>
    <s v="NFOCPO"/>
    <m/>
    <x v="1"/>
    <e v="#N/A"/>
    <s v="Em andamento"/>
    <s v="Item não localizado"/>
    <s v="Jean"/>
    <s v="Em andamento"/>
    <s v="Enviado a GCONTRATOS"/>
    <s v="2300001213.000236/2025-48"/>
    <m/>
  </r>
  <r>
    <x v="1222"/>
    <x v="15"/>
    <m/>
    <s v="Adesão"/>
    <s v="#N/A"/>
    <m/>
    <s v="NFOCPO"/>
    <d v="2023-11-09T00:00:00"/>
    <x v="0"/>
    <e v="#N/A"/>
    <s v="Cancelado"/>
    <s v="Item não localizado"/>
    <s v="Hannah"/>
    <s v="Processo 2023"/>
    <m/>
    <m/>
    <m/>
  </r>
  <r>
    <x v="1223"/>
    <x v="10"/>
    <m/>
    <s v="Adesão"/>
    <s v="#N/A"/>
    <m/>
    <s v="NFOCPO"/>
    <d v="2023-10-31T00:00:00"/>
    <x v="0"/>
    <e v="#N/A"/>
    <s v="Cancelado"/>
    <s v="Item não localizado"/>
    <s v="Hannah"/>
    <s v="Processo 2023"/>
    <m/>
    <m/>
    <m/>
  </r>
  <r>
    <x v="1224"/>
    <x v="10"/>
    <m/>
    <s v="Adesão"/>
    <s v="#N/A"/>
    <m/>
    <s v="NFOCPO"/>
    <d v="2023-05-08T00:00:00"/>
    <x v="0"/>
    <e v="#N/A"/>
    <s v="Cancelado"/>
    <s v="Item não localizado"/>
    <s v="Hannah"/>
    <s v="Processo 2023"/>
    <m/>
    <m/>
    <m/>
  </r>
  <r>
    <x v="1225"/>
    <x v="10"/>
    <m/>
    <s v="Adesão"/>
    <s v="#N/A"/>
    <m/>
    <s v="NFOCPO"/>
    <d v="2023-08-21T00:00:00"/>
    <x v="0"/>
    <e v="#N/A"/>
    <s v="Cancelado"/>
    <s v="Item não localizado"/>
    <s v="Hannah"/>
    <s v="Processo 2023"/>
    <m/>
    <m/>
    <m/>
  </r>
  <r>
    <x v="1226"/>
    <x v="10"/>
    <m/>
    <s v="Adesão"/>
    <s v="#N/A"/>
    <m/>
    <s v="NFOCPO"/>
    <d v="2023-09-19T00:00:00"/>
    <x v="0"/>
    <e v="#N/A"/>
    <s v="Cancelado"/>
    <s v="Item não localizado"/>
    <s v="Hannah"/>
    <s v="Processo 2023"/>
    <m/>
    <m/>
    <m/>
  </r>
  <r>
    <x v="319"/>
    <x v="26"/>
    <m/>
    <m/>
    <s v="#N/A"/>
    <m/>
    <m/>
    <m/>
    <x v="7"/>
    <e v="#N/A"/>
    <s v="Cancelado"/>
    <s v="Item não localizado"/>
    <s v="Daniele"/>
    <s v="Em andamento"/>
    <s v="Enviado a NFOCPO"/>
    <s v="2300001213.000319/2025-37"/>
    <m/>
  </r>
  <r>
    <x v="319"/>
    <x v="26"/>
    <m/>
    <m/>
    <s v="#N/A"/>
    <m/>
    <m/>
    <m/>
    <x v="7"/>
    <e v="#N/A"/>
    <s v="Cancelado"/>
    <s v="Item não localizado"/>
    <m/>
    <s v="Em andamento"/>
    <m/>
    <s v="2300001205.000144/2025-67"/>
    <m/>
  </r>
  <r>
    <x v="1227"/>
    <x v="26"/>
    <m/>
    <s v="Dispensa de licitação"/>
    <s v="530409000232025000032"/>
    <m/>
    <s v="NAMP"/>
    <d v="2025-10-30T00:00:00"/>
    <x v="4"/>
    <e v="#N/A"/>
    <s v="Em andamento"/>
    <s v="Item não localizado"/>
    <s v="Elsia "/>
    <s v="Em andamento"/>
    <s v="Enviado ao GFIN"/>
    <s v="2300002946.000001/2025-44"/>
    <m/>
  </r>
  <r>
    <x v="97"/>
    <x v="0"/>
    <s v="HOSPITAL REGIONAL DO AGRESTE DR.WALDEMIRO FERREIRA"/>
    <s v="Adesão"/>
    <s v="ARP.0068.00.2025.GOV.FES-PE.PE"/>
    <s v="_x0009_FORMAÇÃO DE REGISTRO DE PREÇOS PARA O FORNECIMENTO DE DISPOSITIVOS MÉDICOS, DO TIPO INSUMOS PARA OSTOMIA, VISANDO ATENDER AS NECESSIDADES DOS HOSPITAIS E ESTABELECIMENTOS VINCULADOS À SECRETARIA ESTADUAL DE SAÚDE DE PERNAMBUCO"/>
    <s v="NAEN"/>
    <d v="2025-08-29T00:00:00"/>
    <x v="1"/>
    <s v="Autorizada Sucesso"/>
    <s v="Concluído"/>
    <s v="Item atualizado"/>
    <s v="Marcia"/>
    <s v="Em andamento"/>
    <s v="Enviado ao GFIN"/>
    <s v="2300001213.000348/2025-07"/>
    <m/>
  </r>
  <r>
    <x v="90"/>
    <x v="0"/>
    <s v="HOSPITAL REGIONAL DO AGRESTE DR.WALDEMIRO FERREIRA"/>
    <s v="Adesão"/>
    <s v="ARP.0059.00.2025.GOV.FES-PE.PE"/>
    <s v="FORMAÇÃO DE REGISTRO DE PREÇOS PARA O FORNECIMENTO DE DISPOSITIVOS MÉDICOS, DO TIPO BOLSAS PARA OSTOMIA, VISANDO ATENDER AS NECESSIDADES DOS HOSPITAIS E ESTABELECIMENTOS VINCULADOS À SECRETARIA ESTADUAL DE SAÚDE DE PERNAMBUCO."/>
    <s v="NAEN"/>
    <d v="2025-08-15T00:00:00"/>
    <x v="1"/>
    <s v="Autorizada Sucesso"/>
    <s v="Cancelado"/>
    <s v="Item atualizado"/>
    <m/>
    <m/>
    <m/>
    <s v="2300001213.000229/2025-46"/>
    <m/>
  </r>
  <r>
    <x v="145"/>
    <x v="0"/>
    <s v="HOSPITAL REGIONAL DO AGRESTE DR.WALDEMIRO FERREIRA"/>
    <s v="Adesão"/>
    <s v="ARP.0059.02.2025.GOV.FES-PE.PE"/>
    <s v="FORMAÇÃO DE REGISTRO DE PREÇOS PARA O FORNECIMENTO DE DISPOSITIVOS MÉDICOS, DO TIPO BOLSAS PARA OSTOMIA, VISANDO ATENDER AS_x000a_NECESSIDADES DOS HOSPITAIS E ESTABELECIMENTOS VINCULADOS À SECRETARIA ESTADUAL DE SAÚDE DE PERNAMBUCO."/>
    <s v="NAEN"/>
    <m/>
    <x v="7"/>
    <s v="Autorizada Sucesso"/>
    <m/>
    <s v="Item atualizado"/>
    <m/>
    <m/>
    <m/>
    <s v="2300002544.000062/2025-3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F000000}" name="ENCAMINHADA PARA ORÇAMENTO" cacheId="6" applyNumberFormats="0" applyBorderFormats="0" applyFontFormats="0" applyPatternFormats="0" applyAlignmentFormats="0" applyWidthHeightFormats="0" dataCaption="" updatedVersion="8" rowGrandTotals="0" compact="0" compactData="0">
  <location ref="A1:C4" firstHeaderRow="1" firstDataRow="1" firstDataCol="3"/>
  <pivotFields count="17">
    <pivotField name="Número da Solicitação" axis="axisRow" compact="0" outline="0" multipleItemSelectionAllowed="1" showAll="0" sortType="ascending" defaultSubtotal="0">
      <items count="1228">
        <item x="1218"/>
        <item x="566"/>
        <item x="548"/>
        <item x="547"/>
        <item x="448"/>
        <item x="148"/>
        <item x="447"/>
        <item x="198"/>
        <item x="248"/>
        <item x="247"/>
        <item x="147"/>
        <item x="246"/>
        <item x="197"/>
        <item x="245"/>
        <item x="244"/>
        <item x="146"/>
        <item x="298"/>
        <item x="48"/>
        <item x="446"/>
        <item x="546"/>
        <item x="565"/>
        <item x="243"/>
        <item x="98"/>
        <item x="47"/>
        <item x="398"/>
        <item x="297"/>
        <item x="46"/>
        <item x="545"/>
        <item x="397"/>
        <item x="544"/>
        <item x="196"/>
        <item x="498"/>
        <item x="445"/>
        <item x="444"/>
        <item x="443"/>
        <item x="442"/>
        <item x="396"/>
        <item x="497"/>
        <item x="145"/>
        <item x="441"/>
        <item x="97"/>
        <item x="45"/>
        <item x="348"/>
        <item x="543"/>
        <item x="44"/>
        <item x="296"/>
        <item x="242"/>
        <item x="295"/>
        <item x="496"/>
        <item x="96"/>
        <item x="564"/>
        <item x="347"/>
        <item x="395"/>
        <item x="294"/>
        <item x="95"/>
        <item x="495"/>
        <item x="144"/>
        <item x="241"/>
        <item x="542"/>
        <item x="143"/>
        <item x="494"/>
        <item x="195"/>
        <item x="440"/>
        <item x="142"/>
        <item x="194"/>
        <item x="141"/>
        <item x="493"/>
        <item x="43"/>
        <item x="42"/>
        <item x="41"/>
        <item x="492"/>
        <item x="346"/>
        <item x="439"/>
        <item x="193"/>
        <item x="94"/>
        <item x="93"/>
        <item x="563"/>
        <item x="240"/>
        <item x="438"/>
        <item x="92"/>
        <item x="437"/>
        <item x="239"/>
        <item x="562"/>
        <item x="345"/>
        <item x="344"/>
        <item x="541"/>
        <item x="394"/>
        <item x="393"/>
        <item x="91"/>
        <item x="238"/>
        <item x="192"/>
        <item x="40"/>
        <item x="540"/>
        <item x="539"/>
        <item x="392"/>
        <item x="237"/>
        <item x="561"/>
        <item x="191"/>
        <item x="343"/>
        <item x="491"/>
        <item x="39"/>
        <item x="293"/>
        <item x="38"/>
        <item x="490"/>
        <item x="342"/>
        <item x="489"/>
        <item x="488"/>
        <item x="436"/>
        <item x="190"/>
        <item x="435"/>
        <item x="434"/>
        <item x="433"/>
        <item x="432"/>
        <item x="431"/>
        <item x="90"/>
        <item x="391"/>
        <item x="430"/>
        <item x="429"/>
        <item x="428"/>
        <item x="140"/>
        <item x="390"/>
        <item x="37"/>
        <item x="189"/>
        <item x="188"/>
        <item x="292"/>
        <item x="341"/>
        <item x="340"/>
        <item x="339"/>
        <item x="236"/>
        <item x="235"/>
        <item x="36"/>
        <item x="291"/>
        <item x="560"/>
        <item x="389"/>
        <item x="487"/>
        <item x="35"/>
        <item x="538"/>
        <item x="486"/>
        <item x="537"/>
        <item x="1211"/>
        <item x="34"/>
        <item x="536"/>
        <item x="559"/>
        <item x="388"/>
        <item x="485"/>
        <item x="234"/>
        <item x="338"/>
        <item x="187"/>
        <item x="139"/>
        <item x="535"/>
        <item x="89"/>
        <item x="427"/>
        <item x="33"/>
        <item x="534"/>
        <item x="484"/>
        <item x="32"/>
        <item x="186"/>
        <item x="426"/>
        <item x="387"/>
        <item x="185"/>
        <item x="31"/>
        <item x="386"/>
        <item x="337"/>
        <item x="425"/>
        <item x="290"/>
        <item x="138"/>
        <item x="88"/>
        <item x="137"/>
        <item x="87"/>
        <item x="336"/>
        <item x="233"/>
        <item x="483"/>
        <item x="482"/>
        <item x="533"/>
        <item x="532"/>
        <item x="385"/>
        <item x="481"/>
        <item x="531"/>
        <item x="480"/>
        <item x="289"/>
        <item x="424"/>
        <item x="30"/>
        <item x="384"/>
        <item x="423"/>
        <item x="479"/>
        <item x="478"/>
        <item x="422"/>
        <item x="477"/>
        <item x="335"/>
        <item x="86"/>
        <item x="421"/>
        <item x="383"/>
        <item x="136"/>
        <item x="558"/>
        <item x="382"/>
        <item x="29"/>
        <item x="28"/>
        <item x="135"/>
        <item x="134"/>
        <item x="557"/>
        <item x="420"/>
        <item x="288"/>
        <item x="85"/>
        <item x="556"/>
        <item x="476"/>
        <item x="530"/>
        <item x="381"/>
        <item x="287"/>
        <item x="286"/>
        <item x="27"/>
        <item x="26"/>
        <item x="529"/>
        <item x="419"/>
        <item x="380"/>
        <item x="475"/>
        <item x="84"/>
        <item x="25"/>
        <item x="474"/>
        <item x="473"/>
        <item x="555"/>
        <item x="232"/>
        <item x="285"/>
        <item x="379"/>
        <item x="378"/>
        <item x="231"/>
        <item x="418"/>
        <item x="133"/>
        <item x="284"/>
        <item x="83"/>
        <item x="184"/>
        <item x="24"/>
        <item x="334"/>
        <item x="132"/>
        <item x="82"/>
        <item x="183"/>
        <item x="182"/>
        <item x="554"/>
        <item x="283"/>
        <item x="131"/>
        <item x="230"/>
        <item x="472"/>
        <item x="528"/>
        <item x="553"/>
        <item x="527"/>
        <item x="526"/>
        <item x="377"/>
        <item x="525"/>
        <item x="181"/>
        <item x="471"/>
        <item x="376"/>
        <item x="470"/>
        <item x="524"/>
        <item x="375"/>
        <item x="333"/>
        <item x="81"/>
        <item x="80"/>
        <item x="417"/>
        <item x="469"/>
        <item x="468"/>
        <item x="416"/>
        <item x="79"/>
        <item x="374"/>
        <item x="523"/>
        <item x="282"/>
        <item x="332"/>
        <item x="281"/>
        <item x="130"/>
        <item x="280"/>
        <item x="78"/>
        <item x="467"/>
        <item x="180"/>
        <item x="415"/>
        <item x="129"/>
        <item x="522"/>
        <item x="373"/>
        <item x="466"/>
        <item x="414"/>
        <item x="279"/>
        <item x="331"/>
        <item x="465"/>
        <item x="372"/>
        <item x="521"/>
        <item x="464"/>
        <item x="330"/>
        <item x="463"/>
        <item x="179"/>
        <item x="462"/>
        <item x="413"/>
        <item x="128"/>
        <item x="412"/>
        <item x="23"/>
        <item x="329"/>
        <item x="278"/>
        <item x="77"/>
        <item x="328"/>
        <item x="127"/>
        <item x="411"/>
        <item x="520"/>
        <item x="229"/>
        <item x="178"/>
        <item x="461"/>
        <item x="371"/>
        <item x="76"/>
        <item x="370"/>
        <item x="410"/>
        <item x="369"/>
        <item x="409"/>
        <item x="228"/>
        <item x="75"/>
        <item x="74"/>
        <item x="277"/>
        <item x="327"/>
        <item x="177"/>
        <item x="227"/>
        <item x="226"/>
        <item x="126"/>
        <item x="326"/>
        <item x="73"/>
        <item x="408"/>
        <item x="225"/>
        <item x="519"/>
        <item x="460"/>
        <item x="276"/>
        <item x="325"/>
        <item x="459"/>
        <item x="458"/>
        <item x="457"/>
        <item x="176"/>
        <item x="324"/>
        <item x="22"/>
        <item x="224"/>
        <item x="175"/>
        <item x="223"/>
        <item x="21"/>
        <item x="72"/>
        <item x="174"/>
        <item x="125"/>
        <item x="552"/>
        <item x="368"/>
        <item x="456"/>
        <item x="518"/>
        <item x="173"/>
        <item x="455"/>
        <item x="367"/>
        <item x="323"/>
        <item x="222"/>
        <item x="366"/>
        <item x="275"/>
        <item x="274"/>
        <item x="517"/>
        <item x="516"/>
        <item x="20"/>
        <item x="273"/>
        <item x="454"/>
        <item x="515"/>
        <item x="221"/>
        <item x="453"/>
        <item x="172"/>
        <item x="19"/>
        <item x="124"/>
        <item x="365"/>
        <item x="407"/>
        <item x="123"/>
        <item x="18"/>
        <item x="364"/>
        <item x="551"/>
        <item x="17"/>
        <item x="514"/>
        <item x="513"/>
        <item x="512"/>
        <item x="363"/>
        <item x="406"/>
        <item x="362"/>
        <item x="16"/>
        <item x="220"/>
        <item x="219"/>
        <item x="550"/>
        <item x="15"/>
        <item x="322"/>
        <item x="71"/>
        <item x="70"/>
        <item x="69"/>
        <item x="122"/>
        <item x="121"/>
        <item x="272"/>
        <item x="218"/>
        <item x="217"/>
        <item x="68"/>
        <item x="171"/>
        <item x="321"/>
        <item x="511"/>
        <item x="216"/>
        <item x="67"/>
        <item x="405"/>
        <item x="361"/>
        <item x="271"/>
        <item x="120"/>
        <item x="119"/>
        <item x="14"/>
        <item x="270"/>
        <item x="452"/>
        <item x="320"/>
        <item x="215"/>
        <item x="360"/>
        <item x="118"/>
        <item x="318"/>
        <item x="317"/>
        <item x="170"/>
        <item x="269"/>
        <item x="316"/>
        <item x="214"/>
        <item x="13"/>
        <item x="268"/>
        <item x="359"/>
        <item x="510"/>
        <item x="509"/>
        <item x="66"/>
        <item x="508"/>
        <item x="267"/>
        <item x="266"/>
        <item x="358"/>
        <item x="315"/>
        <item x="169"/>
        <item x="357"/>
        <item x="213"/>
        <item x="451"/>
        <item x="314"/>
        <item x="265"/>
        <item x="356"/>
        <item x="313"/>
        <item x="65"/>
        <item x="117"/>
        <item x="168"/>
        <item x="355"/>
        <item x="264"/>
        <item x="263"/>
        <item x="450"/>
        <item x="262"/>
        <item x="261"/>
        <item x="212"/>
        <item x="449"/>
        <item x="116"/>
        <item x="167"/>
        <item x="115"/>
        <item x="64"/>
        <item x="312"/>
        <item x="354"/>
        <item x="260"/>
        <item x="12"/>
        <item x="63"/>
        <item x="507"/>
        <item x="311"/>
        <item x="166"/>
        <item x="211"/>
        <item x="62"/>
        <item x="259"/>
        <item x="353"/>
        <item x="258"/>
        <item x="352"/>
        <item x="404"/>
        <item x="165"/>
        <item x="210"/>
        <item x="114"/>
        <item x="61"/>
        <item x="60"/>
        <item x="59"/>
        <item x="351"/>
        <item x="549"/>
        <item x="164"/>
        <item x="310"/>
        <item x="11"/>
        <item x="257"/>
        <item x="506"/>
        <item x="209"/>
        <item x="256"/>
        <item x="403"/>
        <item x="58"/>
        <item x="10"/>
        <item x="208"/>
        <item x="255"/>
        <item x="9"/>
        <item x="402"/>
        <item x="207"/>
        <item x="309"/>
        <item x="163"/>
        <item x="206"/>
        <item x="254"/>
        <item x="205"/>
        <item x="113"/>
        <item x="505"/>
        <item x="112"/>
        <item x="204"/>
        <item x="203"/>
        <item x="57"/>
        <item x="1215"/>
        <item x="56"/>
        <item x="504"/>
        <item x="8"/>
        <item x="503"/>
        <item x="55"/>
        <item x="401"/>
        <item x="350"/>
        <item x="1212"/>
        <item x="162"/>
        <item x="202"/>
        <item x="7"/>
        <item x="308"/>
        <item x="6"/>
        <item x="54"/>
        <item x="201"/>
        <item x="307"/>
        <item x="111"/>
        <item x="400"/>
        <item x="399"/>
        <item x="161"/>
        <item x="110"/>
        <item x="109"/>
        <item x="160"/>
        <item x="53"/>
        <item x="108"/>
        <item x="349"/>
        <item x="5"/>
        <item x="107"/>
        <item x="502"/>
        <item x="253"/>
        <item x="52"/>
        <item x="306"/>
        <item x="200"/>
        <item x="305"/>
        <item x="106"/>
        <item x="304"/>
        <item x="159"/>
        <item x="105"/>
        <item x="4"/>
        <item x="303"/>
        <item x="158"/>
        <item x="157"/>
        <item x="156"/>
        <item x="51"/>
        <item x="302"/>
        <item x="1216"/>
        <item x="155"/>
        <item x="154"/>
        <item x="50"/>
        <item x="252"/>
        <item x="153"/>
        <item x="3"/>
        <item x="199"/>
        <item x="251"/>
        <item x="104"/>
        <item x="152"/>
        <item x="2"/>
        <item x="103"/>
        <item x="301"/>
        <item x="250"/>
        <item x="102"/>
        <item x="151"/>
        <item x="1"/>
        <item x="150"/>
        <item x="501"/>
        <item x="149"/>
        <item x="500"/>
        <item x="101"/>
        <item x="300"/>
        <item x="100"/>
        <item x="99"/>
        <item x="499"/>
        <item x="299"/>
        <item x="249"/>
        <item x="1223"/>
        <item x="1222"/>
        <item x="1221"/>
        <item x="1224"/>
        <item x="1226"/>
        <item x="1225"/>
        <item x="1011"/>
        <item x="1190"/>
        <item x="1102"/>
        <item x="700"/>
        <item x="714"/>
        <item x="631"/>
        <item x="829"/>
        <item x="828"/>
        <item x="824"/>
        <item x="823"/>
        <item x="795"/>
        <item x="816"/>
        <item x="1202"/>
        <item x="806"/>
        <item x="807"/>
        <item x="808"/>
        <item x="809"/>
        <item x="810"/>
        <item x="811"/>
        <item x="812"/>
        <item x="813"/>
        <item x="802"/>
        <item x="800"/>
        <item x="799"/>
        <item x="766"/>
        <item x="749"/>
        <item x="737"/>
        <item x="736"/>
        <item x="1182"/>
        <item x="1176"/>
        <item x="1177"/>
        <item x="785"/>
        <item x="784"/>
        <item x="782"/>
        <item x="780"/>
        <item x="728"/>
        <item x="727"/>
        <item x="726"/>
        <item x="725"/>
        <item x="1161"/>
        <item x="723"/>
        <item x="722"/>
        <item x="1120"/>
        <item x="721"/>
        <item x="1117"/>
        <item x="1118"/>
        <item x="715"/>
        <item x="713"/>
        <item x="1046"/>
        <item x="1074"/>
        <item x="955"/>
        <item x="935"/>
        <item x="1032"/>
        <item x="637"/>
        <item x="687"/>
        <item x="919"/>
        <item x="909"/>
        <item x="925"/>
        <item x="926"/>
        <item x="911"/>
        <item x="957"/>
        <item x="961"/>
        <item x="960"/>
        <item x="948"/>
        <item x="953"/>
        <item x="951"/>
        <item x="950"/>
        <item x="943"/>
        <item x="942"/>
        <item x="900"/>
        <item x="899"/>
        <item x="898"/>
        <item x="895"/>
        <item x="570"/>
        <item x="1097"/>
        <item x="1199"/>
        <item x="779"/>
        <item x="997"/>
        <item x="881"/>
        <item x="1167"/>
        <item x="1166"/>
        <item x="1170"/>
        <item x="1207"/>
        <item x="1171"/>
        <item x="778"/>
        <item x="630"/>
        <item x="777"/>
        <item x="776"/>
        <item x="837"/>
        <item x="626"/>
        <item x="607"/>
        <item x="645"/>
        <item x="689"/>
        <item x="1204"/>
        <item x="818"/>
        <item x="663"/>
        <item x="705"/>
        <item x="1048"/>
        <item x="580"/>
        <item x="1203"/>
        <item x="1201"/>
        <item x="803"/>
        <item x="801"/>
        <item x="762"/>
        <item x="1217"/>
        <item x="753"/>
        <item x="750"/>
        <item x="792"/>
        <item x="746"/>
        <item x="740"/>
        <item x="1140"/>
        <item x="729"/>
        <item x="1173"/>
        <item x="781"/>
        <item x="1158"/>
        <item x="724"/>
        <item x="1112"/>
        <item x="1041"/>
        <item x="1024"/>
        <item x="1035"/>
        <item x="1036"/>
        <item x="1034"/>
        <item x="617"/>
        <item x="0"/>
        <item x="639"/>
        <item x="913"/>
        <item x="916"/>
        <item x="917"/>
        <item x="918"/>
        <item x="979"/>
        <item x="908"/>
        <item x="924"/>
        <item x="936"/>
        <item x="910"/>
        <item x="937"/>
        <item x="958"/>
        <item x="959"/>
        <item x="952"/>
        <item x="949"/>
        <item x="609"/>
        <item x="927"/>
        <item x="896"/>
        <item x="568"/>
        <item x="894"/>
        <item x="1096"/>
        <item x="903"/>
        <item x="1198"/>
        <item x="775"/>
        <item x="789"/>
        <item x="1055"/>
        <item x="582"/>
        <item x="861"/>
        <item x="709"/>
        <item x="885"/>
        <item x="844"/>
        <item x="1193"/>
        <item x="1014"/>
        <item x="891"/>
        <item x="888"/>
        <item x="1192"/>
        <item x="1191"/>
        <item x="1186"/>
        <item x="655"/>
        <item x="819"/>
        <item x="616"/>
        <item x="841"/>
        <item x="596"/>
        <item x="831"/>
        <item x="878"/>
        <item x="874"/>
        <item x="865"/>
        <item x="827"/>
        <item x="1206"/>
        <item x="826"/>
        <item x="1205"/>
        <item x="821"/>
        <item x="719"/>
        <item x="820"/>
        <item x="716"/>
        <item x="817"/>
        <item x="660"/>
        <item x="662"/>
        <item x="1200"/>
        <item x="765"/>
        <item x="763"/>
        <item x="761"/>
        <item x="752"/>
        <item x="751"/>
        <item x="793"/>
        <item x="744"/>
        <item x="742"/>
        <item x="741"/>
        <item x="1138"/>
        <item x="733"/>
        <item x="732"/>
        <item x="730"/>
        <item x="712"/>
        <item x="692"/>
        <item x="956"/>
        <item x="703"/>
        <item x="1040"/>
        <item x="707"/>
        <item x="699"/>
        <item x="1149"/>
        <item x="1008"/>
        <item x="1113"/>
        <item x="603"/>
        <item x="945"/>
        <item x="608"/>
        <item x="1004"/>
        <item x="1006"/>
        <item x="638"/>
        <item x="912"/>
        <item x="915"/>
        <item x="978"/>
        <item x="923"/>
        <item x="944"/>
        <item x="941"/>
        <item x="897"/>
        <item x="893"/>
        <item x="892"/>
        <item x="887"/>
        <item x="852"/>
        <item x="1086"/>
        <item x="904"/>
        <item x="706"/>
        <item x="1054"/>
        <item x="1063"/>
        <item x="581"/>
        <item x="860"/>
        <item x="845"/>
        <item x="1194"/>
        <item x="843"/>
        <item x="890"/>
        <item x="1159"/>
        <item x="1185"/>
        <item x="798"/>
        <item x="867"/>
        <item x="1093"/>
        <item x="840"/>
        <item x="835"/>
        <item x="594"/>
        <item x="833"/>
        <item x="877"/>
        <item x="848"/>
        <item x="864"/>
        <item x="720"/>
        <item x="825"/>
        <item x="681"/>
        <item x="694"/>
        <item x="661"/>
        <item x="815"/>
        <item x="804"/>
        <item x="764"/>
        <item x="755"/>
        <item x="791"/>
        <item x="748"/>
        <item x="743"/>
        <item x="739"/>
        <item x="738"/>
        <item x="735"/>
        <item x="1155"/>
        <item x="1133"/>
        <item x="702"/>
        <item x="767"/>
        <item x="1038"/>
        <item x="989"/>
        <item x="954"/>
        <item x="1031"/>
        <item x="1030"/>
        <item x="595"/>
        <item x="636"/>
        <item x="635"/>
        <item x="588"/>
        <item x="587"/>
        <item x="1005"/>
        <item x="1002"/>
        <item x="1007"/>
        <item x="914"/>
        <item x="977"/>
        <item x="922"/>
        <item x="996"/>
        <item x="571"/>
        <item x="930"/>
        <item x="928"/>
        <item x="886"/>
        <item x="902"/>
        <item x="1062"/>
        <item x="859"/>
        <item x="1196"/>
        <item x="1195"/>
        <item x="889"/>
        <item x="656"/>
        <item x="797"/>
        <item x="866"/>
        <item x="593"/>
        <item x="839"/>
        <item x="838"/>
        <item x="832"/>
        <item x="876"/>
        <item x="847"/>
        <item x="863"/>
        <item x="658"/>
        <item x="805"/>
        <item x="760"/>
        <item x="1165"/>
        <item x="650"/>
        <item x="1132"/>
        <item x="640"/>
        <item x="701"/>
        <item x="988"/>
        <item x="1114"/>
        <item x="688"/>
        <item x="606"/>
        <item x="1213"/>
        <item x="975"/>
        <item x="627"/>
        <item x="921"/>
        <item x="976"/>
        <item x="982"/>
        <item x="980"/>
        <item x="879"/>
        <item x="901"/>
        <item x="934"/>
        <item x="858"/>
        <item x="796"/>
        <item x="1208"/>
        <item x="853"/>
        <item x="787"/>
        <item x="718"/>
        <item x="683"/>
        <item x="1214"/>
        <item x="842"/>
        <item x="834"/>
        <item x="875"/>
        <item x="1210"/>
        <item x="822"/>
        <item x="657"/>
        <item x="756"/>
        <item x="754"/>
        <item x="1151"/>
        <item x="745"/>
        <item x="1136"/>
        <item x="731"/>
        <item x="1130"/>
        <item x="1157"/>
        <item x="649"/>
        <item x="1134"/>
        <item x="1121"/>
        <item x="1123"/>
        <item x="686"/>
        <item x="602"/>
        <item x="577"/>
        <item x="674"/>
        <item x="659"/>
        <item x="920"/>
        <item x="981"/>
        <item x="1009"/>
        <item x="1197"/>
        <item x="856"/>
        <item x="633"/>
        <item x="884"/>
        <item x="629"/>
        <item x="717"/>
        <item x="836"/>
        <item x="591"/>
        <item x="600"/>
        <item x="830"/>
        <item x="678"/>
        <item x="583"/>
        <item x="814"/>
        <item x="1162"/>
        <item x="1135"/>
        <item x="1144"/>
        <item x="572"/>
        <item x="647"/>
        <item x="929"/>
        <item x="585"/>
        <item x="1131"/>
        <item x="1119"/>
        <item x="1109"/>
        <item x="605"/>
        <item x="49"/>
        <item x="601"/>
        <item x="673"/>
        <item x="1179"/>
        <item x="1209"/>
        <item x="854"/>
        <item x="883"/>
        <item x="682"/>
        <item x="599"/>
        <item x="870"/>
        <item x="665"/>
        <item x="794"/>
        <item x="1077"/>
        <item x="1181"/>
        <item x="1180"/>
        <item x="1150"/>
        <item x="747"/>
        <item x="1168"/>
        <item x="573"/>
        <item x="653"/>
        <item x="664"/>
        <item x="652"/>
        <item x="604"/>
        <item x="932"/>
        <item x="672"/>
        <item x="697"/>
        <item x="855"/>
        <item x="623"/>
        <item x="620"/>
        <item x="882"/>
        <item x="643"/>
        <item x="684"/>
        <item x="869"/>
        <item x="757"/>
        <item x="1003"/>
        <item x="938"/>
        <item x="579"/>
        <item x="1160"/>
        <item x="1129"/>
        <item x="984"/>
        <item x="1154"/>
        <item x="698"/>
        <item x="1143"/>
        <item x="1147"/>
        <item x="973"/>
        <item x="1047"/>
        <item x="651"/>
        <item x="931"/>
        <item x="1017"/>
        <item x="671"/>
        <item x="1189"/>
        <item x="597"/>
        <item x="622"/>
        <item x="677"/>
        <item x="773"/>
        <item x="849"/>
        <item x="1183"/>
        <item x="1137"/>
        <item x="993"/>
        <item x="612"/>
        <item x="1127"/>
        <item x="1124"/>
        <item x="983"/>
        <item x="965"/>
        <item x="995"/>
        <item x="1016"/>
        <item x="846"/>
        <item x="567"/>
        <item x="575"/>
        <item x="769"/>
        <item x="654"/>
        <item x="873"/>
        <item x="1059"/>
        <item x="1142"/>
        <item x="1128"/>
        <item x="1146"/>
        <item x="991"/>
        <item x="578"/>
        <item x="611"/>
        <item x="1106"/>
        <item x="574"/>
        <item x="667"/>
        <item x="628"/>
        <item x="1105"/>
        <item x="624"/>
        <item x="646"/>
        <item x="994"/>
        <item x="670"/>
        <item x="1219"/>
        <item x="872"/>
        <item x="1126"/>
        <item x="1058"/>
        <item x="1015"/>
        <item x="1145"/>
        <item x="1125"/>
        <item x="610"/>
        <item x="851"/>
        <item x="619"/>
        <item x="1104"/>
        <item x="1092"/>
        <item x="1094"/>
        <item x="759"/>
        <item x="592"/>
        <item x="641"/>
        <item x="669"/>
        <item x="783"/>
        <item x="768"/>
        <item x="1107"/>
        <item x="1139"/>
        <item x="850"/>
        <item x="1101"/>
        <item x="1079"/>
        <item x="685"/>
        <item x="1103"/>
        <item x="1073"/>
        <item x="758"/>
        <item x="668"/>
        <item x="618"/>
        <item x="666"/>
        <item x="786"/>
        <item x="613"/>
        <item x="1018"/>
        <item x="1088"/>
        <item x="1108"/>
        <item x="1023"/>
        <item x="598"/>
        <item x="1091"/>
        <item x="708"/>
        <item x="992"/>
        <item x="1070"/>
        <item x="1072"/>
        <item x="576"/>
        <item x="632"/>
        <item x="625"/>
        <item x="1042"/>
        <item x="1080"/>
        <item x="987"/>
        <item x="1090"/>
        <item x="1069"/>
        <item x="696"/>
        <item x="589"/>
        <item x="675"/>
        <item x="642"/>
        <item x="788"/>
        <item x="569"/>
        <item x="770"/>
        <item x="1153"/>
        <item x="774"/>
        <item x="939"/>
        <item x="710"/>
        <item x="1084"/>
        <item x="985"/>
        <item x="691"/>
        <item x="1087"/>
        <item x="1068"/>
        <item x="621"/>
        <item x="679"/>
        <item x="615"/>
        <item x="1013"/>
        <item x="968"/>
        <item x="690"/>
        <item x="964"/>
        <item x="1085"/>
        <item x="972"/>
        <item x="966"/>
        <item x="1089"/>
        <item x="1098"/>
        <item x="680"/>
        <item x="963"/>
        <item x="790"/>
        <item x="1075"/>
        <item x="1099"/>
        <item x="1083"/>
        <item x="1066"/>
        <item x="695"/>
        <item x="962"/>
        <item x="1010"/>
        <item x="1116"/>
        <item x="1076"/>
        <item x="1037"/>
        <item x="1100"/>
        <item x="1082"/>
        <item x="947"/>
        <item x="907"/>
        <item x="584"/>
        <item x="1115"/>
        <item x="970"/>
        <item x="1061"/>
        <item x="946"/>
        <item x="771"/>
        <item x="644"/>
        <item x="969"/>
        <item x="967"/>
        <item x="1060"/>
        <item x="711"/>
        <item x="1045"/>
        <item x="1043"/>
        <item x="1057"/>
        <item x="1044"/>
        <item x="704"/>
        <item x="586"/>
        <item x="1188"/>
        <item x="1056"/>
        <item x="1148"/>
        <item x="1095"/>
        <item x="1053"/>
        <item x="1178"/>
        <item x="1052"/>
        <item x="940"/>
        <item x="1141"/>
        <item x="1175"/>
        <item x="1081"/>
        <item x="862"/>
        <item x="1051"/>
        <item x="676"/>
        <item x="772"/>
        <item x="590"/>
        <item x="1078"/>
        <item x="1050"/>
        <item x="634"/>
        <item x="1049"/>
        <item x="906"/>
        <item x="1001"/>
        <item x="1071"/>
        <item x="1039"/>
        <item x="1000"/>
        <item x="1067"/>
        <item x="986"/>
        <item x="1033"/>
        <item x="693"/>
        <item x="999"/>
        <item x="1065"/>
        <item x="1028"/>
        <item x="998"/>
        <item x="1064"/>
        <item x="1027"/>
        <item x="1029"/>
        <item x="1026"/>
        <item x="1025"/>
        <item x="1022"/>
        <item x="1174"/>
        <item x="1021"/>
        <item x="905"/>
        <item x="974"/>
        <item x="871"/>
        <item x="1020"/>
        <item x="1111"/>
        <item x="971"/>
        <item x="1019"/>
        <item x="1184"/>
        <item x="1172"/>
        <item x="990"/>
        <item x="933"/>
        <item x="1169"/>
        <item x="648"/>
        <item x="1163"/>
        <item x="868"/>
        <item x="1152"/>
        <item x="857"/>
        <item x="1110"/>
        <item x="1187"/>
        <item x="734"/>
        <item x="1164"/>
        <item x="1012"/>
        <item x="1156"/>
        <item x="614"/>
        <item x="1122"/>
        <item x="880"/>
        <item x="1220"/>
        <item x="1227"/>
        <item x="319"/>
      </items>
    </pivotField>
    <pivotField name="Orgão" axis="axisRow" compact="0" outline="0" multipleItemSelectionAllowed="1" showAll="0" sortType="ascending" defaultSubtotal="0">
      <items count="38">
        <item x="26"/>
        <item x="3"/>
        <item x="16"/>
        <item x="18"/>
        <item x="13"/>
        <item x="21"/>
        <item x="23"/>
        <item x="34"/>
        <item x="17"/>
        <item x="33"/>
        <item x="4"/>
        <item x="20"/>
        <item x="8"/>
        <item x="0"/>
        <item x="2"/>
        <item x="10"/>
        <item x="30"/>
        <item x="15"/>
        <item x="11"/>
        <item x="7"/>
        <item x="12"/>
        <item x="5"/>
        <item x="9"/>
        <item x="36"/>
        <item x="1"/>
        <item x="29"/>
        <item x="32"/>
        <item x="6"/>
        <item x="19"/>
        <item x="24"/>
        <item x="22"/>
        <item x="14"/>
        <item x="28"/>
        <item x="35"/>
        <item x="31"/>
        <item x="25"/>
        <item x="27"/>
        <item m="1" x="37"/>
      </items>
    </pivotField>
    <pivotField name="Unidade gestora" compact="0" outline="0" multipleItemSelectionAllowed="1" showAll="0"/>
    <pivotField name="Tipo da solicitação" compact="0" outline="0" multipleItemSelectionAllowed="1" showAll="0"/>
    <pivotField name="Número da ata" compact="0" outline="0" multipleItemSelectionAllowed="1" showAll="0"/>
    <pivotField name="Objeto" compact="0" outline="0" multipleItemSelectionAllowed="1" showAll="0"/>
    <pivotField name="Núcleo Pertencente" compact="0" outline="0" multipleItemSelectionAllowed="1" showAll="0"/>
    <pivotField name="Data da solicitação" compact="0" numFmtId="14" outline="0" multipleItemSelectionAllowed="1" showAll="0"/>
    <pivotField name="Situação  do Processo" axis="axisRow" compact="0" outline="0" multipleItemSelectionAllowed="1" showAll="0" sortType="ascending">
      <items count="9">
        <item h="1" x="0"/>
        <item h="1" x="1"/>
        <item h="1" x="2"/>
        <item h="1" x="4"/>
        <item h="1" x="3"/>
        <item h="1" x="5"/>
        <item h="1" x="6"/>
        <item x="7"/>
        <item t="default"/>
      </items>
    </pivotField>
    <pivotField name="Situação Atual" compact="0" outline="0" multipleItemSelectionAllowed="1" showAll="0"/>
    <pivotField name="Andamento no PE Integrado" compact="0" outline="0" multipleItemSelectionAllowed="1" showAll="0"/>
    <pivotField name="Comparação" compact="0" outline="0" multipleItemSelectionAllowed="1" showAll="0"/>
    <pivotField name="Responsável" compact="0" outline="0" multipleItemSelectionAllowed="1" showAll="0"/>
    <pivotField name="Andamento SEI" compact="0" outline="0" multipleItemSelectionAllowed="1" showAll="0"/>
    <pivotField name="Encaminhado / Setor" compact="0" outline="0" multipleItemSelectionAllowed="1" showAll="0"/>
    <pivotField name="SEI" compact="0" outline="0" multipleItemSelectionAllowed="1" showAll="0"/>
    <pivotField name="Status da Coluna M" compact="0" outline="0" multipleItemSelectionAllowed="1" showAll="0"/>
  </pivotFields>
  <rowFields count="3">
    <field x="0"/>
    <field x="1"/>
    <field x="8"/>
  </rowFields>
  <rowItems count="3">
    <i>
      <x v="38"/>
      <x v="13"/>
      <x v="7"/>
    </i>
    <i>
      <x v="606"/>
      <x v="13"/>
      <x v="7"/>
    </i>
    <i>
      <x v="1227"/>
      <x/>
      <x v="7"/>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_INTEGRADO" displayName="PE_INTEGRADO" ref="A1:Q1249" headerRowDxfId="2" dataDxfId="0" totalsRowDxfId="1">
  <autoFilter ref="A1:Q1249" xr:uid="{00000000-000C-0000-FFFF-FFFF00000000}"/>
  <tableColumns count="17">
    <tableColumn id="1" xr3:uid="{00000000-0010-0000-0000-000001000000}" name="Número da Solicitação" dataDxfId="19"/>
    <tableColumn id="2" xr3:uid="{00000000-0010-0000-0000-000002000000}" name="Orgão" dataDxfId="18"/>
    <tableColumn id="3" xr3:uid="{00000000-0010-0000-0000-000003000000}" name="Unidade gestora" dataDxfId="17"/>
    <tableColumn id="4" xr3:uid="{00000000-0010-0000-0000-000004000000}" name="Tipo da solicitação" dataDxfId="16"/>
    <tableColumn id="5" xr3:uid="{00000000-0010-0000-0000-000005000000}" name="Número da ata" dataDxfId="15"/>
    <tableColumn id="6" xr3:uid="{00000000-0010-0000-0000-000006000000}" name="Objeto" dataDxfId="14"/>
    <tableColumn id="7" xr3:uid="{00000000-0010-0000-0000-000007000000}" name="Núcleo Pertencente" dataDxfId="13"/>
    <tableColumn id="8" xr3:uid="{00000000-0010-0000-0000-000008000000}" name="Data da solicitação" dataDxfId="12"/>
    <tableColumn id="9" xr3:uid="{00000000-0010-0000-0000-000009000000}" name="Situação  do Processo" dataDxfId="11"/>
    <tableColumn id="10" xr3:uid="{00000000-0010-0000-0000-00000A000000}" name="Situação Atual" dataDxfId="10"/>
    <tableColumn id="11" xr3:uid="{00000000-0010-0000-0000-00000B000000}" name="Andamento no PE Integrado" dataDxfId="9"/>
    <tableColumn id="12" xr3:uid="{00000000-0010-0000-0000-00000C000000}" name="Comparação" dataDxfId="8"/>
    <tableColumn id="13" xr3:uid="{00000000-0010-0000-0000-00000D000000}" name="Responsável" dataDxfId="7"/>
    <tableColumn id="14" xr3:uid="{00000000-0010-0000-0000-00000E000000}" name="Andamento SEI" dataDxfId="6"/>
    <tableColumn id="15" xr3:uid="{00000000-0010-0000-0000-00000F000000}" name="Encaminhado / Setor" dataDxfId="5"/>
    <tableColumn id="16" xr3:uid="{00000000-0010-0000-0000-000010000000}" name="SEI" dataDxfId="4"/>
    <tableColumn id="17" xr3:uid="{00000000-0010-0000-0000-000011000000}" name="Status da Coluna M" dataDxfId="3"/>
  </tableColumns>
  <tableStyleInfo name="MONITORAMENTO ADESÃOCONSUM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cessosConluidos" displayName="ProcessosConluidos" ref="A1:L509">
  <autoFilter ref="A1:L509" xr:uid="{00000000-0009-0000-0100-000003000000}"/>
  <tableColumns count="12">
    <tableColumn id="1" xr3:uid="{00000000-0010-0000-0200-000001000000}" name="Número da solicitação"/>
    <tableColumn id="2" xr3:uid="{00000000-0010-0000-0200-000002000000}" name="Unidade gestora"/>
    <tableColumn id="3" xr3:uid="{00000000-0010-0000-0200-000003000000}" name="Tipo da solicitação"/>
    <tableColumn id="4" xr3:uid="{00000000-0010-0000-0200-000004000000}" name="Número da ata"/>
    <tableColumn id="5" xr3:uid="{00000000-0010-0000-0200-000005000000}" name="Objeto"/>
    <tableColumn id="6" xr3:uid="{00000000-0010-0000-0200-000006000000}" name="Data de solicitação"/>
    <tableColumn id="7" xr3:uid="{00000000-0010-0000-0200-000007000000}" name="Situação"/>
    <tableColumn id="8" xr3:uid="{00000000-0010-0000-0200-000008000000}" name="SEI"/>
    <tableColumn id="9" xr3:uid="{00000000-0010-0000-0200-000009000000}" name="ENCAMINHADO  /  SETOR"/>
    <tableColumn id="10" xr3:uid="{00000000-0010-0000-0200-00000A000000}" name="DATA DO ENCAMINHAMENTO"/>
    <tableColumn id="11" xr3:uid="{00000000-0010-0000-0200-00000B000000}" name="STATUS"/>
    <tableColumn id="12" xr3:uid="{00000000-0010-0000-0200-00000C000000}" name="VALOR"/>
  </tableColumns>
  <tableStyleInfo name="PROCESSOS CONCLUIDO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cessos_PEINTEGRADO" displayName="Processos_PEINTEGRADO" ref="A1:N2056">
  <autoFilter ref="A1:N2056" xr:uid="{00000000-0009-0000-0100-000004000000}"/>
  <tableColumns count="14">
    <tableColumn id="1" xr3:uid="{00000000-0010-0000-0300-000001000000}" name="Número da solicitação"/>
    <tableColumn id="2" xr3:uid="{00000000-0010-0000-0300-000002000000}" name="Unidade gestora"/>
    <tableColumn id="3" xr3:uid="{00000000-0010-0000-0300-000003000000}" name="Tipo da solicitação"/>
    <tableColumn id="4" xr3:uid="{00000000-0010-0000-0300-000004000000}" name="Número da ata"/>
    <tableColumn id="5" xr3:uid="{00000000-0010-0000-0300-000005000000}" name="Objeto"/>
    <tableColumn id="6" xr3:uid="{00000000-0010-0000-0300-000006000000}" name="Data de solicitação"/>
    <tableColumn id="7" xr3:uid="{00000000-0010-0000-0300-000007000000}" name="Situação Atual PE INTEGRADO"/>
    <tableColumn id="8" xr3:uid="{00000000-0010-0000-0300-000008000000}" name="Situação Monitoramento"/>
    <tableColumn id="9" xr3:uid="{00000000-0010-0000-0300-000009000000}" name="Status"/>
    <tableColumn id="10" xr3:uid="{00000000-0010-0000-0300-00000A000000}" name="Column 20"/>
    <tableColumn id="11" xr3:uid="{00000000-0010-0000-0300-00000B000000}" name="Column 21"/>
    <tableColumn id="12" xr3:uid="{00000000-0010-0000-0300-00000C000000}" name="Column 22"/>
    <tableColumn id="13" xr3:uid="{00000000-0010-0000-0300-00000D000000}" name="Column 23"/>
    <tableColumn id="14" xr3:uid="{00000000-0010-0000-0300-00000E000000}" name="Column 24"/>
  </tableColumns>
  <tableStyleInfo name="TODOS OS PROCESSOS ATUALIZADOS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a.010-arp.0071.02.2024.gov.huoc.pe/" TargetMode="External"/><Relationship Id="rId13" Type="http://schemas.openxmlformats.org/officeDocument/2006/relationships/hyperlink" Target="http://a.001-arp.0059.02.2025.gov.fes-pe.pe/" TargetMode="External"/><Relationship Id="rId3" Type="http://schemas.openxmlformats.org/officeDocument/2006/relationships/hyperlink" Target="http://a.048-arp.0002.01.2024.gov.fundarpe.pe/" TargetMode="External"/><Relationship Id="rId7" Type="http://schemas.openxmlformats.org/officeDocument/2006/relationships/hyperlink" Target="http://a.012-arp.0046.02.2024.gov.huoc.pe/" TargetMode="External"/><Relationship Id="rId12" Type="http://schemas.openxmlformats.org/officeDocument/2006/relationships/hyperlink" Target="http://a.008-arp.0033.03.2024.gov.cisam.pe/" TargetMode="External"/><Relationship Id="rId2" Type="http://schemas.openxmlformats.org/officeDocument/2006/relationships/hyperlink" Target="http://a.010-arp.0044.00.2024.gov.procape.pe/" TargetMode="External"/><Relationship Id="rId1" Type="http://schemas.openxmlformats.org/officeDocument/2006/relationships/hyperlink" Target="http://a.020-arp.0055.06.2024.gov.cisam.pe/" TargetMode="External"/><Relationship Id="rId6" Type="http://schemas.openxmlformats.org/officeDocument/2006/relationships/hyperlink" Target="http://a.022-arp.0008.00.2024.gov.hr.pe/" TargetMode="External"/><Relationship Id="rId11" Type="http://schemas.openxmlformats.org/officeDocument/2006/relationships/hyperlink" Target="http://a.008-arp.0051.02.2024.gov.cisam.pe/" TargetMode="External"/><Relationship Id="rId5" Type="http://schemas.openxmlformats.org/officeDocument/2006/relationships/hyperlink" Target="http://a.030-arp.0024.00.2024.gov.hr.pe/" TargetMode="External"/><Relationship Id="rId10" Type="http://schemas.openxmlformats.org/officeDocument/2006/relationships/hyperlink" Target="http://a.009-arp.0004.00.2024.gov.hgv.pe/" TargetMode="External"/><Relationship Id="rId4" Type="http://schemas.openxmlformats.org/officeDocument/2006/relationships/hyperlink" Target="http://a.034-arp.0005.00.2024.gov.upecmn.pe/" TargetMode="External"/><Relationship Id="rId9" Type="http://schemas.openxmlformats.org/officeDocument/2006/relationships/hyperlink" Target="http://a.009-arp.0025.01.2024.gov.fes-pe.pe/"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c.017-arp.0061.00.2024.gov.fes-pe.pe/" TargetMode="External"/><Relationship Id="rId299" Type="http://schemas.openxmlformats.org/officeDocument/2006/relationships/hyperlink" Target="http://arp.0098.04.2024.gov.fes-pe.pe/" TargetMode="External"/><Relationship Id="rId21" Type="http://schemas.openxmlformats.org/officeDocument/2006/relationships/hyperlink" Target="http://arp.0001.00.2024.fes-pe.pe/" TargetMode="External"/><Relationship Id="rId63" Type="http://schemas.openxmlformats.org/officeDocument/2006/relationships/hyperlink" Target="http://arp.0006.03.2025.gov.cisam.pe/" TargetMode="External"/><Relationship Id="rId159" Type="http://schemas.openxmlformats.org/officeDocument/2006/relationships/hyperlink" Target="http://c.013-arp.0009.00.2025.gov.fes-pe.pe/" TargetMode="External"/><Relationship Id="rId324" Type="http://schemas.openxmlformats.org/officeDocument/2006/relationships/hyperlink" Target="http://a.003-arp.0118.05.2024.gov.huoc.pe/" TargetMode="External"/><Relationship Id="rId366" Type="http://schemas.openxmlformats.org/officeDocument/2006/relationships/hyperlink" Target="http://a.002-arp.0010.02.2025.gov.hof.pe/" TargetMode="External"/><Relationship Id="rId531" Type="http://schemas.openxmlformats.org/officeDocument/2006/relationships/hyperlink" Target="http://arp.0020.03.2024.gov.ham.pe/" TargetMode="External"/><Relationship Id="rId573" Type="http://schemas.openxmlformats.org/officeDocument/2006/relationships/hyperlink" Target="http://arp.0003.11.2025.gov.procape.pe/" TargetMode="External"/><Relationship Id="rId629" Type="http://schemas.openxmlformats.org/officeDocument/2006/relationships/hyperlink" Target="http://arp.0110.01.2024.gov.huoc.pe/" TargetMode="External"/><Relationship Id="rId170" Type="http://schemas.openxmlformats.org/officeDocument/2006/relationships/hyperlink" Target="http://arp.0006.02.2025.gov.hof.pe/" TargetMode="External"/><Relationship Id="rId226" Type="http://schemas.openxmlformats.org/officeDocument/2006/relationships/hyperlink" Target="http://arp.0013.02.2025.gov.fes-pe.pe/" TargetMode="External"/><Relationship Id="rId433" Type="http://schemas.openxmlformats.org/officeDocument/2006/relationships/hyperlink" Target="http://arp.0074.00.2024.gov.fes-pe.pe/" TargetMode="External"/><Relationship Id="rId268" Type="http://schemas.openxmlformats.org/officeDocument/2006/relationships/hyperlink" Target="http://c.075-arpc.0019.00.2024.gov.sad.pe/" TargetMode="External"/><Relationship Id="rId475" Type="http://schemas.openxmlformats.org/officeDocument/2006/relationships/hyperlink" Target="http://arp.0009.00.2025.gov.fes-pe.pe/" TargetMode="External"/><Relationship Id="rId640" Type="http://schemas.openxmlformats.org/officeDocument/2006/relationships/hyperlink" Target="http://a.003-arp.0087.05.2024.gov.huoc.pe/" TargetMode="External"/><Relationship Id="rId32" Type="http://schemas.openxmlformats.org/officeDocument/2006/relationships/hyperlink" Target="http://c.003-arp.0068.04.2025.gov.fes-pe.pe/" TargetMode="External"/><Relationship Id="rId74" Type="http://schemas.openxmlformats.org/officeDocument/2006/relationships/hyperlink" Target="http://c.012-arp.0070.03.2025.gov.fes-pe.pe/" TargetMode="External"/><Relationship Id="rId128" Type="http://schemas.openxmlformats.org/officeDocument/2006/relationships/hyperlink" Target="http://arp.0052.12.2024.gov.cisam.pe/" TargetMode="External"/><Relationship Id="rId335" Type="http://schemas.openxmlformats.org/officeDocument/2006/relationships/hyperlink" Target="http://arp.0084.05.2024.gov.cisam.pe/" TargetMode="External"/><Relationship Id="rId377" Type="http://schemas.openxmlformats.org/officeDocument/2006/relationships/hyperlink" Target="http://arp.0021.01.2024.gov.hof.pe/" TargetMode="External"/><Relationship Id="rId500" Type="http://schemas.openxmlformats.org/officeDocument/2006/relationships/hyperlink" Target="http://a.002-arp.0034.00.2025.gov.huoc.pe/" TargetMode="External"/><Relationship Id="rId542" Type="http://schemas.openxmlformats.org/officeDocument/2006/relationships/hyperlink" Target="http://a.003-arp.0002.01.2025.gov.hgv.pe/" TargetMode="External"/><Relationship Id="rId584" Type="http://schemas.openxmlformats.org/officeDocument/2006/relationships/hyperlink" Target="http://a.007-arp.0091.06.2024.gov.procape.pe/" TargetMode="External"/><Relationship Id="rId5" Type="http://schemas.openxmlformats.org/officeDocument/2006/relationships/hyperlink" Target="http://c.007-arp.0049.03.2025.gov.fes-pe.pe/" TargetMode="External"/><Relationship Id="rId181" Type="http://schemas.openxmlformats.org/officeDocument/2006/relationships/hyperlink" Target="http://c.014-arp.0009.02.2025.gov.fes-pe.pe/" TargetMode="External"/><Relationship Id="rId237" Type="http://schemas.openxmlformats.org/officeDocument/2006/relationships/hyperlink" Target="http://c.003-arp.0012.00.2025.gov.fes-pe.pe/" TargetMode="External"/><Relationship Id="rId402" Type="http://schemas.openxmlformats.org/officeDocument/2006/relationships/hyperlink" Target="http://a.022-arp.0002.00.2025.gov.fes-pe.pe/" TargetMode="External"/><Relationship Id="rId279" Type="http://schemas.openxmlformats.org/officeDocument/2006/relationships/hyperlink" Target="http://arp.0092.00.2024.gov.fes-pe.pe/" TargetMode="External"/><Relationship Id="rId444" Type="http://schemas.openxmlformats.org/officeDocument/2006/relationships/hyperlink" Target="http://a.007-arp.0080.02.2024.gov.cisam.pe/" TargetMode="External"/><Relationship Id="rId486" Type="http://schemas.openxmlformats.org/officeDocument/2006/relationships/hyperlink" Target="http://a.004-arp.0010.01.2025.gov.hgv.pe/" TargetMode="External"/><Relationship Id="rId43" Type="http://schemas.openxmlformats.org/officeDocument/2006/relationships/hyperlink" Target="http://arp.0044.06.2025.gov.fes-pe.pe/" TargetMode="External"/><Relationship Id="rId139" Type="http://schemas.openxmlformats.org/officeDocument/2006/relationships/hyperlink" Target="http://c.022-arp.0046.02.2024.gov.fes-pe.pe/" TargetMode="External"/><Relationship Id="rId290" Type="http://schemas.openxmlformats.org/officeDocument/2006/relationships/hyperlink" Target="http://c.003-arp.0099.04.2024.gov.fes-pe.pe/" TargetMode="External"/><Relationship Id="rId304" Type="http://schemas.openxmlformats.org/officeDocument/2006/relationships/hyperlink" Target="http://c.005-arpc.0002.00.2025.gov.sad.pe/" TargetMode="External"/><Relationship Id="rId346" Type="http://schemas.openxmlformats.org/officeDocument/2006/relationships/hyperlink" Target="http://a.001-arp.0068.04.2025.gov.fes-pe.pe/" TargetMode="External"/><Relationship Id="rId388" Type="http://schemas.openxmlformats.org/officeDocument/2006/relationships/hyperlink" Target="http://a.004-arp.0010.00.2025.gov.hr.pe/" TargetMode="External"/><Relationship Id="rId511" Type="http://schemas.openxmlformats.org/officeDocument/2006/relationships/hyperlink" Target="http://arp.0004.00.2025.gov.hr.pe/" TargetMode="External"/><Relationship Id="rId553" Type="http://schemas.openxmlformats.org/officeDocument/2006/relationships/hyperlink" Target="http://arp.0006.04.2025.gov.procape.pe/" TargetMode="External"/><Relationship Id="rId609" Type="http://schemas.openxmlformats.org/officeDocument/2006/relationships/hyperlink" Target="http://arp.0106.08.2024.gov.huoc.pe/" TargetMode="External"/><Relationship Id="rId85" Type="http://schemas.openxmlformats.org/officeDocument/2006/relationships/hyperlink" Target="http://arp.0067.06.2025.gov.fes-pe.pe/" TargetMode="External"/><Relationship Id="rId150" Type="http://schemas.openxmlformats.org/officeDocument/2006/relationships/hyperlink" Target="http://arp.0010.05.2025.gov.fes-pe.pe/" TargetMode="External"/><Relationship Id="rId192" Type="http://schemas.openxmlformats.org/officeDocument/2006/relationships/hyperlink" Target="http://arp.0034.00.2025.gov.fes-pe.pe/" TargetMode="External"/><Relationship Id="rId206" Type="http://schemas.openxmlformats.org/officeDocument/2006/relationships/hyperlink" Target="http://arp.0027.04.2025.gov.fes-pe.pe/" TargetMode="External"/><Relationship Id="rId413" Type="http://schemas.openxmlformats.org/officeDocument/2006/relationships/hyperlink" Target="http://arp.0103.06.2024.gov.procape.pe/" TargetMode="External"/><Relationship Id="rId595" Type="http://schemas.openxmlformats.org/officeDocument/2006/relationships/hyperlink" Target="http://arp.0074.04.2024.gov.huoc.pe/" TargetMode="External"/><Relationship Id="rId248" Type="http://schemas.openxmlformats.org/officeDocument/2006/relationships/hyperlink" Target="http://c.012-arp.0046.00.2024.gov.fes-pe.pe/" TargetMode="External"/><Relationship Id="rId455" Type="http://schemas.openxmlformats.org/officeDocument/2006/relationships/hyperlink" Target="http://arp.0077.00.2024.gov.huoc.pe/" TargetMode="External"/><Relationship Id="rId497" Type="http://schemas.openxmlformats.org/officeDocument/2006/relationships/hyperlink" Target="http://arp.0084.02.2024.gov.fes-pe.pe/" TargetMode="External"/><Relationship Id="rId620" Type="http://schemas.openxmlformats.org/officeDocument/2006/relationships/hyperlink" Target="http://a.012-arp.0105.03.2024.gov.procape.pe/" TargetMode="External"/><Relationship Id="rId12" Type="http://schemas.openxmlformats.org/officeDocument/2006/relationships/hyperlink" Target="http://c.006-arp.0077.01.2025.gov.fes-pe.pe/" TargetMode="External"/><Relationship Id="rId108" Type="http://schemas.openxmlformats.org/officeDocument/2006/relationships/hyperlink" Target="http://arp.0083.05.2024.gov.fes-pe.pe/" TargetMode="External"/><Relationship Id="rId315" Type="http://schemas.openxmlformats.org/officeDocument/2006/relationships/hyperlink" Target="http://arp.0021.00.2025.gov.hof.pe/" TargetMode="External"/><Relationship Id="rId357" Type="http://schemas.openxmlformats.org/officeDocument/2006/relationships/hyperlink" Target="http://arp.0080.00.2025.gov.fes-pe.pe/" TargetMode="External"/><Relationship Id="rId522" Type="http://schemas.openxmlformats.org/officeDocument/2006/relationships/hyperlink" Target="http://a.005-arp.0028.06.2024.gov.hemope.pe/" TargetMode="External"/><Relationship Id="rId54" Type="http://schemas.openxmlformats.org/officeDocument/2006/relationships/hyperlink" Target="http://c.009-arp.0008.01.2025.gov.ham.pe/" TargetMode="External"/><Relationship Id="rId96" Type="http://schemas.openxmlformats.org/officeDocument/2006/relationships/hyperlink" Target="http://arp.0083.06.2024.gov.fes-pe.pe/" TargetMode="External"/><Relationship Id="rId161" Type="http://schemas.openxmlformats.org/officeDocument/2006/relationships/hyperlink" Target="http://c.016-arp.0009.02.2025.gov.fes-pe.pe/" TargetMode="External"/><Relationship Id="rId217" Type="http://schemas.openxmlformats.org/officeDocument/2006/relationships/hyperlink" Target="http://c.001-arp.0018.02.2025.gov.fes-pe.pe/" TargetMode="External"/><Relationship Id="rId399" Type="http://schemas.openxmlformats.org/officeDocument/2006/relationships/hyperlink" Target="http://arp.0038.03.2025.gov.huoc.pe/" TargetMode="External"/><Relationship Id="rId564" Type="http://schemas.openxmlformats.org/officeDocument/2006/relationships/hyperlink" Target="http://a.001-arp.0109.00.2024.gov.procape.pe/" TargetMode="External"/><Relationship Id="rId259" Type="http://schemas.openxmlformats.org/officeDocument/2006/relationships/hyperlink" Target="http://arp.0002.00.2025.gov.cisam.pe/" TargetMode="External"/><Relationship Id="rId424" Type="http://schemas.openxmlformats.org/officeDocument/2006/relationships/hyperlink" Target="http://a.012-arp.0119.04.2024.gov.huoc.pe/" TargetMode="External"/><Relationship Id="rId466" Type="http://schemas.openxmlformats.org/officeDocument/2006/relationships/hyperlink" Target="http://a.008-arp.0004.00.2025.gov.hr.pe/" TargetMode="External"/><Relationship Id="rId631" Type="http://schemas.openxmlformats.org/officeDocument/2006/relationships/hyperlink" Target="http://arp.0011.01.2024.ext.hmar.pe/" TargetMode="External"/><Relationship Id="rId23" Type="http://schemas.openxmlformats.org/officeDocument/2006/relationships/hyperlink" Target="http://arp.0070.03.2025.gov.fes-pe.pe/" TargetMode="External"/><Relationship Id="rId119" Type="http://schemas.openxmlformats.org/officeDocument/2006/relationships/hyperlink" Target="http://c.003-arp.0047.00.2025.gov.fes-pe.pe/" TargetMode="External"/><Relationship Id="rId270" Type="http://schemas.openxmlformats.org/officeDocument/2006/relationships/hyperlink" Target="http://c.008-arp.0016.00.2025.gov.fes-pe.pe/" TargetMode="External"/><Relationship Id="rId326" Type="http://schemas.openxmlformats.org/officeDocument/2006/relationships/hyperlink" Target="http://a.003-arp.0118.01.2024.gov.huoc.pe/" TargetMode="External"/><Relationship Id="rId533" Type="http://schemas.openxmlformats.org/officeDocument/2006/relationships/hyperlink" Target="http://arp.0027.02.2024.gov.hemope.pe/" TargetMode="External"/><Relationship Id="rId65" Type="http://schemas.openxmlformats.org/officeDocument/2006/relationships/hyperlink" Target="http://arp.0008.01.2025.gov.ham.pe/" TargetMode="External"/><Relationship Id="rId130" Type="http://schemas.openxmlformats.org/officeDocument/2006/relationships/hyperlink" Target="http://arp.0052.11.2024.gov.cisam.pe/" TargetMode="External"/><Relationship Id="rId368" Type="http://schemas.openxmlformats.org/officeDocument/2006/relationships/hyperlink" Target="http://a.005-arp.0038.02.2025.gov.huoc.pe/" TargetMode="External"/><Relationship Id="rId575" Type="http://schemas.openxmlformats.org/officeDocument/2006/relationships/hyperlink" Target="http://arp.0008.00.2025.gov.cisam.pe/" TargetMode="External"/><Relationship Id="rId172" Type="http://schemas.openxmlformats.org/officeDocument/2006/relationships/hyperlink" Target="http://arp.0048.03.2025.gov.fes-pe.pe/" TargetMode="External"/><Relationship Id="rId228" Type="http://schemas.openxmlformats.org/officeDocument/2006/relationships/hyperlink" Target="http://arp.0013.01.2025.gov.fes-pe.pe/" TargetMode="External"/><Relationship Id="rId435" Type="http://schemas.openxmlformats.org/officeDocument/2006/relationships/hyperlink" Target="http://arp.0041.00.2024.gov.hr.pe/" TargetMode="External"/><Relationship Id="rId477" Type="http://schemas.openxmlformats.org/officeDocument/2006/relationships/hyperlink" Target="http://arp.0108.01.2024.gov.huoc.pe/" TargetMode="External"/><Relationship Id="rId600" Type="http://schemas.openxmlformats.org/officeDocument/2006/relationships/hyperlink" Target="http://a.001-arp.0021.00.2024.gov.hgv.pe/" TargetMode="External"/><Relationship Id="rId642" Type="http://schemas.openxmlformats.org/officeDocument/2006/relationships/hyperlink" Target="http://a.004-arp.0017.00.2024.gov.hgv.pe/" TargetMode="External"/><Relationship Id="rId281" Type="http://schemas.openxmlformats.org/officeDocument/2006/relationships/hyperlink" Target="http://arp.0001.00.2025.gov.hof.pe/" TargetMode="External"/><Relationship Id="rId337" Type="http://schemas.openxmlformats.org/officeDocument/2006/relationships/hyperlink" Target="http://arp.0118.05.2024.gov.huoc.pe/" TargetMode="External"/><Relationship Id="rId502" Type="http://schemas.openxmlformats.org/officeDocument/2006/relationships/hyperlink" Target="http://a.002-arp.0008.05.2025.gov.hgv.pe/" TargetMode="External"/><Relationship Id="rId34" Type="http://schemas.openxmlformats.org/officeDocument/2006/relationships/hyperlink" Target="http://c.007-arp.0068.01.2025.gov.fes-pe.pe/" TargetMode="External"/><Relationship Id="rId76" Type="http://schemas.openxmlformats.org/officeDocument/2006/relationships/hyperlink" Target="http://c.022-arp.0015.06.2025.gov.fes-pe.pe/" TargetMode="External"/><Relationship Id="rId141" Type="http://schemas.openxmlformats.org/officeDocument/2006/relationships/hyperlink" Target="http://c.003-arp.0044.04.2025.gov.fes-pe.pe/" TargetMode="External"/><Relationship Id="rId379" Type="http://schemas.openxmlformats.org/officeDocument/2006/relationships/hyperlink" Target="http://arp.0011.02.2025.gov.hemope.pe/" TargetMode="External"/><Relationship Id="rId544" Type="http://schemas.openxmlformats.org/officeDocument/2006/relationships/hyperlink" Target="http://a.007-arp.0104.01.2024.gov.huoc.pe/" TargetMode="External"/><Relationship Id="rId586" Type="http://schemas.openxmlformats.org/officeDocument/2006/relationships/hyperlink" Target="http://a.004-arp.0003.00.2024.ext.amgesp.al/" TargetMode="External"/><Relationship Id="rId7" Type="http://schemas.openxmlformats.org/officeDocument/2006/relationships/hyperlink" Target="http://c.008-arp.0049.01.2025.gov.fes-pe.pe/" TargetMode="External"/><Relationship Id="rId183" Type="http://schemas.openxmlformats.org/officeDocument/2006/relationships/hyperlink" Target="http://c.006-arp.0010.00.2025.gov.cisam.pe/" TargetMode="External"/><Relationship Id="rId239" Type="http://schemas.openxmlformats.org/officeDocument/2006/relationships/hyperlink" Target="http://c.006-arp.0010.04.2025.gov.fes-pe.pe/" TargetMode="External"/><Relationship Id="rId390" Type="http://schemas.openxmlformats.org/officeDocument/2006/relationships/hyperlink" Target="http://a.013-arp.0013.00.2024.gov.ham.pe/" TargetMode="External"/><Relationship Id="rId404" Type="http://schemas.openxmlformats.org/officeDocument/2006/relationships/hyperlink" Target="http://a.007-arp.0106.02.2025.gov.huoc.pe/" TargetMode="External"/><Relationship Id="rId446" Type="http://schemas.openxmlformats.org/officeDocument/2006/relationships/hyperlink" Target="http://a.005-arp.0010.00.2025.gov.cisam.pe/" TargetMode="External"/><Relationship Id="rId611" Type="http://schemas.openxmlformats.org/officeDocument/2006/relationships/hyperlink" Target="http://arp.0009.07.2024.gov.sassepe.pe/" TargetMode="External"/><Relationship Id="rId250" Type="http://schemas.openxmlformats.org/officeDocument/2006/relationships/hyperlink" Target="http://c.003-arp.0100.03.2024.gov.fes-pe.pe/" TargetMode="External"/><Relationship Id="rId292" Type="http://schemas.openxmlformats.org/officeDocument/2006/relationships/hyperlink" Target="http://c.003-arp.0099.03.2024.gov.fes-pe.pe/" TargetMode="External"/><Relationship Id="rId306" Type="http://schemas.openxmlformats.org/officeDocument/2006/relationships/hyperlink" Target="http://a.003-arp.0073.00.2025.gov.fes-pe.pe/" TargetMode="External"/><Relationship Id="rId488" Type="http://schemas.openxmlformats.org/officeDocument/2006/relationships/hyperlink" Target="http://a.032-arp.0041.00.2024.gov.hr.pe/" TargetMode="External"/><Relationship Id="rId45" Type="http://schemas.openxmlformats.org/officeDocument/2006/relationships/hyperlink" Target="http://arp.0016.03.2025.gov.fes-pe.pe/" TargetMode="External"/><Relationship Id="rId87" Type="http://schemas.openxmlformats.org/officeDocument/2006/relationships/hyperlink" Target="http://arp.0067.01.2025.gov.fes-pe.pe/" TargetMode="External"/><Relationship Id="rId110" Type="http://schemas.openxmlformats.org/officeDocument/2006/relationships/hyperlink" Target="http://arp.0063.00.2024.gov.fes-pe.pe/" TargetMode="External"/><Relationship Id="rId348" Type="http://schemas.openxmlformats.org/officeDocument/2006/relationships/hyperlink" Target="http://a.002-arp.0009.02.2025.gov.hgv.pe/" TargetMode="External"/><Relationship Id="rId513" Type="http://schemas.openxmlformats.org/officeDocument/2006/relationships/hyperlink" Target="http://arp.0006.00.2025.gov.hr.pe/" TargetMode="External"/><Relationship Id="rId555" Type="http://schemas.openxmlformats.org/officeDocument/2006/relationships/hyperlink" Target="http://arp.0104.00.2024.gov.huoc.pe/" TargetMode="External"/><Relationship Id="rId597" Type="http://schemas.openxmlformats.org/officeDocument/2006/relationships/hyperlink" Target="http://arp.0011.00.2024.gov.hgv.pe/" TargetMode="External"/><Relationship Id="rId152" Type="http://schemas.openxmlformats.org/officeDocument/2006/relationships/hyperlink" Target="http://arp.0021.00.2024.gov.hof.pe/" TargetMode="External"/><Relationship Id="rId194" Type="http://schemas.openxmlformats.org/officeDocument/2006/relationships/hyperlink" Target="http://arp.0003.01.2025.gov.fes-pe.pe/" TargetMode="External"/><Relationship Id="rId208" Type="http://schemas.openxmlformats.org/officeDocument/2006/relationships/hyperlink" Target="http://arp.0027.05.2025.gov.fes-pe.pe/" TargetMode="External"/><Relationship Id="rId415" Type="http://schemas.openxmlformats.org/officeDocument/2006/relationships/hyperlink" Target="http://arp.0010.00.2025.gov.hr.pe/" TargetMode="External"/><Relationship Id="rId457" Type="http://schemas.openxmlformats.org/officeDocument/2006/relationships/hyperlink" Target="http://arp.0007.00.2025.gov.hemope.pe/" TargetMode="External"/><Relationship Id="rId622" Type="http://schemas.openxmlformats.org/officeDocument/2006/relationships/hyperlink" Target="http://a.002-arp.0045.00.2024.gov.hr.pe/" TargetMode="External"/><Relationship Id="rId261" Type="http://schemas.openxmlformats.org/officeDocument/2006/relationships/hyperlink" Target="http://arp.0002.00.2025.gov.cisam.pe/" TargetMode="External"/><Relationship Id="rId499" Type="http://schemas.openxmlformats.org/officeDocument/2006/relationships/hyperlink" Target="http://arp.0051.00.2025.gov.procape.pe/" TargetMode="External"/><Relationship Id="rId14" Type="http://schemas.openxmlformats.org/officeDocument/2006/relationships/hyperlink" Target="http://c.011-arp.0044.04.2025.gov.fes-pe.pe/" TargetMode="External"/><Relationship Id="rId56" Type="http://schemas.openxmlformats.org/officeDocument/2006/relationships/hyperlink" Target="http://c.016-arp.0070.03.2025.gov.fes-pe.pe/" TargetMode="External"/><Relationship Id="rId317" Type="http://schemas.openxmlformats.org/officeDocument/2006/relationships/hyperlink" Target="http://arp.0020.00.2024.gov.hof.pe/" TargetMode="External"/><Relationship Id="rId359" Type="http://schemas.openxmlformats.org/officeDocument/2006/relationships/hyperlink" Target="http://arp.0012.02.2025.gov.huoc.pe/" TargetMode="External"/><Relationship Id="rId524" Type="http://schemas.openxmlformats.org/officeDocument/2006/relationships/hyperlink" Target="http://a.014-arp.0006.00.2025.gov.hr.pe/" TargetMode="External"/><Relationship Id="rId566" Type="http://schemas.openxmlformats.org/officeDocument/2006/relationships/hyperlink" Target="http://a.005-arp.0074.01.2024.gov.huoc.pe/" TargetMode="External"/><Relationship Id="rId98" Type="http://schemas.openxmlformats.org/officeDocument/2006/relationships/hyperlink" Target="http://arp.0021.06.2024.gov.hof.pe/" TargetMode="External"/><Relationship Id="rId121" Type="http://schemas.openxmlformats.org/officeDocument/2006/relationships/hyperlink" Target="http://c.031-arp.0052.03.2024.gov.fes-pe.pe/" TargetMode="External"/><Relationship Id="rId163" Type="http://schemas.openxmlformats.org/officeDocument/2006/relationships/hyperlink" Target="http://c.021-arp.0063.00.2024.gov.fes-pe.pe/" TargetMode="External"/><Relationship Id="rId219" Type="http://schemas.openxmlformats.org/officeDocument/2006/relationships/hyperlink" Target="http://c.004-arp.0018.01.2025.gov.fes-pe.pe/" TargetMode="External"/><Relationship Id="rId370" Type="http://schemas.openxmlformats.org/officeDocument/2006/relationships/hyperlink" Target="http://a.008-arp.0100.00.2024.gov.huoc.pe/" TargetMode="External"/><Relationship Id="rId426" Type="http://schemas.openxmlformats.org/officeDocument/2006/relationships/hyperlink" Target="http://a.004-arp.0110.02.2024.gov.huoc.pe/" TargetMode="External"/><Relationship Id="rId633" Type="http://schemas.openxmlformats.org/officeDocument/2006/relationships/hyperlink" Target="http://arpc.0007.00.2024.gov.sad.pe/" TargetMode="External"/><Relationship Id="rId230" Type="http://schemas.openxmlformats.org/officeDocument/2006/relationships/hyperlink" Target="http://arp.0012.02.2025.gov.fes-pe.pe/" TargetMode="External"/><Relationship Id="rId468" Type="http://schemas.openxmlformats.org/officeDocument/2006/relationships/hyperlink" Target="http://a.001-arp.0059.02.2025.gov.fes-pe.pe/" TargetMode="External"/><Relationship Id="rId25" Type="http://schemas.openxmlformats.org/officeDocument/2006/relationships/hyperlink" Target="http://arp.0079.01.2025.gov.fes-pe.pe/" TargetMode="External"/><Relationship Id="rId67" Type="http://schemas.openxmlformats.org/officeDocument/2006/relationships/hyperlink" Target="http://arp.0064.02.2024.gov.fes-pe.pe/" TargetMode="External"/><Relationship Id="rId272" Type="http://schemas.openxmlformats.org/officeDocument/2006/relationships/hyperlink" Target="http://c.011-arp.0015.06.2025.gov.fes-pe.pe/" TargetMode="External"/><Relationship Id="rId328" Type="http://schemas.openxmlformats.org/officeDocument/2006/relationships/hyperlink" Target="http://a.002-arp.0009.03.2025.gov.hgv.pe/" TargetMode="External"/><Relationship Id="rId535" Type="http://schemas.openxmlformats.org/officeDocument/2006/relationships/hyperlink" Target="http://arp.0027.01.2024.gov.hemope.pe/" TargetMode="External"/><Relationship Id="rId577" Type="http://schemas.openxmlformats.org/officeDocument/2006/relationships/hyperlink" Target="http://arpc.0007.01.2024.gov.sad.pe/" TargetMode="External"/><Relationship Id="rId132" Type="http://schemas.openxmlformats.org/officeDocument/2006/relationships/hyperlink" Target="http://arp.0052.11.2024.gov.cisam.pe/" TargetMode="External"/><Relationship Id="rId174" Type="http://schemas.openxmlformats.org/officeDocument/2006/relationships/hyperlink" Target="http://arp.0048.02.2025.gov.fes-pe.pe/" TargetMode="External"/><Relationship Id="rId381" Type="http://schemas.openxmlformats.org/officeDocument/2006/relationships/hyperlink" Target="http://arp.0059.02.2025.gov.procape.pe/" TargetMode="External"/><Relationship Id="rId602" Type="http://schemas.openxmlformats.org/officeDocument/2006/relationships/hyperlink" Target="http://a.002-arp.0001.00.2024.ext.rs/" TargetMode="External"/><Relationship Id="rId241" Type="http://schemas.openxmlformats.org/officeDocument/2006/relationships/hyperlink" Target="http://c.010-arpc.0001.00.2025.gov.sad.pe/" TargetMode="External"/><Relationship Id="rId437" Type="http://schemas.openxmlformats.org/officeDocument/2006/relationships/hyperlink" Target="http://arp.0005.12.2025.gov.hemope.pe/" TargetMode="External"/><Relationship Id="rId479" Type="http://schemas.openxmlformats.org/officeDocument/2006/relationships/hyperlink" Target="http://arp.0011.00.2025.gov.hr.pe/" TargetMode="External"/><Relationship Id="rId644" Type="http://schemas.openxmlformats.org/officeDocument/2006/relationships/hyperlink" Target="http://a.004-arp.0010.05.2025.gov.ham.pe/" TargetMode="External"/><Relationship Id="rId36" Type="http://schemas.openxmlformats.org/officeDocument/2006/relationships/hyperlink" Target="http://c.005-arp.0068.00.2025.gov.fes-pe.pe/" TargetMode="External"/><Relationship Id="rId283" Type="http://schemas.openxmlformats.org/officeDocument/2006/relationships/hyperlink" Target="http://arp.0009.02.2025.gov.fes-pe.pe/" TargetMode="External"/><Relationship Id="rId339" Type="http://schemas.openxmlformats.org/officeDocument/2006/relationships/hyperlink" Target="http://arp.0005.00.2025.gov.feas.pe/" TargetMode="External"/><Relationship Id="rId490" Type="http://schemas.openxmlformats.org/officeDocument/2006/relationships/hyperlink" Target="http://a.004-arp.0029.06.2025.gov.procape.pe/" TargetMode="External"/><Relationship Id="rId504" Type="http://schemas.openxmlformats.org/officeDocument/2006/relationships/hyperlink" Target="http://a.012-arp.0078.02.2024.gov.huoc.pe/" TargetMode="External"/><Relationship Id="rId546" Type="http://schemas.openxmlformats.org/officeDocument/2006/relationships/hyperlink" Target="http://a.015-arp.0028.00.2024.gov.hr.pe/" TargetMode="External"/><Relationship Id="rId78" Type="http://schemas.openxmlformats.org/officeDocument/2006/relationships/hyperlink" Target="http://c.002-arp.0012.07.2025.gov.ham.pe/" TargetMode="External"/><Relationship Id="rId101" Type="http://schemas.openxmlformats.org/officeDocument/2006/relationships/hyperlink" Target="http://c.008-arp.0067.03.2025.gov.fes-pe.pe/" TargetMode="External"/><Relationship Id="rId143" Type="http://schemas.openxmlformats.org/officeDocument/2006/relationships/hyperlink" Target="http://c.001-arp.0059.02.2025.gov.fes-pe.pe/" TargetMode="External"/><Relationship Id="rId185" Type="http://schemas.openxmlformats.org/officeDocument/2006/relationships/hyperlink" Target="http://c.015-arpc.0001.00.2025.gov.sad.pe/" TargetMode="External"/><Relationship Id="rId350" Type="http://schemas.openxmlformats.org/officeDocument/2006/relationships/hyperlink" Target="http://a.005-arp.0011.00.2025.gov.ham.pe/" TargetMode="External"/><Relationship Id="rId406" Type="http://schemas.openxmlformats.org/officeDocument/2006/relationships/hyperlink" Target="http://a.002-arp.0010.02.2025.ext.hmar.pe/" TargetMode="External"/><Relationship Id="rId588" Type="http://schemas.openxmlformats.org/officeDocument/2006/relationships/hyperlink" Target="http://a.012-arp.0110.08.2024.gov.huoc.pe/" TargetMode="External"/><Relationship Id="rId9" Type="http://schemas.openxmlformats.org/officeDocument/2006/relationships/hyperlink" Target="http://arp.0049.04.2025.gov.fes-pe.pe/" TargetMode="External"/><Relationship Id="rId210" Type="http://schemas.openxmlformats.org/officeDocument/2006/relationships/hyperlink" Target="http://arp.0027.06.2025.gov.fes-pe.pe/" TargetMode="External"/><Relationship Id="rId392" Type="http://schemas.openxmlformats.org/officeDocument/2006/relationships/hyperlink" Target="http://a.009-arp.0028.03.2025.gov.procape.pe/" TargetMode="External"/><Relationship Id="rId448" Type="http://schemas.openxmlformats.org/officeDocument/2006/relationships/hyperlink" Target="http://a.002-arp.0003.00.2025.gov.hgv.pe/" TargetMode="External"/><Relationship Id="rId613" Type="http://schemas.openxmlformats.org/officeDocument/2006/relationships/hyperlink" Target="http://arp.0103.06.2024.gov.procape.pe/" TargetMode="External"/><Relationship Id="rId252" Type="http://schemas.openxmlformats.org/officeDocument/2006/relationships/hyperlink" Target="http://c.006-arp.0005.02.2025.gov.fes-pe.pe/" TargetMode="External"/><Relationship Id="rId294" Type="http://schemas.openxmlformats.org/officeDocument/2006/relationships/hyperlink" Target="http://c.001-arp.0099.02.2024.gov.fes-pe.pe/" TargetMode="External"/><Relationship Id="rId308" Type="http://schemas.openxmlformats.org/officeDocument/2006/relationships/hyperlink" Target="http://a.008-arp.0001.00.2025.gov.hr.pe/" TargetMode="External"/><Relationship Id="rId515" Type="http://schemas.openxmlformats.org/officeDocument/2006/relationships/hyperlink" Target="http://arp.0103.00.2024.gov.procape.pe/" TargetMode="External"/><Relationship Id="rId47" Type="http://schemas.openxmlformats.org/officeDocument/2006/relationships/hyperlink" Target="http://arp.0009.00.2025.gov.fes-pe.pe/" TargetMode="External"/><Relationship Id="rId89" Type="http://schemas.openxmlformats.org/officeDocument/2006/relationships/hyperlink" Target="http://arp.0010.05.2025.gov.fes-pe.pe/" TargetMode="External"/><Relationship Id="rId112" Type="http://schemas.openxmlformats.org/officeDocument/2006/relationships/hyperlink" Target="http://arp.0061.02.2024.gov.fes-pe.pe/" TargetMode="External"/><Relationship Id="rId154" Type="http://schemas.openxmlformats.org/officeDocument/2006/relationships/hyperlink" Target="http://arp.0036.10.2025.gov.fes-pe.pe/" TargetMode="External"/><Relationship Id="rId361" Type="http://schemas.openxmlformats.org/officeDocument/2006/relationships/hyperlink" Target="http://arp.0122.00.2025.gov.huoc.pe/" TargetMode="External"/><Relationship Id="rId557" Type="http://schemas.openxmlformats.org/officeDocument/2006/relationships/hyperlink" Target="http://arp.0015.00.2024.gov.hgv.pe/" TargetMode="External"/><Relationship Id="rId599" Type="http://schemas.openxmlformats.org/officeDocument/2006/relationships/hyperlink" Target="http://arp.0041.00.2024.gov.hr.pe/" TargetMode="External"/><Relationship Id="rId196" Type="http://schemas.openxmlformats.org/officeDocument/2006/relationships/hyperlink" Target="http://arp.0028.02.2025.gov.fes-pe.pe/" TargetMode="External"/><Relationship Id="rId417" Type="http://schemas.openxmlformats.org/officeDocument/2006/relationships/hyperlink" Target="http://arp.0031.00.2024.gov.hr.pe/" TargetMode="External"/><Relationship Id="rId459" Type="http://schemas.openxmlformats.org/officeDocument/2006/relationships/hyperlink" Target="http://arp.0041.00.2024.gov.hr.pe/" TargetMode="External"/><Relationship Id="rId624" Type="http://schemas.openxmlformats.org/officeDocument/2006/relationships/hyperlink" Target="http://a.003-arp.0110.03.2024.gov.huoc.pe/" TargetMode="External"/><Relationship Id="rId16" Type="http://schemas.openxmlformats.org/officeDocument/2006/relationships/hyperlink" Target="http://c.009-arp.0044.02.2025.gov.fes-pe.pe/" TargetMode="External"/><Relationship Id="rId221" Type="http://schemas.openxmlformats.org/officeDocument/2006/relationships/hyperlink" Target="http://c.003-arp.0017.06.2025.gov.fes-pe.pe/" TargetMode="External"/><Relationship Id="rId263" Type="http://schemas.openxmlformats.org/officeDocument/2006/relationships/hyperlink" Target="http://arp.0015.05.2025.gov.fes-pe.pe/" TargetMode="External"/><Relationship Id="rId319" Type="http://schemas.openxmlformats.org/officeDocument/2006/relationships/hyperlink" Target="http://arp.0001.01.2025.gov.huoc.pe/" TargetMode="External"/><Relationship Id="rId470" Type="http://schemas.openxmlformats.org/officeDocument/2006/relationships/hyperlink" Target="http://a.007-arp.0005.09.2025.gov.procape.pe/" TargetMode="External"/><Relationship Id="rId526" Type="http://schemas.openxmlformats.org/officeDocument/2006/relationships/hyperlink" Target="http://a.001-arp.0002.02.2025.gov.hemope.pe/" TargetMode="External"/><Relationship Id="rId58" Type="http://schemas.openxmlformats.org/officeDocument/2006/relationships/hyperlink" Target="http://c.002-arp.0011.01.2025.gov.hgv.pe/" TargetMode="External"/><Relationship Id="rId123" Type="http://schemas.openxmlformats.org/officeDocument/2006/relationships/hyperlink" Target="http://c.019-arp.0058.00.2024.gov.fes-pe.pe/" TargetMode="External"/><Relationship Id="rId330" Type="http://schemas.openxmlformats.org/officeDocument/2006/relationships/hyperlink" Target="http://a.010-arp.0051.04.2025.gov.procape.pe/" TargetMode="External"/><Relationship Id="rId568" Type="http://schemas.openxmlformats.org/officeDocument/2006/relationships/hyperlink" Target="http://a.007-arpc.0026.00.2024.gov.sad.pe/" TargetMode="External"/><Relationship Id="rId165" Type="http://schemas.openxmlformats.org/officeDocument/2006/relationships/hyperlink" Target="http://c.027-arp.0064.01.2024.gov.fes-pe.pe/" TargetMode="External"/><Relationship Id="rId372" Type="http://schemas.openxmlformats.org/officeDocument/2006/relationships/hyperlink" Target="http://a.012-arp.0004.00.2025.gov.hr.pe/" TargetMode="External"/><Relationship Id="rId428" Type="http://schemas.openxmlformats.org/officeDocument/2006/relationships/hyperlink" Target="http://a.003-arp.0011.01.2025.gov.hgv.pe/" TargetMode="External"/><Relationship Id="rId635" Type="http://schemas.openxmlformats.org/officeDocument/2006/relationships/hyperlink" Target="http://arp.0091.00.2024.gov.huoc.pe/" TargetMode="External"/><Relationship Id="rId232" Type="http://schemas.openxmlformats.org/officeDocument/2006/relationships/hyperlink" Target="http://arp.0008.01.2025.gov.ham.pe/" TargetMode="External"/><Relationship Id="rId274" Type="http://schemas.openxmlformats.org/officeDocument/2006/relationships/hyperlink" Target="http://c.004-arp.0014.02.2025.gov.fes-pe.pe/" TargetMode="External"/><Relationship Id="rId481" Type="http://schemas.openxmlformats.org/officeDocument/2006/relationships/hyperlink" Target="http://arp.0076.01.2024.gov.procape.pe/" TargetMode="External"/><Relationship Id="rId27" Type="http://schemas.openxmlformats.org/officeDocument/2006/relationships/hyperlink" Target="http://arp.0079.00.2025.gov.fes-pe.pe/" TargetMode="External"/><Relationship Id="rId69" Type="http://schemas.openxmlformats.org/officeDocument/2006/relationships/hyperlink" Target="http://arp.0073.01.2025.gov.fes-pe.pe/" TargetMode="External"/><Relationship Id="rId134" Type="http://schemas.openxmlformats.org/officeDocument/2006/relationships/hyperlink" Target="http://arp.0021.12.2024.gov.hof.pe/" TargetMode="External"/><Relationship Id="rId537" Type="http://schemas.openxmlformats.org/officeDocument/2006/relationships/hyperlink" Target="http://arp.0009.00.2025.gov.hgv.pe/" TargetMode="External"/><Relationship Id="rId579" Type="http://schemas.openxmlformats.org/officeDocument/2006/relationships/hyperlink" Target="http://arp.0066.02.2024.gov.fes-pe.pe/" TargetMode="External"/><Relationship Id="rId80" Type="http://schemas.openxmlformats.org/officeDocument/2006/relationships/hyperlink" Target="http://c.011-arp.0067.03.2025.gov.fes-pe.pe/" TargetMode="External"/><Relationship Id="rId176" Type="http://schemas.openxmlformats.org/officeDocument/2006/relationships/hyperlink" Target="http://arp.0005.01.2025.gov.fes-pe.pe/" TargetMode="External"/><Relationship Id="rId341" Type="http://schemas.openxmlformats.org/officeDocument/2006/relationships/hyperlink" Target="http://arp.0011.03.2025.gov.hgv.pe/" TargetMode="External"/><Relationship Id="rId383" Type="http://schemas.openxmlformats.org/officeDocument/2006/relationships/hyperlink" Target="http://arp.0045.00.2024.gov.hr.pe/" TargetMode="External"/><Relationship Id="rId439" Type="http://schemas.openxmlformats.org/officeDocument/2006/relationships/hyperlink" Target="http://arp.0012.00.2025.gov.cisam.pe/" TargetMode="External"/><Relationship Id="rId590" Type="http://schemas.openxmlformats.org/officeDocument/2006/relationships/hyperlink" Target="http://a.001-arp.0004.01.2025.gov.hgv.pe/" TargetMode="External"/><Relationship Id="rId604" Type="http://schemas.openxmlformats.org/officeDocument/2006/relationships/hyperlink" Target="http://a.008-arp.0003.01.2025.gov.huoc.pe/" TargetMode="External"/><Relationship Id="rId201" Type="http://schemas.openxmlformats.org/officeDocument/2006/relationships/hyperlink" Target="http://c.001-arp.0027.00.2025.gov.fes-pe.pe/" TargetMode="External"/><Relationship Id="rId243" Type="http://schemas.openxmlformats.org/officeDocument/2006/relationships/hyperlink" Target="http://c.004-arp.0015.03.2025.gov.fes-pe.pe/" TargetMode="External"/><Relationship Id="rId285" Type="http://schemas.openxmlformats.org/officeDocument/2006/relationships/hyperlink" Target="http://arp.0009.02.2025.gov.fes-pe.pe/" TargetMode="External"/><Relationship Id="rId450" Type="http://schemas.openxmlformats.org/officeDocument/2006/relationships/hyperlink" Target="http://a.034-arp.0041.00.2024.gov.hr.pe/" TargetMode="External"/><Relationship Id="rId506" Type="http://schemas.openxmlformats.org/officeDocument/2006/relationships/hyperlink" Target="http://a.018-arp.0017.00.2025.gov.hof.pe/" TargetMode="External"/><Relationship Id="rId38" Type="http://schemas.openxmlformats.org/officeDocument/2006/relationships/hyperlink" Target="http://c.002-arp.0011.03.2025.gov.hgv.pe/" TargetMode="External"/><Relationship Id="rId103" Type="http://schemas.openxmlformats.org/officeDocument/2006/relationships/hyperlink" Target="http://c.014-arp.0009.01.2025.gov.fes-pe.pe/" TargetMode="External"/><Relationship Id="rId310" Type="http://schemas.openxmlformats.org/officeDocument/2006/relationships/hyperlink" Target="http://a.007-arp.0001.00.2025.gov.hr.pe/" TargetMode="External"/><Relationship Id="rId492" Type="http://schemas.openxmlformats.org/officeDocument/2006/relationships/hyperlink" Target="http://a.003-arp.0004.00.2025.ext.161458.ba/" TargetMode="External"/><Relationship Id="rId548" Type="http://schemas.openxmlformats.org/officeDocument/2006/relationships/hyperlink" Target="http://a.005-arp.0114.02.2024.gov.huoc.pe/" TargetMode="External"/><Relationship Id="rId91" Type="http://schemas.openxmlformats.org/officeDocument/2006/relationships/hyperlink" Target="http://c.005-arp.0006.01.2025.gov.cisam.pe/" TargetMode="External"/><Relationship Id="rId145" Type="http://schemas.openxmlformats.org/officeDocument/2006/relationships/hyperlink" Target="http://c.001-arp.0059.00.2025.gov.fes-pe.pe/" TargetMode="External"/><Relationship Id="rId187" Type="http://schemas.openxmlformats.org/officeDocument/2006/relationships/hyperlink" Target="http://c.002-arpc.0011.00.2025.gov.sad.pe/" TargetMode="External"/><Relationship Id="rId352" Type="http://schemas.openxmlformats.org/officeDocument/2006/relationships/hyperlink" Target="http://a.003-arp.0008.02.2025.gov.hgv.pe/" TargetMode="External"/><Relationship Id="rId394" Type="http://schemas.openxmlformats.org/officeDocument/2006/relationships/hyperlink" Target="http://a.003-arp.0093.00.2024.gov.cisam.pe/" TargetMode="External"/><Relationship Id="rId408" Type="http://schemas.openxmlformats.org/officeDocument/2006/relationships/hyperlink" Target="http://a.003-arp.0014.00.2025.gov.hr.pe/" TargetMode="External"/><Relationship Id="rId615" Type="http://schemas.openxmlformats.org/officeDocument/2006/relationships/hyperlink" Target="http://arp.0076.02.2024.gov.huoc.pe/" TargetMode="External"/><Relationship Id="rId1" Type="http://schemas.openxmlformats.org/officeDocument/2006/relationships/hyperlink" Target="http://c.002-arp.0099.00.2025.gov.fes-pe.pe/" TargetMode="External"/><Relationship Id="rId212" Type="http://schemas.openxmlformats.org/officeDocument/2006/relationships/hyperlink" Target="http://arp.0021.05.2025.gov.fes-pe.pe/" TargetMode="External"/><Relationship Id="rId233" Type="http://schemas.openxmlformats.org/officeDocument/2006/relationships/hyperlink" Target="http://c.005-arp.0012.05.2025.gov.fes-pe.pe/" TargetMode="External"/><Relationship Id="rId254" Type="http://schemas.openxmlformats.org/officeDocument/2006/relationships/hyperlink" Target="http://c.008-arp.0005.00.2025.gov.fes-pe.pe/" TargetMode="External"/><Relationship Id="rId440" Type="http://schemas.openxmlformats.org/officeDocument/2006/relationships/hyperlink" Target="http://a.003-arp.0076.04.2024.gov.procape.pe/" TargetMode="External"/><Relationship Id="rId28" Type="http://schemas.openxmlformats.org/officeDocument/2006/relationships/hyperlink" Target="http://c.010-arp.0008.01.2025.gov.ham.pe/" TargetMode="External"/><Relationship Id="rId49" Type="http://schemas.openxmlformats.org/officeDocument/2006/relationships/hyperlink" Target="http://arp.0011.02.2025.gov.hgv.pe/" TargetMode="External"/><Relationship Id="rId114" Type="http://schemas.openxmlformats.org/officeDocument/2006/relationships/hyperlink" Target="http://arp.0063.10.2024.gov.fes-pe.pe/" TargetMode="External"/><Relationship Id="rId275" Type="http://schemas.openxmlformats.org/officeDocument/2006/relationships/hyperlink" Target="http://arp.0014.02.2025.gov.fes-pe.pe/" TargetMode="External"/><Relationship Id="rId296" Type="http://schemas.openxmlformats.org/officeDocument/2006/relationships/hyperlink" Target="http://c.003-arp.0098.02.2024.gov.fes-pe.pe/" TargetMode="External"/><Relationship Id="rId300" Type="http://schemas.openxmlformats.org/officeDocument/2006/relationships/hyperlink" Target="http://c.001-arp.0098.01.2024.gov.fes-pe.pe/" TargetMode="External"/><Relationship Id="rId461" Type="http://schemas.openxmlformats.org/officeDocument/2006/relationships/hyperlink" Target="http://arp.0001.02.2025.gov.dasis.pe/" TargetMode="External"/><Relationship Id="rId482" Type="http://schemas.openxmlformats.org/officeDocument/2006/relationships/hyperlink" Target="http://a.026-arp.0084.05.2024.gov.procape.pe/" TargetMode="External"/><Relationship Id="rId517" Type="http://schemas.openxmlformats.org/officeDocument/2006/relationships/hyperlink" Target="http://arp.0006.06.2025.gov.procape.pe/" TargetMode="External"/><Relationship Id="rId538" Type="http://schemas.openxmlformats.org/officeDocument/2006/relationships/hyperlink" Target="http://a.002-arp.0012.00.2025.gov.huoc.pe/" TargetMode="External"/><Relationship Id="rId559" Type="http://schemas.openxmlformats.org/officeDocument/2006/relationships/hyperlink" Target="http://arp.0093.03.2024.gov.procape.pe/" TargetMode="External"/><Relationship Id="rId60" Type="http://schemas.openxmlformats.org/officeDocument/2006/relationships/hyperlink" Target="http://c.005-arp.0087.02.2024.gov.cisam.pe/" TargetMode="External"/><Relationship Id="rId81" Type="http://schemas.openxmlformats.org/officeDocument/2006/relationships/hyperlink" Target="http://arp.0067.03.2025.gov.fes-pe.pe/" TargetMode="External"/><Relationship Id="rId135" Type="http://schemas.openxmlformats.org/officeDocument/2006/relationships/hyperlink" Target="http://c.003-arp.0003.00.2025.gov.dasis.pe/" TargetMode="External"/><Relationship Id="rId156" Type="http://schemas.openxmlformats.org/officeDocument/2006/relationships/hyperlink" Target="http://arp.0031.02.2025.gov.fes-pe.pe/" TargetMode="External"/><Relationship Id="rId177" Type="http://schemas.openxmlformats.org/officeDocument/2006/relationships/hyperlink" Target="http://c.001-arp.0048.01.2025.gov.fes-pe.pe/" TargetMode="External"/><Relationship Id="rId198" Type="http://schemas.openxmlformats.org/officeDocument/2006/relationships/hyperlink" Target="http://arp.0022.03.2025.gov.fes-pe.pe/" TargetMode="External"/><Relationship Id="rId321" Type="http://schemas.openxmlformats.org/officeDocument/2006/relationships/hyperlink" Target="http://arp.0089.06.2025.gov.huoc.pe/" TargetMode="External"/><Relationship Id="rId342" Type="http://schemas.openxmlformats.org/officeDocument/2006/relationships/hyperlink" Target="http://a.002-arp.0045.02.2025.gov.procape.pe/" TargetMode="External"/><Relationship Id="rId363" Type="http://schemas.openxmlformats.org/officeDocument/2006/relationships/hyperlink" Target="http://arp.0079.00.2025.gov.huoc.pe/" TargetMode="External"/><Relationship Id="rId384" Type="http://schemas.openxmlformats.org/officeDocument/2006/relationships/hyperlink" Target="http://a.004-arp.0012.01.2025.gov.hemope.pe/" TargetMode="External"/><Relationship Id="rId419" Type="http://schemas.openxmlformats.org/officeDocument/2006/relationships/hyperlink" Target="http://arp.0011.00.2025.gov.fes-pe.pe/" TargetMode="External"/><Relationship Id="rId570" Type="http://schemas.openxmlformats.org/officeDocument/2006/relationships/hyperlink" Target="http://a.006-arp.0006.00.2025.gov.hr.pe/" TargetMode="External"/><Relationship Id="rId591" Type="http://schemas.openxmlformats.org/officeDocument/2006/relationships/hyperlink" Target="http://arp.0004.01.2025.gov.hgv.pe/" TargetMode="External"/><Relationship Id="rId605" Type="http://schemas.openxmlformats.org/officeDocument/2006/relationships/hyperlink" Target="http://arp.0003.01.2025.gov.huoc.pe/" TargetMode="External"/><Relationship Id="rId626" Type="http://schemas.openxmlformats.org/officeDocument/2006/relationships/hyperlink" Target="http://a.001-arp.0107.01.2024.gov.huoc.pe/" TargetMode="External"/><Relationship Id="rId202" Type="http://schemas.openxmlformats.org/officeDocument/2006/relationships/hyperlink" Target="http://arp.0027.00.2025.gov.fes-pe.pe/" TargetMode="External"/><Relationship Id="rId223" Type="http://schemas.openxmlformats.org/officeDocument/2006/relationships/hyperlink" Target="http://c.003-arp.0013.04.2025.gov.fes-pe.pe/" TargetMode="External"/><Relationship Id="rId244" Type="http://schemas.openxmlformats.org/officeDocument/2006/relationships/hyperlink" Target="http://arp.0015.03.2025.gov.fes-pe.pe/" TargetMode="External"/><Relationship Id="rId430" Type="http://schemas.openxmlformats.org/officeDocument/2006/relationships/hyperlink" Target="http://a.001-arp.0005.01.2025.gov.hemope.pe/" TargetMode="External"/><Relationship Id="rId18" Type="http://schemas.openxmlformats.org/officeDocument/2006/relationships/hyperlink" Target="http://c.002-arp.0022.02.2024.gov.hof.pe/" TargetMode="External"/><Relationship Id="rId39" Type="http://schemas.openxmlformats.org/officeDocument/2006/relationships/hyperlink" Target="http://arp.0011.03.2025.gov.hgv.pe/" TargetMode="External"/><Relationship Id="rId265" Type="http://schemas.openxmlformats.org/officeDocument/2006/relationships/hyperlink" Target="http://arp.0015.05.2025.gov.fes-pe.pe/" TargetMode="External"/><Relationship Id="rId286" Type="http://schemas.openxmlformats.org/officeDocument/2006/relationships/hyperlink" Target="http://c.007-arp.0009.02.2025.gov.fes-pe.pe/" TargetMode="External"/><Relationship Id="rId451" Type="http://schemas.openxmlformats.org/officeDocument/2006/relationships/hyperlink" Target="http://arp.0041.00.2024.gov.hr.pe/" TargetMode="External"/><Relationship Id="rId472" Type="http://schemas.openxmlformats.org/officeDocument/2006/relationships/hyperlink" Target="http://a.019-arp.0001.08.2025.gov.huoc.pe/" TargetMode="External"/><Relationship Id="rId493" Type="http://schemas.openxmlformats.org/officeDocument/2006/relationships/hyperlink" Target="http://arp.0004.00.2025.ext.161458.ba/" TargetMode="External"/><Relationship Id="rId507" Type="http://schemas.openxmlformats.org/officeDocument/2006/relationships/hyperlink" Target="http://arp.0017.00.2025.gov.hof.pe/" TargetMode="External"/><Relationship Id="rId528" Type="http://schemas.openxmlformats.org/officeDocument/2006/relationships/hyperlink" Target="http://a.011-arp.0006.00.2025.gov.hr.pe/" TargetMode="External"/><Relationship Id="rId549" Type="http://schemas.openxmlformats.org/officeDocument/2006/relationships/hyperlink" Target="http://arp.0114.02.2024.gov.huoc.pe/" TargetMode="External"/><Relationship Id="rId50" Type="http://schemas.openxmlformats.org/officeDocument/2006/relationships/hyperlink" Target="http://c.002-arp.0077.00.2025.gov.fes-pe.pe/" TargetMode="External"/><Relationship Id="rId104" Type="http://schemas.openxmlformats.org/officeDocument/2006/relationships/hyperlink" Target="http://arp.0009.01.2025.gov.fes-pe.pe/" TargetMode="External"/><Relationship Id="rId125" Type="http://schemas.openxmlformats.org/officeDocument/2006/relationships/hyperlink" Target="http://c.008-arp.0097.04.2024.gov.fes-pe.pe/" TargetMode="External"/><Relationship Id="rId146" Type="http://schemas.openxmlformats.org/officeDocument/2006/relationships/hyperlink" Target="http://arp.0059.00.2025.gov.fes-pe.pe/" TargetMode="External"/><Relationship Id="rId167" Type="http://schemas.openxmlformats.org/officeDocument/2006/relationships/hyperlink" Target="http://c.016-arp.0022.01.2025.gov.fes-pe.pe/" TargetMode="External"/><Relationship Id="rId188" Type="http://schemas.openxmlformats.org/officeDocument/2006/relationships/hyperlink" Target="http://arpc.0011.00.2025.gov.sad.pe/" TargetMode="External"/><Relationship Id="rId311" Type="http://schemas.openxmlformats.org/officeDocument/2006/relationships/hyperlink" Target="http://arp.0001.00.2025.gov.hr.pe/" TargetMode="External"/><Relationship Id="rId332" Type="http://schemas.openxmlformats.org/officeDocument/2006/relationships/hyperlink" Target="http://a.024-arp.0119.01.2024.gov.huoc.pe/" TargetMode="External"/><Relationship Id="rId353" Type="http://schemas.openxmlformats.org/officeDocument/2006/relationships/hyperlink" Target="http://arp.0008.02.2025.gov.hgv.pe/" TargetMode="External"/><Relationship Id="rId374" Type="http://schemas.openxmlformats.org/officeDocument/2006/relationships/hyperlink" Target="http://a.003-arp.0005.00.2025.ext.136144.es/" TargetMode="External"/><Relationship Id="rId395" Type="http://schemas.openxmlformats.org/officeDocument/2006/relationships/hyperlink" Target="http://arp.0093.00.2024.gov.cisam.pe/" TargetMode="External"/><Relationship Id="rId409" Type="http://schemas.openxmlformats.org/officeDocument/2006/relationships/hyperlink" Target="http://arp.0014.00.2025.gov.hr.pe/" TargetMode="External"/><Relationship Id="rId560" Type="http://schemas.openxmlformats.org/officeDocument/2006/relationships/hyperlink" Target="http://a.003-arp.0020.04.2024.gov.ham.pe/" TargetMode="External"/><Relationship Id="rId581" Type="http://schemas.openxmlformats.org/officeDocument/2006/relationships/hyperlink" Target="http://arp.0033.00.2024.gov.hr.pe/" TargetMode="External"/><Relationship Id="rId71" Type="http://schemas.openxmlformats.org/officeDocument/2006/relationships/hyperlink" Target="http://arp.0073.00.2025.gov.fes-pe.pe/" TargetMode="External"/><Relationship Id="rId92" Type="http://schemas.openxmlformats.org/officeDocument/2006/relationships/hyperlink" Target="http://arp.0006.01.2025.gov.cisam.pe/" TargetMode="External"/><Relationship Id="rId213" Type="http://schemas.openxmlformats.org/officeDocument/2006/relationships/hyperlink" Target="http://c.003-arp.0021.03.2025.gov.fes-pe.pe/" TargetMode="External"/><Relationship Id="rId234" Type="http://schemas.openxmlformats.org/officeDocument/2006/relationships/hyperlink" Target="http://arp.0012.05.2025.gov.fes-pe.pe/" TargetMode="External"/><Relationship Id="rId420" Type="http://schemas.openxmlformats.org/officeDocument/2006/relationships/hyperlink" Target="http://a.015-arp.0088.04.2024.gov.huoc.pe/" TargetMode="External"/><Relationship Id="rId616" Type="http://schemas.openxmlformats.org/officeDocument/2006/relationships/hyperlink" Target="http://a.006-arp.0110.05.2024.gov.huoc.pe/" TargetMode="External"/><Relationship Id="rId637" Type="http://schemas.openxmlformats.org/officeDocument/2006/relationships/hyperlink" Target="http://arp.0107.05.2024.gov.huoc.pe/" TargetMode="External"/><Relationship Id="rId2" Type="http://schemas.openxmlformats.org/officeDocument/2006/relationships/hyperlink" Target="http://arp.0099.00.2025.gov.fes-pe.pe/" TargetMode="External"/><Relationship Id="rId29" Type="http://schemas.openxmlformats.org/officeDocument/2006/relationships/hyperlink" Target="http://arp.0008.01.2025.gov.ham.pe/" TargetMode="External"/><Relationship Id="rId255" Type="http://schemas.openxmlformats.org/officeDocument/2006/relationships/hyperlink" Target="http://arp.0005.00.2025.gov.fes-pe.pe/" TargetMode="External"/><Relationship Id="rId276" Type="http://schemas.openxmlformats.org/officeDocument/2006/relationships/hyperlink" Target="http://c.003-arp.0014.02.2025.gov.fes-pe.pe/" TargetMode="External"/><Relationship Id="rId297" Type="http://schemas.openxmlformats.org/officeDocument/2006/relationships/hyperlink" Target="http://arp.0098.02.2024.gov.fes-pe.pe/" TargetMode="External"/><Relationship Id="rId441" Type="http://schemas.openxmlformats.org/officeDocument/2006/relationships/hyperlink" Target="http://arp.0076.04.2024.gov.procape.pe/" TargetMode="External"/><Relationship Id="rId462" Type="http://schemas.openxmlformats.org/officeDocument/2006/relationships/hyperlink" Target="http://a.009-arp.0038.05.2025.gov.huoc.pe/" TargetMode="External"/><Relationship Id="rId483" Type="http://schemas.openxmlformats.org/officeDocument/2006/relationships/hyperlink" Target="http://arp.0084.05.2024.gov.procape.pe/" TargetMode="External"/><Relationship Id="rId518" Type="http://schemas.openxmlformats.org/officeDocument/2006/relationships/hyperlink" Target="http://a.006-arp.0044.00.2024.gov.hr.pe/" TargetMode="External"/><Relationship Id="rId539" Type="http://schemas.openxmlformats.org/officeDocument/2006/relationships/hyperlink" Target="http://arp.0012.00.2025.gov.huoc.pe/" TargetMode="External"/><Relationship Id="rId40" Type="http://schemas.openxmlformats.org/officeDocument/2006/relationships/hyperlink" Target="http://c.003-arp.0079.04.2025.gov.fes-pe.pe/" TargetMode="External"/><Relationship Id="rId115" Type="http://schemas.openxmlformats.org/officeDocument/2006/relationships/hyperlink" Target="http://c.002-arp.0017.03.2024.gov.hof.pe/" TargetMode="External"/><Relationship Id="rId136" Type="http://schemas.openxmlformats.org/officeDocument/2006/relationships/hyperlink" Target="http://arp.0003.00.2025.gov.dasis.pe/" TargetMode="External"/><Relationship Id="rId157" Type="http://schemas.openxmlformats.org/officeDocument/2006/relationships/hyperlink" Target="http://c.004-arp.0054.07.2025.gov.fes-pe.pe/" TargetMode="External"/><Relationship Id="rId178" Type="http://schemas.openxmlformats.org/officeDocument/2006/relationships/hyperlink" Target="http://arp.0048.01.2025.gov.fes-pe.pe/" TargetMode="External"/><Relationship Id="rId301" Type="http://schemas.openxmlformats.org/officeDocument/2006/relationships/hyperlink" Target="http://arp.0098.01.2024.gov.fes-pe.pe/" TargetMode="External"/><Relationship Id="rId322" Type="http://schemas.openxmlformats.org/officeDocument/2006/relationships/hyperlink" Target="http://a.003-arp.0006.03.2025.gov.procape.pe/" TargetMode="External"/><Relationship Id="rId343" Type="http://schemas.openxmlformats.org/officeDocument/2006/relationships/hyperlink" Target="http://arp.0045.02.2025.gov.procape.pe/" TargetMode="External"/><Relationship Id="rId364" Type="http://schemas.openxmlformats.org/officeDocument/2006/relationships/hyperlink" Target="http://a.007-arp.0079.03.2025.gov.huoc.pe/" TargetMode="External"/><Relationship Id="rId550" Type="http://schemas.openxmlformats.org/officeDocument/2006/relationships/hyperlink" Target="http://a.004-arp.0020.00.2024.gov.hgv.pe/" TargetMode="External"/><Relationship Id="rId61" Type="http://schemas.openxmlformats.org/officeDocument/2006/relationships/hyperlink" Target="http://arp.0087.02.2024.gov.cisam.pe/" TargetMode="External"/><Relationship Id="rId82" Type="http://schemas.openxmlformats.org/officeDocument/2006/relationships/hyperlink" Target="http://c.006-arp.0049.02.2025.gov.fes-pe.pe/" TargetMode="External"/><Relationship Id="rId199" Type="http://schemas.openxmlformats.org/officeDocument/2006/relationships/hyperlink" Target="http://c.005-arp.0022.02.2025.gov.fes-pe.pe/" TargetMode="External"/><Relationship Id="rId203" Type="http://schemas.openxmlformats.org/officeDocument/2006/relationships/hyperlink" Target="http://c.001-arp.0027.01.2025.gov.fes-pe.pe/" TargetMode="External"/><Relationship Id="rId385" Type="http://schemas.openxmlformats.org/officeDocument/2006/relationships/hyperlink" Target="http://arp.0012.01.2025.gov.hemope.pe/" TargetMode="External"/><Relationship Id="rId571" Type="http://schemas.openxmlformats.org/officeDocument/2006/relationships/hyperlink" Target="http://arp.0006.00.2025.gov.hr.pe/" TargetMode="External"/><Relationship Id="rId592" Type="http://schemas.openxmlformats.org/officeDocument/2006/relationships/hyperlink" Target="http://a.006-arp.0005.05.2025.gov.cisam.pe/" TargetMode="External"/><Relationship Id="rId606" Type="http://schemas.openxmlformats.org/officeDocument/2006/relationships/hyperlink" Target="http://a.009-arp.0002.03.2024.ext.hmar.pe/" TargetMode="External"/><Relationship Id="rId627" Type="http://schemas.openxmlformats.org/officeDocument/2006/relationships/hyperlink" Target="http://arp.0107.01.2024.gov.huoc.pe/" TargetMode="External"/><Relationship Id="rId19" Type="http://schemas.openxmlformats.org/officeDocument/2006/relationships/hyperlink" Target="http://arp.0022.02.2024.gov.hof.pe/" TargetMode="External"/><Relationship Id="rId224" Type="http://schemas.openxmlformats.org/officeDocument/2006/relationships/hyperlink" Target="http://arp.0013.04.2025.gov.fes-pe.pe/" TargetMode="External"/><Relationship Id="rId245" Type="http://schemas.openxmlformats.org/officeDocument/2006/relationships/hyperlink" Target="http://c.010-arp.0015.00.2025.gov.fes-pe.pe/" TargetMode="External"/><Relationship Id="rId266" Type="http://schemas.openxmlformats.org/officeDocument/2006/relationships/hyperlink" Target="http://c.004-arp.0010.03.2025.gov.fes-pe.pe/" TargetMode="External"/><Relationship Id="rId287" Type="http://schemas.openxmlformats.org/officeDocument/2006/relationships/hyperlink" Target="http://arp.0009.02.2025.gov.fes-pe.pe/" TargetMode="External"/><Relationship Id="rId410" Type="http://schemas.openxmlformats.org/officeDocument/2006/relationships/hyperlink" Target="http://a.006-arp.0010.02.2025.gov.ham.pe/" TargetMode="External"/><Relationship Id="rId431" Type="http://schemas.openxmlformats.org/officeDocument/2006/relationships/hyperlink" Target="http://arp.0005.01.2025.gov.hemope.pe/" TargetMode="External"/><Relationship Id="rId452" Type="http://schemas.openxmlformats.org/officeDocument/2006/relationships/hyperlink" Target="http://a.002-arp.0064.01.2025.gov.huoc.pe/" TargetMode="External"/><Relationship Id="rId473" Type="http://schemas.openxmlformats.org/officeDocument/2006/relationships/hyperlink" Target="http://arp.0001.08.2025.gov.huoc.pe/" TargetMode="External"/><Relationship Id="rId494" Type="http://schemas.openxmlformats.org/officeDocument/2006/relationships/hyperlink" Target="http://a.009-arp.0004.00.2025.gov.procape.pe/" TargetMode="External"/><Relationship Id="rId508" Type="http://schemas.openxmlformats.org/officeDocument/2006/relationships/hyperlink" Target="http://a.004-arp.0013.06.2025.gov.hof.pe/" TargetMode="External"/><Relationship Id="rId529" Type="http://schemas.openxmlformats.org/officeDocument/2006/relationships/hyperlink" Target="http://arp.0006.00.2025.gov.hr.pe/" TargetMode="External"/><Relationship Id="rId30" Type="http://schemas.openxmlformats.org/officeDocument/2006/relationships/hyperlink" Target="http://c.007-arp.0079.14.2025.gov.fes-pe.pe/" TargetMode="External"/><Relationship Id="rId105" Type="http://schemas.openxmlformats.org/officeDocument/2006/relationships/hyperlink" Target="http://c.011-arp.0053.02.2025.gov.fes-pe.pe/" TargetMode="External"/><Relationship Id="rId126" Type="http://schemas.openxmlformats.org/officeDocument/2006/relationships/hyperlink" Target="http://arp.0097.04.2024.gov.fes-pe.pe/" TargetMode="External"/><Relationship Id="rId147" Type="http://schemas.openxmlformats.org/officeDocument/2006/relationships/hyperlink" Target="http://c.003-arp.0021.03.2024.gov.hof.pe/" TargetMode="External"/><Relationship Id="rId168" Type="http://schemas.openxmlformats.org/officeDocument/2006/relationships/hyperlink" Target="http://arp.0022.01.2025.gov.fes-pe.pe/" TargetMode="External"/><Relationship Id="rId312" Type="http://schemas.openxmlformats.org/officeDocument/2006/relationships/hyperlink" Target="http://a.002-arp.0102.01.2025.gov.huoc.pe/" TargetMode="External"/><Relationship Id="rId333" Type="http://schemas.openxmlformats.org/officeDocument/2006/relationships/hyperlink" Target="http://arp.0119.01.2024.gov.huoc.pe/" TargetMode="External"/><Relationship Id="rId354" Type="http://schemas.openxmlformats.org/officeDocument/2006/relationships/hyperlink" Target="http://a.003-arp.0073.05.2025.gov.huoc.pe/" TargetMode="External"/><Relationship Id="rId540" Type="http://schemas.openxmlformats.org/officeDocument/2006/relationships/hyperlink" Target="http://a.001-arp.0004.00.2025.gov.hgv.pe/" TargetMode="External"/><Relationship Id="rId51" Type="http://schemas.openxmlformats.org/officeDocument/2006/relationships/hyperlink" Target="http://arp.0077.00.2025.gov.fes-pe.pe/" TargetMode="External"/><Relationship Id="rId72" Type="http://schemas.openxmlformats.org/officeDocument/2006/relationships/hyperlink" Target="http://c.005-arp.0045.00.2025.gov.fes-pe.pe/" TargetMode="External"/><Relationship Id="rId93" Type="http://schemas.openxmlformats.org/officeDocument/2006/relationships/hyperlink" Target="http://c.006-arp.0021.01.2024.gov.hof.pe/" TargetMode="External"/><Relationship Id="rId189" Type="http://schemas.openxmlformats.org/officeDocument/2006/relationships/hyperlink" Target="http://c.018-arpc.0002.00.2025.gov.sad.pe/" TargetMode="External"/><Relationship Id="rId375" Type="http://schemas.openxmlformats.org/officeDocument/2006/relationships/hyperlink" Target="http://arp.0005.00.2025.ext.136144.es/" TargetMode="External"/><Relationship Id="rId396" Type="http://schemas.openxmlformats.org/officeDocument/2006/relationships/hyperlink" Target="http://a.004-arp.0090.04.2025.gov.huoc.pe/" TargetMode="External"/><Relationship Id="rId561" Type="http://schemas.openxmlformats.org/officeDocument/2006/relationships/hyperlink" Target="http://arp.0020.04.2024.gov.ham.pe/" TargetMode="External"/><Relationship Id="rId582" Type="http://schemas.openxmlformats.org/officeDocument/2006/relationships/hyperlink" Target="http://a.006-arp.0090.04.2024.gov.procape.pe/" TargetMode="External"/><Relationship Id="rId617" Type="http://schemas.openxmlformats.org/officeDocument/2006/relationships/hyperlink" Target="http://arp.0110.05.2024.gov.huoc.pe/" TargetMode="External"/><Relationship Id="rId638" Type="http://schemas.openxmlformats.org/officeDocument/2006/relationships/hyperlink" Target="http://a.010-arpc.0014.00.2024.gov.sad.pe/" TargetMode="External"/><Relationship Id="rId3" Type="http://schemas.openxmlformats.org/officeDocument/2006/relationships/hyperlink" Target="http://c.015-arpc.0039.00.2025.gov.sad.pe/" TargetMode="External"/><Relationship Id="rId214" Type="http://schemas.openxmlformats.org/officeDocument/2006/relationships/hyperlink" Target="http://arp.0021.03.2025.gov.fes-pe.pe/" TargetMode="External"/><Relationship Id="rId235" Type="http://schemas.openxmlformats.org/officeDocument/2006/relationships/hyperlink" Target="http://c.004-arp.0012.01.2025.gov.fes-pe.pe/" TargetMode="External"/><Relationship Id="rId256" Type="http://schemas.openxmlformats.org/officeDocument/2006/relationships/hyperlink" Target="http://c.008-arp.0099.00.2024.gov.fes-pe.pe/" TargetMode="External"/><Relationship Id="rId277" Type="http://schemas.openxmlformats.org/officeDocument/2006/relationships/hyperlink" Target="http://arp.0014.02.2025.gov.fes-pe.pe/" TargetMode="External"/><Relationship Id="rId298" Type="http://schemas.openxmlformats.org/officeDocument/2006/relationships/hyperlink" Target="http://c.001-arp.0098.04.2024.gov.fes-pe.pe/" TargetMode="External"/><Relationship Id="rId400" Type="http://schemas.openxmlformats.org/officeDocument/2006/relationships/hyperlink" Target="http://a.005-arp.0082.06.2025.gov.huoc.pe/" TargetMode="External"/><Relationship Id="rId421" Type="http://schemas.openxmlformats.org/officeDocument/2006/relationships/hyperlink" Target="http://arp.0088.04.2024.gov.huoc.pe/" TargetMode="External"/><Relationship Id="rId442" Type="http://schemas.openxmlformats.org/officeDocument/2006/relationships/hyperlink" Target="http://a.007-arp.0090.01.2024.gov.procape.pe/" TargetMode="External"/><Relationship Id="rId463" Type="http://schemas.openxmlformats.org/officeDocument/2006/relationships/hyperlink" Target="http://arp.0038.05.2025.gov.huoc.pe/" TargetMode="External"/><Relationship Id="rId484" Type="http://schemas.openxmlformats.org/officeDocument/2006/relationships/hyperlink" Target="http://a.002-arp.0010.00.2025.gov.hr.pe/" TargetMode="External"/><Relationship Id="rId519" Type="http://schemas.openxmlformats.org/officeDocument/2006/relationships/hyperlink" Target="http://arp.0044.00.2024.gov.hr.pe/" TargetMode="External"/><Relationship Id="rId116" Type="http://schemas.openxmlformats.org/officeDocument/2006/relationships/hyperlink" Target="http://arp.0017.03.2024.gov.hof.pe/" TargetMode="External"/><Relationship Id="rId137" Type="http://schemas.openxmlformats.org/officeDocument/2006/relationships/hyperlink" Target="http://c.016-arp.0046.01.2024.gov.fes-pe.pe/" TargetMode="External"/><Relationship Id="rId158" Type="http://schemas.openxmlformats.org/officeDocument/2006/relationships/hyperlink" Target="http://arp.0054.07.2025.gov.fes-pe.pe/" TargetMode="External"/><Relationship Id="rId302" Type="http://schemas.openxmlformats.org/officeDocument/2006/relationships/hyperlink" Target="http://c.001-arp.0098.00.2024.gov.fes-pe.pe/" TargetMode="External"/><Relationship Id="rId323" Type="http://schemas.openxmlformats.org/officeDocument/2006/relationships/hyperlink" Target="http://arp.0006.03.2025.gov.procape.pe/" TargetMode="External"/><Relationship Id="rId344" Type="http://schemas.openxmlformats.org/officeDocument/2006/relationships/hyperlink" Target="http://a.007-arp.0072.07.2025.gov.huoc.pe/" TargetMode="External"/><Relationship Id="rId530" Type="http://schemas.openxmlformats.org/officeDocument/2006/relationships/hyperlink" Target="http://a.002-arp.0020.03.2024.gov.ham.pe/" TargetMode="External"/><Relationship Id="rId20" Type="http://schemas.openxmlformats.org/officeDocument/2006/relationships/hyperlink" Target="http://c.004-arp.0001.00.2024.fes-pe.pe/" TargetMode="External"/><Relationship Id="rId41" Type="http://schemas.openxmlformats.org/officeDocument/2006/relationships/hyperlink" Target="http://arp.0079.04.2025.gov.fes-pe.pe/" TargetMode="External"/><Relationship Id="rId62" Type="http://schemas.openxmlformats.org/officeDocument/2006/relationships/hyperlink" Target="http://c.002-arp.0006.03.2025.gov.cisam.pe/" TargetMode="External"/><Relationship Id="rId83" Type="http://schemas.openxmlformats.org/officeDocument/2006/relationships/hyperlink" Target="http://arp.0049.02.2025.gov.fes-pe.pe/" TargetMode="External"/><Relationship Id="rId179" Type="http://schemas.openxmlformats.org/officeDocument/2006/relationships/hyperlink" Target="http://c.001-arp.0048.00.2025.gov.fes-pe.pe/" TargetMode="External"/><Relationship Id="rId365" Type="http://schemas.openxmlformats.org/officeDocument/2006/relationships/hyperlink" Target="http://arp.0079.03.2025.gov.huoc.pe/" TargetMode="External"/><Relationship Id="rId386" Type="http://schemas.openxmlformats.org/officeDocument/2006/relationships/hyperlink" Target="http://a.010-arp.0106.00.2025.gov.huoc.pe/" TargetMode="External"/><Relationship Id="rId551" Type="http://schemas.openxmlformats.org/officeDocument/2006/relationships/hyperlink" Target="http://arp.0020.00.2024.gov.hgv.pe/" TargetMode="External"/><Relationship Id="rId572" Type="http://schemas.openxmlformats.org/officeDocument/2006/relationships/hyperlink" Target="http://a.007-arp.0003.11.2025.gov.procape.pe/" TargetMode="External"/><Relationship Id="rId593" Type="http://schemas.openxmlformats.org/officeDocument/2006/relationships/hyperlink" Target="http://arp.0005.05.2025.gov.cisam.pe/" TargetMode="External"/><Relationship Id="rId607" Type="http://schemas.openxmlformats.org/officeDocument/2006/relationships/hyperlink" Target="http://arp.1363.03.2024.ext.hmar.pe/" TargetMode="External"/><Relationship Id="rId628" Type="http://schemas.openxmlformats.org/officeDocument/2006/relationships/hyperlink" Target="http://a.003-arp.0110.01.2024.gov.huoc.pe/" TargetMode="External"/><Relationship Id="rId190" Type="http://schemas.openxmlformats.org/officeDocument/2006/relationships/hyperlink" Target="http://arpc.0002.00.2025.gov.sad.pe/" TargetMode="External"/><Relationship Id="rId204" Type="http://schemas.openxmlformats.org/officeDocument/2006/relationships/hyperlink" Target="http://arp.0027.01.2025.gov.fes-pe.pe/" TargetMode="External"/><Relationship Id="rId225" Type="http://schemas.openxmlformats.org/officeDocument/2006/relationships/hyperlink" Target="http://c.005-arp.0013.02.2025.gov.fes-pe.pe/" TargetMode="External"/><Relationship Id="rId246" Type="http://schemas.openxmlformats.org/officeDocument/2006/relationships/hyperlink" Target="http://arp.0015.00.2025.gov.fes-pe.pe/" TargetMode="External"/><Relationship Id="rId267" Type="http://schemas.openxmlformats.org/officeDocument/2006/relationships/hyperlink" Target="http://arp.0010.03.2025.gov.fes-pe.pe/" TargetMode="External"/><Relationship Id="rId288" Type="http://schemas.openxmlformats.org/officeDocument/2006/relationships/hyperlink" Target="http://c.003-arp.0100.02.2024.gov.fes-pe.pe/" TargetMode="External"/><Relationship Id="rId411" Type="http://schemas.openxmlformats.org/officeDocument/2006/relationships/hyperlink" Target="http://arp.0010.02.2025.gov.ham.pe/" TargetMode="External"/><Relationship Id="rId432" Type="http://schemas.openxmlformats.org/officeDocument/2006/relationships/hyperlink" Target="http://a.003-arp.0074.00.2024.gov.fes-pe.pe/" TargetMode="External"/><Relationship Id="rId453" Type="http://schemas.openxmlformats.org/officeDocument/2006/relationships/hyperlink" Target="http://arp.0064.01.2025.gov.huoc.pe/" TargetMode="External"/><Relationship Id="rId474" Type="http://schemas.openxmlformats.org/officeDocument/2006/relationships/hyperlink" Target="http://a.003-arp.0009.00.2025.gov.fes-pe.pe/" TargetMode="External"/><Relationship Id="rId509" Type="http://schemas.openxmlformats.org/officeDocument/2006/relationships/hyperlink" Target="http://arp.0013.06.2025.gov.hof.pe/" TargetMode="External"/><Relationship Id="rId106" Type="http://schemas.openxmlformats.org/officeDocument/2006/relationships/hyperlink" Target="http://arp.0053.02.2025.gov.fes-pe.pe/" TargetMode="External"/><Relationship Id="rId127" Type="http://schemas.openxmlformats.org/officeDocument/2006/relationships/hyperlink" Target="http://c.009-arp.0052.12.2024.gov.cisam.pe/" TargetMode="External"/><Relationship Id="rId313" Type="http://schemas.openxmlformats.org/officeDocument/2006/relationships/hyperlink" Target="http://arp.0102.01.2025.gov.huoc.pe/" TargetMode="External"/><Relationship Id="rId495" Type="http://schemas.openxmlformats.org/officeDocument/2006/relationships/hyperlink" Target="http://arp.0004.00.2025.gov.procape.pe/" TargetMode="External"/><Relationship Id="rId10" Type="http://schemas.openxmlformats.org/officeDocument/2006/relationships/hyperlink" Target="http://arp.0008.01.2025.gov.ham.pe/" TargetMode="External"/><Relationship Id="rId31" Type="http://schemas.openxmlformats.org/officeDocument/2006/relationships/hyperlink" Target="http://arp.0079.14.2025.gov.fes-pe.pe/" TargetMode="External"/><Relationship Id="rId52" Type="http://schemas.openxmlformats.org/officeDocument/2006/relationships/hyperlink" Target="http://c.012-arp.0053.02.2025.gov.fes-pe.pe/" TargetMode="External"/><Relationship Id="rId73" Type="http://schemas.openxmlformats.org/officeDocument/2006/relationships/hyperlink" Target="http://arp.0045.00.2025.gov.fes-pe.pe/" TargetMode="External"/><Relationship Id="rId94" Type="http://schemas.openxmlformats.org/officeDocument/2006/relationships/hyperlink" Target="http://arp.0021.01.2024.gov.hof.pe/" TargetMode="External"/><Relationship Id="rId148" Type="http://schemas.openxmlformats.org/officeDocument/2006/relationships/hyperlink" Target="http://arp.0021.03.2024.gov.hof.pe/" TargetMode="External"/><Relationship Id="rId169" Type="http://schemas.openxmlformats.org/officeDocument/2006/relationships/hyperlink" Target="http://c.002-arp.0006.02.2025.gov.hof.pe/" TargetMode="External"/><Relationship Id="rId334" Type="http://schemas.openxmlformats.org/officeDocument/2006/relationships/hyperlink" Target="http://a.013-arp.0084.05.2024.gov.cisam.pe/" TargetMode="External"/><Relationship Id="rId355" Type="http://schemas.openxmlformats.org/officeDocument/2006/relationships/hyperlink" Target="http://arp.0073.05.2025.gov.huoc.pe/" TargetMode="External"/><Relationship Id="rId376" Type="http://schemas.openxmlformats.org/officeDocument/2006/relationships/hyperlink" Target="http://a.013-arp.0021.01.2024.gov.hof.pe/" TargetMode="External"/><Relationship Id="rId397" Type="http://schemas.openxmlformats.org/officeDocument/2006/relationships/hyperlink" Target="http://arp.0090.04.2025.gov.huoc.pe/" TargetMode="External"/><Relationship Id="rId520" Type="http://schemas.openxmlformats.org/officeDocument/2006/relationships/hyperlink" Target="http://a.005-arp.0070.00.2024.gov.huoc.pe/" TargetMode="External"/><Relationship Id="rId541" Type="http://schemas.openxmlformats.org/officeDocument/2006/relationships/hyperlink" Target="http://arp.0004.00.2025.gov.hgv.pe/" TargetMode="External"/><Relationship Id="rId562" Type="http://schemas.openxmlformats.org/officeDocument/2006/relationships/hyperlink" Target="http://a.007-arp.0059.00.2024.gov.cisam.pe/" TargetMode="External"/><Relationship Id="rId583" Type="http://schemas.openxmlformats.org/officeDocument/2006/relationships/hyperlink" Target="http://arp.0090.04.2024.gov.procape.pe/" TargetMode="External"/><Relationship Id="rId618" Type="http://schemas.openxmlformats.org/officeDocument/2006/relationships/hyperlink" Target="http://a.004-arp.0003.00.2025.gov.hr.pe/" TargetMode="External"/><Relationship Id="rId639" Type="http://schemas.openxmlformats.org/officeDocument/2006/relationships/hyperlink" Target="http://arpc.0014.00.2024.gov.sad.pe/" TargetMode="External"/><Relationship Id="rId4" Type="http://schemas.openxmlformats.org/officeDocument/2006/relationships/hyperlink" Target="http://arpc.0039.00.2025.gov.sad.pe/" TargetMode="External"/><Relationship Id="rId180" Type="http://schemas.openxmlformats.org/officeDocument/2006/relationships/hyperlink" Target="http://arp.0048.00.2025.gov.fes-pe.pe/" TargetMode="External"/><Relationship Id="rId215" Type="http://schemas.openxmlformats.org/officeDocument/2006/relationships/hyperlink" Target="http://c.002-arp.0021.02.2025.gov.fes-pe.pe/" TargetMode="External"/><Relationship Id="rId236" Type="http://schemas.openxmlformats.org/officeDocument/2006/relationships/hyperlink" Target="http://arp.0012.01.2025.gov.fes-pe.pe/" TargetMode="External"/><Relationship Id="rId257" Type="http://schemas.openxmlformats.org/officeDocument/2006/relationships/hyperlink" Target="http://arp.0099.00.2024.gov.fes-pe.pe/" TargetMode="External"/><Relationship Id="rId278" Type="http://schemas.openxmlformats.org/officeDocument/2006/relationships/hyperlink" Target="http://c.005-arp.0092.00.2024.gov.fes-pe.pe/" TargetMode="External"/><Relationship Id="rId401" Type="http://schemas.openxmlformats.org/officeDocument/2006/relationships/hyperlink" Target="http://arp.0082.06.2025.gov.huoc.pe/" TargetMode="External"/><Relationship Id="rId422" Type="http://schemas.openxmlformats.org/officeDocument/2006/relationships/hyperlink" Target="http://a.019-arp.0038.01.2025.gov.huoc.pe/" TargetMode="External"/><Relationship Id="rId443" Type="http://schemas.openxmlformats.org/officeDocument/2006/relationships/hyperlink" Target="http://arp.0090.01.2024.gov.procape.pe/" TargetMode="External"/><Relationship Id="rId464" Type="http://schemas.openxmlformats.org/officeDocument/2006/relationships/hyperlink" Target="http://a.001-arp.0010.02.2025.gov.fes-pe.pe/" TargetMode="External"/><Relationship Id="rId303" Type="http://schemas.openxmlformats.org/officeDocument/2006/relationships/hyperlink" Target="http://arp.0098.00.2024.gov.fes-pe.pe/" TargetMode="External"/><Relationship Id="rId485" Type="http://schemas.openxmlformats.org/officeDocument/2006/relationships/hyperlink" Target="http://arp.0010.00.2025.gov.hr.pe/" TargetMode="External"/><Relationship Id="rId42" Type="http://schemas.openxmlformats.org/officeDocument/2006/relationships/hyperlink" Target="http://c.012-arp.0044.06.2025.gov.fes-pe.pe/" TargetMode="External"/><Relationship Id="rId84" Type="http://schemas.openxmlformats.org/officeDocument/2006/relationships/hyperlink" Target="http://c.009-arp.0067.06.2025.gov.fes-pe.pe/" TargetMode="External"/><Relationship Id="rId138" Type="http://schemas.openxmlformats.org/officeDocument/2006/relationships/hyperlink" Target="http://arp.0046.01.2024.gov.fes-pe.pe/" TargetMode="External"/><Relationship Id="rId345" Type="http://schemas.openxmlformats.org/officeDocument/2006/relationships/hyperlink" Target="http://arp.0072.07.2025.gov.huoc.pe/" TargetMode="External"/><Relationship Id="rId387" Type="http://schemas.openxmlformats.org/officeDocument/2006/relationships/hyperlink" Target="http://arp.0106.00.2025.gov.huoc.pe/" TargetMode="External"/><Relationship Id="rId510" Type="http://schemas.openxmlformats.org/officeDocument/2006/relationships/hyperlink" Target="http://a.006-arp.0004.00.2025.gov.hr.pe/" TargetMode="External"/><Relationship Id="rId552" Type="http://schemas.openxmlformats.org/officeDocument/2006/relationships/hyperlink" Target="http://a.001-arp.0006.04.2025.gov.procape.pe/" TargetMode="External"/><Relationship Id="rId594" Type="http://schemas.openxmlformats.org/officeDocument/2006/relationships/hyperlink" Target="http://a.005-arp.0074.04.2024.gov.huoc.pe/" TargetMode="External"/><Relationship Id="rId608" Type="http://schemas.openxmlformats.org/officeDocument/2006/relationships/hyperlink" Target="http://a.006-arp.0106.08.2024.gov.huoc.pe/" TargetMode="External"/><Relationship Id="rId191" Type="http://schemas.openxmlformats.org/officeDocument/2006/relationships/hyperlink" Target="http://c.004-arp.0034.00.2025.gov.fes-pe.pe/" TargetMode="External"/><Relationship Id="rId205" Type="http://schemas.openxmlformats.org/officeDocument/2006/relationships/hyperlink" Target="http://c.001-arp.0027.04.2025.gov.fes-pe.pe/" TargetMode="External"/><Relationship Id="rId247" Type="http://schemas.openxmlformats.org/officeDocument/2006/relationships/hyperlink" Target="http://arp.0046.00.2024.gov.fes-pe.pe/" TargetMode="External"/><Relationship Id="rId412" Type="http://schemas.openxmlformats.org/officeDocument/2006/relationships/hyperlink" Target="http://a.024-arp.0103.06.2024.gov.procape.pe/" TargetMode="External"/><Relationship Id="rId107" Type="http://schemas.openxmlformats.org/officeDocument/2006/relationships/hyperlink" Target="http://c.006-arp.0083.05.2024.gov.fes-pe.pe/" TargetMode="External"/><Relationship Id="rId289" Type="http://schemas.openxmlformats.org/officeDocument/2006/relationships/hyperlink" Target="http://arp.0100.02.2024.gov.fes-pe.pe/" TargetMode="External"/><Relationship Id="rId454" Type="http://schemas.openxmlformats.org/officeDocument/2006/relationships/hyperlink" Target="http://a.005-arp.0077.00.2024.gov.huoc.pe/" TargetMode="External"/><Relationship Id="rId496" Type="http://schemas.openxmlformats.org/officeDocument/2006/relationships/hyperlink" Target="http://a.002-arp.0084.02.2024.gov.fes-pe.pe/" TargetMode="External"/><Relationship Id="rId11" Type="http://schemas.openxmlformats.org/officeDocument/2006/relationships/hyperlink" Target="http://arp.0067.01.2025.gov.fes-pe.pe/" TargetMode="External"/><Relationship Id="rId53" Type="http://schemas.openxmlformats.org/officeDocument/2006/relationships/hyperlink" Target="http://arp.0053.02.2025.gov.fes-pe.pe/" TargetMode="External"/><Relationship Id="rId149" Type="http://schemas.openxmlformats.org/officeDocument/2006/relationships/hyperlink" Target="http://c.007-arp.0010.05.2025.gov.fes-pe.pe/" TargetMode="External"/><Relationship Id="rId314" Type="http://schemas.openxmlformats.org/officeDocument/2006/relationships/hyperlink" Target="http://a.002-arp.0021.00.2025.gov.hof.pe/" TargetMode="External"/><Relationship Id="rId356" Type="http://schemas.openxmlformats.org/officeDocument/2006/relationships/hyperlink" Target="http://a.007-arp.0080.00.2025.gov.fes-pe.pe/" TargetMode="External"/><Relationship Id="rId398" Type="http://schemas.openxmlformats.org/officeDocument/2006/relationships/hyperlink" Target="http://a.018-arp.0038.03.2025.gov.huoc.pe/" TargetMode="External"/><Relationship Id="rId521" Type="http://schemas.openxmlformats.org/officeDocument/2006/relationships/hyperlink" Target="http://arp.0070.00.2024.gov.huoc.pe/" TargetMode="External"/><Relationship Id="rId563" Type="http://schemas.openxmlformats.org/officeDocument/2006/relationships/hyperlink" Target="http://arp.0059.00.2024.gov.cisam.pe/" TargetMode="External"/><Relationship Id="rId619" Type="http://schemas.openxmlformats.org/officeDocument/2006/relationships/hyperlink" Target="http://arp.0003.00.2025.gov.hr.pe/" TargetMode="External"/><Relationship Id="rId95" Type="http://schemas.openxmlformats.org/officeDocument/2006/relationships/hyperlink" Target="http://c.006-arp.0083.06.2024.gov.fes-pe.pe/" TargetMode="External"/><Relationship Id="rId160" Type="http://schemas.openxmlformats.org/officeDocument/2006/relationships/hyperlink" Target="http://arp.0009.00.2025.gov.fes-pe.pe/" TargetMode="External"/><Relationship Id="rId216" Type="http://schemas.openxmlformats.org/officeDocument/2006/relationships/hyperlink" Target="http://arp.0021.02.2025.gov.fes-pe.pe/" TargetMode="External"/><Relationship Id="rId423" Type="http://schemas.openxmlformats.org/officeDocument/2006/relationships/hyperlink" Target="http://arp.0038.01.2025.gov.huoc.pe/" TargetMode="External"/><Relationship Id="rId258" Type="http://schemas.openxmlformats.org/officeDocument/2006/relationships/hyperlink" Target="http://c.006-arp.0002.00.2025.gov.cisam.pe/" TargetMode="External"/><Relationship Id="rId465" Type="http://schemas.openxmlformats.org/officeDocument/2006/relationships/hyperlink" Target="http://arp.0010.02.2025.gov.fes-pe.pe/" TargetMode="External"/><Relationship Id="rId630" Type="http://schemas.openxmlformats.org/officeDocument/2006/relationships/hyperlink" Target="http://a.012-arp.0011.01.2024.ext.hmar.pe/" TargetMode="External"/><Relationship Id="rId22" Type="http://schemas.openxmlformats.org/officeDocument/2006/relationships/hyperlink" Target="http://c.023-arp.0070.03.2025.gov.fes-pe.pe/" TargetMode="External"/><Relationship Id="rId64" Type="http://schemas.openxmlformats.org/officeDocument/2006/relationships/hyperlink" Target="http://c.007-arp.0008.01.2025.gov.ham.pe/" TargetMode="External"/><Relationship Id="rId118" Type="http://schemas.openxmlformats.org/officeDocument/2006/relationships/hyperlink" Target="http://arp.0061.00.2024.gov.fes-pe.pe/" TargetMode="External"/><Relationship Id="rId325" Type="http://schemas.openxmlformats.org/officeDocument/2006/relationships/hyperlink" Target="http://arp.0118.05.2024.gov.huoc.pe/" TargetMode="External"/><Relationship Id="rId367" Type="http://schemas.openxmlformats.org/officeDocument/2006/relationships/hyperlink" Target="http://arp.0010.02.2025.gov.hof.pe/" TargetMode="External"/><Relationship Id="rId532" Type="http://schemas.openxmlformats.org/officeDocument/2006/relationships/hyperlink" Target="http://a.005-arp.0027.02.2024.gov.hemope.pe/" TargetMode="External"/><Relationship Id="rId574" Type="http://schemas.openxmlformats.org/officeDocument/2006/relationships/hyperlink" Target="http://a.001-arp.0008.00.2025.gov.cisam.pe/" TargetMode="External"/><Relationship Id="rId171" Type="http://schemas.openxmlformats.org/officeDocument/2006/relationships/hyperlink" Target="http://c.001-arp.0048.03.2025.gov.fes-pe.pe/" TargetMode="External"/><Relationship Id="rId227" Type="http://schemas.openxmlformats.org/officeDocument/2006/relationships/hyperlink" Target="http://c.004-arp.0013.01.2025.gov.fes-pe.pe/" TargetMode="External"/><Relationship Id="rId269" Type="http://schemas.openxmlformats.org/officeDocument/2006/relationships/hyperlink" Target="http://arpc.0019.00.2024.gov.sad.pe/" TargetMode="External"/><Relationship Id="rId434" Type="http://schemas.openxmlformats.org/officeDocument/2006/relationships/hyperlink" Target="http://a.036-arp.0041.00.2024.gov.hr.pe/" TargetMode="External"/><Relationship Id="rId476" Type="http://schemas.openxmlformats.org/officeDocument/2006/relationships/hyperlink" Target="http://a.007-arp.0108.01.2024.gov.huoc.pe/" TargetMode="External"/><Relationship Id="rId641" Type="http://schemas.openxmlformats.org/officeDocument/2006/relationships/hyperlink" Target="http://arp.0087.05.2024.gov.huoc.pe/" TargetMode="External"/><Relationship Id="rId33" Type="http://schemas.openxmlformats.org/officeDocument/2006/relationships/hyperlink" Target="http://arp.0068.04.2025.gov.fes-pe.pe/" TargetMode="External"/><Relationship Id="rId129" Type="http://schemas.openxmlformats.org/officeDocument/2006/relationships/hyperlink" Target="http://c.005-arp.0052.11.2024.gov.cisam.pe/" TargetMode="External"/><Relationship Id="rId280" Type="http://schemas.openxmlformats.org/officeDocument/2006/relationships/hyperlink" Target="http://c.002-arp.0001.00.2025.gov.hof.pe/" TargetMode="External"/><Relationship Id="rId336" Type="http://schemas.openxmlformats.org/officeDocument/2006/relationships/hyperlink" Target="http://a.002-arp.0118.05.2024.gov.huoc.pe/" TargetMode="External"/><Relationship Id="rId501" Type="http://schemas.openxmlformats.org/officeDocument/2006/relationships/hyperlink" Target="http://arp.0034.00.2025.gov.huoc.pe/" TargetMode="External"/><Relationship Id="rId543" Type="http://schemas.openxmlformats.org/officeDocument/2006/relationships/hyperlink" Target="http://arp.0002.01.2025.gov.hgv.pe/" TargetMode="External"/><Relationship Id="rId75" Type="http://schemas.openxmlformats.org/officeDocument/2006/relationships/hyperlink" Target="http://arp.0070.03.2025.gov.fes-pe.pe/" TargetMode="External"/><Relationship Id="rId140" Type="http://schemas.openxmlformats.org/officeDocument/2006/relationships/hyperlink" Target="http://arp.0046.02.2024.gov.fes-pe.pe/" TargetMode="External"/><Relationship Id="rId182" Type="http://schemas.openxmlformats.org/officeDocument/2006/relationships/hyperlink" Target="http://arp.0009.02.2025.gov.fes-pe.pe/" TargetMode="External"/><Relationship Id="rId378" Type="http://schemas.openxmlformats.org/officeDocument/2006/relationships/hyperlink" Target="http://a.002-arp.0011.02.2025.gov.hemope.pe/" TargetMode="External"/><Relationship Id="rId403" Type="http://schemas.openxmlformats.org/officeDocument/2006/relationships/hyperlink" Target="http://arp.0002.00.2025.gov.fes-pe.pe/" TargetMode="External"/><Relationship Id="rId585" Type="http://schemas.openxmlformats.org/officeDocument/2006/relationships/hyperlink" Target="http://arp.0091.06.2024.gov.procape.pe/" TargetMode="External"/><Relationship Id="rId6" Type="http://schemas.openxmlformats.org/officeDocument/2006/relationships/hyperlink" Target="http://arp.0049.03.2025.gov.fes-pe.pe/" TargetMode="External"/><Relationship Id="rId238" Type="http://schemas.openxmlformats.org/officeDocument/2006/relationships/hyperlink" Target="http://arp.0012.00.2025.gov.fes-pe.pe/" TargetMode="External"/><Relationship Id="rId445" Type="http://schemas.openxmlformats.org/officeDocument/2006/relationships/hyperlink" Target="http://arp.0080.02.2024.gov.cisam.pe/" TargetMode="External"/><Relationship Id="rId487" Type="http://schemas.openxmlformats.org/officeDocument/2006/relationships/hyperlink" Target="http://arp.0010.01.2025.gov.hgv.pe/" TargetMode="External"/><Relationship Id="rId610" Type="http://schemas.openxmlformats.org/officeDocument/2006/relationships/hyperlink" Target="http://a.004-arp.0009.07.2024.gov.sassepe.pe/" TargetMode="External"/><Relationship Id="rId291" Type="http://schemas.openxmlformats.org/officeDocument/2006/relationships/hyperlink" Target="http://arp.0099.04.2024.gov.fes-pe.pe/" TargetMode="External"/><Relationship Id="rId305" Type="http://schemas.openxmlformats.org/officeDocument/2006/relationships/hyperlink" Target="http://arpc.0002.00.2025.gov.sad.pe/" TargetMode="External"/><Relationship Id="rId347" Type="http://schemas.openxmlformats.org/officeDocument/2006/relationships/hyperlink" Target="http://arp.0068.04.2025.gov.fes-pe.pe/" TargetMode="External"/><Relationship Id="rId512" Type="http://schemas.openxmlformats.org/officeDocument/2006/relationships/hyperlink" Target="http://a.016-arp.0006.00.2025.gov.hr.pe/" TargetMode="External"/><Relationship Id="rId44" Type="http://schemas.openxmlformats.org/officeDocument/2006/relationships/hyperlink" Target="http://c.014-arp.0016.03.2025.gov.fes-pe.pe/" TargetMode="External"/><Relationship Id="rId86" Type="http://schemas.openxmlformats.org/officeDocument/2006/relationships/hyperlink" Target="http://c.008-arp.0067.01.2025.gov.fes-pe.pe/" TargetMode="External"/><Relationship Id="rId151" Type="http://schemas.openxmlformats.org/officeDocument/2006/relationships/hyperlink" Target="http://c.003-arp.0021.00.2024.gov.hof.pe/" TargetMode="External"/><Relationship Id="rId389" Type="http://schemas.openxmlformats.org/officeDocument/2006/relationships/hyperlink" Target="http://arp.0010.00.2025.gov.hr.pe/" TargetMode="External"/><Relationship Id="rId554" Type="http://schemas.openxmlformats.org/officeDocument/2006/relationships/hyperlink" Target="http://a.010-arp.0104.00.2024.gov.huoc.pe/" TargetMode="External"/><Relationship Id="rId596" Type="http://schemas.openxmlformats.org/officeDocument/2006/relationships/hyperlink" Target="http://a.013-arp.0011.00.2024.gov.hgv.pe/" TargetMode="External"/><Relationship Id="rId193" Type="http://schemas.openxmlformats.org/officeDocument/2006/relationships/hyperlink" Target="http://c.006-arp.0003.01.2025.gov.fes-pe.pe/" TargetMode="External"/><Relationship Id="rId207" Type="http://schemas.openxmlformats.org/officeDocument/2006/relationships/hyperlink" Target="http://c.001-arp.0027.05.2025.gov.fes-pe.pe/" TargetMode="External"/><Relationship Id="rId249" Type="http://schemas.openxmlformats.org/officeDocument/2006/relationships/hyperlink" Target="http://arp.0046.00.2024.gov.fes-pe.pe/" TargetMode="External"/><Relationship Id="rId414" Type="http://schemas.openxmlformats.org/officeDocument/2006/relationships/hyperlink" Target="http://a.003-arp.0010.00.2025.gov.hr.pe/" TargetMode="External"/><Relationship Id="rId456" Type="http://schemas.openxmlformats.org/officeDocument/2006/relationships/hyperlink" Target="http://a.002-arp.0007.00.2025.gov.hemope.pe/" TargetMode="External"/><Relationship Id="rId498" Type="http://schemas.openxmlformats.org/officeDocument/2006/relationships/hyperlink" Target="http://a.002-arp.0051.00.2025.gov.procape.pe/" TargetMode="External"/><Relationship Id="rId621" Type="http://schemas.openxmlformats.org/officeDocument/2006/relationships/hyperlink" Target="http://arp.0105.03.2024.gov.procape.pe/" TargetMode="External"/><Relationship Id="rId13" Type="http://schemas.openxmlformats.org/officeDocument/2006/relationships/hyperlink" Target="http://arp.0077.01.2025.gov.fes-pe.pe/" TargetMode="External"/><Relationship Id="rId109" Type="http://schemas.openxmlformats.org/officeDocument/2006/relationships/hyperlink" Target="http://c.027-arp.0063.00.2024.gov.fes-pe.pe/" TargetMode="External"/><Relationship Id="rId260" Type="http://schemas.openxmlformats.org/officeDocument/2006/relationships/hyperlink" Target="http://c.005-arp.0002.00.2025.gov.cisam.pe/" TargetMode="External"/><Relationship Id="rId316" Type="http://schemas.openxmlformats.org/officeDocument/2006/relationships/hyperlink" Target="http://a.001-arp.0020.00.2024.gov.hof.pe/" TargetMode="External"/><Relationship Id="rId523" Type="http://schemas.openxmlformats.org/officeDocument/2006/relationships/hyperlink" Target="http://arp.0028.06.2024.gov.hemope.pe/" TargetMode="External"/><Relationship Id="rId55" Type="http://schemas.openxmlformats.org/officeDocument/2006/relationships/hyperlink" Target="http://arp.0008.01.2025.gov.ham.pe/" TargetMode="External"/><Relationship Id="rId97" Type="http://schemas.openxmlformats.org/officeDocument/2006/relationships/hyperlink" Target="http://c.003-arp.0021.06.2024.gov.hof.pe/" TargetMode="External"/><Relationship Id="rId120" Type="http://schemas.openxmlformats.org/officeDocument/2006/relationships/hyperlink" Target="http://arp.0047.00.2025.gov.fes-pe.pe/" TargetMode="External"/><Relationship Id="rId358" Type="http://schemas.openxmlformats.org/officeDocument/2006/relationships/hyperlink" Target="http://a.005-arp.0012.02.2025.gov.huoc.pe/" TargetMode="External"/><Relationship Id="rId565" Type="http://schemas.openxmlformats.org/officeDocument/2006/relationships/hyperlink" Target="http://arp.0109.00.2024.gov.procape.pe/" TargetMode="External"/><Relationship Id="rId162" Type="http://schemas.openxmlformats.org/officeDocument/2006/relationships/hyperlink" Target="http://arp.0009.02.2025.gov.fes-pe.pe/" TargetMode="External"/><Relationship Id="rId218" Type="http://schemas.openxmlformats.org/officeDocument/2006/relationships/hyperlink" Target="http://arp.0018.02.2025.gov.fes-pe.pe/" TargetMode="External"/><Relationship Id="rId425" Type="http://schemas.openxmlformats.org/officeDocument/2006/relationships/hyperlink" Target="http://arp.0119.04.2024.gov.huoc.pe/" TargetMode="External"/><Relationship Id="rId467" Type="http://schemas.openxmlformats.org/officeDocument/2006/relationships/hyperlink" Target="http://arp.0004.00.2025.gov.hr.pe/" TargetMode="External"/><Relationship Id="rId632" Type="http://schemas.openxmlformats.org/officeDocument/2006/relationships/hyperlink" Target="http://a.123-arpc.0007.00.2024.gov.sad.pe/" TargetMode="External"/><Relationship Id="rId271" Type="http://schemas.openxmlformats.org/officeDocument/2006/relationships/hyperlink" Target="http://arp.0016.00.2025.gov.fes-pe.pe/" TargetMode="External"/><Relationship Id="rId24" Type="http://schemas.openxmlformats.org/officeDocument/2006/relationships/hyperlink" Target="http://c.004-arp.0079.01.2025.gov.fes-pe.pe/" TargetMode="External"/><Relationship Id="rId66" Type="http://schemas.openxmlformats.org/officeDocument/2006/relationships/hyperlink" Target="http://c.028-arp.0064.02.2024.gov.fes-pe.pe/" TargetMode="External"/><Relationship Id="rId131" Type="http://schemas.openxmlformats.org/officeDocument/2006/relationships/hyperlink" Target="http://c.004-arp.0052.11.2024.gov.cisam.pe/" TargetMode="External"/><Relationship Id="rId327" Type="http://schemas.openxmlformats.org/officeDocument/2006/relationships/hyperlink" Target="http://arp.0118.01.2024.gov.huoc.pe/" TargetMode="External"/><Relationship Id="rId369" Type="http://schemas.openxmlformats.org/officeDocument/2006/relationships/hyperlink" Target="http://arp.0038.02.2025.gov.huoc.pe/" TargetMode="External"/><Relationship Id="rId534" Type="http://schemas.openxmlformats.org/officeDocument/2006/relationships/hyperlink" Target="http://a.002-arp.0027.01.2024.gov.hemope.pe/" TargetMode="External"/><Relationship Id="rId576" Type="http://schemas.openxmlformats.org/officeDocument/2006/relationships/hyperlink" Target="http://a.027-arpc.0007.01.2024.gov.sad.pe/" TargetMode="External"/><Relationship Id="rId173" Type="http://schemas.openxmlformats.org/officeDocument/2006/relationships/hyperlink" Target="http://c.001-arp.0048.02.2025.gov.fes-pe.pe/" TargetMode="External"/><Relationship Id="rId229" Type="http://schemas.openxmlformats.org/officeDocument/2006/relationships/hyperlink" Target="http://c.007-arp.0012.02.2025.gov.fes-pe.pe/" TargetMode="External"/><Relationship Id="rId380" Type="http://schemas.openxmlformats.org/officeDocument/2006/relationships/hyperlink" Target="http://a.010-arp.0059.02.2025.gov.procape.pe/" TargetMode="External"/><Relationship Id="rId436" Type="http://schemas.openxmlformats.org/officeDocument/2006/relationships/hyperlink" Target="http://a.018-arp.0005.12.2025.gov.hemope.pe/" TargetMode="External"/><Relationship Id="rId601" Type="http://schemas.openxmlformats.org/officeDocument/2006/relationships/hyperlink" Target="http://arp.0021.00.2024.gov.hgv.pe/" TargetMode="External"/><Relationship Id="rId643" Type="http://schemas.openxmlformats.org/officeDocument/2006/relationships/hyperlink" Target="http://arp.0017.00.2024.gov.hgv.pe/" TargetMode="External"/><Relationship Id="rId240" Type="http://schemas.openxmlformats.org/officeDocument/2006/relationships/hyperlink" Target="http://arp.0010.04.2025.gov.fes-pe.pe/" TargetMode="External"/><Relationship Id="rId478" Type="http://schemas.openxmlformats.org/officeDocument/2006/relationships/hyperlink" Target="http://a.010-arp.0011.00.2025.gov.hr.pe/" TargetMode="External"/><Relationship Id="rId35" Type="http://schemas.openxmlformats.org/officeDocument/2006/relationships/hyperlink" Target="http://arp.0068.01.2025.gov.fes-pe.pe/" TargetMode="External"/><Relationship Id="rId77" Type="http://schemas.openxmlformats.org/officeDocument/2006/relationships/hyperlink" Target="http://arp.0015.06.2025.gov.fes-pe.pe/" TargetMode="External"/><Relationship Id="rId100" Type="http://schemas.openxmlformats.org/officeDocument/2006/relationships/hyperlink" Target="http://arp.0021.11.2024.gov.hof.pe/" TargetMode="External"/><Relationship Id="rId282" Type="http://schemas.openxmlformats.org/officeDocument/2006/relationships/hyperlink" Target="http://c.009-arp.0009.02.2025.gov.fes-pe.pe/" TargetMode="External"/><Relationship Id="rId338" Type="http://schemas.openxmlformats.org/officeDocument/2006/relationships/hyperlink" Target="http://a.007-arp.0005.00.2025.gov.feas.pe/" TargetMode="External"/><Relationship Id="rId503" Type="http://schemas.openxmlformats.org/officeDocument/2006/relationships/hyperlink" Target="http://arp.0008.05.2025.gov.hgv.pe/" TargetMode="External"/><Relationship Id="rId545" Type="http://schemas.openxmlformats.org/officeDocument/2006/relationships/hyperlink" Target="http://arp.0104.01.2024.gov.huoc.pe/" TargetMode="External"/><Relationship Id="rId587" Type="http://schemas.openxmlformats.org/officeDocument/2006/relationships/hyperlink" Target="http://arp.1414.00.2024.ext.amgesp.al/" TargetMode="External"/><Relationship Id="rId8" Type="http://schemas.openxmlformats.org/officeDocument/2006/relationships/hyperlink" Target="http://arp.0049.01.2025.gov.fes-pe.pe/" TargetMode="External"/><Relationship Id="rId142" Type="http://schemas.openxmlformats.org/officeDocument/2006/relationships/hyperlink" Target="http://arp.0044.04.2025.gov.fes-pe.pe/" TargetMode="External"/><Relationship Id="rId184" Type="http://schemas.openxmlformats.org/officeDocument/2006/relationships/hyperlink" Target="http://arp.0010.00.2025.gov.cisam.pe/" TargetMode="External"/><Relationship Id="rId391" Type="http://schemas.openxmlformats.org/officeDocument/2006/relationships/hyperlink" Target="http://arp.0013.00.2024.gov.ham.pe/" TargetMode="External"/><Relationship Id="rId405" Type="http://schemas.openxmlformats.org/officeDocument/2006/relationships/hyperlink" Target="http://arp.0106.02.2025.gov.huoc.pe/" TargetMode="External"/><Relationship Id="rId447" Type="http://schemas.openxmlformats.org/officeDocument/2006/relationships/hyperlink" Target="http://arp.0010.00.2025.gov.cisam.pe/" TargetMode="External"/><Relationship Id="rId612" Type="http://schemas.openxmlformats.org/officeDocument/2006/relationships/hyperlink" Target="http://a.009-arp.0103.06.2024.gov.procape.pe/" TargetMode="External"/><Relationship Id="rId251" Type="http://schemas.openxmlformats.org/officeDocument/2006/relationships/hyperlink" Target="http://arp.0100.03.2024.gov.fes-pe.pe/" TargetMode="External"/><Relationship Id="rId489" Type="http://schemas.openxmlformats.org/officeDocument/2006/relationships/hyperlink" Target="http://arp.0041.00.2024.gov.hr.pe/" TargetMode="External"/><Relationship Id="rId46" Type="http://schemas.openxmlformats.org/officeDocument/2006/relationships/hyperlink" Target="http://c.017-arp.0009.00.2025.gov.fes-pe.pe/" TargetMode="External"/><Relationship Id="rId293" Type="http://schemas.openxmlformats.org/officeDocument/2006/relationships/hyperlink" Target="http://arp.0099.03.2024.gov.fes-pe.pe/" TargetMode="External"/><Relationship Id="rId307" Type="http://schemas.openxmlformats.org/officeDocument/2006/relationships/hyperlink" Target="http://arp.0073.00.2025.gov.fes-pe.pe/" TargetMode="External"/><Relationship Id="rId349" Type="http://schemas.openxmlformats.org/officeDocument/2006/relationships/hyperlink" Target="http://arp.0009.02.2025.gov.hgv.pe/" TargetMode="External"/><Relationship Id="rId514" Type="http://schemas.openxmlformats.org/officeDocument/2006/relationships/hyperlink" Target="http://a.004-arp.0103.00.2024.gov.procape.pe/" TargetMode="External"/><Relationship Id="rId556" Type="http://schemas.openxmlformats.org/officeDocument/2006/relationships/hyperlink" Target="http://a.001-arp.0015.00.2024.gov.hgv.pe/" TargetMode="External"/><Relationship Id="rId88" Type="http://schemas.openxmlformats.org/officeDocument/2006/relationships/hyperlink" Target="http://c.011-arp.0010.05.2025.gov.fes-pe.pe/" TargetMode="External"/><Relationship Id="rId111" Type="http://schemas.openxmlformats.org/officeDocument/2006/relationships/hyperlink" Target="http://c.027-arp.0063.00.2024.gov.fes-pe.pe/" TargetMode="External"/><Relationship Id="rId153" Type="http://schemas.openxmlformats.org/officeDocument/2006/relationships/hyperlink" Target="http://c.004-arp.0036.10.2025.gov.fes-pe.pe/" TargetMode="External"/><Relationship Id="rId195" Type="http://schemas.openxmlformats.org/officeDocument/2006/relationships/hyperlink" Target="http://c.001-arp.0028.02.2025.gov.fes-pe.pe/" TargetMode="External"/><Relationship Id="rId209" Type="http://schemas.openxmlformats.org/officeDocument/2006/relationships/hyperlink" Target="http://c.001-arp.0027.06.2025.gov.fes-pe.pe/" TargetMode="External"/><Relationship Id="rId360" Type="http://schemas.openxmlformats.org/officeDocument/2006/relationships/hyperlink" Target="http://a.013-arp.0122.00.2025.gov.huoc.pe/" TargetMode="External"/><Relationship Id="rId416" Type="http://schemas.openxmlformats.org/officeDocument/2006/relationships/hyperlink" Target="http://a.029-arp.0031.00.2024.gov.hr.pe/" TargetMode="External"/><Relationship Id="rId598" Type="http://schemas.openxmlformats.org/officeDocument/2006/relationships/hyperlink" Target="http://a.022-arp.0041.00.2024.gov.hr.pe/" TargetMode="External"/><Relationship Id="rId220" Type="http://schemas.openxmlformats.org/officeDocument/2006/relationships/hyperlink" Target="http://arp.0018.01.2025.gov.fes-pe.pe/" TargetMode="External"/><Relationship Id="rId458" Type="http://schemas.openxmlformats.org/officeDocument/2006/relationships/hyperlink" Target="http://a.033-arp.0041.00.2024.gov.hr.pe/" TargetMode="External"/><Relationship Id="rId623" Type="http://schemas.openxmlformats.org/officeDocument/2006/relationships/hyperlink" Target="http://arp.0045.00.2024.gov.hr.pe/" TargetMode="External"/><Relationship Id="rId15" Type="http://schemas.openxmlformats.org/officeDocument/2006/relationships/hyperlink" Target="http://arp.0044.04.2025.gov.fes-pe.pe/" TargetMode="External"/><Relationship Id="rId57" Type="http://schemas.openxmlformats.org/officeDocument/2006/relationships/hyperlink" Target="http://arp.0070.03.2025.gov.fes-pe.pe/" TargetMode="External"/><Relationship Id="rId262" Type="http://schemas.openxmlformats.org/officeDocument/2006/relationships/hyperlink" Target="http://c.004-arp.0015.05.2025.gov.fes-pe.pe/" TargetMode="External"/><Relationship Id="rId318" Type="http://schemas.openxmlformats.org/officeDocument/2006/relationships/hyperlink" Target="http://a.029-arp.0001.01.2025.gov.huoc.pe/" TargetMode="External"/><Relationship Id="rId525" Type="http://schemas.openxmlformats.org/officeDocument/2006/relationships/hyperlink" Target="http://arp.0006.00.2025.gov.hr.pe/" TargetMode="External"/><Relationship Id="rId567" Type="http://schemas.openxmlformats.org/officeDocument/2006/relationships/hyperlink" Target="http://arp.0074.01.2024.gov.huoc.pe/" TargetMode="External"/><Relationship Id="rId99" Type="http://schemas.openxmlformats.org/officeDocument/2006/relationships/hyperlink" Target="http://c.004-arp.0021.11.2024.gov.hof.pe/" TargetMode="External"/><Relationship Id="rId122" Type="http://schemas.openxmlformats.org/officeDocument/2006/relationships/hyperlink" Target="http://arp.0052.03.2024.gov.fes-pe.pe/" TargetMode="External"/><Relationship Id="rId164" Type="http://schemas.openxmlformats.org/officeDocument/2006/relationships/hyperlink" Target="http://arp.0063.00.2024.gov.fes-pe.pe/" TargetMode="External"/><Relationship Id="rId371" Type="http://schemas.openxmlformats.org/officeDocument/2006/relationships/hyperlink" Target="http://arp.0100.00.2024.gov.huoc.pe/" TargetMode="External"/><Relationship Id="rId427" Type="http://schemas.openxmlformats.org/officeDocument/2006/relationships/hyperlink" Target="http://arp.0110.02.2024.gov.huoc.pe/" TargetMode="External"/><Relationship Id="rId469" Type="http://schemas.openxmlformats.org/officeDocument/2006/relationships/hyperlink" Target="http://arp.0059.02.2025.gov.fes-pe.pe/" TargetMode="External"/><Relationship Id="rId634" Type="http://schemas.openxmlformats.org/officeDocument/2006/relationships/hyperlink" Target="http://a.007-arp.0091.00.2024.gov.huoc.pe/" TargetMode="External"/><Relationship Id="rId26" Type="http://schemas.openxmlformats.org/officeDocument/2006/relationships/hyperlink" Target="http://c.004-arp.0079.00.2025.gov.fes-pe.pe/" TargetMode="External"/><Relationship Id="rId231" Type="http://schemas.openxmlformats.org/officeDocument/2006/relationships/hyperlink" Target="http://c.002-arp.0008.01.2025.gov.ham.pe/" TargetMode="External"/><Relationship Id="rId273" Type="http://schemas.openxmlformats.org/officeDocument/2006/relationships/hyperlink" Target="http://arp.0015.06.2025.gov.fes-pe.pe/" TargetMode="External"/><Relationship Id="rId329" Type="http://schemas.openxmlformats.org/officeDocument/2006/relationships/hyperlink" Target="http://arp.0009.03.2025.gov.hgv.pe/" TargetMode="External"/><Relationship Id="rId480" Type="http://schemas.openxmlformats.org/officeDocument/2006/relationships/hyperlink" Target="http://a.011-arp.0076.01.2024.gov.procape.pe/" TargetMode="External"/><Relationship Id="rId536" Type="http://schemas.openxmlformats.org/officeDocument/2006/relationships/hyperlink" Target="http://a.001-arp.0009.00.2025.gov.hgv.pe/" TargetMode="External"/><Relationship Id="rId68" Type="http://schemas.openxmlformats.org/officeDocument/2006/relationships/hyperlink" Target="http://c.004-arp.0073.01.2025.gov.fes-pe.pe/" TargetMode="External"/><Relationship Id="rId133" Type="http://schemas.openxmlformats.org/officeDocument/2006/relationships/hyperlink" Target="http://c.002-arp.0021.12.2024.gov.hof.pe/" TargetMode="External"/><Relationship Id="rId175" Type="http://schemas.openxmlformats.org/officeDocument/2006/relationships/hyperlink" Target="http://c.013-arp.0005.01.2025.gov.fes-pe.pe/" TargetMode="External"/><Relationship Id="rId340" Type="http://schemas.openxmlformats.org/officeDocument/2006/relationships/hyperlink" Target="http://a.001-arp.0011.03.2025.gov.hgv.pe/" TargetMode="External"/><Relationship Id="rId578" Type="http://schemas.openxmlformats.org/officeDocument/2006/relationships/hyperlink" Target="http://a.008-arp.0066.02.2024.gov.fes-pe.pe/" TargetMode="External"/><Relationship Id="rId200" Type="http://schemas.openxmlformats.org/officeDocument/2006/relationships/hyperlink" Target="http://arp.0022.02.2025.gov.fes-pe.pe/" TargetMode="External"/><Relationship Id="rId382" Type="http://schemas.openxmlformats.org/officeDocument/2006/relationships/hyperlink" Target="http://a.004-arp.0045.00.2024.gov.hr.pe/" TargetMode="External"/><Relationship Id="rId438" Type="http://schemas.openxmlformats.org/officeDocument/2006/relationships/hyperlink" Target="http://a.011-arp.0012.00.2025.gov.cisam.pe/" TargetMode="External"/><Relationship Id="rId603" Type="http://schemas.openxmlformats.org/officeDocument/2006/relationships/hyperlink" Target="http://arp.1291.00.2024.ext.rs/" TargetMode="External"/><Relationship Id="rId645" Type="http://schemas.openxmlformats.org/officeDocument/2006/relationships/table" Target="../tables/table2.xml"/><Relationship Id="rId242" Type="http://schemas.openxmlformats.org/officeDocument/2006/relationships/hyperlink" Target="http://arpc.0001.00.2025.gov.sad.pe/" TargetMode="External"/><Relationship Id="rId284" Type="http://schemas.openxmlformats.org/officeDocument/2006/relationships/hyperlink" Target="http://c.008-arp.0009.02.2025.gov.fes-pe.pe/" TargetMode="External"/><Relationship Id="rId491" Type="http://schemas.openxmlformats.org/officeDocument/2006/relationships/hyperlink" Target="http://arp.0029.06.2025.gov.procape.pe/" TargetMode="External"/><Relationship Id="rId505" Type="http://schemas.openxmlformats.org/officeDocument/2006/relationships/hyperlink" Target="http://arp.0078.02.2024.gov.huoc.pe/" TargetMode="External"/><Relationship Id="rId37" Type="http://schemas.openxmlformats.org/officeDocument/2006/relationships/hyperlink" Target="http://arp.0068.00.2025.gov.fes-pe.pe/" TargetMode="External"/><Relationship Id="rId79" Type="http://schemas.openxmlformats.org/officeDocument/2006/relationships/hyperlink" Target="http://arp.0012.07.2025.gov.ham.pe/" TargetMode="External"/><Relationship Id="rId102" Type="http://schemas.openxmlformats.org/officeDocument/2006/relationships/hyperlink" Target="http://arp.0067.03.2025.gov.fes-pe.pe/" TargetMode="External"/><Relationship Id="rId144" Type="http://schemas.openxmlformats.org/officeDocument/2006/relationships/hyperlink" Target="http://arp.0059.02.2025.gov.fes-pe.pe/" TargetMode="External"/><Relationship Id="rId547" Type="http://schemas.openxmlformats.org/officeDocument/2006/relationships/hyperlink" Target="http://arp.0028.00.2024.gov.hr.pe/" TargetMode="External"/><Relationship Id="rId589" Type="http://schemas.openxmlformats.org/officeDocument/2006/relationships/hyperlink" Target="http://arp.0110.08.2024.gov.huoc.pe/" TargetMode="External"/><Relationship Id="rId90" Type="http://schemas.openxmlformats.org/officeDocument/2006/relationships/hyperlink" Target="http://arp.0006.00.2025.gov.cisam.pe/" TargetMode="External"/><Relationship Id="rId186" Type="http://schemas.openxmlformats.org/officeDocument/2006/relationships/hyperlink" Target="http://arpc.0001.00.2025.gov.sad.pe/" TargetMode="External"/><Relationship Id="rId351" Type="http://schemas.openxmlformats.org/officeDocument/2006/relationships/hyperlink" Target="http://arp.0011.00.2025.gov.ham.pe/" TargetMode="External"/><Relationship Id="rId393" Type="http://schemas.openxmlformats.org/officeDocument/2006/relationships/hyperlink" Target="http://arp.0028.03.2025.gov.procape.pe/" TargetMode="External"/><Relationship Id="rId407" Type="http://schemas.openxmlformats.org/officeDocument/2006/relationships/hyperlink" Target="http://arp.0010.02.2025.ext.hmar.pe/" TargetMode="External"/><Relationship Id="rId449" Type="http://schemas.openxmlformats.org/officeDocument/2006/relationships/hyperlink" Target="http://arp.0003.00.2025.gov.hgv.pe/" TargetMode="External"/><Relationship Id="rId614" Type="http://schemas.openxmlformats.org/officeDocument/2006/relationships/hyperlink" Target="http://a.008-arp.0076.02.2024.gov.huoc.pe/" TargetMode="External"/><Relationship Id="rId211" Type="http://schemas.openxmlformats.org/officeDocument/2006/relationships/hyperlink" Target="http://c.001-arp.0021.05.2025.gov.fes-pe.pe/" TargetMode="External"/><Relationship Id="rId253" Type="http://schemas.openxmlformats.org/officeDocument/2006/relationships/hyperlink" Target="http://arp.0005.02.2025.gov.fes-pe.pe/" TargetMode="External"/><Relationship Id="rId295" Type="http://schemas.openxmlformats.org/officeDocument/2006/relationships/hyperlink" Target="http://arp.0099.02.2024.gov.fes-pe.pe/" TargetMode="External"/><Relationship Id="rId309" Type="http://schemas.openxmlformats.org/officeDocument/2006/relationships/hyperlink" Target="http://arp.0001.00.2025.gov.hr.pe/" TargetMode="External"/><Relationship Id="rId460" Type="http://schemas.openxmlformats.org/officeDocument/2006/relationships/hyperlink" Target="http://a.001-arp.0001.02.2025.gov.dasis.pe/" TargetMode="External"/><Relationship Id="rId516" Type="http://schemas.openxmlformats.org/officeDocument/2006/relationships/hyperlink" Target="http://a.001-arp.0006.06.2025.gov.procape.pe/" TargetMode="External"/><Relationship Id="rId48" Type="http://schemas.openxmlformats.org/officeDocument/2006/relationships/hyperlink" Target="http://c.003-arp.0011.02.2025.gov.hgv.pe/" TargetMode="External"/><Relationship Id="rId113" Type="http://schemas.openxmlformats.org/officeDocument/2006/relationships/hyperlink" Target="http://c.013-arp.0063.10.2024.gov.fes-pe.pe/" TargetMode="External"/><Relationship Id="rId320" Type="http://schemas.openxmlformats.org/officeDocument/2006/relationships/hyperlink" Target="http://a.001-arp.0089.06.2025.gov.huoc.pe/" TargetMode="External"/><Relationship Id="rId558" Type="http://schemas.openxmlformats.org/officeDocument/2006/relationships/hyperlink" Target="http://a.002-arp.0093.03.2024.gov.procape.pe/" TargetMode="External"/><Relationship Id="rId155" Type="http://schemas.openxmlformats.org/officeDocument/2006/relationships/hyperlink" Target="http://c.003-arp.0031.02.2025.gov.fes-pe.pe/" TargetMode="External"/><Relationship Id="rId197" Type="http://schemas.openxmlformats.org/officeDocument/2006/relationships/hyperlink" Target="http://c.004-arp.0022.03.2025.gov.fes-pe.pe/" TargetMode="External"/><Relationship Id="rId362" Type="http://schemas.openxmlformats.org/officeDocument/2006/relationships/hyperlink" Target="http://a.007-arp.0079.00.2025.gov.huoc.pe/" TargetMode="External"/><Relationship Id="rId418" Type="http://schemas.openxmlformats.org/officeDocument/2006/relationships/hyperlink" Target="http://a.010-arp.0011.00.2025.gov.fes-pe.pe/" TargetMode="External"/><Relationship Id="rId625" Type="http://schemas.openxmlformats.org/officeDocument/2006/relationships/hyperlink" Target="http://arp.0110.03.2024.gov.huoc.pe/" TargetMode="External"/><Relationship Id="rId222" Type="http://schemas.openxmlformats.org/officeDocument/2006/relationships/hyperlink" Target="http://arp.0017.06.2025.gov.fes-pe.pe/" TargetMode="External"/><Relationship Id="rId264" Type="http://schemas.openxmlformats.org/officeDocument/2006/relationships/hyperlink" Target="http://c.003-arp.0015.05.2025.gov.fes-pe.pe/" TargetMode="External"/><Relationship Id="rId471" Type="http://schemas.openxmlformats.org/officeDocument/2006/relationships/hyperlink" Target="http://arp.0005.09.2025.gov.procape.pe/" TargetMode="External"/><Relationship Id="rId17" Type="http://schemas.openxmlformats.org/officeDocument/2006/relationships/hyperlink" Target="http://arp.0044.02.2025.gov.fes-pe.pe/" TargetMode="External"/><Relationship Id="rId59" Type="http://schemas.openxmlformats.org/officeDocument/2006/relationships/hyperlink" Target="http://arp.0011.01.2025.gov.hgv.pe/" TargetMode="External"/><Relationship Id="rId124" Type="http://schemas.openxmlformats.org/officeDocument/2006/relationships/hyperlink" Target="http://arp.0058.00.2024.gov.fes-pe.pe/" TargetMode="External"/><Relationship Id="rId527" Type="http://schemas.openxmlformats.org/officeDocument/2006/relationships/hyperlink" Target="http://arp.0002.02.2025.gov.hemope.pe/" TargetMode="External"/><Relationship Id="rId569" Type="http://schemas.openxmlformats.org/officeDocument/2006/relationships/hyperlink" Target="http://arpc.0026.00.2024.gov.sad.pe/" TargetMode="External"/><Relationship Id="rId70" Type="http://schemas.openxmlformats.org/officeDocument/2006/relationships/hyperlink" Target="http://c.004-arp.0073.00.2025.gov.fes-pe.pe/" TargetMode="External"/><Relationship Id="rId166" Type="http://schemas.openxmlformats.org/officeDocument/2006/relationships/hyperlink" Target="http://arp.0064.01.2024.gov.fes-pe.pe/" TargetMode="External"/><Relationship Id="rId331" Type="http://schemas.openxmlformats.org/officeDocument/2006/relationships/hyperlink" Target="http://arp.0051.04.2025.gov.procape.pe/" TargetMode="External"/><Relationship Id="rId373" Type="http://schemas.openxmlformats.org/officeDocument/2006/relationships/hyperlink" Target="http://arp.0004.00.2025.gov.hr.pe/" TargetMode="External"/><Relationship Id="rId429" Type="http://schemas.openxmlformats.org/officeDocument/2006/relationships/hyperlink" Target="http://arp.0011.01.2025.gov.hgv.pe/" TargetMode="External"/><Relationship Id="rId580" Type="http://schemas.openxmlformats.org/officeDocument/2006/relationships/hyperlink" Target="http://a.012-arp.0033.00.2024.gov.hr.pe/" TargetMode="External"/><Relationship Id="rId636" Type="http://schemas.openxmlformats.org/officeDocument/2006/relationships/hyperlink" Target="http://a.002-arp.0107.05.2024.gov.huoc.pe/"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arp.0068.00.2025.gov.fes-pe.pe/" TargetMode="External"/><Relationship Id="rId1827" Type="http://schemas.openxmlformats.org/officeDocument/2006/relationships/hyperlink" Target="http://c.013-arp.0068.09.2024.gov.fes-pe.pe/" TargetMode="External"/><Relationship Id="rId21" Type="http://schemas.openxmlformats.org/officeDocument/2006/relationships/hyperlink" Target="http://a.007-arp.0001.00.2025.gov.hr.pe/" TargetMode="External"/><Relationship Id="rId2089" Type="http://schemas.openxmlformats.org/officeDocument/2006/relationships/hyperlink" Target="http://c.003-arp.0005.02.2025.gov.fes-pe.pe/" TargetMode="External"/><Relationship Id="rId170" Type="http://schemas.openxmlformats.org/officeDocument/2006/relationships/hyperlink" Target="http://arp.0013.00.2024.gov.ham.pe/" TargetMode="External"/><Relationship Id="rId2296" Type="http://schemas.openxmlformats.org/officeDocument/2006/relationships/hyperlink" Target="http://arp.0040.00.2024.gov.fes-pe.pe/" TargetMode="External"/><Relationship Id="rId268" Type="http://schemas.openxmlformats.org/officeDocument/2006/relationships/hyperlink" Target="http://arp.0077.00.2024.gov.huoc.pe/" TargetMode="External"/><Relationship Id="rId475" Type="http://schemas.openxmlformats.org/officeDocument/2006/relationships/hyperlink" Target="http://a.013-arp.0011.00.2024.gov.hgv.pe/" TargetMode="External"/><Relationship Id="rId682" Type="http://schemas.openxmlformats.org/officeDocument/2006/relationships/hyperlink" Target="http://arp.0002.02.2024.gov.sassepe.pe/" TargetMode="External"/><Relationship Id="rId2156" Type="http://schemas.openxmlformats.org/officeDocument/2006/relationships/hyperlink" Target="http://arp.0088.02.2024.gov.cisam.pe/" TargetMode="External"/><Relationship Id="rId2363" Type="http://schemas.openxmlformats.org/officeDocument/2006/relationships/hyperlink" Target="http://c.035-arp.0031.16.2024.gov.fes-pe.pe/" TargetMode="External"/><Relationship Id="rId2570" Type="http://schemas.openxmlformats.org/officeDocument/2006/relationships/hyperlink" Target="http://arp.0025.04.2024.gov.fes-pe.pe/" TargetMode="External"/><Relationship Id="rId128" Type="http://schemas.openxmlformats.org/officeDocument/2006/relationships/hyperlink" Target="http://arp.0079.03.2025.gov.huoc.pe/" TargetMode="External"/><Relationship Id="rId335" Type="http://schemas.openxmlformats.org/officeDocument/2006/relationships/hyperlink" Target="http://a.004-arp.0012.02.2025.gov.huoc.pe/" TargetMode="External"/><Relationship Id="rId542" Type="http://schemas.openxmlformats.org/officeDocument/2006/relationships/hyperlink" Target="http://arp.0068.10.2024.gov.fes-pe.pe/" TargetMode="External"/><Relationship Id="rId987" Type="http://schemas.openxmlformats.org/officeDocument/2006/relationships/hyperlink" Target="http://a.006-arp.0003.01.2024.ext.hmar.pe/" TargetMode="External"/><Relationship Id="rId1172" Type="http://schemas.openxmlformats.org/officeDocument/2006/relationships/hyperlink" Target="http://arp.0755.00.2024.ext.ba/" TargetMode="External"/><Relationship Id="rId2016" Type="http://schemas.openxmlformats.org/officeDocument/2006/relationships/hyperlink" Target="http://arp.0046.00.2024.gov.fes-pe.pe/" TargetMode="External"/><Relationship Id="rId2223" Type="http://schemas.openxmlformats.org/officeDocument/2006/relationships/hyperlink" Target="http://c.001-arp.0065.05.2024.gov.cisam.pe/" TargetMode="External"/><Relationship Id="rId2430" Type="http://schemas.openxmlformats.org/officeDocument/2006/relationships/hyperlink" Target="http://arp.0022.01.2024.gov.fes-pe.pe/" TargetMode="External"/><Relationship Id="rId2668" Type="http://schemas.openxmlformats.org/officeDocument/2006/relationships/hyperlink" Target="http://arp.0040.04.2024.gov.fes-pe.pe/" TargetMode="External"/><Relationship Id="rId402" Type="http://schemas.openxmlformats.org/officeDocument/2006/relationships/hyperlink" Target="http://arp.0089.01.2024.gov.huoc.pe/" TargetMode="External"/><Relationship Id="rId847" Type="http://schemas.openxmlformats.org/officeDocument/2006/relationships/hyperlink" Target="http://a.004-arp.0063.08.2024.gov.huoc.pe/" TargetMode="External"/><Relationship Id="rId1032" Type="http://schemas.openxmlformats.org/officeDocument/2006/relationships/hyperlink" Target="http://arp.0001.07.2024.gov.hof.pe/" TargetMode="External"/><Relationship Id="rId1477" Type="http://schemas.openxmlformats.org/officeDocument/2006/relationships/hyperlink" Target="http://c.020-arp.0070.01.2025.gov.fes-pe.pe/" TargetMode="External"/><Relationship Id="rId1684" Type="http://schemas.openxmlformats.org/officeDocument/2006/relationships/hyperlink" Target="http://arp.0067.03.2025.gov.fes-pe.pe/" TargetMode="External"/><Relationship Id="rId1891" Type="http://schemas.openxmlformats.org/officeDocument/2006/relationships/hyperlink" Target="http://c.018-arpc.0002.00.2025.gov.sad.pe/" TargetMode="External"/><Relationship Id="rId2528" Type="http://schemas.openxmlformats.org/officeDocument/2006/relationships/hyperlink" Target="http://arp.0031.11.2024.gov.fes-pe.pe/" TargetMode="External"/><Relationship Id="rId2735" Type="http://schemas.openxmlformats.org/officeDocument/2006/relationships/hyperlink" Target="http://c.007-arp.0003.02.2023.gov.hra.pe/" TargetMode="External"/><Relationship Id="rId707" Type="http://schemas.openxmlformats.org/officeDocument/2006/relationships/hyperlink" Target="http://a.002-arp.0088.08.2024.gov.huoc.pe/" TargetMode="External"/><Relationship Id="rId914" Type="http://schemas.openxmlformats.org/officeDocument/2006/relationships/hyperlink" Target="http://arp.0130.09.2023.gov.huoc.pe/" TargetMode="External"/><Relationship Id="rId1337" Type="http://schemas.openxmlformats.org/officeDocument/2006/relationships/hyperlink" Target="http://a.001-arp.0029.09.2023.gov.hgv.pe/" TargetMode="External"/><Relationship Id="rId1544" Type="http://schemas.openxmlformats.org/officeDocument/2006/relationships/hyperlink" Target="http://arp.0011.02.2025.gov.hgv.pe/" TargetMode="External"/><Relationship Id="rId1751" Type="http://schemas.openxmlformats.org/officeDocument/2006/relationships/hyperlink" Target="http://c.004-arp.0017.02.2025.gov.fes-pe.pe/" TargetMode="External"/><Relationship Id="rId1989" Type="http://schemas.openxmlformats.org/officeDocument/2006/relationships/hyperlink" Target="http://c.005-arp.0012.05.2025.gov.fes-pe.pe/" TargetMode="External"/><Relationship Id="rId2802" Type="http://schemas.openxmlformats.org/officeDocument/2006/relationships/hyperlink" Target="http://arp.0005.06.2023.gov.hra.pe/" TargetMode="External"/><Relationship Id="rId43" Type="http://schemas.openxmlformats.org/officeDocument/2006/relationships/hyperlink" Target="http://c.002-arp.0080.00.2025.gov.fes-pe.pe/" TargetMode="External"/><Relationship Id="rId1404" Type="http://schemas.openxmlformats.org/officeDocument/2006/relationships/hyperlink" Target="http://arp.0006.11.2023.gov.hof.pe/" TargetMode="External"/><Relationship Id="rId1611" Type="http://schemas.openxmlformats.org/officeDocument/2006/relationships/hyperlink" Target="http://c.005-arp.0036.07.2025.gov.fes-pe.pe/" TargetMode="External"/><Relationship Id="rId1849" Type="http://schemas.openxmlformats.org/officeDocument/2006/relationships/hyperlink" Target="http://c.011-arp.0009.01.2025.gov.fes-pe.pe/" TargetMode="External"/><Relationship Id="rId192" Type="http://schemas.openxmlformats.org/officeDocument/2006/relationships/hyperlink" Target="http://arp.0014.00.2025.gov.hr.pe/" TargetMode="External"/><Relationship Id="rId1709" Type="http://schemas.openxmlformats.org/officeDocument/2006/relationships/hyperlink" Target="http://c.003-arp.0054.04.2025.gov.fes-pe.pe/" TargetMode="External"/><Relationship Id="rId1916" Type="http://schemas.openxmlformats.org/officeDocument/2006/relationships/hyperlink" Target="http://arp.0028.01.2025.gov.fes-pe.pe/" TargetMode="External"/><Relationship Id="rId497" Type="http://schemas.openxmlformats.org/officeDocument/2006/relationships/hyperlink" Target="http://a.008-arp.0076.02.2024.gov.huoc.pe/" TargetMode="External"/><Relationship Id="rId2080" Type="http://schemas.openxmlformats.org/officeDocument/2006/relationships/hyperlink" Target="http://arp.0009.02.2025.gov.fes-pe.pe/" TargetMode="External"/><Relationship Id="rId2178" Type="http://schemas.openxmlformats.org/officeDocument/2006/relationships/hyperlink" Target="http://arp.0068.10.2024.gov.fes-pe.pe/" TargetMode="External"/><Relationship Id="rId2385" Type="http://schemas.openxmlformats.org/officeDocument/2006/relationships/hyperlink" Target="http://c.002-arp.0066.06.2024.gov.fes-pe.pe/" TargetMode="External"/><Relationship Id="rId357" Type="http://schemas.openxmlformats.org/officeDocument/2006/relationships/hyperlink" Target="http://a.006-arp.0013.02.2025.gov.hof.pe/" TargetMode="External"/><Relationship Id="rId1194" Type="http://schemas.openxmlformats.org/officeDocument/2006/relationships/hyperlink" Target="http://arp.0029.02.2023.gov.procape.pe/" TargetMode="External"/><Relationship Id="rId2038" Type="http://schemas.openxmlformats.org/officeDocument/2006/relationships/hyperlink" Target="http://arp.0025.00.2024.gov.fes-pe.pe/" TargetMode="External"/><Relationship Id="rId2592" Type="http://schemas.openxmlformats.org/officeDocument/2006/relationships/hyperlink" Target="http://arp.0647.14.2024.gov.fes-pe.pe/" TargetMode="External"/><Relationship Id="rId217" Type="http://schemas.openxmlformats.org/officeDocument/2006/relationships/hyperlink" Target="http://a.028-arp.0031.00.2024.gov.hr.pe/" TargetMode="External"/><Relationship Id="rId564" Type="http://schemas.openxmlformats.org/officeDocument/2006/relationships/hyperlink" Target="http://arp.0093.00.2024.gov.cisam.pe/" TargetMode="External"/><Relationship Id="rId771" Type="http://schemas.openxmlformats.org/officeDocument/2006/relationships/hyperlink" Target="http://a.009-arp.0021.00.2024.gov.hemope.pe/" TargetMode="External"/><Relationship Id="rId869" Type="http://schemas.openxmlformats.org/officeDocument/2006/relationships/hyperlink" Target="http://a.003-arp.0059.01.2024.gov.huoc.pe/" TargetMode="External"/><Relationship Id="rId1499" Type="http://schemas.openxmlformats.org/officeDocument/2006/relationships/hyperlink" Target="http://c.004-arp.0068.04.2025.gov.fes-pe.pe/" TargetMode="External"/><Relationship Id="rId2245" Type="http://schemas.openxmlformats.org/officeDocument/2006/relationships/hyperlink" Target="http://c.018-arp.0025.06.2024.gov.fes-pe.pe/" TargetMode="External"/><Relationship Id="rId2452" Type="http://schemas.openxmlformats.org/officeDocument/2006/relationships/hyperlink" Target="http://arp.0065.01.2024.gov.fes-pe.pe/" TargetMode="External"/><Relationship Id="rId424" Type="http://schemas.openxmlformats.org/officeDocument/2006/relationships/hyperlink" Target="http://arp.0093.03.2024.gov.procape.pe/" TargetMode="External"/><Relationship Id="rId631" Type="http://schemas.openxmlformats.org/officeDocument/2006/relationships/hyperlink" Target="http://a.005-arp.0068.10.2024.gov.fes-pe.pe/" TargetMode="External"/><Relationship Id="rId729" Type="http://schemas.openxmlformats.org/officeDocument/2006/relationships/hyperlink" Target="http://a.008-arp.0018.00.2024.gov.fes-pe.pe/" TargetMode="External"/><Relationship Id="rId1054" Type="http://schemas.openxmlformats.org/officeDocument/2006/relationships/hyperlink" Target="http://arp.0069.00.2023.gov.procape.pe/" TargetMode="External"/><Relationship Id="rId1261" Type="http://schemas.openxmlformats.org/officeDocument/2006/relationships/hyperlink" Target="http://a.008-arp.0063.00.2023.gov.procape.pe/" TargetMode="External"/><Relationship Id="rId1359" Type="http://schemas.openxmlformats.org/officeDocument/2006/relationships/hyperlink" Target="http://a.001-arp.0037.09.2023.gov.procape.pe/" TargetMode="External"/><Relationship Id="rId2105" Type="http://schemas.openxmlformats.org/officeDocument/2006/relationships/hyperlink" Target="http://c.002-arp.0099.00.2024.gov.fes-pe.pe/" TargetMode="External"/><Relationship Id="rId2312" Type="http://schemas.openxmlformats.org/officeDocument/2006/relationships/hyperlink" Target="http://arpc.0018.00.2024.gov.sad.pe/" TargetMode="External"/><Relationship Id="rId2757" Type="http://schemas.openxmlformats.org/officeDocument/2006/relationships/hyperlink" Target="http://c.037-arpc.0012.00.2023.gov.sad.pe/" TargetMode="External"/><Relationship Id="rId936" Type="http://schemas.openxmlformats.org/officeDocument/2006/relationships/hyperlink" Target="http://arp.0057.09.2024.gov.huoc.pe/" TargetMode="External"/><Relationship Id="rId1121" Type="http://schemas.openxmlformats.org/officeDocument/2006/relationships/hyperlink" Target="http://a.007-arp.0002.02.2024.gov.sassepe.pe/" TargetMode="External"/><Relationship Id="rId1219" Type="http://schemas.openxmlformats.org/officeDocument/2006/relationships/hyperlink" Target="http://a.001-arp.0026.03.2023.gov.hr.pe/" TargetMode="External"/><Relationship Id="rId1566" Type="http://schemas.openxmlformats.org/officeDocument/2006/relationships/hyperlink" Target="http://arp.0087.02.2024.gov.cisam.pe/" TargetMode="External"/><Relationship Id="rId1773" Type="http://schemas.openxmlformats.org/officeDocument/2006/relationships/hyperlink" Target="http://c.006-arp.0043.02.2025.gov.fes-pe.pe/" TargetMode="External"/><Relationship Id="rId1980" Type="http://schemas.openxmlformats.org/officeDocument/2006/relationships/hyperlink" Target="http://arp.0013.01.2025.gov.fes-pe.pe/" TargetMode="External"/><Relationship Id="rId2617" Type="http://schemas.openxmlformats.org/officeDocument/2006/relationships/hyperlink" Target="http://c.076-arpc.0012.00.2023.gov.sad.pe/" TargetMode="External"/><Relationship Id="rId2824" Type="http://schemas.openxmlformats.org/officeDocument/2006/relationships/hyperlink" Target="http://arp.0003.08.2023.gov.hra.pe/" TargetMode="External"/><Relationship Id="rId65" Type="http://schemas.openxmlformats.org/officeDocument/2006/relationships/hyperlink" Target="http://a.003-arp.0044.04.2025.gov.fes-pe.pe/" TargetMode="External"/><Relationship Id="rId1426" Type="http://schemas.openxmlformats.org/officeDocument/2006/relationships/hyperlink" Target="http://arp.0115.00.2025.gov.fes-pe.pe/" TargetMode="External"/><Relationship Id="rId1633" Type="http://schemas.openxmlformats.org/officeDocument/2006/relationships/hyperlink" Target="http://c.004-arp.0021.11.2024.gov.hof.pe/" TargetMode="External"/><Relationship Id="rId1840" Type="http://schemas.openxmlformats.org/officeDocument/2006/relationships/hyperlink" Target="http://arp.0029.03.2025.gov.fes-pe.pe/" TargetMode="External"/><Relationship Id="rId1700" Type="http://schemas.openxmlformats.org/officeDocument/2006/relationships/hyperlink" Target="http://arp.0021.01.2024.gov.hof.pe/" TargetMode="External"/><Relationship Id="rId1938" Type="http://schemas.openxmlformats.org/officeDocument/2006/relationships/hyperlink" Target="http://arp.0027.09.2025.gov.fes-pe.pe/" TargetMode="External"/><Relationship Id="rId281" Type="http://schemas.openxmlformats.org/officeDocument/2006/relationships/hyperlink" Target="http://a.003-arp.0009.00.2025.gov.fes-pe.pe/" TargetMode="External"/><Relationship Id="rId141" Type="http://schemas.openxmlformats.org/officeDocument/2006/relationships/hyperlink" Target="http://a.015-arp.0017.00.2025.gov.huoc.pe/" TargetMode="External"/><Relationship Id="rId379" Type="http://schemas.openxmlformats.org/officeDocument/2006/relationships/hyperlink" Target="http://a.002-arp.0021.00.2024.gov.hgv.pe/" TargetMode="External"/><Relationship Id="rId586" Type="http://schemas.openxmlformats.org/officeDocument/2006/relationships/hyperlink" Target="http://arp.0103.06.2024.gov.procape.pe/" TargetMode="External"/><Relationship Id="rId793" Type="http://schemas.openxmlformats.org/officeDocument/2006/relationships/hyperlink" Target="http://a.005-arp.0035.00.2024.gov.hr.pe/" TargetMode="External"/><Relationship Id="rId2267" Type="http://schemas.openxmlformats.org/officeDocument/2006/relationships/hyperlink" Target="http://c.004-arp.0088.00.2024.gov.fes-pe.pe/" TargetMode="External"/><Relationship Id="rId2474" Type="http://schemas.openxmlformats.org/officeDocument/2006/relationships/hyperlink" Target="http://arp.0031.11.2024.gov.fes-pe.pe/" TargetMode="External"/><Relationship Id="rId2681" Type="http://schemas.openxmlformats.org/officeDocument/2006/relationships/hyperlink" Target="http://c.041-arpc.0008.00.2023.gov.sad.pe/" TargetMode="External"/><Relationship Id="rId7" Type="http://schemas.openxmlformats.org/officeDocument/2006/relationships/hyperlink" Target="http://a.004-arp.0010.04.2025.gov.hof.pe/" TargetMode="External"/><Relationship Id="rId239" Type="http://schemas.openxmlformats.org/officeDocument/2006/relationships/hyperlink" Target="http://a.003-arp.0064.01.2025.gov.huoc.pe/" TargetMode="External"/><Relationship Id="rId446" Type="http://schemas.openxmlformats.org/officeDocument/2006/relationships/hyperlink" Target="http://arp.0008.00.2025.gov.cisam.pe/" TargetMode="External"/><Relationship Id="rId653" Type="http://schemas.openxmlformats.org/officeDocument/2006/relationships/hyperlink" Target="http://a.004-arp.0084.02.2024.gov.procape.pe/" TargetMode="External"/><Relationship Id="rId1076" Type="http://schemas.openxmlformats.org/officeDocument/2006/relationships/hyperlink" Target="http://arp.0004.02.2024.gov.hgv.pe/" TargetMode="External"/><Relationship Id="rId1283" Type="http://schemas.openxmlformats.org/officeDocument/2006/relationships/hyperlink" Target="http://a.001-arp.0009.02.2023.gov.hbl.pe/" TargetMode="External"/><Relationship Id="rId1490" Type="http://schemas.openxmlformats.org/officeDocument/2006/relationships/hyperlink" Target="http://arp.0015.06.2025.gov.fes-pe.pe/" TargetMode="External"/><Relationship Id="rId2127" Type="http://schemas.openxmlformats.org/officeDocument/2006/relationships/hyperlink" Target="http://c.020-arp.0061.03.2024.gov.fes-pe.pe/" TargetMode="External"/><Relationship Id="rId2334" Type="http://schemas.openxmlformats.org/officeDocument/2006/relationships/hyperlink" Target="http://arp.0065.01.2024.gov.fes-pe.pe/" TargetMode="External"/><Relationship Id="rId2779" Type="http://schemas.openxmlformats.org/officeDocument/2006/relationships/hyperlink" Target="http://c.005-arp.0003.02.2023.gov.hra.pe/" TargetMode="External"/><Relationship Id="rId306" Type="http://schemas.openxmlformats.org/officeDocument/2006/relationships/hyperlink" Target="http://arp.0041.00.2024.gov.hr.pe/" TargetMode="External"/><Relationship Id="rId860" Type="http://schemas.openxmlformats.org/officeDocument/2006/relationships/hyperlink" Target="http://arp.0087.00.2023.gov.huoc.pe/" TargetMode="External"/><Relationship Id="rId958" Type="http://schemas.openxmlformats.org/officeDocument/2006/relationships/hyperlink" Target="http://arp.0102.02.2023.gov.huoc.pe/" TargetMode="External"/><Relationship Id="rId1143" Type="http://schemas.openxmlformats.org/officeDocument/2006/relationships/hyperlink" Target="http://a.004-arp.0064.07.2023.gov.huoc.pe/" TargetMode="External"/><Relationship Id="rId1588" Type="http://schemas.openxmlformats.org/officeDocument/2006/relationships/hyperlink" Target="http://arp.0084.02.2024.gov.fes-pe.pe/" TargetMode="External"/><Relationship Id="rId1795" Type="http://schemas.openxmlformats.org/officeDocument/2006/relationships/hyperlink" Target="http://c.003-arp.0036.01.2025.gov.fes-pe.pe/" TargetMode="External"/><Relationship Id="rId2541" Type="http://schemas.openxmlformats.org/officeDocument/2006/relationships/hyperlink" Target="http://c.005-arp.0064.04.2024.gov.fes-pe.pe/" TargetMode="External"/><Relationship Id="rId2639" Type="http://schemas.openxmlformats.org/officeDocument/2006/relationships/hyperlink" Target="http://c.055-arpc.0006.00.2024.gov.sad.pe/" TargetMode="External"/><Relationship Id="rId2846" Type="http://schemas.openxmlformats.org/officeDocument/2006/relationships/hyperlink" Target="http://arp.0003.02.2023.gov.hra.pe/" TargetMode="External"/><Relationship Id="rId87" Type="http://schemas.openxmlformats.org/officeDocument/2006/relationships/hyperlink" Target="http://a.007-arp.0072.07.2025.gov.huoc.pe/" TargetMode="External"/><Relationship Id="rId513" Type="http://schemas.openxmlformats.org/officeDocument/2006/relationships/hyperlink" Target="http://a.003-arp.0110.01.2024.gov.huoc.pe/" TargetMode="External"/><Relationship Id="rId720" Type="http://schemas.openxmlformats.org/officeDocument/2006/relationships/hyperlink" Target="http://arp.0055.06.2024.gov.cisam.pe/" TargetMode="External"/><Relationship Id="rId818" Type="http://schemas.openxmlformats.org/officeDocument/2006/relationships/hyperlink" Target="http://arp.0001.00.2024.gov.hgv.pe/" TargetMode="External"/><Relationship Id="rId1350" Type="http://schemas.openxmlformats.org/officeDocument/2006/relationships/hyperlink" Target="http://arp.0011.03.2023.gov.dasis.pe/" TargetMode="External"/><Relationship Id="rId1448" Type="http://schemas.openxmlformats.org/officeDocument/2006/relationships/hyperlink" Target="http://arpc.0039.00.2025.gov.sad.pe/" TargetMode="External"/><Relationship Id="rId1655" Type="http://schemas.openxmlformats.org/officeDocument/2006/relationships/hyperlink" Target="http://c.008-arp.0083.05.2024.gov.fes-pe.pe/" TargetMode="External"/><Relationship Id="rId2401" Type="http://schemas.openxmlformats.org/officeDocument/2006/relationships/hyperlink" Target="http://c.023-arp.0052.03.2024.gov.fes-pe.pe/" TargetMode="External"/><Relationship Id="rId2706" Type="http://schemas.openxmlformats.org/officeDocument/2006/relationships/hyperlink" Target="http://arp.0003.04.2023.gov.hra.pe/" TargetMode="External"/><Relationship Id="rId1003" Type="http://schemas.openxmlformats.org/officeDocument/2006/relationships/hyperlink" Target="http://a.002-arp.0005.01.2024.gov.sassepe.pe/" TargetMode="External"/><Relationship Id="rId1210" Type="http://schemas.openxmlformats.org/officeDocument/2006/relationships/hyperlink" Target="http://arp.0018.06.2023.gov.ham.pe/" TargetMode="External"/><Relationship Id="rId1308" Type="http://schemas.openxmlformats.org/officeDocument/2006/relationships/hyperlink" Target="http://arp.0006.08.2023.gov.ham.pe/" TargetMode="External"/><Relationship Id="rId1862" Type="http://schemas.openxmlformats.org/officeDocument/2006/relationships/hyperlink" Target="http://arpc.0006.00.2025.gov.sad.pe/" TargetMode="External"/><Relationship Id="rId1515" Type="http://schemas.openxmlformats.org/officeDocument/2006/relationships/hyperlink" Target="http://c.003-arp.0068.04.2025.gov.fes-pe.pe/" TargetMode="External"/><Relationship Id="rId1722" Type="http://schemas.openxmlformats.org/officeDocument/2006/relationships/hyperlink" Target="http://arp.0021.12.2024.gov.hof.pe/" TargetMode="External"/><Relationship Id="rId14" Type="http://schemas.openxmlformats.org/officeDocument/2006/relationships/hyperlink" Target="http://arp.0189.00.2025.gov.huoc.pe/" TargetMode="External"/><Relationship Id="rId2191" Type="http://schemas.openxmlformats.org/officeDocument/2006/relationships/hyperlink" Target="http://c.016-arp.0031.11.2024.gov.fes-pe.pe/" TargetMode="External"/><Relationship Id="rId163" Type="http://schemas.openxmlformats.org/officeDocument/2006/relationships/hyperlink" Target="http://a.004-arp.0044.06.2025.gov.fes-pe.pe/" TargetMode="External"/><Relationship Id="rId370" Type="http://schemas.openxmlformats.org/officeDocument/2006/relationships/hyperlink" Target="http://arp.0041.00.2024.gov.hr.pe/" TargetMode="External"/><Relationship Id="rId2051" Type="http://schemas.openxmlformats.org/officeDocument/2006/relationships/hyperlink" Target="http://c.009-arp.0016.00.2025.gov.fes-pe.pe/" TargetMode="External"/><Relationship Id="rId2289" Type="http://schemas.openxmlformats.org/officeDocument/2006/relationships/hyperlink" Target="http://c.005-arp.0063.05.2024.gov.cisam.pe/" TargetMode="External"/><Relationship Id="rId2496" Type="http://schemas.openxmlformats.org/officeDocument/2006/relationships/hyperlink" Target="http://arp.0046.02.2024.gov.fes-pe.pe/" TargetMode="External"/><Relationship Id="rId230" Type="http://schemas.openxmlformats.org/officeDocument/2006/relationships/hyperlink" Target="http://arp.0041.00.2024.gov.hr.pe/" TargetMode="External"/><Relationship Id="rId468" Type="http://schemas.openxmlformats.org/officeDocument/2006/relationships/hyperlink" Target="http://arp.0005.05.2025.gov.cisam.pe/" TargetMode="External"/><Relationship Id="rId675" Type="http://schemas.openxmlformats.org/officeDocument/2006/relationships/hyperlink" Target="http://a.025-arp.0002.02.2024.gov.sassepe.pe/" TargetMode="External"/><Relationship Id="rId882" Type="http://schemas.openxmlformats.org/officeDocument/2006/relationships/hyperlink" Target="http://arp.0108.04.2023.gov.huoc.pe/" TargetMode="External"/><Relationship Id="rId1098" Type="http://schemas.openxmlformats.org/officeDocument/2006/relationships/hyperlink" Target="http://arp.0021.00.2023.gov.hgv.pe/" TargetMode="External"/><Relationship Id="rId2149" Type="http://schemas.openxmlformats.org/officeDocument/2006/relationships/hyperlink" Target="http://c.002-arp.0087.03.2024.gov.cisam.pe/" TargetMode="External"/><Relationship Id="rId2356" Type="http://schemas.openxmlformats.org/officeDocument/2006/relationships/hyperlink" Target="http://arp.0031.16.2024.gov.fes-pe.pe/" TargetMode="External"/><Relationship Id="rId2563" Type="http://schemas.openxmlformats.org/officeDocument/2006/relationships/hyperlink" Target="http://c.012-arp.0025.04.2024.gov.fes-pe.pe/" TargetMode="External"/><Relationship Id="rId2770" Type="http://schemas.openxmlformats.org/officeDocument/2006/relationships/hyperlink" Target="http://arp.0003.08.2023.gov.hra.pe/" TargetMode="External"/><Relationship Id="rId328" Type="http://schemas.openxmlformats.org/officeDocument/2006/relationships/hyperlink" Target="http://arp.0041.00.2024.gov.hr.pe/" TargetMode="External"/><Relationship Id="rId535" Type="http://schemas.openxmlformats.org/officeDocument/2006/relationships/hyperlink" Target="http://a.002-arp.0087.05.2024.gov.huoc.pe/" TargetMode="External"/><Relationship Id="rId742" Type="http://schemas.openxmlformats.org/officeDocument/2006/relationships/hyperlink" Target="http://arp.0009.09.2024.gov.hof.pe/" TargetMode="External"/><Relationship Id="rId1165" Type="http://schemas.openxmlformats.org/officeDocument/2006/relationships/hyperlink" Target="http://a.002-arp.0029.03.2023.gov.hgv.pe/" TargetMode="External"/><Relationship Id="rId1372" Type="http://schemas.openxmlformats.org/officeDocument/2006/relationships/hyperlink" Target="http://arp.0015.00.2023.gov.ham.pe/" TargetMode="External"/><Relationship Id="rId2009" Type="http://schemas.openxmlformats.org/officeDocument/2006/relationships/hyperlink" Target="http://c.004-arp.0015.03.2025.gov.fes-pe.pe/" TargetMode="External"/><Relationship Id="rId2216" Type="http://schemas.openxmlformats.org/officeDocument/2006/relationships/hyperlink" Target="http://arp.0094.02.2024.gov.fes-pe.pe/" TargetMode="External"/><Relationship Id="rId2423" Type="http://schemas.openxmlformats.org/officeDocument/2006/relationships/hyperlink" Target="http://c.002-arpc.0015.02.2024.gov.sad.pe/" TargetMode="External"/><Relationship Id="rId2630" Type="http://schemas.openxmlformats.org/officeDocument/2006/relationships/hyperlink" Target="http://arp.0052.00.2024.gov.fes-pe.pe/" TargetMode="External"/><Relationship Id="rId602" Type="http://schemas.openxmlformats.org/officeDocument/2006/relationships/hyperlink" Target="http://arp.0107.01.2024.gov.huoc.pe/" TargetMode="External"/><Relationship Id="rId1025" Type="http://schemas.openxmlformats.org/officeDocument/2006/relationships/hyperlink" Target="http://a.003-arp.0049.03.2024.gov.huoc.pe/" TargetMode="External"/><Relationship Id="rId1232" Type="http://schemas.openxmlformats.org/officeDocument/2006/relationships/hyperlink" Target="http://arp.0025.16.2023.gov.hr.pe/" TargetMode="External"/><Relationship Id="rId1677" Type="http://schemas.openxmlformats.org/officeDocument/2006/relationships/hyperlink" Target="http://c.006-arp.0010.02.2025.gov.fes-pe.pe/" TargetMode="External"/><Relationship Id="rId1884" Type="http://schemas.openxmlformats.org/officeDocument/2006/relationships/hyperlink" Target="http://arp.0009.02.2025.gov.fes-pe.pe/" TargetMode="External"/><Relationship Id="rId2728" Type="http://schemas.openxmlformats.org/officeDocument/2006/relationships/hyperlink" Target="http://arp.0005.08.2023.gov.hra.pe/" TargetMode="External"/><Relationship Id="rId907" Type="http://schemas.openxmlformats.org/officeDocument/2006/relationships/hyperlink" Target="http://a.002-arp.0007.00.2024.gov.huoc.pe/" TargetMode="External"/><Relationship Id="rId1537" Type="http://schemas.openxmlformats.org/officeDocument/2006/relationships/hyperlink" Target="http://c.014-arp.0016.03.2025.gov.fes-pe.pe/" TargetMode="External"/><Relationship Id="rId1744" Type="http://schemas.openxmlformats.org/officeDocument/2006/relationships/hyperlink" Target="http://arp.0021.03.2024.gov.hof.pe/" TargetMode="External"/><Relationship Id="rId1951" Type="http://schemas.openxmlformats.org/officeDocument/2006/relationships/hyperlink" Target="http://c.003-arp.0021.01.2025.gov.fes-pe.pe/" TargetMode="External"/><Relationship Id="rId36" Type="http://schemas.openxmlformats.org/officeDocument/2006/relationships/hyperlink" Target="http://arp.0020.00.2024.gov.hof.pe/" TargetMode="External"/><Relationship Id="rId1604" Type="http://schemas.openxmlformats.org/officeDocument/2006/relationships/hyperlink" Target="http://arp.0067.03.2025.gov.fes-pe.pe/" TargetMode="External"/><Relationship Id="rId185" Type="http://schemas.openxmlformats.org/officeDocument/2006/relationships/hyperlink" Target="http://c.007-arp.0073.00.2025.gov.fes-pe.pe/" TargetMode="External"/><Relationship Id="rId1811" Type="http://schemas.openxmlformats.org/officeDocument/2006/relationships/hyperlink" Target="http://c.002-arp.0031.04.2025.gov.fes-pe.pe/" TargetMode="External"/><Relationship Id="rId1909" Type="http://schemas.openxmlformats.org/officeDocument/2006/relationships/hyperlink" Target="http://c.001-arp.0028.03.2025.gov.fes-pe.pe/" TargetMode="External"/><Relationship Id="rId392" Type="http://schemas.openxmlformats.org/officeDocument/2006/relationships/hyperlink" Target="http://arp.0004.00.2025.gov.hgv.pe/" TargetMode="External"/><Relationship Id="rId697" Type="http://schemas.openxmlformats.org/officeDocument/2006/relationships/hyperlink" Target="http://a.006-arp.0005.00.2024.gov.semul.pe/" TargetMode="External"/><Relationship Id="rId2073" Type="http://schemas.openxmlformats.org/officeDocument/2006/relationships/hyperlink" Target="http://c.151-arpc.0006.00.2024.gov.sad.pe/" TargetMode="External"/><Relationship Id="rId2280" Type="http://schemas.openxmlformats.org/officeDocument/2006/relationships/hyperlink" Target="http://arp.0049.00.2024.gov.fes-pe.pe/" TargetMode="External"/><Relationship Id="rId2378" Type="http://schemas.openxmlformats.org/officeDocument/2006/relationships/hyperlink" Target="http://arp.0066.01.2024.gov.fes-pe.pe/" TargetMode="External"/><Relationship Id="rId252" Type="http://schemas.openxmlformats.org/officeDocument/2006/relationships/hyperlink" Target="http://arp.0064.01.2025.gov.huoc.pe/" TargetMode="External"/><Relationship Id="rId1187" Type="http://schemas.openxmlformats.org/officeDocument/2006/relationships/hyperlink" Target="http://a.002-arp.0009.07.2023.gov.hbl.pe/" TargetMode="External"/><Relationship Id="rId2140" Type="http://schemas.openxmlformats.org/officeDocument/2006/relationships/hyperlink" Target="http://arp.0087.00.2024.gov.cisam.pe/" TargetMode="External"/><Relationship Id="rId2585" Type="http://schemas.openxmlformats.org/officeDocument/2006/relationships/hyperlink" Target="http://c.006-arp.0040.03.2024.gov.fes-pe.pe/" TargetMode="External"/><Relationship Id="rId2792" Type="http://schemas.openxmlformats.org/officeDocument/2006/relationships/hyperlink" Target="http://arpc.0005.00.2023.gov.sad.pe/" TargetMode="External"/><Relationship Id="rId112" Type="http://schemas.openxmlformats.org/officeDocument/2006/relationships/hyperlink" Target="http://arp.0010.05.2025.gov.ham.pe/" TargetMode="External"/><Relationship Id="rId557" Type="http://schemas.openxmlformats.org/officeDocument/2006/relationships/hyperlink" Target="http://a.006-arp.0005.05.2025.gov.cisam.pe/" TargetMode="External"/><Relationship Id="rId764" Type="http://schemas.openxmlformats.org/officeDocument/2006/relationships/hyperlink" Target="http://arp.0046.05.2024.gov.huoc.pe/" TargetMode="External"/><Relationship Id="rId971" Type="http://schemas.openxmlformats.org/officeDocument/2006/relationships/hyperlink" Target="http://a.005-arp.0033.01.2024.gov.cisam.pe/" TargetMode="External"/><Relationship Id="rId1394" Type="http://schemas.openxmlformats.org/officeDocument/2006/relationships/hyperlink" Target="http://arp.0015.00.2023.gov.huoc.pe/" TargetMode="External"/><Relationship Id="rId1699" Type="http://schemas.openxmlformats.org/officeDocument/2006/relationships/hyperlink" Target="http://c.004-arp.0021.01.2024.gov.hof.pe/" TargetMode="External"/><Relationship Id="rId2000" Type="http://schemas.openxmlformats.org/officeDocument/2006/relationships/hyperlink" Target="http://arp.0004.00.2025.gov.fes-pe.pe/" TargetMode="External"/><Relationship Id="rId2238" Type="http://schemas.openxmlformats.org/officeDocument/2006/relationships/hyperlink" Target="http://arp.0063.00.2024.gov.fes-pe.pe/" TargetMode="External"/><Relationship Id="rId2445" Type="http://schemas.openxmlformats.org/officeDocument/2006/relationships/hyperlink" Target="http://c.019-arp.0048.07.2024.gov.fes-pe.pe/" TargetMode="External"/><Relationship Id="rId2652" Type="http://schemas.openxmlformats.org/officeDocument/2006/relationships/hyperlink" Target="http://arpc.0006.00.2024.gov.sad.pe/" TargetMode="External"/><Relationship Id="rId417" Type="http://schemas.openxmlformats.org/officeDocument/2006/relationships/hyperlink" Target="http://a.011-arp.0010.00.2024.gov.hof.pe/" TargetMode="External"/><Relationship Id="rId624" Type="http://schemas.openxmlformats.org/officeDocument/2006/relationships/hyperlink" Target="http://arp.0017.00.2024.gov.hgv.pe/" TargetMode="External"/><Relationship Id="rId831" Type="http://schemas.openxmlformats.org/officeDocument/2006/relationships/hyperlink" Target="http://a.019-arp.0005.00.2024.gov.hr.pe/" TargetMode="External"/><Relationship Id="rId1047" Type="http://schemas.openxmlformats.org/officeDocument/2006/relationships/hyperlink" Target="http://a.005-arp.0004.00.2024.gov.hgv.pe/" TargetMode="External"/><Relationship Id="rId1254" Type="http://schemas.openxmlformats.org/officeDocument/2006/relationships/hyperlink" Target="http://arp.0071.03.2023.gov.procape.pe/" TargetMode="External"/><Relationship Id="rId1461" Type="http://schemas.openxmlformats.org/officeDocument/2006/relationships/hyperlink" Target="http://c.014-arp.0067.01.2025.gov.fes-pe.pe/" TargetMode="External"/><Relationship Id="rId2305" Type="http://schemas.openxmlformats.org/officeDocument/2006/relationships/hyperlink" Target="http://c.004-arp.0088.03.2024.gov.fes-pe.pe/" TargetMode="External"/><Relationship Id="rId2512" Type="http://schemas.openxmlformats.org/officeDocument/2006/relationships/hyperlink" Target="http://arp.0018.08.2024.gov.fes-pe.pe/" TargetMode="External"/><Relationship Id="rId929" Type="http://schemas.openxmlformats.org/officeDocument/2006/relationships/hyperlink" Target="http://a.001-arp.0057.06.2024.gov.huoc.pe/" TargetMode="External"/><Relationship Id="rId1114" Type="http://schemas.openxmlformats.org/officeDocument/2006/relationships/hyperlink" Target="http://arp.0026.07.2023.gov.ham.pe/" TargetMode="External"/><Relationship Id="rId1321" Type="http://schemas.openxmlformats.org/officeDocument/2006/relationships/hyperlink" Target="http://a.003-arp.0014.00.2023.gov.hgv.pe/" TargetMode="External"/><Relationship Id="rId1559" Type="http://schemas.openxmlformats.org/officeDocument/2006/relationships/hyperlink" Target="http://c.011-arp.0065.02.2024.gov.cisam.pe/" TargetMode="External"/><Relationship Id="rId1766" Type="http://schemas.openxmlformats.org/officeDocument/2006/relationships/hyperlink" Target="http://arp.0052.01.2025.gov.fes-pe.pe/" TargetMode="External"/><Relationship Id="rId1973" Type="http://schemas.openxmlformats.org/officeDocument/2006/relationships/hyperlink" Target="http://c.007-arp.0017.00.2025.gov.fes-pe.pe/" TargetMode="External"/><Relationship Id="rId2817" Type="http://schemas.openxmlformats.org/officeDocument/2006/relationships/hyperlink" Target="http://c.002-arpc.0012.00.2023.gov.sad.pe/" TargetMode="External"/><Relationship Id="rId58" Type="http://schemas.openxmlformats.org/officeDocument/2006/relationships/hyperlink" Target="http://arp.0009.03.2025.gov.hgv.pe/" TargetMode="External"/><Relationship Id="rId1419" Type="http://schemas.openxmlformats.org/officeDocument/2006/relationships/hyperlink" Target="http://c.001-arp.0115.04.2025.gov.fes-pe.pe/" TargetMode="External"/><Relationship Id="rId1626" Type="http://schemas.openxmlformats.org/officeDocument/2006/relationships/hyperlink" Target="http://arp.0021.01.2024.gov.hof.pe/" TargetMode="External"/><Relationship Id="rId1833" Type="http://schemas.openxmlformats.org/officeDocument/2006/relationships/hyperlink" Target="http://c.003-arp.0029.05.2025.gov.fes-pe.pe/" TargetMode="External"/><Relationship Id="rId1900" Type="http://schemas.openxmlformats.org/officeDocument/2006/relationships/hyperlink" Target="http://arp.0020.05.2025.gov.fes-pe.pe/" TargetMode="External"/><Relationship Id="rId2095" Type="http://schemas.openxmlformats.org/officeDocument/2006/relationships/hyperlink" Target="http://c.003-arp.0005.00.2025.gov.fes-pe.pe/" TargetMode="External"/><Relationship Id="rId274" Type="http://schemas.openxmlformats.org/officeDocument/2006/relationships/hyperlink" Target="http://arp.0004.00.2025.gov.hr.pe/" TargetMode="External"/><Relationship Id="rId481" Type="http://schemas.openxmlformats.org/officeDocument/2006/relationships/hyperlink" Target="http://a.001-arp.0021.00.2024.gov.hgv.pe/" TargetMode="External"/><Relationship Id="rId2162" Type="http://schemas.openxmlformats.org/officeDocument/2006/relationships/hyperlink" Target="http://arp.0088.02.2024.gov.cisam.pe/" TargetMode="External"/><Relationship Id="rId134" Type="http://schemas.openxmlformats.org/officeDocument/2006/relationships/hyperlink" Target="http://arp.0001.00.2025.gov.sassepe.pe/" TargetMode="External"/><Relationship Id="rId579" Type="http://schemas.openxmlformats.org/officeDocument/2006/relationships/hyperlink" Target="http://a.009-arp.0002.03.2024.ext.hmar.pe/" TargetMode="External"/><Relationship Id="rId786" Type="http://schemas.openxmlformats.org/officeDocument/2006/relationships/hyperlink" Target="http://arp.0033.00.2024.gov.hr.pe/" TargetMode="External"/><Relationship Id="rId993" Type="http://schemas.openxmlformats.org/officeDocument/2006/relationships/hyperlink" Target="http://a.002-arp.0046.06.2024.gov.huoc.pe/" TargetMode="External"/><Relationship Id="rId2467" Type="http://schemas.openxmlformats.org/officeDocument/2006/relationships/hyperlink" Target="http://c.008-arp.0022.04.2024.gov.fes-pe.pe/" TargetMode="External"/><Relationship Id="rId2674" Type="http://schemas.openxmlformats.org/officeDocument/2006/relationships/hyperlink" Target="http://arp.0025.04.2024.gov.fes-pe.pe/" TargetMode="External"/><Relationship Id="rId341" Type="http://schemas.openxmlformats.org/officeDocument/2006/relationships/hyperlink" Target="http://a.006-arp.0004.00.2025.gov.hr.pe/" TargetMode="External"/><Relationship Id="rId439" Type="http://schemas.openxmlformats.org/officeDocument/2006/relationships/hyperlink" Target="http://a.009-arp.0010.00.2024.gov.hof.pe/" TargetMode="External"/><Relationship Id="rId646" Type="http://schemas.openxmlformats.org/officeDocument/2006/relationships/hyperlink" Target="http://arp.0009.07.2024.gov.hof.pe/" TargetMode="External"/><Relationship Id="rId1069" Type="http://schemas.openxmlformats.org/officeDocument/2006/relationships/hyperlink" Target="http://a.002-arp.0130.06.2023.gov.huoc.pe/" TargetMode="External"/><Relationship Id="rId1276" Type="http://schemas.openxmlformats.org/officeDocument/2006/relationships/hyperlink" Target="http://arp.0002.08.2023.gov.defn.pe/" TargetMode="External"/><Relationship Id="rId1483" Type="http://schemas.openxmlformats.org/officeDocument/2006/relationships/hyperlink" Target="http://c.004-arp.0079.01.2025.gov.fes-pe.pe/" TargetMode="External"/><Relationship Id="rId2022" Type="http://schemas.openxmlformats.org/officeDocument/2006/relationships/hyperlink" Target="http://arp.0005.00.2025.gov.fes-pe.pe/" TargetMode="External"/><Relationship Id="rId2327" Type="http://schemas.openxmlformats.org/officeDocument/2006/relationships/hyperlink" Target="http://c.004-arp.0083.05.2024.gov.fes-pe.pe/" TargetMode="External"/><Relationship Id="rId201" Type="http://schemas.openxmlformats.org/officeDocument/2006/relationships/hyperlink" Target="http://a.013-arp.0001.04.2025.gov.huoc.pe/" TargetMode="External"/><Relationship Id="rId506" Type="http://schemas.openxmlformats.org/officeDocument/2006/relationships/hyperlink" Target="http://arp.0105.03.2024.gov.procape.pe/" TargetMode="External"/><Relationship Id="rId853" Type="http://schemas.openxmlformats.org/officeDocument/2006/relationships/hyperlink" Target="http://a.003-arp.0006.00.2024.ext.hmar.pe/" TargetMode="External"/><Relationship Id="rId1136" Type="http://schemas.openxmlformats.org/officeDocument/2006/relationships/hyperlink" Target="http://arp.0101.05.2023.gov.huoc.pe/" TargetMode="External"/><Relationship Id="rId1690" Type="http://schemas.openxmlformats.org/officeDocument/2006/relationships/hyperlink" Target="http://arp.0017.03.2024.gov.hof.pe/" TargetMode="External"/><Relationship Id="rId1788" Type="http://schemas.openxmlformats.org/officeDocument/2006/relationships/hyperlink" Target="http://arp.0036.07.2025.gov.fes-pe.pe/" TargetMode="External"/><Relationship Id="rId1995" Type="http://schemas.openxmlformats.org/officeDocument/2006/relationships/hyperlink" Target="http://c.003-arp.0012.00.2025.gov.fes-pe.pe/" TargetMode="External"/><Relationship Id="rId2534" Type="http://schemas.openxmlformats.org/officeDocument/2006/relationships/hyperlink" Target="http://arpc.0033.00.2023.gov.sad.pe/" TargetMode="External"/><Relationship Id="rId2741" Type="http://schemas.openxmlformats.org/officeDocument/2006/relationships/hyperlink" Target="http://c.005-arp.0003.08.2023.gov.hra.pe/" TargetMode="External"/><Relationship Id="rId2839" Type="http://schemas.openxmlformats.org/officeDocument/2006/relationships/hyperlink" Target="http://c.001-arp.0003.00.2023.gov.hra.pe/" TargetMode="External"/><Relationship Id="rId713" Type="http://schemas.openxmlformats.org/officeDocument/2006/relationships/hyperlink" Target="http://a.002-arp.0038.02.2024.gov.fes-pe.pe/" TargetMode="External"/><Relationship Id="rId920" Type="http://schemas.openxmlformats.org/officeDocument/2006/relationships/hyperlink" Target="http://arp.0001.06.2024.gov.hof.pe/" TargetMode="External"/><Relationship Id="rId1343" Type="http://schemas.openxmlformats.org/officeDocument/2006/relationships/hyperlink" Target="http://a.002-arp.0028.10.2023.gov.hgv.pe/" TargetMode="External"/><Relationship Id="rId1550" Type="http://schemas.openxmlformats.org/officeDocument/2006/relationships/hyperlink" Target="http://arp.0053.02.2025.gov.fes-pe.pe/" TargetMode="External"/><Relationship Id="rId1648" Type="http://schemas.openxmlformats.org/officeDocument/2006/relationships/hyperlink" Target="http://arp.0092.04.2024.gov.fes-pe.pe/" TargetMode="External"/><Relationship Id="rId2601" Type="http://schemas.openxmlformats.org/officeDocument/2006/relationships/hyperlink" Target="http://c.007-arp.0046.01.2024.gov.fes-pe.pe/" TargetMode="External"/><Relationship Id="rId1203" Type="http://schemas.openxmlformats.org/officeDocument/2006/relationships/hyperlink" Target="http://a.003-arp.0030.05.2023.gov.hr.pe/" TargetMode="External"/><Relationship Id="rId1410" Type="http://schemas.openxmlformats.org/officeDocument/2006/relationships/hyperlink" Target="http://arp.0021.02.2023.gov.huoc.pe/" TargetMode="External"/><Relationship Id="rId1508" Type="http://schemas.openxmlformats.org/officeDocument/2006/relationships/hyperlink" Target="http://arp.0015.05.2025.gov.fes-pe.pe/" TargetMode="External"/><Relationship Id="rId1855" Type="http://schemas.openxmlformats.org/officeDocument/2006/relationships/hyperlink" Target="http://c.027-arp.0064.01.2024.gov.fes-pe.pe/" TargetMode="External"/><Relationship Id="rId1715" Type="http://schemas.openxmlformats.org/officeDocument/2006/relationships/hyperlink" Target="http://c.004-arp.0052.11.2024.gov.cisam.pe/" TargetMode="External"/><Relationship Id="rId1922" Type="http://schemas.openxmlformats.org/officeDocument/2006/relationships/hyperlink" Target="http://arp.0022.02.2025.gov.fes-pe.pe/" TargetMode="External"/><Relationship Id="rId296" Type="http://schemas.openxmlformats.org/officeDocument/2006/relationships/hyperlink" Target="http://arp.0084.05.2024.gov.procape.pe/" TargetMode="External"/><Relationship Id="rId2184" Type="http://schemas.openxmlformats.org/officeDocument/2006/relationships/hyperlink" Target="http://arp.0065.06.2024.gov.cisam.pe/" TargetMode="External"/><Relationship Id="rId2391" Type="http://schemas.openxmlformats.org/officeDocument/2006/relationships/hyperlink" Target="http://c.030-arp.0031.16.2024.gov.fes-pe.pe/" TargetMode="External"/><Relationship Id="rId156" Type="http://schemas.openxmlformats.org/officeDocument/2006/relationships/hyperlink" Target="http://arp.0045.00.2024.gov.hr.pe/" TargetMode="External"/><Relationship Id="rId363" Type="http://schemas.openxmlformats.org/officeDocument/2006/relationships/hyperlink" Target="http://a.025-arp.0031.00.2024.gov.hr.pe/" TargetMode="External"/><Relationship Id="rId570" Type="http://schemas.openxmlformats.org/officeDocument/2006/relationships/hyperlink" Target="http://arp.0011.00.2025.gov.ham.pe/" TargetMode="External"/><Relationship Id="rId2044" Type="http://schemas.openxmlformats.org/officeDocument/2006/relationships/hyperlink" Target="http://arp.0015.05.2025.gov.fes-pe.pe/" TargetMode="External"/><Relationship Id="rId2251" Type="http://schemas.openxmlformats.org/officeDocument/2006/relationships/hyperlink" Target="http://c.022-arp.0025.01.2024.gov.fes-pe.pe/" TargetMode="External"/><Relationship Id="rId2489" Type="http://schemas.openxmlformats.org/officeDocument/2006/relationships/hyperlink" Target="http://c.014-arp.0031.11.2024.gov.fes-pe.pe/" TargetMode="External"/><Relationship Id="rId2696" Type="http://schemas.openxmlformats.org/officeDocument/2006/relationships/hyperlink" Target="http://arp.0005.05.2023.gov.hra.pe/" TargetMode="External"/><Relationship Id="rId223" Type="http://schemas.openxmlformats.org/officeDocument/2006/relationships/hyperlink" Target="http://a.003-arp.0011.01.2025.gov.hgv.pe/" TargetMode="External"/><Relationship Id="rId430" Type="http://schemas.openxmlformats.org/officeDocument/2006/relationships/hyperlink" Target="http://arp.0004.01.2025.gov.hgv.pe/" TargetMode="External"/><Relationship Id="rId668" Type="http://schemas.openxmlformats.org/officeDocument/2006/relationships/hyperlink" Target="http://arp.0076.02.2024.gov.huoc.pe/" TargetMode="External"/><Relationship Id="rId875" Type="http://schemas.openxmlformats.org/officeDocument/2006/relationships/hyperlink" Target="http://a.002-arp.0057.07.2024.gov.huoc.pe/" TargetMode="External"/><Relationship Id="rId1060" Type="http://schemas.openxmlformats.org/officeDocument/2006/relationships/hyperlink" Target="http://arp.1298.00.2024.ext.pe/" TargetMode="External"/><Relationship Id="rId1298" Type="http://schemas.openxmlformats.org/officeDocument/2006/relationships/hyperlink" Target="http://arp.0007.02.2023.gov.hbl.pe/" TargetMode="External"/><Relationship Id="rId2111" Type="http://schemas.openxmlformats.org/officeDocument/2006/relationships/hyperlink" Target="http://c.001-arp.0098.01.2024.gov.fes-pe.pe/" TargetMode="External"/><Relationship Id="rId2349" Type="http://schemas.openxmlformats.org/officeDocument/2006/relationships/hyperlink" Target="http://c.014-arp.0022.01.2024.gov.fes-pe.pe/" TargetMode="External"/><Relationship Id="rId2556" Type="http://schemas.openxmlformats.org/officeDocument/2006/relationships/hyperlink" Target="http://arp.0063.00.2024.gov.fes-pe.pe/" TargetMode="External"/><Relationship Id="rId2763" Type="http://schemas.openxmlformats.org/officeDocument/2006/relationships/hyperlink" Target="http://c.002-arp.0005.05.2023.gov.hra.pe/" TargetMode="External"/><Relationship Id="rId528" Type="http://schemas.openxmlformats.org/officeDocument/2006/relationships/hyperlink" Target="http://arpc.0014.00.2024.gov.sad.pe/" TargetMode="External"/><Relationship Id="rId735" Type="http://schemas.openxmlformats.org/officeDocument/2006/relationships/hyperlink" Target="http://a.009-arp.0025.01.2024.gov.fes-pe.pe/" TargetMode="External"/><Relationship Id="rId942" Type="http://schemas.openxmlformats.org/officeDocument/2006/relationships/hyperlink" Target="http://arp.0057.01.2024.gov.huoc.pe/" TargetMode="External"/><Relationship Id="rId1158" Type="http://schemas.openxmlformats.org/officeDocument/2006/relationships/hyperlink" Target="http://arp.0086.00.2023.gov.procape.pe/" TargetMode="External"/><Relationship Id="rId1365" Type="http://schemas.openxmlformats.org/officeDocument/2006/relationships/hyperlink" Target="http://a.004-arp.0047.06.2023.gov.huoc.pe/" TargetMode="External"/><Relationship Id="rId1572" Type="http://schemas.openxmlformats.org/officeDocument/2006/relationships/hyperlink" Target="http://arp.0006.03.2025.gov.cisam.pe/" TargetMode="External"/><Relationship Id="rId2209" Type="http://schemas.openxmlformats.org/officeDocument/2006/relationships/hyperlink" Target="http://c.001-arp.0094.00.2024.gov.fes-pe.pe/" TargetMode="External"/><Relationship Id="rId2416" Type="http://schemas.openxmlformats.org/officeDocument/2006/relationships/hyperlink" Target="http://arp.0031.16.2024.gov.fes-pe.pe/" TargetMode="External"/><Relationship Id="rId2623" Type="http://schemas.openxmlformats.org/officeDocument/2006/relationships/hyperlink" Target="http://c.004-arp.0037.02.2024.gov.fes-pe.pe/" TargetMode="External"/><Relationship Id="rId1018" Type="http://schemas.openxmlformats.org/officeDocument/2006/relationships/hyperlink" Target="http://arp.0049.00.2024.gov.huoc.pe/" TargetMode="External"/><Relationship Id="rId1225" Type="http://schemas.openxmlformats.org/officeDocument/2006/relationships/hyperlink" Target="http://a.011-arp.0025.09.2023.gov.hr.pe/" TargetMode="External"/><Relationship Id="rId1432" Type="http://schemas.openxmlformats.org/officeDocument/2006/relationships/hyperlink" Target="http://arp.0020.00.2025.gov.fes-pe.pe/" TargetMode="External"/><Relationship Id="rId1877" Type="http://schemas.openxmlformats.org/officeDocument/2006/relationships/hyperlink" Target="http://c.013-arp.0005.01.2025.gov.fes-pe.pe/" TargetMode="External"/><Relationship Id="rId2830" Type="http://schemas.openxmlformats.org/officeDocument/2006/relationships/hyperlink" Target="http://arp.0003.05.2023.gov.hra.pe/" TargetMode="External"/><Relationship Id="rId71" Type="http://schemas.openxmlformats.org/officeDocument/2006/relationships/hyperlink" Target="http://a.013-arp.0084.05.2024.gov.cisam.pe/" TargetMode="External"/><Relationship Id="rId802" Type="http://schemas.openxmlformats.org/officeDocument/2006/relationships/hyperlink" Target="http://arp.1298.00.2024.ext.pe/" TargetMode="External"/><Relationship Id="rId1737" Type="http://schemas.openxmlformats.org/officeDocument/2006/relationships/hyperlink" Target="http://c.001-arp.0059.02.2025.gov.fes-pe.pe/" TargetMode="External"/><Relationship Id="rId1944" Type="http://schemas.openxmlformats.org/officeDocument/2006/relationships/hyperlink" Target="http://arp.0021.05.2025.gov.fes-pe.pe/" TargetMode="External"/><Relationship Id="rId29" Type="http://schemas.openxmlformats.org/officeDocument/2006/relationships/hyperlink" Target="http://a.019-arp.0013.00.2025.gov.fundarpe.pe/" TargetMode="External"/><Relationship Id="rId178" Type="http://schemas.openxmlformats.org/officeDocument/2006/relationships/hyperlink" Target="http://arp.0059.00.2025.gov.fes-pe.pe/" TargetMode="External"/><Relationship Id="rId1804" Type="http://schemas.openxmlformats.org/officeDocument/2006/relationships/hyperlink" Target="http://arp.0035.02.2025.gov.fes-pe.pe/" TargetMode="External"/><Relationship Id="rId385" Type="http://schemas.openxmlformats.org/officeDocument/2006/relationships/hyperlink" Target="http://a.002-arp.0027.01.2024.gov.hemope.pe/" TargetMode="External"/><Relationship Id="rId592" Type="http://schemas.openxmlformats.org/officeDocument/2006/relationships/hyperlink" Target="http://arp.0003.00.2025.gov.hr.pe/" TargetMode="External"/><Relationship Id="rId2066" Type="http://schemas.openxmlformats.org/officeDocument/2006/relationships/hyperlink" Target="http://arp.0014.02.2025.gov.fes-pe.pe/" TargetMode="External"/><Relationship Id="rId2273" Type="http://schemas.openxmlformats.org/officeDocument/2006/relationships/hyperlink" Target="http://c.005-arp.0090.05.2024.gov.fes-pe.pe/" TargetMode="External"/><Relationship Id="rId2480" Type="http://schemas.openxmlformats.org/officeDocument/2006/relationships/hyperlink" Target="http://arp.0031.16.2024.gov.fes-pe.pe/" TargetMode="External"/><Relationship Id="rId245" Type="http://schemas.openxmlformats.org/officeDocument/2006/relationships/hyperlink" Target="http://a.002-arp.0003.00.2025.gov.hgv.pe/" TargetMode="External"/><Relationship Id="rId452" Type="http://schemas.openxmlformats.org/officeDocument/2006/relationships/hyperlink" Target="http://arp.0066.02.2024.gov.fes-pe.pe/" TargetMode="External"/><Relationship Id="rId897" Type="http://schemas.openxmlformats.org/officeDocument/2006/relationships/hyperlink" Target="http://a.001-arp.0048.03.2024.gov.huoc.pe/" TargetMode="External"/><Relationship Id="rId1082" Type="http://schemas.openxmlformats.org/officeDocument/2006/relationships/hyperlink" Target="http://arpc.0007.00.2024.gov.sad.pe/" TargetMode="External"/><Relationship Id="rId2133" Type="http://schemas.openxmlformats.org/officeDocument/2006/relationships/hyperlink" Target="http://c.002-arp.0089.01.2024.gov.cisam.pe/" TargetMode="External"/><Relationship Id="rId2340" Type="http://schemas.openxmlformats.org/officeDocument/2006/relationships/hyperlink" Target="http://arp.0018.01.2024.gov.fes-pe.pe/" TargetMode="External"/><Relationship Id="rId2578" Type="http://schemas.openxmlformats.org/officeDocument/2006/relationships/hyperlink" Target="http://arp.0038.01.2024.gov.fes-pe.pe/" TargetMode="External"/><Relationship Id="rId2785" Type="http://schemas.openxmlformats.org/officeDocument/2006/relationships/hyperlink" Target="http://c.020-arpc.0006.00.2023.gov.sad.pe/" TargetMode="External"/><Relationship Id="rId105" Type="http://schemas.openxmlformats.org/officeDocument/2006/relationships/hyperlink" Target="http://a.027-arp.0089.01.2024.gov.huoc.pe/" TargetMode="External"/><Relationship Id="rId312" Type="http://schemas.openxmlformats.org/officeDocument/2006/relationships/hyperlink" Target="http://arp.0076.01.2024.gov.procape.pe/" TargetMode="External"/><Relationship Id="rId757" Type="http://schemas.openxmlformats.org/officeDocument/2006/relationships/hyperlink" Target="http://a.011-arp.0021.00.2024.gov.hemope.pe/" TargetMode="External"/><Relationship Id="rId964" Type="http://schemas.openxmlformats.org/officeDocument/2006/relationships/hyperlink" Target="http://arp.0130.08.2023.gov.huoc.pe/" TargetMode="External"/><Relationship Id="rId1387" Type="http://schemas.openxmlformats.org/officeDocument/2006/relationships/hyperlink" Target="http://a.002-arp.0003.03.2023.gov.hra.pe/" TargetMode="External"/><Relationship Id="rId1594" Type="http://schemas.openxmlformats.org/officeDocument/2006/relationships/hyperlink" Target="http://arp.0070.03.2025.gov.fes-pe.pe/" TargetMode="External"/><Relationship Id="rId2200" Type="http://schemas.openxmlformats.org/officeDocument/2006/relationships/hyperlink" Target="http://arp.0096.02.2024.gov.fes-pe.pe/" TargetMode="External"/><Relationship Id="rId2438" Type="http://schemas.openxmlformats.org/officeDocument/2006/relationships/hyperlink" Target="http://arpc.0018.00.2024.gov.sad.pe/" TargetMode="External"/><Relationship Id="rId2645" Type="http://schemas.openxmlformats.org/officeDocument/2006/relationships/hyperlink" Target="http://c.002-arp.0005.02.2023.gov.hra.pe/" TargetMode="External"/><Relationship Id="rId2852" Type="http://schemas.openxmlformats.org/officeDocument/2006/relationships/hyperlink" Target="http://arp.0002.00.2023.gov.hra.pe/" TargetMode="External"/><Relationship Id="rId93" Type="http://schemas.openxmlformats.org/officeDocument/2006/relationships/hyperlink" Target="http://a.002-arp.0009.02.2025.gov.hgv.pe/" TargetMode="External"/><Relationship Id="rId617" Type="http://schemas.openxmlformats.org/officeDocument/2006/relationships/hyperlink" Target="http://a.010-arpc.0014.00.2024.gov.sad.pe/" TargetMode="External"/><Relationship Id="rId824" Type="http://schemas.openxmlformats.org/officeDocument/2006/relationships/hyperlink" Target="http://arp.0001.02.2024.gov.hemope.pe/" TargetMode="External"/><Relationship Id="rId1247" Type="http://schemas.openxmlformats.org/officeDocument/2006/relationships/hyperlink" Target="http://a.001-arp.0030.01.2023.gov.hr.pe/" TargetMode="External"/><Relationship Id="rId1454" Type="http://schemas.openxmlformats.org/officeDocument/2006/relationships/hyperlink" Target="http://arp.0049.03.2025.gov.fes-pe.pe/" TargetMode="External"/><Relationship Id="rId1661" Type="http://schemas.openxmlformats.org/officeDocument/2006/relationships/hyperlink" Target="http://c.015-arp.0075.01.2024.gov.fes-pe.pe/" TargetMode="External"/><Relationship Id="rId1899" Type="http://schemas.openxmlformats.org/officeDocument/2006/relationships/hyperlink" Target="http://c.008-arp.0020.05.2025.gov.fes-pe.pe/" TargetMode="External"/><Relationship Id="rId2505" Type="http://schemas.openxmlformats.org/officeDocument/2006/relationships/hyperlink" Target="http://c.002-arp.0112.00.2023.gov.fes-pe.pe/" TargetMode="External"/><Relationship Id="rId2712" Type="http://schemas.openxmlformats.org/officeDocument/2006/relationships/hyperlink" Target="http://arpc.0005.00.2024.gov.sad.pe/" TargetMode="External"/><Relationship Id="rId1107" Type="http://schemas.openxmlformats.org/officeDocument/2006/relationships/hyperlink" Target="http://a.007-arp.0030.05.2023.gov.hr.pe/" TargetMode="External"/><Relationship Id="rId1314" Type="http://schemas.openxmlformats.org/officeDocument/2006/relationships/hyperlink" Target="http://arp.0006.03.2023.gov.ham.pe/" TargetMode="External"/><Relationship Id="rId1521" Type="http://schemas.openxmlformats.org/officeDocument/2006/relationships/hyperlink" Target="http://c.005-arp.0068.00.2025.gov.fes-pe.pe/" TargetMode="External"/><Relationship Id="rId1759" Type="http://schemas.openxmlformats.org/officeDocument/2006/relationships/hyperlink" Target="http://c.002-arp.0052.04.2025.gov.fes-pe.pe/" TargetMode="External"/><Relationship Id="rId1966" Type="http://schemas.openxmlformats.org/officeDocument/2006/relationships/hyperlink" Target="http://arp.0017.06.2025.gov.fes-pe.pe/" TargetMode="External"/><Relationship Id="rId1619" Type="http://schemas.openxmlformats.org/officeDocument/2006/relationships/hyperlink" Target="http://c.011-arp.0010.05.2025.gov.fes-pe.pe/" TargetMode="External"/><Relationship Id="rId1826" Type="http://schemas.openxmlformats.org/officeDocument/2006/relationships/hyperlink" Target="http://arp.0030.01.2025.gov.fes-pe.pe/" TargetMode="External"/><Relationship Id="rId20" Type="http://schemas.openxmlformats.org/officeDocument/2006/relationships/hyperlink" Target="http://arp.0001.00.2025.gov.hr.pe/" TargetMode="External"/><Relationship Id="rId2088" Type="http://schemas.openxmlformats.org/officeDocument/2006/relationships/hyperlink" Target="http://arp.0100.02.2024.gov.fes-pe.pe/" TargetMode="External"/><Relationship Id="rId2295" Type="http://schemas.openxmlformats.org/officeDocument/2006/relationships/hyperlink" Target="http://c.011-arp.0040.00.2024.gov.fes-pe.pe/" TargetMode="External"/><Relationship Id="rId267" Type="http://schemas.openxmlformats.org/officeDocument/2006/relationships/hyperlink" Target="http://a.004-arp.0077.00.2024.gov.huoc.pe/" TargetMode="External"/><Relationship Id="rId474" Type="http://schemas.openxmlformats.org/officeDocument/2006/relationships/hyperlink" Target="http://arp.0093.00.2024.gov.cisam.pe/" TargetMode="External"/><Relationship Id="rId2155" Type="http://schemas.openxmlformats.org/officeDocument/2006/relationships/hyperlink" Target="http://c.005-arp.0088.02.2024.gov.cisam.pe/" TargetMode="External"/><Relationship Id="rId127" Type="http://schemas.openxmlformats.org/officeDocument/2006/relationships/hyperlink" Target="http://a.007-arp.0079.03.2025.gov.huoc.pe/" TargetMode="External"/><Relationship Id="rId681" Type="http://schemas.openxmlformats.org/officeDocument/2006/relationships/hyperlink" Target="http://a.023-arp.0002.02.2024.gov.sassepe.pe/" TargetMode="External"/><Relationship Id="rId779" Type="http://schemas.openxmlformats.org/officeDocument/2006/relationships/hyperlink" Target="http://a.002-arp.0068.02.2024.gov.huoc.pe/" TargetMode="External"/><Relationship Id="rId986" Type="http://schemas.openxmlformats.org/officeDocument/2006/relationships/hyperlink" Target="http://arp.0130.08.2023.gov.huoc.pe/" TargetMode="External"/><Relationship Id="rId2362" Type="http://schemas.openxmlformats.org/officeDocument/2006/relationships/hyperlink" Target="http://arp.0063.05.2024.gov.cisam.pe/" TargetMode="External"/><Relationship Id="rId2667" Type="http://schemas.openxmlformats.org/officeDocument/2006/relationships/hyperlink" Target="http://c.001-arp.0040.04.2024.gov.fes-pe.pe/" TargetMode="External"/><Relationship Id="rId334" Type="http://schemas.openxmlformats.org/officeDocument/2006/relationships/hyperlink" Target="http://arp.0078.02.2024.gov.huoc.pe/" TargetMode="External"/><Relationship Id="rId541" Type="http://schemas.openxmlformats.org/officeDocument/2006/relationships/hyperlink" Target="http://a.005-arp.0068.10.2024.gov.fes-pe.pe/" TargetMode="External"/><Relationship Id="rId639" Type="http://schemas.openxmlformats.org/officeDocument/2006/relationships/hyperlink" Target="http://a.020-arp.0055.06.2024.gov.cisam.pe/" TargetMode="External"/><Relationship Id="rId1171" Type="http://schemas.openxmlformats.org/officeDocument/2006/relationships/hyperlink" Target="http://a.001-arp.0001.00.2024.ext.ba/" TargetMode="External"/><Relationship Id="rId1269" Type="http://schemas.openxmlformats.org/officeDocument/2006/relationships/hyperlink" Target="http://a.006-arp.0063.10.2023.gov.procape.pe/" TargetMode="External"/><Relationship Id="rId1476" Type="http://schemas.openxmlformats.org/officeDocument/2006/relationships/hyperlink" Target="http://arp.0021.01.2024.gov.hof.pe/" TargetMode="External"/><Relationship Id="rId2015" Type="http://schemas.openxmlformats.org/officeDocument/2006/relationships/hyperlink" Target="http://c.012-arp.0046.00.2024.gov.fes-pe.pe/" TargetMode="External"/><Relationship Id="rId2222" Type="http://schemas.openxmlformats.org/officeDocument/2006/relationships/hyperlink" Target="http://arp.0065.00.2024.gov.cisam.pe/" TargetMode="External"/><Relationship Id="rId401" Type="http://schemas.openxmlformats.org/officeDocument/2006/relationships/hyperlink" Target="http://a.012-arp.0089.01.2024.gov.huoc.pe/" TargetMode="External"/><Relationship Id="rId846" Type="http://schemas.openxmlformats.org/officeDocument/2006/relationships/hyperlink" Target="http://arp.0102.00.2023.gov.huoc.pe/" TargetMode="External"/><Relationship Id="rId1031" Type="http://schemas.openxmlformats.org/officeDocument/2006/relationships/hyperlink" Target="http://a.006-arp.0001.07.2024.gov.hof.pe/" TargetMode="External"/><Relationship Id="rId1129" Type="http://schemas.openxmlformats.org/officeDocument/2006/relationships/hyperlink" Target="http://a.005-arp.0002.03.2024.gov.hof.pe/" TargetMode="External"/><Relationship Id="rId1683" Type="http://schemas.openxmlformats.org/officeDocument/2006/relationships/hyperlink" Target="http://c.006-arp.0067.03.2025.gov.fes-pe.pe/" TargetMode="External"/><Relationship Id="rId1890" Type="http://schemas.openxmlformats.org/officeDocument/2006/relationships/hyperlink" Target="http://arpc.0011.00.2025.gov.sad.pe/" TargetMode="External"/><Relationship Id="rId1988" Type="http://schemas.openxmlformats.org/officeDocument/2006/relationships/hyperlink" Target="http://arp.0008.01.2025.gov.ham.pe/" TargetMode="External"/><Relationship Id="rId2527" Type="http://schemas.openxmlformats.org/officeDocument/2006/relationships/hyperlink" Target="http://c.013-arp.0031.11.2024.gov.fes-pe.pe/" TargetMode="External"/><Relationship Id="rId2734" Type="http://schemas.openxmlformats.org/officeDocument/2006/relationships/hyperlink" Target="http://arpc.0018.00.2023.gov.sad.pe/" TargetMode="External"/><Relationship Id="rId706" Type="http://schemas.openxmlformats.org/officeDocument/2006/relationships/hyperlink" Target="http://arp.0005.00.2024.gov.upecmn.pe/" TargetMode="External"/><Relationship Id="rId913" Type="http://schemas.openxmlformats.org/officeDocument/2006/relationships/hyperlink" Target="http://a.004-arp.0130.09.2023.gov.huoc.pe/" TargetMode="External"/><Relationship Id="rId1336" Type="http://schemas.openxmlformats.org/officeDocument/2006/relationships/hyperlink" Target="http://arp.0038.00.2023.gov.hgv.pe/" TargetMode="External"/><Relationship Id="rId1543" Type="http://schemas.openxmlformats.org/officeDocument/2006/relationships/hyperlink" Target="http://c.003-arp.0011.02.2025.gov.hgv.pe/" TargetMode="External"/><Relationship Id="rId1750" Type="http://schemas.openxmlformats.org/officeDocument/2006/relationships/hyperlink" Target="http://arp.0021.00.2024.gov.hof.pe/" TargetMode="External"/><Relationship Id="rId2801" Type="http://schemas.openxmlformats.org/officeDocument/2006/relationships/hyperlink" Target="http://c.001-arp.0005.06.2023.gov.hra.pe/" TargetMode="External"/><Relationship Id="rId42" Type="http://schemas.openxmlformats.org/officeDocument/2006/relationships/hyperlink" Target="http://arp.0080.00.2025.gov.fes-pe.pe/" TargetMode="External"/><Relationship Id="rId1403" Type="http://schemas.openxmlformats.org/officeDocument/2006/relationships/hyperlink" Target="http://a.001-arp.0006.11.2023.gov.hof.pe/" TargetMode="External"/><Relationship Id="rId1610" Type="http://schemas.openxmlformats.org/officeDocument/2006/relationships/hyperlink" Target="http://arp.0049.02.2025.gov.fes-pe.pe/" TargetMode="External"/><Relationship Id="rId1848" Type="http://schemas.openxmlformats.org/officeDocument/2006/relationships/hyperlink" Target="http://arp.0009.00.2025.gov.fes-pe.pe/" TargetMode="External"/><Relationship Id="rId191" Type="http://schemas.openxmlformats.org/officeDocument/2006/relationships/hyperlink" Target="http://a.003-arp.0014.00.2025.gov.hr.pe/" TargetMode="External"/><Relationship Id="rId1708" Type="http://schemas.openxmlformats.org/officeDocument/2006/relationships/hyperlink" Target="http://arp.0052.12.2024.gov.cisam.pe/" TargetMode="External"/><Relationship Id="rId1915" Type="http://schemas.openxmlformats.org/officeDocument/2006/relationships/hyperlink" Target="http://c.001-arp.0028.01.2025.gov.fes-pe.pe/" TargetMode="External"/><Relationship Id="rId289" Type="http://schemas.openxmlformats.org/officeDocument/2006/relationships/hyperlink" Target="http://a.005-arp.0005.09.2025.gov.procape.pe/" TargetMode="External"/><Relationship Id="rId496" Type="http://schemas.openxmlformats.org/officeDocument/2006/relationships/hyperlink" Target="http://arp.0103.06.2024.gov.procape.pe/" TargetMode="External"/><Relationship Id="rId2177" Type="http://schemas.openxmlformats.org/officeDocument/2006/relationships/hyperlink" Target="http://c.008-arp.0068.10.2024.gov.fes-pe.pe/" TargetMode="External"/><Relationship Id="rId2384" Type="http://schemas.openxmlformats.org/officeDocument/2006/relationships/hyperlink" Target="http://arp.0066.04.2024.gov.fes-pe.pe/" TargetMode="External"/><Relationship Id="rId2591" Type="http://schemas.openxmlformats.org/officeDocument/2006/relationships/hyperlink" Target="http://c.013-arp.0031.14.2024.gov.fes-pe.pe/" TargetMode="External"/><Relationship Id="rId149" Type="http://schemas.openxmlformats.org/officeDocument/2006/relationships/hyperlink" Target="http://a.013-arp.0021.01.2024.gov.hof.pe/" TargetMode="External"/><Relationship Id="rId356" Type="http://schemas.openxmlformats.org/officeDocument/2006/relationships/hyperlink" Target="http://arp.0028.06.2024.gov.hemope.pe/" TargetMode="External"/><Relationship Id="rId563" Type="http://schemas.openxmlformats.org/officeDocument/2006/relationships/hyperlink" Target="http://a.002-arp.0093.00.2024.gov.cisam.pe/" TargetMode="External"/><Relationship Id="rId770" Type="http://schemas.openxmlformats.org/officeDocument/2006/relationships/hyperlink" Target="http://arp.0002.00.2024.ext.hmar.pe/" TargetMode="External"/><Relationship Id="rId1193" Type="http://schemas.openxmlformats.org/officeDocument/2006/relationships/hyperlink" Target="http://a.003-arp.0029.02.2023.gov.procape.pe/" TargetMode="External"/><Relationship Id="rId2037" Type="http://schemas.openxmlformats.org/officeDocument/2006/relationships/hyperlink" Target="http://c.027-arp.0025.00.2024.gov.fes-pe.pe/" TargetMode="External"/><Relationship Id="rId2244" Type="http://schemas.openxmlformats.org/officeDocument/2006/relationships/hyperlink" Target="http://arp.0063.04.2024.gov.fes-pe.pe/" TargetMode="External"/><Relationship Id="rId2451" Type="http://schemas.openxmlformats.org/officeDocument/2006/relationships/hyperlink" Target="http://c.015-arp.0065.01.2024.gov.fes-pe.pe/" TargetMode="External"/><Relationship Id="rId2689" Type="http://schemas.openxmlformats.org/officeDocument/2006/relationships/hyperlink" Target="http://c.023-arpc.0003.00.2024.gov.sad.pe/" TargetMode="External"/><Relationship Id="rId216" Type="http://schemas.openxmlformats.org/officeDocument/2006/relationships/hyperlink" Target="http://arp.0038.01.2025.gov.huoc.pe/" TargetMode="External"/><Relationship Id="rId423" Type="http://schemas.openxmlformats.org/officeDocument/2006/relationships/hyperlink" Target="http://a.002-arp.0093.03.2024.gov.procape.pe/" TargetMode="External"/><Relationship Id="rId868" Type="http://schemas.openxmlformats.org/officeDocument/2006/relationships/hyperlink" Target="http://arp.0011.07.2024.gov.hgv.pe/" TargetMode="External"/><Relationship Id="rId1053" Type="http://schemas.openxmlformats.org/officeDocument/2006/relationships/hyperlink" Target="http://a.010-arp.0069.00.2023.gov.procape.pe/" TargetMode="External"/><Relationship Id="rId1260" Type="http://schemas.openxmlformats.org/officeDocument/2006/relationships/hyperlink" Target="http://arp.0084.01.2023.gov.huoc.pe/" TargetMode="External"/><Relationship Id="rId1498" Type="http://schemas.openxmlformats.org/officeDocument/2006/relationships/hyperlink" Target="http://arp.0012.07.2025.gov.ham.pe/" TargetMode="External"/><Relationship Id="rId2104" Type="http://schemas.openxmlformats.org/officeDocument/2006/relationships/hyperlink" Target="http://arp.0099.02.2024.gov.fes-pe.pe/" TargetMode="External"/><Relationship Id="rId2549" Type="http://schemas.openxmlformats.org/officeDocument/2006/relationships/hyperlink" Target="http://c.001-arp.0052.12.2024.gov.cisam.pe/" TargetMode="External"/><Relationship Id="rId2756" Type="http://schemas.openxmlformats.org/officeDocument/2006/relationships/hyperlink" Target="http://arp.0003.05.2023.gov.hra.pe/" TargetMode="External"/><Relationship Id="rId630" Type="http://schemas.openxmlformats.org/officeDocument/2006/relationships/hyperlink" Target="http://arp.0012.01.2024.gov.dasis.pe/" TargetMode="External"/><Relationship Id="rId728" Type="http://schemas.openxmlformats.org/officeDocument/2006/relationships/hyperlink" Target="http://arp.0012.11.2024.gov.hof.pe/" TargetMode="External"/><Relationship Id="rId935" Type="http://schemas.openxmlformats.org/officeDocument/2006/relationships/hyperlink" Target="http://a.002-arp.0057.09.2024.gov.huoc.pe/" TargetMode="External"/><Relationship Id="rId1358" Type="http://schemas.openxmlformats.org/officeDocument/2006/relationships/hyperlink" Target="http://arp.0042.00.2023.gov.huoc.pe/" TargetMode="External"/><Relationship Id="rId1565" Type="http://schemas.openxmlformats.org/officeDocument/2006/relationships/hyperlink" Target="http://c.005-arp.0087.02.2024.gov.cisam.pe/" TargetMode="External"/><Relationship Id="rId1772" Type="http://schemas.openxmlformats.org/officeDocument/2006/relationships/hyperlink" Target="http://arp.0043.03.2025.gov.fes-pe.pe/" TargetMode="External"/><Relationship Id="rId2311" Type="http://schemas.openxmlformats.org/officeDocument/2006/relationships/hyperlink" Target="http://c.031-arpc.0018.00.2024.gov.sad.pe/" TargetMode="External"/><Relationship Id="rId2409" Type="http://schemas.openxmlformats.org/officeDocument/2006/relationships/hyperlink" Target="http://c.002-arp.0022.00.2024.gov.fes-pe.pe/" TargetMode="External"/><Relationship Id="rId2616" Type="http://schemas.openxmlformats.org/officeDocument/2006/relationships/hyperlink" Target="http://arp.0031.11.2024.gov.fes-pe.pe/" TargetMode="External"/><Relationship Id="rId64" Type="http://schemas.openxmlformats.org/officeDocument/2006/relationships/hyperlink" Target="http://arp.0072.07.2025.gov.huoc.pe/" TargetMode="External"/><Relationship Id="rId1120" Type="http://schemas.openxmlformats.org/officeDocument/2006/relationships/hyperlink" Target="http://arp.0082.04.2023.gov.huoc.pe/" TargetMode="External"/><Relationship Id="rId1218" Type="http://schemas.openxmlformats.org/officeDocument/2006/relationships/hyperlink" Target="http://arp.0025.16.2023.gov.hr.pe/" TargetMode="External"/><Relationship Id="rId1425" Type="http://schemas.openxmlformats.org/officeDocument/2006/relationships/hyperlink" Target="http://c.002-arp.0115.00.2025.gov.fes-pe.pe/" TargetMode="External"/><Relationship Id="rId2823" Type="http://schemas.openxmlformats.org/officeDocument/2006/relationships/hyperlink" Target="http://c.001-arp.0003.08.2023.gov.hra.pe/" TargetMode="External"/><Relationship Id="rId1632" Type="http://schemas.openxmlformats.org/officeDocument/2006/relationships/hyperlink" Target="http://arp.0021.06.2024.gov.hof.pe/" TargetMode="External"/><Relationship Id="rId1937" Type="http://schemas.openxmlformats.org/officeDocument/2006/relationships/hyperlink" Target="http://c.001-arp.0027.09.2025.gov.fes-pe.pe/" TargetMode="External"/><Relationship Id="rId2199" Type="http://schemas.openxmlformats.org/officeDocument/2006/relationships/hyperlink" Target="http://c.001-arp.0096.02.2024.gov.fes-pe.pe/" TargetMode="External"/><Relationship Id="rId280" Type="http://schemas.openxmlformats.org/officeDocument/2006/relationships/hyperlink" Target="http://arp.0001.08.2025.gov.huoc.pe/" TargetMode="External"/><Relationship Id="rId140" Type="http://schemas.openxmlformats.org/officeDocument/2006/relationships/hyperlink" Target="http://arp.0004.00.2025.gov.hr.pe/" TargetMode="External"/><Relationship Id="rId378" Type="http://schemas.openxmlformats.org/officeDocument/2006/relationships/hyperlink" Target="http://arp.0006.00.2025.gov.hr.pe/" TargetMode="External"/><Relationship Id="rId585" Type="http://schemas.openxmlformats.org/officeDocument/2006/relationships/hyperlink" Target="http://a.009-arp.0103.06.2024.gov.procape.pe/" TargetMode="External"/><Relationship Id="rId792" Type="http://schemas.openxmlformats.org/officeDocument/2006/relationships/hyperlink" Target="http://arp.0027.00.2024.gov.hr.pe/" TargetMode="External"/><Relationship Id="rId2059" Type="http://schemas.openxmlformats.org/officeDocument/2006/relationships/hyperlink" Target="http://c.011-arp.0015.06.2025.gov.fes-pe.pe/" TargetMode="External"/><Relationship Id="rId2266" Type="http://schemas.openxmlformats.org/officeDocument/2006/relationships/hyperlink" Target="http://arp.0088.07.2024.gov.fes-pe.pe/" TargetMode="External"/><Relationship Id="rId2473" Type="http://schemas.openxmlformats.org/officeDocument/2006/relationships/hyperlink" Target="http://c.015-arp.0031.11.2024.gov.fes-pe.pe/" TargetMode="External"/><Relationship Id="rId2680" Type="http://schemas.openxmlformats.org/officeDocument/2006/relationships/hyperlink" Target="http://arp.0018.00.2024.gov.fes-pe.pe/" TargetMode="External"/><Relationship Id="rId6" Type="http://schemas.openxmlformats.org/officeDocument/2006/relationships/hyperlink" Target="http://arp.0012.00.2025.ext.hmar.pe/" TargetMode="External"/><Relationship Id="rId238" Type="http://schemas.openxmlformats.org/officeDocument/2006/relationships/hyperlink" Target="http://arp.0090.01.2024.gov.procape.pe/" TargetMode="External"/><Relationship Id="rId445" Type="http://schemas.openxmlformats.org/officeDocument/2006/relationships/hyperlink" Target="http://a.001-arp.0008.00.2025.gov.cisam.pe/" TargetMode="External"/><Relationship Id="rId652" Type="http://schemas.openxmlformats.org/officeDocument/2006/relationships/hyperlink" Target="http://arp.0051.01.2024.gov.cisam.pe/" TargetMode="External"/><Relationship Id="rId1075" Type="http://schemas.openxmlformats.org/officeDocument/2006/relationships/hyperlink" Target="http://a.002-arp.0004.02.2024.gov.hgv.pe/" TargetMode="External"/><Relationship Id="rId1282" Type="http://schemas.openxmlformats.org/officeDocument/2006/relationships/hyperlink" Target="http://arp.0009.06.2023.gov.hbl.pe/" TargetMode="External"/><Relationship Id="rId2126" Type="http://schemas.openxmlformats.org/officeDocument/2006/relationships/hyperlink" Target="http://arp.0050.00.2024.gov.fes-pe.pe/" TargetMode="External"/><Relationship Id="rId2333" Type="http://schemas.openxmlformats.org/officeDocument/2006/relationships/hyperlink" Target="http://c.019-arp.0065.01.2024.gov.fes-pe.pe/" TargetMode="External"/><Relationship Id="rId2540" Type="http://schemas.openxmlformats.org/officeDocument/2006/relationships/hyperlink" Target="http://arp.0065.06.2024.gov.fes-pe.pe/" TargetMode="External"/><Relationship Id="rId2778" Type="http://schemas.openxmlformats.org/officeDocument/2006/relationships/hyperlink" Target="http://arp.0003.03.2023.gov.hra.pe/" TargetMode="External"/><Relationship Id="rId305" Type="http://schemas.openxmlformats.org/officeDocument/2006/relationships/hyperlink" Target="http://a.031-arp.0041.00.2024.gov.hr.pe/" TargetMode="External"/><Relationship Id="rId512" Type="http://schemas.openxmlformats.org/officeDocument/2006/relationships/hyperlink" Target="http://arp.0107.01.2024.gov.huoc.pe/" TargetMode="External"/><Relationship Id="rId957" Type="http://schemas.openxmlformats.org/officeDocument/2006/relationships/hyperlink" Target="http://a.004-arp.0102.02.2023.gov.huoc.pe/" TargetMode="External"/><Relationship Id="rId1142" Type="http://schemas.openxmlformats.org/officeDocument/2006/relationships/hyperlink" Target="http://arp.0035.00.2023.gov.hr.pe/" TargetMode="External"/><Relationship Id="rId1587" Type="http://schemas.openxmlformats.org/officeDocument/2006/relationships/hyperlink" Target="http://c.003-arp.0084.02.2024.gov.fes-pe.pe/" TargetMode="External"/><Relationship Id="rId1794" Type="http://schemas.openxmlformats.org/officeDocument/2006/relationships/hyperlink" Target="http://arp.0036.03.2025.gov.fes-pe.pe/" TargetMode="External"/><Relationship Id="rId2400" Type="http://schemas.openxmlformats.org/officeDocument/2006/relationships/hyperlink" Target="http://arpc.0018.00.2024.gov.sad.pe/" TargetMode="External"/><Relationship Id="rId2638" Type="http://schemas.openxmlformats.org/officeDocument/2006/relationships/hyperlink" Target="http://arp.0025.02.2024.gov.fes-pe.pe/" TargetMode="External"/><Relationship Id="rId2845" Type="http://schemas.openxmlformats.org/officeDocument/2006/relationships/hyperlink" Target="http://c.001-arp.0003.02.2023.gov.hra.pe/" TargetMode="External"/><Relationship Id="rId86" Type="http://schemas.openxmlformats.org/officeDocument/2006/relationships/hyperlink" Target="http://arp.0045.02.2025.gov.procape.pe/" TargetMode="External"/><Relationship Id="rId817" Type="http://schemas.openxmlformats.org/officeDocument/2006/relationships/hyperlink" Target="http://a.003-arp.0001.00.2024.gov.hgv.pe/" TargetMode="External"/><Relationship Id="rId1002" Type="http://schemas.openxmlformats.org/officeDocument/2006/relationships/hyperlink" Target="http://arp.0029.01.2024.gov.huoc.pe/" TargetMode="External"/><Relationship Id="rId1447" Type="http://schemas.openxmlformats.org/officeDocument/2006/relationships/hyperlink" Target="http://c.015-arpc.0039.00.2025.gov.sad.pe/" TargetMode="External"/><Relationship Id="rId1654" Type="http://schemas.openxmlformats.org/officeDocument/2006/relationships/hyperlink" Target="http://arp.0083.05.2024.gov.fes-pe.pe/" TargetMode="External"/><Relationship Id="rId1861" Type="http://schemas.openxmlformats.org/officeDocument/2006/relationships/hyperlink" Target="http://c.002-arpc.0006.00.2025.gov.sad.pe/" TargetMode="External"/><Relationship Id="rId2705" Type="http://schemas.openxmlformats.org/officeDocument/2006/relationships/hyperlink" Target="http://c.005-arp.0003.04.2023.gov.hra.pe/" TargetMode="External"/><Relationship Id="rId1307" Type="http://schemas.openxmlformats.org/officeDocument/2006/relationships/hyperlink" Target="http://a.004-arp.0006.08.2023.gov.ham.pe/" TargetMode="External"/><Relationship Id="rId1514" Type="http://schemas.openxmlformats.org/officeDocument/2006/relationships/hyperlink" Target="http://arp.0068.00.2025.gov.fes-pe.pe/" TargetMode="External"/><Relationship Id="rId1721" Type="http://schemas.openxmlformats.org/officeDocument/2006/relationships/hyperlink" Target="http://c.002-arp.0021.12.2024.gov.hof.pe/" TargetMode="External"/><Relationship Id="rId1959" Type="http://schemas.openxmlformats.org/officeDocument/2006/relationships/hyperlink" Target="http://c.001-arp.0018.02.2025.gov.fes-pe.pe/" TargetMode="External"/><Relationship Id="rId13" Type="http://schemas.openxmlformats.org/officeDocument/2006/relationships/hyperlink" Target="http://a.002-arp.0189.00.2025.gov.huoc.pe/" TargetMode="External"/><Relationship Id="rId1819" Type="http://schemas.openxmlformats.org/officeDocument/2006/relationships/hyperlink" Target="http://c.006-arp.0031.00.2025.gov.fes-pe.pe/" TargetMode="External"/><Relationship Id="rId2190" Type="http://schemas.openxmlformats.org/officeDocument/2006/relationships/hyperlink" Target="http://arp.0040.01.2024.gov.fes-pe.pe/" TargetMode="External"/><Relationship Id="rId2288" Type="http://schemas.openxmlformats.org/officeDocument/2006/relationships/hyperlink" Target="http://arp.0043.02.2024.gov.fes-pe.pe/" TargetMode="External"/><Relationship Id="rId2495" Type="http://schemas.openxmlformats.org/officeDocument/2006/relationships/hyperlink" Target="http://c.014-arp.0046.02.2024.gov.fes-pe.pe/" TargetMode="External"/><Relationship Id="rId162" Type="http://schemas.openxmlformats.org/officeDocument/2006/relationships/hyperlink" Target="http://arp.0012.07.2025.gov.ham.pe/" TargetMode="External"/><Relationship Id="rId467" Type="http://schemas.openxmlformats.org/officeDocument/2006/relationships/hyperlink" Target="http://a.006-arp.0005.05.2025.gov.cisam.pe/" TargetMode="External"/><Relationship Id="rId1097" Type="http://schemas.openxmlformats.org/officeDocument/2006/relationships/hyperlink" Target="http://a.007-arp.0021.00.2023.gov.hgv.pe/" TargetMode="External"/><Relationship Id="rId2050" Type="http://schemas.openxmlformats.org/officeDocument/2006/relationships/hyperlink" Target="http://arpc.0019.00.2024.gov.sad.pe/" TargetMode="External"/><Relationship Id="rId2148" Type="http://schemas.openxmlformats.org/officeDocument/2006/relationships/hyperlink" Target="http://arp.0087.02.2024.gov.cisam.pe/" TargetMode="External"/><Relationship Id="rId674" Type="http://schemas.openxmlformats.org/officeDocument/2006/relationships/hyperlink" Target="http://arp.0002.02.2024.gov.sassepe.pe/" TargetMode="External"/><Relationship Id="rId881" Type="http://schemas.openxmlformats.org/officeDocument/2006/relationships/hyperlink" Target="http://a.004-arp.0108.04.2023.gov.huoc.pe/" TargetMode="External"/><Relationship Id="rId979" Type="http://schemas.openxmlformats.org/officeDocument/2006/relationships/hyperlink" Target="http://a.003-arp.0130.09.2023.gov.huoc.pe/" TargetMode="External"/><Relationship Id="rId2355" Type="http://schemas.openxmlformats.org/officeDocument/2006/relationships/hyperlink" Target="http://c.037-arp.0031.16.2024.gov.fes-pe.pe/" TargetMode="External"/><Relationship Id="rId2562" Type="http://schemas.openxmlformats.org/officeDocument/2006/relationships/hyperlink" Target="http://arp.0048.07.2024.gov.fes-pe.pe/" TargetMode="External"/><Relationship Id="rId327" Type="http://schemas.openxmlformats.org/officeDocument/2006/relationships/hyperlink" Target="http://a.030-arp.0041.00.2024.gov.hr.pe/" TargetMode="External"/><Relationship Id="rId534" Type="http://schemas.openxmlformats.org/officeDocument/2006/relationships/hyperlink" Target="http://arp.0017.00.2024.gov.hgv.pe/" TargetMode="External"/><Relationship Id="rId741" Type="http://schemas.openxmlformats.org/officeDocument/2006/relationships/hyperlink" Target="http://a.003-arp.0009.09.2024.gov.hof.pe/" TargetMode="External"/><Relationship Id="rId839" Type="http://schemas.openxmlformats.org/officeDocument/2006/relationships/hyperlink" Target="http://a.006-arp.0095.01.2023.gov.huoc.pe/" TargetMode="External"/><Relationship Id="rId1164" Type="http://schemas.openxmlformats.org/officeDocument/2006/relationships/hyperlink" Target="http://arp.0094.00.2023.gov.huoc.pe/" TargetMode="External"/><Relationship Id="rId1371" Type="http://schemas.openxmlformats.org/officeDocument/2006/relationships/hyperlink" Target="http://a.002-arp.0015.00.2023.gov.ham.pe/" TargetMode="External"/><Relationship Id="rId1469" Type="http://schemas.openxmlformats.org/officeDocument/2006/relationships/hyperlink" Target="http://c.002-arp.0022.02.2024.gov.hof.pe/" TargetMode="External"/><Relationship Id="rId2008" Type="http://schemas.openxmlformats.org/officeDocument/2006/relationships/hyperlink" Target="http://arp.0015.03.2025.gov.fes-pe.pe/" TargetMode="External"/><Relationship Id="rId2215" Type="http://schemas.openxmlformats.org/officeDocument/2006/relationships/hyperlink" Target="http://c.001-arp.0094.02.2024.gov.fes-pe.pe/" TargetMode="External"/><Relationship Id="rId2422" Type="http://schemas.openxmlformats.org/officeDocument/2006/relationships/hyperlink" Target="http://arpc.0015.02.2024.gov.sad.pe/" TargetMode="External"/><Relationship Id="rId601" Type="http://schemas.openxmlformats.org/officeDocument/2006/relationships/hyperlink" Target="http://a.001-arp.0107.01.2024.gov.huoc.pe/" TargetMode="External"/><Relationship Id="rId1024" Type="http://schemas.openxmlformats.org/officeDocument/2006/relationships/hyperlink" Target="http://arp.0049.02.2024.gov.huoc.pe/" TargetMode="External"/><Relationship Id="rId1231" Type="http://schemas.openxmlformats.org/officeDocument/2006/relationships/hyperlink" Target="http://a.002-arp.0025.16.2023.gov.hr.pe/" TargetMode="External"/><Relationship Id="rId1676" Type="http://schemas.openxmlformats.org/officeDocument/2006/relationships/hyperlink" Target="http://arp.0010.04.2025.gov.fes-pe.pe/" TargetMode="External"/><Relationship Id="rId1883" Type="http://schemas.openxmlformats.org/officeDocument/2006/relationships/hyperlink" Target="http://c.014-arp.0009.02.2025.gov.fes-pe.pe/" TargetMode="External"/><Relationship Id="rId2727" Type="http://schemas.openxmlformats.org/officeDocument/2006/relationships/hyperlink" Target="http://c.002-arp.0005.08.2023.gov.hra.pe/" TargetMode="External"/><Relationship Id="rId906" Type="http://schemas.openxmlformats.org/officeDocument/2006/relationships/hyperlink" Target="http://arp.0050.00.2024.gov.huoc.pe/" TargetMode="External"/><Relationship Id="rId1329" Type="http://schemas.openxmlformats.org/officeDocument/2006/relationships/hyperlink" Target="http://a.001-arp.0038.01.2023.gov.procape.pe/" TargetMode="External"/><Relationship Id="rId1536" Type="http://schemas.openxmlformats.org/officeDocument/2006/relationships/hyperlink" Target="http://arp.0044.06.2025.gov.fes-pe.pe/" TargetMode="External"/><Relationship Id="rId1743" Type="http://schemas.openxmlformats.org/officeDocument/2006/relationships/hyperlink" Target="http://c.003-arp.0021.03.2024.gov.hof.pe/" TargetMode="External"/><Relationship Id="rId1950" Type="http://schemas.openxmlformats.org/officeDocument/2006/relationships/hyperlink" Target="http://arp.0010.00.2025.gov.cisam.pe/" TargetMode="External"/><Relationship Id="rId35" Type="http://schemas.openxmlformats.org/officeDocument/2006/relationships/hyperlink" Target="http://a.001-arp.0020.00.2024.gov.hof.pe/" TargetMode="External"/><Relationship Id="rId1603" Type="http://schemas.openxmlformats.org/officeDocument/2006/relationships/hyperlink" Target="http://c.011-arp.0067.03.2025.gov.fes-pe.pe/" TargetMode="External"/><Relationship Id="rId1810" Type="http://schemas.openxmlformats.org/officeDocument/2006/relationships/hyperlink" Target="http://arp.0031.06.2025.gov.fes-pe.pe/" TargetMode="External"/><Relationship Id="rId184" Type="http://schemas.openxmlformats.org/officeDocument/2006/relationships/hyperlink" Target="http://arp.0002.00.2025.gov.fes-pe.pe/" TargetMode="External"/><Relationship Id="rId391" Type="http://schemas.openxmlformats.org/officeDocument/2006/relationships/hyperlink" Target="http://a.001-arp.0004.00.2025.gov.hgv.pe/" TargetMode="External"/><Relationship Id="rId1908" Type="http://schemas.openxmlformats.org/officeDocument/2006/relationships/hyperlink" Target="http://arp.0010.00.2025.gov.cisam.pe/" TargetMode="External"/><Relationship Id="rId2072" Type="http://schemas.openxmlformats.org/officeDocument/2006/relationships/hyperlink" Target="http://arp.0092.00.2024.gov.fes-pe.pe/" TargetMode="External"/><Relationship Id="rId251" Type="http://schemas.openxmlformats.org/officeDocument/2006/relationships/hyperlink" Target="http://a.002-arp.0064.01.2025.gov.huoc.pe/" TargetMode="External"/><Relationship Id="rId489" Type="http://schemas.openxmlformats.org/officeDocument/2006/relationships/hyperlink" Target="http://a.009-arp.0002.03.2024.ext.hmar.pe/" TargetMode="External"/><Relationship Id="rId696" Type="http://schemas.openxmlformats.org/officeDocument/2006/relationships/hyperlink" Target="http://arp.0012.00.2024.gov.ham.pe/" TargetMode="External"/><Relationship Id="rId2377" Type="http://schemas.openxmlformats.org/officeDocument/2006/relationships/hyperlink" Target="http://c.001-arp.0066.01.2024.gov.fes-pe.pe/" TargetMode="External"/><Relationship Id="rId2584" Type="http://schemas.openxmlformats.org/officeDocument/2006/relationships/hyperlink" Target="http://arp.0040.02.2024.gov.fes-pe.pe/" TargetMode="External"/><Relationship Id="rId2791" Type="http://schemas.openxmlformats.org/officeDocument/2006/relationships/hyperlink" Target="http://c.035-arpc.0005.00.2023.gov.sad.pe/" TargetMode="External"/><Relationship Id="rId349" Type="http://schemas.openxmlformats.org/officeDocument/2006/relationships/hyperlink" Target="http://a.006-arp.0044.00.2024.gov.hr.pe/" TargetMode="External"/><Relationship Id="rId556" Type="http://schemas.openxmlformats.org/officeDocument/2006/relationships/hyperlink" Target="http://arp.0004.01.2025.gov.hgv.pe/" TargetMode="External"/><Relationship Id="rId763" Type="http://schemas.openxmlformats.org/officeDocument/2006/relationships/hyperlink" Target="http://a.007-arp.0046.05.2024.gov.huoc.pe/" TargetMode="External"/><Relationship Id="rId1186" Type="http://schemas.openxmlformats.org/officeDocument/2006/relationships/hyperlink" Target="http://arp.0104.04.2023.gov.procape.pe/" TargetMode="External"/><Relationship Id="rId1393" Type="http://schemas.openxmlformats.org/officeDocument/2006/relationships/hyperlink" Target="http://a.002-arp.0015.00.2023.gov.huoc.pe/" TargetMode="External"/><Relationship Id="rId2237" Type="http://schemas.openxmlformats.org/officeDocument/2006/relationships/hyperlink" Target="http://c.019-arp.0063.00.2024.gov.fes-pe.pe/" TargetMode="External"/><Relationship Id="rId2444" Type="http://schemas.openxmlformats.org/officeDocument/2006/relationships/hyperlink" Target="http://arp.0018.00.2024.gov.fes-pe.pe/" TargetMode="External"/><Relationship Id="rId111" Type="http://schemas.openxmlformats.org/officeDocument/2006/relationships/hyperlink" Target="http://a.003-arp.0010.05.2025.gov.ham.pe/" TargetMode="External"/><Relationship Id="rId209" Type="http://schemas.openxmlformats.org/officeDocument/2006/relationships/hyperlink" Target="http://a.029-arp.0031.00.2024.gov.hr.pe/" TargetMode="External"/><Relationship Id="rId416" Type="http://schemas.openxmlformats.org/officeDocument/2006/relationships/hyperlink" Target="http://arp.0104.00.2024.gov.huoc.pe/" TargetMode="External"/><Relationship Id="rId970" Type="http://schemas.openxmlformats.org/officeDocument/2006/relationships/hyperlink" Target="http://arp.0032.00.2023.gov.hr.pe/" TargetMode="External"/><Relationship Id="rId1046" Type="http://schemas.openxmlformats.org/officeDocument/2006/relationships/hyperlink" Target="http://arp.0032.00.2023.gov.hr.pe/" TargetMode="External"/><Relationship Id="rId1253" Type="http://schemas.openxmlformats.org/officeDocument/2006/relationships/hyperlink" Target="http://a.011-arp.0071.03.2023.gov.procape.pe/" TargetMode="External"/><Relationship Id="rId1698" Type="http://schemas.openxmlformats.org/officeDocument/2006/relationships/hyperlink" Target="http://arp.0052.03.2024.gov.fes-pe.pe/" TargetMode="External"/><Relationship Id="rId2651" Type="http://schemas.openxmlformats.org/officeDocument/2006/relationships/hyperlink" Target="http://c.050-arpc.0006.00.2024.gov.sad.pe/" TargetMode="External"/><Relationship Id="rId2749" Type="http://schemas.openxmlformats.org/officeDocument/2006/relationships/hyperlink" Target="http://c.005-arp.0003.03.2023.gov.hra.pe/" TargetMode="External"/><Relationship Id="rId623" Type="http://schemas.openxmlformats.org/officeDocument/2006/relationships/hyperlink" Target="http://a.004-arp.0017.00.2024.gov.hgv.pe/" TargetMode="External"/><Relationship Id="rId830" Type="http://schemas.openxmlformats.org/officeDocument/2006/relationships/hyperlink" Target="http://arp.0130.00.2023.gov.huoc.pe/" TargetMode="External"/><Relationship Id="rId928" Type="http://schemas.openxmlformats.org/officeDocument/2006/relationships/hyperlink" Target="http://arp.0059.07.2024.gov.huoc.pe/" TargetMode="External"/><Relationship Id="rId1460" Type="http://schemas.openxmlformats.org/officeDocument/2006/relationships/hyperlink" Target="http://arp.0008.01.2025.gov.ham.pe/" TargetMode="External"/><Relationship Id="rId1558" Type="http://schemas.openxmlformats.org/officeDocument/2006/relationships/hyperlink" Target="http://arp.0003.01.2025.gov.fes-pe.pe/" TargetMode="External"/><Relationship Id="rId1765" Type="http://schemas.openxmlformats.org/officeDocument/2006/relationships/hyperlink" Target="http://c.001-arp.0052.01.2025.gov.fes-pe.pe/" TargetMode="External"/><Relationship Id="rId2304" Type="http://schemas.openxmlformats.org/officeDocument/2006/relationships/hyperlink" Target="http://arp.0075.00.2024.gov.fes-pe.pe/" TargetMode="External"/><Relationship Id="rId2511" Type="http://schemas.openxmlformats.org/officeDocument/2006/relationships/hyperlink" Target="http://c.019-arp.0018.08.2024.gov.fes-pe.pe/" TargetMode="External"/><Relationship Id="rId2609" Type="http://schemas.openxmlformats.org/officeDocument/2006/relationships/hyperlink" Target="http://c.024-arpc.0005.00.2024.gov.sad.pe/" TargetMode="External"/><Relationship Id="rId57" Type="http://schemas.openxmlformats.org/officeDocument/2006/relationships/hyperlink" Target="http://a.002-arp.0009.03.2025.gov.hgv.pe/" TargetMode="External"/><Relationship Id="rId1113" Type="http://schemas.openxmlformats.org/officeDocument/2006/relationships/hyperlink" Target="http://a.003-arp.0026.07.2023.gov.ham.pe/" TargetMode="External"/><Relationship Id="rId1320" Type="http://schemas.openxmlformats.org/officeDocument/2006/relationships/hyperlink" Target="http://arp.0029.02.2023.gov.hgv.pe/" TargetMode="External"/><Relationship Id="rId1418" Type="http://schemas.openxmlformats.org/officeDocument/2006/relationships/hyperlink" Target="http://arpc.0044.00.2025.gov.sad.pe/" TargetMode="External"/><Relationship Id="rId1972" Type="http://schemas.openxmlformats.org/officeDocument/2006/relationships/hyperlink" Target="http://arp.0017.02.2025.gov.fes-pe.pe/" TargetMode="External"/><Relationship Id="rId2816" Type="http://schemas.openxmlformats.org/officeDocument/2006/relationships/hyperlink" Target="http://arp.0005.07.2023.gov.hra.pe/" TargetMode="External"/><Relationship Id="rId1625" Type="http://schemas.openxmlformats.org/officeDocument/2006/relationships/hyperlink" Target="http://c.006-arp.0021.01.2024.gov.hof.pe/" TargetMode="External"/><Relationship Id="rId1832" Type="http://schemas.openxmlformats.org/officeDocument/2006/relationships/hyperlink" Target="http://arp.0030.00.2025.gov.fes-pe.pe/" TargetMode="External"/><Relationship Id="rId2094" Type="http://schemas.openxmlformats.org/officeDocument/2006/relationships/hyperlink" Target="http://arp.0005.00.2025.gov.fes-pe.pe/" TargetMode="External"/><Relationship Id="rId273" Type="http://schemas.openxmlformats.org/officeDocument/2006/relationships/hyperlink" Target="http://a.008-arp.0004.00.2025.gov.hr.pe/" TargetMode="External"/><Relationship Id="rId480" Type="http://schemas.openxmlformats.org/officeDocument/2006/relationships/hyperlink" Target="http://arp.0011.00.2025.gov.ham.pe/" TargetMode="External"/><Relationship Id="rId2161" Type="http://schemas.openxmlformats.org/officeDocument/2006/relationships/hyperlink" Target="http://c.002-arp.0088.02.2024.gov.cisam.pe/" TargetMode="External"/><Relationship Id="rId2399" Type="http://schemas.openxmlformats.org/officeDocument/2006/relationships/hyperlink" Target="http://c.022-arpc.0018.00.2024.gov.sad.pe/" TargetMode="External"/><Relationship Id="rId133" Type="http://schemas.openxmlformats.org/officeDocument/2006/relationships/hyperlink" Target="http://a.008-arp.0001.00.2025.gov.sassepe.pe/" TargetMode="External"/><Relationship Id="rId340" Type="http://schemas.openxmlformats.org/officeDocument/2006/relationships/hyperlink" Target="http://arp.0013.06.2025.gov.hof.pe/" TargetMode="External"/><Relationship Id="rId578" Type="http://schemas.openxmlformats.org/officeDocument/2006/relationships/hyperlink" Target="http://arp.1363.03.2024.ext.hmar.pe/" TargetMode="External"/><Relationship Id="rId785" Type="http://schemas.openxmlformats.org/officeDocument/2006/relationships/hyperlink" Target="http://a.004-arp.0033.00.2024.gov.hr.pe/" TargetMode="External"/><Relationship Id="rId992" Type="http://schemas.openxmlformats.org/officeDocument/2006/relationships/hyperlink" Target="http://arp.0001.02.2024.gov.hemope.pe/" TargetMode="External"/><Relationship Id="rId2021" Type="http://schemas.openxmlformats.org/officeDocument/2006/relationships/hyperlink" Target="http://c.008-arp.0005.00.2025.gov.fes-pe.pe/" TargetMode="External"/><Relationship Id="rId2259" Type="http://schemas.openxmlformats.org/officeDocument/2006/relationships/hyperlink" Target="http://c.009-arp.0063.04.2024.gov.fes-pe.pe/" TargetMode="External"/><Relationship Id="rId2466" Type="http://schemas.openxmlformats.org/officeDocument/2006/relationships/hyperlink" Target="http://arp.0018.08.2024.gov.fes-pe.pe/" TargetMode="External"/><Relationship Id="rId2673" Type="http://schemas.openxmlformats.org/officeDocument/2006/relationships/hyperlink" Target="http://c.008-arp.0025.04.2024.gov.fes-pe.pe/" TargetMode="External"/><Relationship Id="rId200" Type="http://schemas.openxmlformats.org/officeDocument/2006/relationships/hyperlink" Target="http://arp.0103.06.2024.gov.procape.pe/" TargetMode="External"/><Relationship Id="rId438" Type="http://schemas.openxmlformats.org/officeDocument/2006/relationships/hyperlink" Target="http://arpc.0026.00.2024.gov.sad.pe/" TargetMode="External"/><Relationship Id="rId645" Type="http://schemas.openxmlformats.org/officeDocument/2006/relationships/hyperlink" Target="http://a.010-arp.0009.07.2024.gov.hof.pe/" TargetMode="External"/><Relationship Id="rId852" Type="http://schemas.openxmlformats.org/officeDocument/2006/relationships/hyperlink" Target="http://arp.0024.00.2024.gov.hr.pe/" TargetMode="External"/><Relationship Id="rId1068" Type="http://schemas.openxmlformats.org/officeDocument/2006/relationships/hyperlink" Target="http://arp.0023.00.2024.gov.cisam.pe/" TargetMode="External"/><Relationship Id="rId1275" Type="http://schemas.openxmlformats.org/officeDocument/2006/relationships/hyperlink" Target="http://a.016-arp.0002.08.2023.gov.defn.pe/" TargetMode="External"/><Relationship Id="rId1482" Type="http://schemas.openxmlformats.org/officeDocument/2006/relationships/hyperlink" Target="http://arp.0070.03.2025.gov.fes-pe.pe/" TargetMode="External"/><Relationship Id="rId2119" Type="http://schemas.openxmlformats.org/officeDocument/2006/relationships/hyperlink" Target="http://c.002-arpc.0001.00.2025.gov.sad.pe/" TargetMode="External"/><Relationship Id="rId2326" Type="http://schemas.openxmlformats.org/officeDocument/2006/relationships/hyperlink" Target="http://arp.0083.03.2024.gov.fes-pe.pe/" TargetMode="External"/><Relationship Id="rId2533" Type="http://schemas.openxmlformats.org/officeDocument/2006/relationships/hyperlink" Target="http://c.081-arpc.0033.00.2023.gov.sad.pe/" TargetMode="External"/><Relationship Id="rId2740" Type="http://schemas.openxmlformats.org/officeDocument/2006/relationships/hyperlink" Target="http://arp.0003.04.2023.gov.hra.pe/" TargetMode="External"/><Relationship Id="rId505" Type="http://schemas.openxmlformats.org/officeDocument/2006/relationships/hyperlink" Target="http://a.012-arp.0105.03.2024.gov.procape.pe/" TargetMode="External"/><Relationship Id="rId712" Type="http://schemas.openxmlformats.org/officeDocument/2006/relationships/hyperlink" Target="http://arp.0074.01.2024.gov.fes-pe.pe/" TargetMode="External"/><Relationship Id="rId1135" Type="http://schemas.openxmlformats.org/officeDocument/2006/relationships/hyperlink" Target="http://a.013-arp.0101.05.2023.gov.huoc.pe/" TargetMode="External"/><Relationship Id="rId1342" Type="http://schemas.openxmlformats.org/officeDocument/2006/relationships/hyperlink" Target="http://arp.0001.03.2023.gov.bombeiros.pe/" TargetMode="External"/><Relationship Id="rId1787" Type="http://schemas.openxmlformats.org/officeDocument/2006/relationships/hyperlink" Target="http://c.004-arp.0036.07.2025.gov.fes-pe.pe/" TargetMode="External"/><Relationship Id="rId1994" Type="http://schemas.openxmlformats.org/officeDocument/2006/relationships/hyperlink" Target="http://arp.0012.01.2025.gov.fes-pe.pe/" TargetMode="External"/><Relationship Id="rId2838" Type="http://schemas.openxmlformats.org/officeDocument/2006/relationships/hyperlink" Target="http://arp.0003.01.2023.gov.hra.pe/" TargetMode="External"/><Relationship Id="rId79" Type="http://schemas.openxmlformats.org/officeDocument/2006/relationships/hyperlink" Target="http://a.002-arp.0068.04.2025.gov.fes-pe.pe/" TargetMode="External"/><Relationship Id="rId1202" Type="http://schemas.openxmlformats.org/officeDocument/2006/relationships/hyperlink" Target="http://arp.0071.03.2023.gov.procape.pe/" TargetMode="External"/><Relationship Id="rId1647" Type="http://schemas.openxmlformats.org/officeDocument/2006/relationships/hyperlink" Target="http://c.013-arp.0092.04.2024.gov.fes-pe.pe/" TargetMode="External"/><Relationship Id="rId1854" Type="http://schemas.openxmlformats.org/officeDocument/2006/relationships/hyperlink" Target="http://arp.0063.00.2024.gov.fes-pe.pe/" TargetMode="External"/><Relationship Id="rId2600" Type="http://schemas.openxmlformats.org/officeDocument/2006/relationships/hyperlink" Target="http://arp.0052.12.2024.gov.fes-pe.pe/" TargetMode="External"/><Relationship Id="rId1507" Type="http://schemas.openxmlformats.org/officeDocument/2006/relationships/hyperlink" Target="http://c.008-arp.0015.05.2025.gov.fes-pe.pe/" TargetMode="External"/><Relationship Id="rId1714" Type="http://schemas.openxmlformats.org/officeDocument/2006/relationships/hyperlink" Target="http://arp.0052.11.2024.gov.cisam.pe/" TargetMode="External"/><Relationship Id="rId295" Type="http://schemas.openxmlformats.org/officeDocument/2006/relationships/hyperlink" Target="http://a.025-arp.0084.05.2024.gov.procape.pe/" TargetMode="External"/><Relationship Id="rId1921" Type="http://schemas.openxmlformats.org/officeDocument/2006/relationships/hyperlink" Target="http://c.005-arp.0022.02.2025.gov.fes-pe.pe/" TargetMode="External"/><Relationship Id="rId2183" Type="http://schemas.openxmlformats.org/officeDocument/2006/relationships/hyperlink" Target="http://c.001-arp.0065.06.2024.gov.cisam.pe/" TargetMode="External"/><Relationship Id="rId2390" Type="http://schemas.openxmlformats.org/officeDocument/2006/relationships/hyperlink" Target="http://arp.0063.03.2024.gov.fes-pe.pe/" TargetMode="External"/><Relationship Id="rId2488" Type="http://schemas.openxmlformats.org/officeDocument/2006/relationships/hyperlink" Target="http://arp.0064.01.2024.gov.fes-pe.pe/" TargetMode="External"/><Relationship Id="rId155" Type="http://schemas.openxmlformats.org/officeDocument/2006/relationships/hyperlink" Target="http://a.004-arp.0045.00.2024.gov.hr.pe/" TargetMode="External"/><Relationship Id="rId362" Type="http://schemas.openxmlformats.org/officeDocument/2006/relationships/hyperlink" Target="http://arp.0006.00.2025.gov.hr.pe/" TargetMode="External"/><Relationship Id="rId1297" Type="http://schemas.openxmlformats.org/officeDocument/2006/relationships/hyperlink" Target="http://a.003-arp.0007.02.2023.gov.hbl.pe/" TargetMode="External"/><Relationship Id="rId2043" Type="http://schemas.openxmlformats.org/officeDocument/2006/relationships/hyperlink" Target="http://c.003-arp.0015.05.2025.gov.fes-pe.pe/" TargetMode="External"/><Relationship Id="rId2250" Type="http://schemas.openxmlformats.org/officeDocument/2006/relationships/hyperlink" Target="http://arp.0025.03.2024.gov.fes-pe.pe/" TargetMode="External"/><Relationship Id="rId2695" Type="http://schemas.openxmlformats.org/officeDocument/2006/relationships/hyperlink" Target="http://c.003-arp.0005.05.2023.gov.hra.pe/" TargetMode="External"/><Relationship Id="rId222" Type="http://schemas.openxmlformats.org/officeDocument/2006/relationships/hyperlink" Target="http://arp.0110.02.2024.gov.huoc.pe/" TargetMode="External"/><Relationship Id="rId667" Type="http://schemas.openxmlformats.org/officeDocument/2006/relationships/hyperlink" Target="http://a.007-arp.0076.02.2024.gov.huoc.pe/" TargetMode="External"/><Relationship Id="rId874" Type="http://schemas.openxmlformats.org/officeDocument/2006/relationships/hyperlink" Target="http://arp.0036.00.2024.gov.huoc.pe/" TargetMode="External"/><Relationship Id="rId2110" Type="http://schemas.openxmlformats.org/officeDocument/2006/relationships/hyperlink" Target="http://arp.0098.04.2024.gov.fes-pe.pe/" TargetMode="External"/><Relationship Id="rId2348" Type="http://schemas.openxmlformats.org/officeDocument/2006/relationships/hyperlink" Target="http://arp.0075.01.2024.gov.fes-pe.pe/" TargetMode="External"/><Relationship Id="rId2555" Type="http://schemas.openxmlformats.org/officeDocument/2006/relationships/hyperlink" Target="http://c.006-arp.0063.00.2024.gov.fes-pe.pe/" TargetMode="External"/><Relationship Id="rId2762" Type="http://schemas.openxmlformats.org/officeDocument/2006/relationships/hyperlink" Target="http://arp.0006.00.2023.gov.hra.pe/" TargetMode="External"/><Relationship Id="rId527" Type="http://schemas.openxmlformats.org/officeDocument/2006/relationships/hyperlink" Target="http://a.010-arpc.0014.00.2024.gov.sad.pe/" TargetMode="External"/><Relationship Id="rId734" Type="http://schemas.openxmlformats.org/officeDocument/2006/relationships/hyperlink" Target="http://arp.0069.02.2024.gov.huoc.pe/" TargetMode="External"/><Relationship Id="rId941" Type="http://schemas.openxmlformats.org/officeDocument/2006/relationships/hyperlink" Target="http://a.005-arp.0057.01.2024.gov.huoc.pe/" TargetMode="External"/><Relationship Id="rId1157" Type="http://schemas.openxmlformats.org/officeDocument/2006/relationships/hyperlink" Target="http://a.003-arp.0086.00.2023.gov.procape.pe/" TargetMode="External"/><Relationship Id="rId1364" Type="http://schemas.openxmlformats.org/officeDocument/2006/relationships/hyperlink" Target="http://arp.0001.00.2023.gov.defn.pe/" TargetMode="External"/><Relationship Id="rId1571" Type="http://schemas.openxmlformats.org/officeDocument/2006/relationships/hyperlink" Target="http://c.002-arp.0006.03.2025.gov.cisam.pe/" TargetMode="External"/><Relationship Id="rId2208" Type="http://schemas.openxmlformats.org/officeDocument/2006/relationships/hyperlink" Target="http://arp.0048.01.2024.gov.fes-pe.pe/" TargetMode="External"/><Relationship Id="rId2415" Type="http://schemas.openxmlformats.org/officeDocument/2006/relationships/hyperlink" Target="http://c.027-arp.0031.16.2024.gov.fes-pe.pe/" TargetMode="External"/><Relationship Id="rId2622" Type="http://schemas.openxmlformats.org/officeDocument/2006/relationships/hyperlink" Target="http://arp.0050.00.2024.gov.fes-pe.pe/" TargetMode="External"/><Relationship Id="rId70" Type="http://schemas.openxmlformats.org/officeDocument/2006/relationships/hyperlink" Target="http://arp.0119.01.2024.gov.huoc.pe/" TargetMode="External"/><Relationship Id="rId801" Type="http://schemas.openxmlformats.org/officeDocument/2006/relationships/hyperlink" Target="http://a.002-arp.0001.00.2024.ext.pe/" TargetMode="External"/><Relationship Id="rId1017" Type="http://schemas.openxmlformats.org/officeDocument/2006/relationships/hyperlink" Target="http://a.004-arp.0049.00.2024.gov.huoc.pe/" TargetMode="External"/><Relationship Id="rId1224" Type="http://schemas.openxmlformats.org/officeDocument/2006/relationships/hyperlink" Target="http://arp.0010.02.2023.gov.hr.pe/" TargetMode="External"/><Relationship Id="rId1431" Type="http://schemas.openxmlformats.org/officeDocument/2006/relationships/hyperlink" Target="http://c.002-arp.0020.00.2025.gov.fes-pe.pe/" TargetMode="External"/><Relationship Id="rId1669" Type="http://schemas.openxmlformats.org/officeDocument/2006/relationships/hyperlink" Target="http://c.016-arp.0094.03.2024.gov.fes-pe.pe/" TargetMode="External"/><Relationship Id="rId1876" Type="http://schemas.openxmlformats.org/officeDocument/2006/relationships/hyperlink" Target="http://arp.0048.02.2025.gov.fes-pe.pe/" TargetMode="External"/><Relationship Id="rId1529" Type="http://schemas.openxmlformats.org/officeDocument/2006/relationships/hyperlink" Target="http://c.002-arp.0096.02.2024.gov.fes-pe.pe/" TargetMode="External"/><Relationship Id="rId1736" Type="http://schemas.openxmlformats.org/officeDocument/2006/relationships/hyperlink" Target="http://arp.0044.04.2025.gov.fes-pe.pe/" TargetMode="External"/><Relationship Id="rId1943" Type="http://schemas.openxmlformats.org/officeDocument/2006/relationships/hyperlink" Target="http://c.001-arp.0021.05.2025.gov.fes-pe.pe/" TargetMode="External"/><Relationship Id="rId28" Type="http://schemas.openxmlformats.org/officeDocument/2006/relationships/hyperlink" Target="http://arp.0021.00.2025.gov.hof.pe/" TargetMode="External"/><Relationship Id="rId1803" Type="http://schemas.openxmlformats.org/officeDocument/2006/relationships/hyperlink" Target="http://c.002-arp.0035.02.2025.gov.fes-pe.pe/" TargetMode="External"/><Relationship Id="rId177" Type="http://schemas.openxmlformats.org/officeDocument/2006/relationships/hyperlink" Target="http://a.002-arp.0059.00.2025.gov.fes-pe.pe/" TargetMode="External"/><Relationship Id="rId384" Type="http://schemas.openxmlformats.org/officeDocument/2006/relationships/hyperlink" Target="http://arp.0027.02.2024.gov.hemope.pe/" TargetMode="External"/><Relationship Id="rId591" Type="http://schemas.openxmlformats.org/officeDocument/2006/relationships/hyperlink" Target="http://a.004-arp.0003.00.2025.gov.hr.pe/" TargetMode="External"/><Relationship Id="rId2065" Type="http://schemas.openxmlformats.org/officeDocument/2006/relationships/hyperlink" Target="http://c.005-arp.0014.02.2025.gov.fes-pe.pe/" TargetMode="External"/><Relationship Id="rId2272" Type="http://schemas.openxmlformats.org/officeDocument/2006/relationships/hyperlink" Target="http://arp.0088.00.2024.gov.fes-pe.pe/" TargetMode="External"/><Relationship Id="rId244" Type="http://schemas.openxmlformats.org/officeDocument/2006/relationships/hyperlink" Target="http://arp.0010.00.2025.gov.cisam.pe/" TargetMode="External"/><Relationship Id="rId689" Type="http://schemas.openxmlformats.org/officeDocument/2006/relationships/hyperlink" Target="http://a.004-arp.0044.00.2024.gov.huoc.pe/" TargetMode="External"/><Relationship Id="rId896" Type="http://schemas.openxmlformats.org/officeDocument/2006/relationships/hyperlink" Target="http://arp.0102.02.2023.gov.huoc.pe/" TargetMode="External"/><Relationship Id="rId1081" Type="http://schemas.openxmlformats.org/officeDocument/2006/relationships/hyperlink" Target="http://a.008-arpc.0007.00.2024.gov.sad.pe/" TargetMode="External"/><Relationship Id="rId2577" Type="http://schemas.openxmlformats.org/officeDocument/2006/relationships/hyperlink" Target="http://c.005-arp.0038.01.2024.gov.fes-pe.pe/" TargetMode="External"/><Relationship Id="rId2784" Type="http://schemas.openxmlformats.org/officeDocument/2006/relationships/hyperlink" Target="http://arp.0003.02.2023.gov.hra.pe/" TargetMode="External"/><Relationship Id="rId451" Type="http://schemas.openxmlformats.org/officeDocument/2006/relationships/hyperlink" Target="http://a.008-arp.0066.02.2024.gov.fes-pe.pe/" TargetMode="External"/><Relationship Id="rId549" Type="http://schemas.openxmlformats.org/officeDocument/2006/relationships/hyperlink" Target="http://a.020-arp.0055.06.2024.gov.cisam.pe/" TargetMode="External"/><Relationship Id="rId756" Type="http://schemas.openxmlformats.org/officeDocument/2006/relationships/hyperlink" Target="http://arp.0006.00.2024.ext.hmar.pe/" TargetMode="External"/><Relationship Id="rId1179" Type="http://schemas.openxmlformats.org/officeDocument/2006/relationships/hyperlink" Target="http://a.004-arp.0025.04.2023.gov.huoc.pe/" TargetMode="External"/><Relationship Id="rId1386" Type="http://schemas.openxmlformats.org/officeDocument/2006/relationships/hyperlink" Target="http://arp.0003.04.2023.gov.hra.pe/" TargetMode="External"/><Relationship Id="rId1593" Type="http://schemas.openxmlformats.org/officeDocument/2006/relationships/hyperlink" Target="http://c.012-arp.0070.03.2025.gov.fes-pe.pe/" TargetMode="External"/><Relationship Id="rId2132" Type="http://schemas.openxmlformats.org/officeDocument/2006/relationships/hyperlink" Target="http://arp.0088.01.2024.gov.cisam.pe/" TargetMode="External"/><Relationship Id="rId2437" Type="http://schemas.openxmlformats.org/officeDocument/2006/relationships/hyperlink" Target="http://c.004-arpc.0018.00.2024.gov.sad.pe/" TargetMode="External"/><Relationship Id="rId104" Type="http://schemas.openxmlformats.org/officeDocument/2006/relationships/hyperlink" Target="http://arp.0073.05.2025.gov.huoc.pe/" TargetMode="External"/><Relationship Id="rId311" Type="http://schemas.openxmlformats.org/officeDocument/2006/relationships/hyperlink" Target="http://a.010-arp.0076.01.2024.gov.procape.pe/" TargetMode="External"/><Relationship Id="rId409" Type="http://schemas.openxmlformats.org/officeDocument/2006/relationships/hyperlink" Target="http://a.012-arp.0010.00.2024.gov.hof.pe/" TargetMode="External"/><Relationship Id="rId963" Type="http://schemas.openxmlformats.org/officeDocument/2006/relationships/hyperlink" Target="http://a.005-arp.0130.08.2023.gov.huoc.pe/" TargetMode="External"/><Relationship Id="rId1039" Type="http://schemas.openxmlformats.org/officeDocument/2006/relationships/hyperlink" Target="http://a.002-arp.0002.00.2024.gov.hof.pe/" TargetMode="External"/><Relationship Id="rId1246" Type="http://schemas.openxmlformats.org/officeDocument/2006/relationships/hyperlink" Target="http://arp.0049.01.2023.gov.huoc.pe/" TargetMode="External"/><Relationship Id="rId1898" Type="http://schemas.openxmlformats.org/officeDocument/2006/relationships/hyperlink" Target="http://arp.0033.00.2025.gov.fes-pe.pe/" TargetMode="External"/><Relationship Id="rId2644" Type="http://schemas.openxmlformats.org/officeDocument/2006/relationships/hyperlink" Target="http://arp.0647.14.2024.gov.fes-pe.pe/" TargetMode="External"/><Relationship Id="rId2851" Type="http://schemas.openxmlformats.org/officeDocument/2006/relationships/hyperlink" Target="http://c.001-arp.0002.00.2023.gov.hra.pe/" TargetMode="External"/><Relationship Id="rId92" Type="http://schemas.openxmlformats.org/officeDocument/2006/relationships/hyperlink" Target="http://arp.0068.04.2025.gov.fes-pe.pe/" TargetMode="External"/><Relationship Id="rId616" Type="http://schemas.openxmlformats.org/officeDocument/2006/relationships/hyperlink" Target="http://arp.0030.01.2024.gov.cisam.pe/" TargetMode="External"/><Relationship Id="rId823" Type="http://schemas.openxmlformats.org/officeDocument/2006/relationships/hyperlink" Target="http://a.011-arp.0001.02.2024.gov.hemope.pe/" TargetMode="External"/><Relationship Id="rId1453" Type="http://schemas.openxmlformats.org/officeDocument/2006/relationships/hyperlink" Target="http://c.007-arp.0049.03.2025.gov.fes-pe.pe/" TargetMode="External"/><Relationship Id="rId1660" Type="http://schemas.openxmlformats.org/officeDocument/2006/relationships/hyperlink" Target="http://arp.0083.05.2024.gov.fes-pe.pe/" TargetMode="External"/><Relationship Id="rId1758" Type="http://schemas.openxmlformats.org/officeDocument/2006/relationships/hyperlink" Target="http://arp.0052.05.2025.gov.fes-pe.pe/" TargetMode="External"/><Relationship Id="rId2504" Type="http://schemas.openxmlformats.org/officeDocument/2006/relationships/hyperlink" Target="http://arp.0018.00.2024.gov.fes-pe.pe/" TargetMode="External"/><Relationship Id="rId2711" Type="http://schemas.openxmlformats.org/officeDocument/2006/relationships/hyperlink" Target="http://c.001-arpc.0005.00.2024.gov.sad.pe/" TargetMode="External"/><Relationship Id="rId2809" Type="http://schemas.openxmlformats.org/officeDocument/2006/relationships/hyperlink" Target="http://c.001-arp.0005.02.2023.gov.hra.pe/" TargetMode="External"/><Relationship Id="rId1106" Type="http://schemas.openxmlformats.org/officeDocument/2006/relationships/hyperlink" Target="http://arp.0008.00.2024.gov.huoc.pe/" TargetMode="External"/><Relationship Id="rId1313" Type="http://schemas.openxmlformats.org/officeDocument/2006/relationships/hyperlink" Target="http://a.002-arp.0006.03.2023.gov.ham.pe/" TargetMode="External"/><Relationship Id="rId1520" Type="http://schemas.openxmlformats.org/officeDocument/2006/relationships/hyperlink" Target="http://arp.0068.01.2025.gov.fes-pe.pe/" TargetMode="External"/><Relationship Id="rId1965" Type="http://schemas.openxmlformats.org/officeDocument/2006/relationships/hyperlink" Target="http://c.003-arp.0017.06.2025.gov.fes-pe.pe/" TargetMode="External"/><Relationship Id="rId1618" Type="http://schemas.openxmlformats.org/officeDocument/2006/relationships/hyperlink" Target="http://arp.0067.01.2025.gov.fes-pe.pe/" TargetMode="External"/><Relationship Id="rId1825" Type="http://schemas.openxmlformats.org/officeDocument/2006/relationships/hyperlink" Target="http://c.009-arp.0030.01.2025.gov.fes-pe.pe/" TargetMode="External"/><Relationship Id="rId199" Type="http://schemas.openxmlformats.org/officeDocument/2006/relationships/hyperlink" Target="http://a.023-arp.0103.06.2024.gov.procape.pe/" TargetMode="External"/><Relationship Id="rId2087" Type="http://schemas.openxmlformats.org/officeDocument/2006/relationships/hyperlink" Target="http://c.003-arp.0100.02.2024.gov.fes-pe.pe/" TargetMode="External"/><Relationship Id="rId2294" Type="http://schemas.openxmlformats.org/officeDocument/2006/relationships/hyperlink" Target="http://arpc.0005.00.2024.gov.sad.pe/" TargetMode="External"/><Relationship Id="rId266" Type="http://schemas.openxmlformats.org/officeDocument/2006/relationships/hyperlink" Target="http://arp.0038.05.2025.gov.huoc.pe/" TargetMode="External"/><Relationship Id="rId473" Type="http://schemas.openxmlformats.org/officeDocument/2006/relationships/hyperlink" Target="http://a.002-arp.0093.00.2024.gov.cisam.pe/" TargetMode="External"/><Relationship Id="rId680" Type="http://schemas.openxmlformats.org/officeDocument/2006/relationships/hyperlink" Target="http://arp.0046.05.2024.gov.procape.pe/" TargetMode="External"/><Relationship Id="rId2154" Type="http://schemas.openxmlformats.org/officeDocument/2006/relationships/hyperlink" Target="http://arp.0088.02.2024.gov.cisam.pe/" TargetMode="External"/><Relationship Id="rId2361" Type="http://schemas.openxmlformats.org/officeDocument/2006/relationships/hyperlink" Target="http://c.002-arp.0063.05.2024.gov.cisam.pe/" TargetMode="External"/><Relationship Id="rId2599" Type="http://schemas.openxmlformats.org/officeDocument/2006/relationships/hyperlink" Target="http://c.009-arp.0052.12.2024.gov.fes-pe.pe/" TargetMode="External"/><Relationship Id="rId126" Type="http://schemas.openxmlformats.org/officeDocument/2006/relationships/hyperlink" Target="http://arp.0079.00.2025.gov.huoc.pe/" TargetMode="External"/><Relationship Id="rId333" Type="http://schemas.openxmlformats.org/officeDocument/2006/relationships/hyperlink" Target="http://a.012-arp.0078.02.2024.gov.huoc.pe/" TargetMode="External"/><Relationship Id="rId540" Type="http://schemas.openxmlformats.org/officeDocument/2006/relationships/hyperlink" Target="http://arp.0012.01.2024.gov.dasis.pe/" TargetMode="External"/><Relationship Id="rId778" Type="http://schemas.openxmlformats.org/officeDocument/2006/relationships/hyperlink" Target="http://arp.0068.02.2024.gov.huoc.pe/" TargetMode="External"/><Relationship Id="rId985" Type="http://schemas.openxmlformats.org/officeDocument/2006/relationships/hyperlink" Target="http://a.004-arp.0130.08.2023.gov.huoc.pe/" TargetMode="External"/><Relationship Id="rId1170" Type="http://schemas.openxmlformats.org/officeDocument/2006/relationships/hyperlink" Target="http://arp.0755.00.2024.ext.ba/" TargetMode="External"/><Relationship Id="rId2014" Type="http://schemas.openxmlformats.org/officeDocument/2006/relationships/hyperlink" Target="http://arp.0046.00.2024.gov.fes-pe.pe/" TargetMode="External"/><Relationship Id="rId2221" Type="http://schemas.openxmlformats.org/officeDocument/2006/relationships/hyperlink" Target="http://c.004-arp.0065.00.2024.gov.cisam.pe/" TargetMode="External"/><Relationship Id="rId2459" Type="http://schemas.openxmlformats.org/officeDocument/2006/relationships/hyperlink" Target="http://c.013-arp.0065.06.2024.gov.fes-pe.pe/" TargetMode="External"/><Relationship Id="rId2666" Type="http://schemas.openxmlformats.org/officeDocument/2006/relationships/hyperlink" Target="http://arp.0040.03.2024.gov.fes-pe.pe/" TargetMode="External"/><Relationship Id="rId638" Type="http://schemas.openxmlformats.org/officeDocument/2006/relationships/hyperlink" Target="http://arpc.0004.00.2024.gov.sad.pe/" TargetMode="External"/><Relationship Id="rId845" Type="http://schemas.openxmlformats.org/officeDocument/2006/relationships/hyperlink" Target="http://a.009-arp.0102.00.2023.gov.huoc.pe/" TargetMode="External"/><Relationship Id="rId1030" Type="http://schemas.openxmlformats.org/officeDocument/2006/relationships/hyperlink" Target="http://arp.0046.03.2024.gov.procape.pe/" TargetMode="External"/><Relationship Id="rId1268" Type="http://schemas.openxmlformats.org/officeDocument/2006/relationships/hyperlink" Target="http://arp.0077.07.2023.gov.procape.pe/" TargetMode="External"/><Relationship Id="rId1475" Type="http://schemas.openxmlformats.org/officeDocument/2006/relationships/hyperlink" Target="http://c.007-arp.0021.01.2024.gov.hof.pe/" TargetMode="External"/><Relationship Id="rId1682" Type="http://schemas.openxmlformats.org/officeDocument/2006/relationships/hyperlink" Target="http://arp.0063.10.2024.gov.fes-pe.pe/" TargetMode="External"/><Relationship Id="rId2319" Type="http://schemas.openxmlformats.org/officeDocument/2006/relationships/hyperlink" Target="http://c.009-arp.0038.02.2024.gov.fes-pe.pe/" TargetMode="External"/><Relationship Id="rId2526" Type="http://schemas.openxmlformats.org/officeDocument/2006/relationships/hyperlink" Target="http://arp.0048.01.2024.gov.fes-pe.pe/" TargetMode="External"/><Relationship Id="rId2733" Type="http://schemas.openxmlformats.org/officeDocument/2006/relationships/hyperlink" Target="http://c.005-arpc.0018.00.2023.gov.sad.pe/" TargetMode="External"/><Relationship Id="rId400" Type="http://schemas.openxmlformats.org/officeDocument/2006/relationships/hyperlink" Target="http://arp.0022.00.2024.gov.hr.pe/" TargetMode="External"/><Relationship Id="rId705" Type="http://schemas.openxmlformats.org/officeDocument/2006/relationships/hyperlink" Target="http://a.034-arp.0005.00.2024.gov.upecmn.pe/" TargetMode="External"/><Relationship Id="rId1128" Type="http://schemas.openxmlformats.org/officeDocument/2006/relationships/hyperlink" Target="http://arpc.0019.00.2023.gov.sad.pe/" TargetMode="External"/><Relationship Id="rId1335" Type="http://schemas.openxmlformats.org/officeDocument/2006/relationships/hyperlink" Target="http://a.001-arp.0038.00.2023.gov.hgv.pe/" TargetMode="External"/><Relationship Id="rId1542" Type="http://schemas.openxmlformats.org/officeDocument/2006/relationships/hyperlink" Target="http://arp.0009.00.2025.gov.fes-pe.pe/" TargetMode="External"/><Relationship Id="rId1987" Type="http://schemas.openxmlformats.org/officeDocument/2006/relationships/hyperlink" Target="http://c.002-arp.0008.01.2025.gov.ham.pe/" TargetMode="External"/><Relationship Id="rId912" Type="http://schemas.openxmlformats.org/officeDocument/2006/relationships/hyperlink" Target="http://arp.1101.01.2024.ext.hmar.pe/" TargetMode="External"/><Relationship Id="rId1847" Type="http://schemas.openxmlformats.org/officeDocument/2006/relationships/hyperlink" Target="http://c.013-arp.0009.00.2025.gov.fes-pe.pe/" TargetMode="External"/><Relationship Id="rId2800" Type="http://schemas.openxmlformats.org/officeDocument/2006/relationships/hyperlink" Target="http://arp.0005.08.2023.gov.hra.pe/" TargetMode="External"/><Relationship Id="rId41" Type="http://schemas.openxmlformats.org/officeDocument/2006/relationships/hyperlink" Target="http://a.011-arp.0080.00.2025.gov.fes-pe.pe/" TargetMode="External"/><Relationship Id="rId1402" Type="http://schemas.openxmlformats.org/officeDocument/2006/relationships/hyperlink" Target="http://arp.0038.05.2023.gov.huoc.pe/" TargetMode="External"/><Relationship Id="rId1707" Type="http://schemas.openxmlformats.org/officeDocument/2006/relationships/hyperlink" Target="http://c.009-arp.0052.12.2024.gov.cisam.pe/" TargetMode="External"/><Relationship Id="rId190" Type="http://schemas.openxmlformats.org/officeDocument/2006/relationships/hyperlink" Target="http://arp.0010.02.2025.ext.hmar.pe/" TargetMode="External"/><Relationship Id="rId288" Type="http://schemas.openxmlformats.org/officeDocument/2006/relationships/hyperlink" Target="http://arp.0005.09.2025.gov.procape.pe/" TargetMode="External"/><Relationship Id="rId1914" Type="http://schemas.openxmlformats.org/officeDocument/2006/relationships/hyperlink" Target="http://arp.0028.01.2025.gov.fes-pe.pe/" TargetMode="External"/><Relationship Id="rId495" Type="http://schemas.openxmlformats.org/officeDocument/2006/relationships/hyperlink" Target="http://a.009-arp.0103.06.2024.gov.procape.pe/" TargetMode="External"/><Relationship Id="rId2176" Type="http://schemas.openxmlformats.org/officeDocument/2006/relationships/hyperlink" Target="http://arp.0068.10.2024.gov.fes-pe.pe/" TargetMode="External"/><Relationship Id="rId2383" Type="http://schemas.openxmlformats.org/officeDocument/2006/relationships/hyperlink" Target="http://c.002-arp.0066.04.2024.gov.fes-pe.pe/" TargetMode="External"/><Relationship Id="rId2590" Type="http://schemas.openxmlformats.org/officeDocument/2006/relationships/hyperlink" Target="http://arp.0038.01.2024.gov.fes-pe.pe/" TargetMode="External"/><Relationship Id="rId148" Type="http://schemas.openxmlformats.org/officeDocument/2006/relationships/hyperlink" Target="http://arp.0012.07.2025.gov.ham.pe/" TargetMode="External"/><Relationship Id="rId355" Type="http://schemas.openxmlformats.org/officeDocument/2006/relationships/hyperlink" Target="http://a.005-arp.0028.06.2024.gov.hemope.pe/" TargetMode="External"/><Relationship Id="rId562" Type="http://schemas.openxmlformats.org/officeDocument/2006/relationships/hyperlink" Target="http://arp.0074.04.2024.gov.huoc.pe/" TargetMode="External"/><Relationship Id="rId1192" Type="http://schemas.openxmlformats.org/officeDocument/2006/relationships/hyperlink" Target="http://arp.0004.03.2023.gov.hr.pe/" TargetMode="External"/><Relationship Id="rId2036" Type="http://schemas.openxmlformats.org/officeDocument/2006/relationships/hyperlink" Target="http://arp.0002.00.2025.gov.cisam.pe/" TargetMode="External"/><Relationship Id="rId2243" Type="http://schemas.openxmlformats.org/officeDocument/2006/relationships/hyperlink" Target="http://c.010-arp.0063.04.2024.gov.fes-pe.pe/" TargetMode="External"/><Relationship Id="rId2450" Type="http://schemas.openxmlformats.org/officeDocument/2006/relationships/hyperlink" Target="http://arp.0065.01.2024.gov.fes-pe.pe/" TargetMode="External"/><Relationship Id="rId2688" Type="http://schemas.openxmlformats.org/officeDocument/2006/relationships/hyperlink" Target="http://arpc.0026.00.2023.gov.sad.pe/" TargetMode="External"/><Relationship Id="rId215" Type="http://schemas.openxmlformats.org/officeDocument/2006/relationships/hyperlink" Target="http://a.019-arp.0038.01.2025.gov.huoc.pe/" TargetMode="External"/><Relationship Id="rId422" Type="http://schemas.openxmlformats.org/officeDocument/2006/relationships/hyperlink" Target="http://arp.0089.01.2024.gov.huoc.pe/" TargetMode="External"/><Relationship Id="rId867" Type="http://schemas.openxmlformats.org/officeDocument/2006/relationships/hyperlink" Target="http://a.002-arp.0011.07.2024.gov.hgv.pe/" TargetMode="External"/><Relationship Id="rId1052" Type="http://schemas.openxmlformats.org/officeDocument/2006/relationships/hyperlink" Target="http://arp.0013.00.2024.gov.hr.pe/" TargetMode="External"/><Relationship Id="rId1497" Type="http://schemas.openxmlformats.org/officeDocument/2006/relationships/hyperlink" Target="http://c.004-arp.0012.07.2025.gov.ham.pe/" TargetMode="External"/><Relationship Id="rId2103" Type="http://schemas.openxmlformats.org/officeDocument/2006/relationships/hyperlink" Target="http://c.001-arp.0099.02.2024.gov.fes-pe.pe/" TargetMode="External"/><Relationship Id="rId2310" Type="http://schemas.openxmlformats.org/officeDocument/2006/relationships/hyperlink" Target="http://arpc.0018.00.2024.gov.sad.pe/" TargetMode="External"/><Relationship Id="rId2548" Type="http://schemas.openxmlformats.org/officeDocument/2006/relationships/hyperlink" Target="http://arp.0052.11.2024.gov.cisam.pe/" TargetMode="External"/><Relationship Id="rId2755" Type="http://schemas.openxmlformats.org/officeDocument/2006/relationships/hyperlink" Target="http://c.003-arp.0003.05.2023.gov.hra.pe/" TargetMode="External"/><Relationship Id="rId727" Type="http://schemas.openxmlformats.org/officeDocument/2006/relationships/hyperlink" Target="http://a.002-arp.0012.11.2024.gov.hof.pe/" TargetMode="External"/><Relationship Id="rId934" Type="http://schemas.openxmlformats.org/officeDocument/2006/relationships/hyperlink" Target="http://arp.0009.10.2024.gov.hof.pe/" TargetMode="External"/><Relationship Id="rId1357" Type="http://schemas.openxmlformats.org/officeDocument/2006/relationships/hyperlink" Target="http://a.001-arp.0042.00.2023.gov.huoc.pe/" TargetMode="External"/><Relationship Id="rId1564" Type="http://schemas.openxmlformats.org/officeDocument/2006/relationships/hyperlink" Target="http://arp.0011.01.2025.gov.hgv.pe/" TargetMode="External"/><Relationship Id="rId1771" Type="http://schemas.openxmlformats.org/officeDocument/2006/relationships/hyperlink" Target="http://c.003-arp.0043.03.2025.gov.fes-pe.pe/" TargetMode="External"/><Relationship Id="rId2408" Type="http://schemas.openxmlformats.org/officeDocument/2006/relationships/hyperlink" Target="http://arp.0064.00.2024.gov.fes-pe.pe/" TargetMode="External"/><Relationship Id="rId2615" Type="http://schemas.openxmlformats.org/officeDocument/2006/relationships/hyperlink" Target="http://c.006-arp.0031.11.2024.gov.fes-pe.pe/" TargetMode="External"/><Relationship Id="rId2822" Type="http://schemas.openxmlformats.org/officeDocument/2006/relationships/hyperlink" Target="http://arp.0007.00.2023.gov.hra.pe/" TargetMode="External"/><Relationship Id="rId63" Type="http://schemas.openxmlformats.org/officeDocument/2006/relationships/hyperlink" Target="http://a.008-arp.0072.07.2025.gov.huoc.pe/" TargetMode="External"/><Relationship Id="rId1217" Type="http://schemas.openxmlformats.org/officeDocument/2006/relationships/hyperlink" Target="http://a.004-arp.0025.16.2023.gov.hr.pe/" TargetMode="External"/><Relationship Id="rId1424" Type="http://schemas.openxmlformats.org/officeDocument/2006/relationships/hyperlink" Target="http://arp.0115.02.2025.gov.fes-pe.pe/" TargetMode="External"/><Relationship Id="rId1631" Type="http://schemas.openxmlformats.org/officeDocument/2006/relationships/hyperlink" Target="http://c.003-arp.0021.06.2024.gov.hof.pe/" TargetMode="External"/><Relationship Id="rId1869" Type="http://schemas.openxmlformats.org/officeDocument/2006/relationships/hyperlink" Target="http://c.001-arpc.0006.00.2025.gov.sad.pe/" TargetMode="External"/><Relationship Id="rId1729" Type="http://schemas.openxmlformats.org/officeDocument/2006/relationships/hyperlink" Target="http://c.003-arp.0003.00.2025.gov.dasis.pe/" TargetMode="External"/><Relationship Id="rId1936" Type="http://schemas.openxmlformats.org/officeDocument/2006/relationships/hyperlink" Target="http://arp.0027.08.2025.gov.fes-pe.pe/" TargetMode="External"/><Relationship Id="rId2198" Type="http://schemas.openxmlformats.org/officeDocument/2006/relationships/hyperlink" Target="http://arp.0097.00.2024.gov.fes-pe.pe/" TargetMode="External"/><Relationship Id="rId377" Type="http://schemas.openxmlformats.org/officeDocument/2006/relationships/hyperlink" Target="http://a.011-arp.0006.00.2025.gov.hr.pe/" TargetMode="External"/><Relationship Id="rId584" Type="http://schemas.openxmlformats.org/officeDocument/2006/relationships/hyperlink" Target="http://arp.0009.07.2024.gov.sassepe.pe/" TargetMode="External"/><Relationship Id="rId2058" Type="http://schemas.openxmlformats.org/officeDocument/2006/relationships/hyperlink" Target="http://arp.0015.06.2025.gov.fes-pe.pe/" TargetMode="External"/><Relationship Id="rId2265" Type="http://schemas.openxmlformats.org/officeDocument/2006/relationships/hyperlink" Target="http://c.005-arp.0088.07.2024.gov.fes-pe.pe/" TargetMode="External"/><Relationship Id="rId5" Type="http://schemas.openxmlformats.org/officeDocument/2006/relationships/hyperlink" Target="http://a.002-arp.0012.00.2025.ext.hmar.pe/" TargetMode="External"/><Relationship Id="rId237" Type="http://schemas.openxmlformats.org/officeDocument/2006/relationships/hyperlink" Target="http://a.007-arp.0090.01.2024.gov.procape.pe/" TargetMode="External"/><Relationship Id="rId791" Type="http://schemas.openxmlformats.org/officeDocument/2006/relationships/hyperlink" Target="http://a.003-arp.0027.00.2024.gov.hr.pe/" TargetMode="External"/><Relationship Id="rId889" Type="http://schemas.openxmlformats.org/officeDocument/2006/relationships/hyperlink" Target="http://a.015-arp.0095.00.2023.gov.huoc.pe/" TargetMode="External"/><Relationship Id="rId1074" Type="http://schemas.openxmlformats.org/officeDocument/2006/relationships/hyperlink" Target="http://arpc.0026.00.2023.gov.sad.pe/" TargetMode="External"/><Relationship Id="rId2472" Type="http://schemas.openxmlformats.org/officeDocument/2006/relationships/hyperlink" Target="http://arp.0048.01.2024.gov.fes-pe.pe/" TargetMode="External"/><Relationship Id="rId2777" Type="http://schemas.openxmlformats.org/officeDocument/2006/relationships/hyperlink" Target="http://c.004-arp.0003.03.2023.gov.hra.pe/" TargetMode="External"/><Relationship Id="rId444" Type="http://schemas.openxmlformats.org/officeDocument/2006/relationships/hyperlink" Target="http://arp.0003.11.2025.gov.procape.pe/" TargetMode="External"/><Relationship Id="rId651" Type="http://schemas.openxmlformats.org/officeDocument/2006/relationships/hyperlink" Target="http://a.008-arp.0051.01.2024.gov.cisam.pe/" TargetMode="External"/><Relationship Id="rId749" Type="http://schemas.openxmlformats.org/officeDocument/2006/relationships/hyperlink" Target="http://a.003-arp.0018.00.2024.opd.mppe.pe/" TargetMode="External"/><Relationship Id="rId1281" Type="http://schemas.openxmlformats.org/officeDocument/2006/relationships/hyperlink" Target="http://a.004-arp.0009.06.2023.gov.hbl.pe/" TargetMode="External"/><Relationship Id="rId1379" Type="http://schemas.openxmlformats.org/officeDocument/2006/relationships/hyperlink" Target="http://a.001-arp.0003.08.2023.gov.hra.pe/" TargetMode="External"/><Relationship Id="rId1586" Type="http://schemas.openxmlformats.org/officeDocument/2006/relationships/hyperlink" Target="http://arp.0074.00.2025.gov.fes-pe.pe/" TargetMode="External"/><Relationship Id="rId2125" Type="http://schemas.openxmlformats.org/officeDocument/2006/relationships/hyperlink" Target="http://c.029-arp.0050.00.2024.gov.fes-pe.pe/" TargetMode="External"/><Relationship Id="rId2332" Type="http://schemas.openxmlformats.org/officeDocument/2006/relationships/hyperlink" Target="http://arpc.0021.00.2024.gov.sad.pe/" TargetMode="External"/><Relationship Id="rId304" Type="http://schemas.openxmlformats.org/officeDocument/2006/relationships/hyperlink" Target="http://arp.0006.03.2025.gov.procape.pe/" TargetMode="External"/><Relationship Id="rId511" Type="http://schemas.openxmlformats.org/officeDocument/2006/relationships/hyperlink" Target="http://a.001-arp.0107.01.2024.gov.huoc.pe/" TargetMode="External"/><Relationship Id="rId609" Type="http://schemas.openxmlformats.org/officeDocument/2006/relationships/hyperlink" Target="http://a.009-arp.0016.05.2024.gov.hgv.pe/" TargetMode="External"/><Relationship Id="rId956" Type="http://schemas.openxmlformats.org/officeDocument/2006/relationships/hyperlink" Target="http://arp.0011.00.2023.gov.upegaranhuns.pe/" TargetMode="External"/><Relationship Id="rId1141" Type="http://schemas.openxmlformats.org/officeDocument/2006/relationships/hyperlink" Target="http://a.033-arp.0035.00.2023.gov.hr.pe/" TargetMode="External"/><Relationship Id="rId1239" Type="http://schemas.openxmlformats.org/officeDocument/2006/relationships/hyperlink" Target="http://a.001-arp.0015.01.2023.gov.hemope.pe/" TargetMode="External"/><Relationship Id="rId1793" Type="http://schemas.openxmlformats.org/officeDocument/2006/relationships/hyperlink" Target="http://c.003-arp.0036.03.2025.gov.fes-pe.pe/" TargetMode="External"/><Relationship Id="rId2637" Type="http://schemas.openxmlformats.org/officeDocument/2006/relationships/hyperlink" Target="http://c.007-arp.0025.02.2024.gov.fes-pe.pe/" TargetMode="External"/><Relationship Id="rId2844" Type="http://schemas.openxmlformats.org/officeDocument/2006/relationships/hyperlink" Target="http://arpc.0009.00.2023.gov.sad.pe/" TargetMode="External"/><Relationship Id="rId85" Type="http://schemas.openxmlformats.org/officeDocument/2006/relationships/hyperlink" Target="http://a.002-arp.0045.02.2025.gov.procape.pe/" TargetMode="External"/><Relationship Id="rId816" Type="http://schemas.openxmlformats.org/officeDocument/2006/relationships/hyperlink" Target="http://arp.0039.03.2024.gov.procape.pe/" TargetMode="External"/><Relationship Id="rId1001" Type="http://schemas.openxmlformats.org/officeDocument/2006/relationships/hyperlink" Target="http://a.003-arp.0029.01.2024.gov.huoc.pe/" TargetMode="External"/><Relationship Id="rId1446" Type="http://schemas.openxmlformats.org/officeDocument/2006/relationships/hyperlink" Target="http://arp.0099.00.2025.gov.fes-pe.pe/" TargetMode="External"/><Relationship Id="rId1653" Type="http://schemas.openxmlformats.org/officeDocument/2006/relationships/hyperlink" Target="http://c.009-arp.0083.05.2024.gov.fes-pe.pe/" TargetMode="External"/><Relationship Id="rId1860" Type="http://schemas.openxmlformats.org/officeDocument/2006/relationships/hyperlink" Target="http://arp.0022.01.2025.gov.fes-pe.pe/" TargetMode="External"/><Relationship Id="rId2704" Type="http://schemas.openxmlformats.org/officeDocument/2006/relationships/hyperlink" Target="http://arp.0003.05.2023.gov.hra.pe/" TargetMode="External"/><Relationship Id="rId1306" Type="http://schemas.openxmlformats.org/officeDocument/2006/relationships/hyperlink" Target="http://arp.0014.00.2023.gov.hgv.pe/" TargetMode="External"/><Relationship Id="rId1513" Type="http://schemas.openxmlformats.org/officeDocument/2006/relationships/hyperlink" Target="http://c.006-arp.0068.00.2025.gov.fes-pe.pe/" TargetMode="External"/><Relationship Id="rId1720" Type="http://schemas.openxmlformats.org/officeDocument/2006/relationships/hyperlink" Target="http://arp.0063.00.2024.gov.fes-pe.pe/" TargetMode="External"/><Relationship Id="rId1958" Type="http://schemas.openxmlformats.org/officeDocument/2006/relationships/hyperlink" Target="http://arp.0019.00.2025.gov.fes-pe.pe/" TargetMode="External"/><Relationship Id="rId12" Type="http://schemas.openxmlformats.org/officeDocument/2006/relationships/hyperlink" Target="http://arp.0013.02.2025.gov.hof.pe/" TargetMode="External"/><Relationship Id="rId1818" Type="http://schemas.openxmlformats.org/officeDocument/2006/relationships/hyperlink" Target="http://arp.0031.01.2025.gov.fes-pe.pe/" TargetMode="External"/><Relationship Id="rId161" Type="http://schemas.openxmlformats.org/officeDocument/2006/relationships/hyperlink" Target="http://a.010-arp.0012.07.2025.gov.ham.pe/" TargetMode="External"/><Relationship Id="rId399" Type="http://schemas.openxmlformats.org/officeDocument/2006/relationships/hyperlink" Target="http://a.008-arp.0022.00.2024.gov.hr.pe/" TargetMode="External"/><Relationship Id="rId2287" Type="http://schemas.openxmlformats.org/officeDocument/2006/relationships/hyperlink" Target="http://c.015-arp.0043.02.2024.gov.fes-pe.pe/" TargetMode="External"/><Relationship Id="rId2494" Type="http://schemas.openxmlformats.org/officeDocument/2006/relationships/hyperlink" Target="http://arp.0046.02.2024.gov.fes-pe.pe/" TargetMode="External"/><Relationship Id="rId259" Type="http://schemas.openxmlformats.org/officeDocument/2006/relationships/hyperlink" Target="http://a.002-arp.0007.00.2025.gov.hemope.pe/" TargetMode="External"/><Relationship Id="rId466" Type="http://schemas.openxmlformats.org/officeDocument/2006/relationships/hyperlink" Target="http://arp.0004.01.2025.gov.hgv.pe/" TargetMode="External"/><Relationship Id="rId673" Type="http://schemas.openxmlformats.org/officeDocument/2006/relationships/hyperlink" Target="http://a.026-arp.0002.02.2024.gov.sassepe.pe/" TargetMode="External"/><Relationship Id="rId880" Type="http://schemas.openxmlformats.org/officeDocument/2006/relationships/hyperlink" Target="http://arp.0057.00.2024.gov.huoc.pe/" TargetMode="External"/><Relationship Id="rId1096" Type="http://schemas.openxmlformats.org/officeDocument/2006/relationships/hyperlink" Target="http://arp.0085.08.2023.gov.huoc.pe/" TargetMode="External"/><Relationship Id="rId2147" Type="http://schemas.openxmlformats.org/officeDocument/2006/relationships/hyperlink" Target="http://c.002-arp.0087.02.2024.gov.cisam.pe/" TargetMode="External"/><Relationship Id="rId2354" Type="http://schemas.openxmlformats.org/officeDocument/2006/relationships/hyperlink" Target="http://arp.0031.16.2024.gov.fes-pe.pe/" TargetMode="External"/><Relationship Id="rId2561" Type="http://schemas.openxmlformats.org/officeDocument/2006/relationships/hyperlink" Target="http://c.010-arp.0048.07.2024.gov.fes-pe.pe/" TargetMode="External"/><Relationship Id="rId2799" Type="http://schemas.openxmlformats.org/officeDocument/2006/relationships/hyperlink" Target="http://c.001-arp.0005.08.2023.gov.hra.pe/" TargetMode="External"/><Relationship Id="rId119" Type="http://schemas.openxmlformats.org/officeDocument/2006/relationships/hyperlink" Target="http://a.005-arp.0012.02.2025.gov.huoc.pe/" TargetMode="External"/><Relationship Id="rId326" Type="http://schemas.openxmlformats.org/officeDocument/2006/relationships/hyperlink" Target="http://arp.0034.00.2025.gov.huoc.pe/" TargetMode="External"/><Relationship Id="rId533" Type="http://schemas.openxmlformats.org/officeDocument/2006/relationships/hyperlink" Target="http://a.004-arp.0017.00.2024.gov.hgv.pe/" TargetMode="External"/><Relationship Id="rId978" Type="http://schemas.openxmlformats.org/officeDocument/2006/relationships/hyperlink" Target="http://arp.0011.00.2023.gov.upegaranhuns.pe/" TargetMode="External"/><Relationship Id="rId1163" Type="http://schemas.openxmlformats.org/officeDocument/2006/relationships/hyperlink" Target="http://a.003-arp.0094.00.2023.gov.huoc.pe/" TargetMode="External"/><Relationship Id="rId1370" Type="http://schemas.openxmlformats.org/officeDocument/2006/relationships/hyperlink" Target="http://arp.0009.00.2023.gov.dasis.pe/" TargetMode="External"/><Relationship Id="rId2007" Type="http://schemas.openxmlformats.org/officeDocument/2006/relationships/hyperlink" Target="http://c.005-arp.0015.03.2025.gov.fes-pe.pe/" TargetMode="External"/><Relationship Id="rId2214" Type="http://schemas.openxmlformats.org/officeDocument/2006/relationships/hyperlink" Target="http://arp.0094.03.2024.gov.fes-pe.pe/" TargetMode="External"/><Relationship Id="rId2659" Type="http://schemas.openxmlformats.org/officeDocument/2006/relationships/hyperlink" Target="http://c.002-arp.0046.05.2024.gov.fes-pe.pe/" TargetMode="External"/><Relationship Id="rId740" Type="http://schemas.openxmlformats.org/officeDocument/2006/relationships/hyperlink" Target="http://arp.0012.00.2023.gov.upegaranhuns.pe/" TargetMode="External"/><Relationship Id="rId838" Type="http://schemas.openxmlformats.org/officeDocument/2006/relationships/hyperlink" Target="http://arp.0046.01.2024.gov.huoc.pe/" TargetMode="External"/><Relationship Id="rId1023" Type="http://schemas.openxmlformats.org/officeDocument/2006/relationships/hyperlink" Target="http://a.002-arp.0049.02.2024.gov.huoc.pe/" TargetMode="External"/><Relationship Id="rId1468" Type="http://schemas.openxmlformats.org/officeDocument/2006/relationships/hyperlink" Target="http://arp.0044.02.2025.gov.fes-pe.pe/" TargetMode="External"/><Relationship Id="rId1675" Type="http://schemas.openxmlformats.org/officeDocument/2006/relationships/hyperlink" Target="http://c.008-arp.0010.04.2025.gov.fes-pe.pe/" TargetMode="External"/><Relationship Id="rId1882" Type="http://schemas.openxmlformats.org/officeDocument/2006/relationships/hyperlink" Target="http://arp.0048.00.2025.gov.fes-pe.pe/" TargetMode="External"/><Relationship Id="rId2421" Type="http://schemas.openxmlformats.org/officeDocument/2006/relationships/hyperlink" Target="http://c.003-arpc.0015.02.2024.gov.sad.pe/" TargetMode="External"/><Relationship Id="rId2519" Type="http://schemas.openxmlformats.org/officeDocument/2006/relationships/hyperlink" Target="http://c.013-arp.0064.01.2024.gov.fes-pe.pe/" TargetMode="External"/><Relationship Id="rId2726" Type="http://schemas.openxmlformats.org/officeDocument/2006/relationships/hyperlink" Target="http://arp.0018.00.2024.gov.fes-pe.pe/" TargetMode="External"/><Relationship Id="rId600" Type="http://schemas.openxmlformats.org/officeDocument/2006/relationships/hyperlink" Target="http://arp.0110.03.2024.gov.huoc.pe/" TargetMode="External"/><Relationship Id="rId1230" Type="http://schemas.openxmlformats.org/officeDocument/2006/relationships/hyperlink" Target="http://arp.0025.09.2023.gov.hr.pe/" TargetMode="External"/><Relationship Id="rId1328" Type="http://schemas.openxmlformats.org/officeDocument/2006/relationships/hyperlink" Target="http://arp.0028.04.2023.gov.hgv.pe/" TargetMode="External"/><Relationship Id="rId1535" Type="http://schemas.openxmlformats.org/officeDocument/2006/relationships/hyperlink" Target="http://c.010-arp.0044.06.2025.gov.fes-pe.pe/" TargetMode="External"/><Relationship Id="rId905" Type="http://schemas.openxmlformats.org/officeDocument/2006/relationships/hyperlink" Target="http://a.004-arp.0050.00.2024.gov.huoc.pe/" TargetMode="External"/><Relationship Id="rId1742" Type="http://schemas.openxmlformats.org/officeDocument/2006/relationships/hyperlink" Target="http://arp.0059.00.2025.gov.fes-pe.pe/" TargetMode="External"/><Relationship Id="rId34" Type="http://schemas.openxmlformats.org/officeDocument/2006/relationships/hyperlink" Target="http://arp.0001.01.2025.gov.huoc.pe/" TargetMode="External"/><Relationship Id="rId1602" Type="http://schemas.openxmlformats.org/officeDocument/2006/relationships/hyperlink" Target="http://arp.0012.07.2025.gov.ham.pe/" TargetMode="External"/><Relationship Id="rId183" Type="http://schemas.openxmlformats.org/officeDocument/2006/relationships/hyperlink" Target="http://a.022-arp.0002.00.2025.gov.fes-pe.pe/" TargetMode="External"/><Relationship Id="rId390" Type="http://schemas.openxmlformats.org/officeDocument/2006/relationships/hyperlink" Target="http://arp.0012.00.2025.gov.huoc.pe/" TargetMode="External"/><Relationship Id="rId1907" Type="http://schemas.openxmlformats.org/officeDocument/2006/relationships/hyperlink" Target="http://c.004-arp.0010.00.2025.gov.cisam.pe/" TargetMode="External"/><Relationship Id="rId2071" Type="http://schemas.openxmlformats.org/officeDocument/2006/relationships/hyperlink" Target="http://c.005-arp.0092.00.2024.gov.fes-pe.pe/" TargetMode="External"/><Relationship Id="rId250" Type="http://schemas.openxmlformats.org/officeDocument/2006/relationships/hyperlink" Target="http://arp.0012.00.2025.gov.cisam.pe/" TargetMode="External"/><Relationship Id="rId488" Type="http://schemas.openxmlformats.org/officeDocument/2006/relationships/hyperlink" Target="http://arp.1363.03.2024.ext.hmar.pe/" TargetMode="External"/><Relationship Id="rId695" Type="http://schemas.openxmlformats.org/officeDocument/2006/relationships/hyperlink" Target="http://a.004-arp.0012.00.2024.gov.ham.pe/" TargetMode="External"/><Relationship Id="rId2169" Type="http://schemas.openxmlformats.org/officeDocument/2006/relationships/hyperlink" Target="http://c.004-arp.0097.04.2024.gov.fes-pe.pe/" TargetMode="External"/><Relationship Id="rId2376" Type="http://schemas.openxmlformats.org/officeDocument/2006/relationships/hyperlink" Target="http://arp.0066.02.2024.gov.fes-pe.pe/" TargetMode="External"/><Relationship Id="rId2583" Type="http://schemas.openxmlformats.org/officeDocument/2006/relationships/hyperlink" Target="http://c.007-arp.0040.02.2024.gov.fes-pe.pe/" TargetMode="External"/><Relationship Id="rId2790" Type="http://schemas.openxmlformats.org/officeDocument/2006/relationships/hyperlink" Target="http://arp.0003.03.2023.gov.hra.pe/" TargetMode="External"/><Relationship Id="rId110" Type="http://schemas.openxmlformats.org/officeDocument/2006/relationships/hyperlink" Target="http://arp.0089.01.2024.gov.huoc.pe/" TargetMode="External"/><Relationship Id="rId348" Type="http://schemas.openxmlformats.org/officeDocument/2006/relationships/hyperlink" Target="http://arp.0006.06.2025.gov.procape.pe/" TargetMode="External"/><Relationship Id="rId555" Type="http://schemas.openxmlformats.org/officeDocument/2006/relationships/hyperlink" Target="http://a.001-arp.0004.01.2025.gov.hgv.pe/" TargetMode="External"/><Relationship Id="rId762" Type="http://schemas.openxmlformats.org/officeDocument/2006/relationships/hyperlink" Target="http://arp.0006.00.2023.gov.upegaranhuns.pe/" TargetMode="External"/><Relationship Id="rId1185" Type="http://schemas.openxmlformats.org/officeDocument/2006/relationships/hyperlink" Target="http://a.002-arp.0104.04.2023.gov.procape.pe/" TargetMode="External"/><Relationship Id="rId1392" Type="http://schemas.openxmlformats.org/officeDocument/2006/relationships/hyperlink" Target="http://arp.0011.00.2023.gov.huoc.pe/" TargetMode="External"/><Relationship Id="rId2029" Type="http://schemas.openxmlformats.org/officeDocument/2006/relationships/hyperlink" Target="http://c.006-arp.0002.00.2025.gov.cisam.pe/" TargetMode="External"/><Relationship Id="rId2236" Type="http://schemas.openxmlformats.org/officeDocument/2006/relationships/hyperlink" Target="http://arp.0092.03.2024.gov.fes-pe.pe/" TargetMode="External"/><Relationship Id="rId2443" Type="http://schemas.openxmlformats.org/officeDocument/2006/relationships/hyperlink" Target="http://c.032-arp.0018.00.2024.gov.fes-pe.pe/" TargetMode="External"/><Relationship Id="rId2650" Type="http://schemas.openxmlformats.org/officeDocument/2006/relationships/hyperlink" Target="http://arp.0046.05.2024.gov.fes-pe.pe/" TargetMode="External"/><Relationship Id="rId208" Type="http://schemas.openxmlformats.org/officeDocument/2006/relationships/hyperlink" Target="http://arp.0031.00.2024.gov.hr.pe/" TargetMode="External"/><Relationship Id="rId415" Type="http://schemas.openxmlformats.org/officeDocument/2006/relationships/hyperlink" Target="http://a.010-arp.0104.00.2024.gov.huoc.pe/" TargetMode="External"/><Relationship Id="rId622" Type="http://schemas.openxmlformats.org/officeDocument/2006/relationships/hyperlink" Target="http://arp.0087.05.2024.gov.huoc.pe/" TargetMode="External"/><Relationship Id="rId1045" Type="http://schemas.openxmlformats.org/officeDocument/2006/relationships/hyperlink" Target="http://a.003-arp.0032.00.2023.gov.hr.pe/" TargetMode="External"/><Relationship Id="rId1252" Type="http://schemas.openxmlformats.org/officeDocument/2006/relationships/hyperlink" Target="http://arp.0031.04.2023.gov.hgv.pe/" TargetMode="External"/><Relationship Id="rId1697" Type="http://schemas.openxmlformats.org/officeDocument/2006/relationships/hyperlink" Target="http://c.031-arp.0052.03.2024.gov.fes-pe.pe/" TargetMode="External"/><Relationship Id="rId2303" Type="http://schemas.openxmlformats.org/officeDocument/2006/relationships/hyperlink" Target="http://c.010-arp.0075.00.2024.gov.fes-pe.pe/" TargetMode="External"/><Relationship Id="rId2510" Type="http://schemas.openxmlformats.org/officeDocument/2006/relationships/hyperlink" Target="http://arp.0048.07.2024.gov.fes-pe.pe/" TargetMode="External"/><Relationship Id="rId2748" Type="http://schemas.openxmlformats.org/officeDocument/2006/relationships/hyperlink" Target="http://arp.0096.00.2023.gov.fes-pe.pe/" TargetMode="External"/><Relationship Id="rId927" Type="http://schemas.openxmlformats.org/officeDocument/2006/relationships/hyperlink" Target="http://a.002-arp.0059.07.2024.gov.huoc.pe/" TargetMode="External"/><Relationship Id="rId1112" Type="http://schemas.openxmlformats.org/officeDocument/2006/relationships/hyperlink" Target="http://arp.0026.07.2023.gov.ham.pe/" TargetMode="External"/><Relationship Id="rId1557" Type="http://schemas.openxmlformats.org/officeDocument/2006/relationships/hyperlink" Target="http://c.009-arp.0003.01.2025.gov.fes-pe.pe/" TargetMode="External"/><Relationship Id="rId1764" Type="http://schemas.openxmlformats.org/officeDocument/2006/relationships/hyperlink" Target="http://arp.0052.02.2025.gov.fes-pe.pe/" TargetMode="External"/><Relationship Id="rId1971" Type="http://schemas.openxmlformats.org/officeDocument/2006/relationships/hyperlink" Target="http://c.001-arp.0017.02.2025.gov.fes-pe.pe/" TargetMode="External"/><Relationship Id="rId2608" Type="http://schemas.openxmlformats.org/officeDocument/2006/relationships/hyperlink" Target="http://arp.0058.03.2024.gov.fes-pe.pe/" TargetMode="External"/><Relationship Id="rId2815" Type="http://schemas.openxmlformats.org/officeDocument/2006/relationships/hyperlink" Target="http://c.001-arp.0005.07.2023.gov.hra.pe/" TargetMode="External"/><Relationship Id="rId56" Type="http://schemas.openxmlformats.org/officeDocument/2006/relationships/hyperlink" Target="http://arp.0008.05.2025.gov.hgv.pe/" TargetMode="External"/><Relationship Id="rId1417" Type="http://schemas.openxmlformats.org/officeDocument/2006/relationships/hyperlink" Target="http://c.001-arpc.0044.00.2025.gov.sad.pe/" TargetMode="External"/><Relationship Id="rId1624" Type="http://schemas.openxmlformats.org/officeDocument/2006/relationships/hyperlink" Target="http://arp.0006.01.2025.gov.cisam.pe/" TargetMode="External"/><Relationship Id="rId1831" Type="http://schemas.openxmlformats.org/officeDocument/2006/relationships/hyperlink" Target="http://c.005-arp.0030.00.2025.gov.fes-pe.pe/" TargetMode="External"/><Relationship Id="rId1929" Type="http://schemas.openxmlformats.org/officeDocument/2006/relationships/hyperlink" Target="http://c.001-arp.0027.05.2025.gov.fes-pe.pe/" TargetMode="External"/><Relationship Id="rId2093" Type="http://schemas.openxmlformats.org/officeDocument/2006/relationships/hyperlink" Target="http://c.004-arp.0005.00.2025.gov.fes-pe.pe/" TargetMode="External"/><Relationship Id="rId2398" Type="http://schemas.openxmlformats.org/officeDocument/2006/relationships/hyperlink" Target="http://arp.0025.06.2024.gov.fes-pe.pe/" TargetMode="External"/><Relationship Id="rId272" Type="http://schemas.openxmlformats.org/officeDocument/2006/relationships/hyperlink" Target="http://arp.0010.02.2025.gov.fes-pe.pe/" TargetMode="External"/><Relationship Id="rId577" Type="http://schemas.openxmlformats.org/officeDocument/2006/relationships/hyperlink" Target="http://a.010-arp.0002.03.2024.ext.hmar.pe/" TargetMode="External"/><Relationship Id="rId2160" Type="http://schemas.openxmlformats.org/officeDocument/2006/relationships/hyperlink" Target="http://arp.0088.02.2024.gov.cisam.pe/" TargetMode="External"/><Relationship Id="rId2258" Type="http://schemas.openxmlformats.org/officeDocument/2006/relationships/hyperlink" Target="http://arp.0024.01.2024.gov.fes-pe.pe/" TargetMode="External"/><Relationship Id="rId132" Type="http://schemas.openxmlformats.org/officeDocument/2006/relationships/hyperlink" Target="http://arp.0010.02.2025.gov.hof.pe/" TargetMode="External"/><Relationship Id="rId784" Type="http://schemas.openxmlformats.org/officeDocument/2006/relationships/hyperlink" Target="http://arp.0107.00.2023.gov.fes-pe.pe/" TargetMode="External"/><Relationship Id="rId991" Type="http://schemas.openxmlformats.org/officeDocument/2006/relationships/hyperlink" Target="http://a.007-arp.0001.02.2024.gov.hemope.pe/" TargetMode="External"/><Relationship Id="rId1067" Type="http://schemas.openxmlformats.org/officeDocument/2006/relationships/hyperlink" Target="http://a.001-arp.0023.00.2024.gov.cisam.pe/" TargetMode="External"/><Relationship Id="rId2020" Type="http://schemas.openxmlformats.org/officeDocument/2006/relationships/hyperlink" Target="http://arp.0005.02.2025.gov.fes-pe.pe/" TargetMode="External"/><Relationship Id="rId2465" Type="http://schemas.openxmlformats.org/officeDocument/2006/relationships/hyperlink" Target="http://c.020-arp.0018.08.2024.gov.fes-pe.pe/" TargetMode="External"/><Relationship Id="rId2672" Type="http://schemas.openxmlformats.org/officeDocument/2006/relationships/hyperlink" Target="http://arpc.0018.00.2023.gov.sad.pe/" TargetMode="External"/><Relationship Id="rId437" Type="http://schemas.openxmlformats.org/officeDocument/2006/relationships/hyperlink" Target="http://a.007-arpc.0026.00.2024.gov.sad.pe/" TargetMode="External"/><Relationship Id="rId644" Type="http://schemas.openxmlformats.org/officeDocument/2006/relationships/hyperlink" Target="http://arp.0030.01.2024.gov.cisam.pe/" TargetMode="External"/><Relationship Id="rId851" Type="http://schemas.openxmlformats.org/officeDocument/2006/relationships/hyperlink" Target="http://a.012-arp.0024.00.2024.gov.hr.pe/" TargetMode="External"/><Relationship Id="rId1274" Type="http://schemas.openxmlformats.org/officeDocument/2006/relationships/hyperlink" Target="http://arp.0047.06.2023.gov.huoc.pe/" TargetMode="External"/><Relationship Id="rId1481" Type="http://schemas.openxmlformats.org/officeDocument/2006/relationships/hyperlink" Target="http://c.023-arp.0070.03.2025.gov.fes-pe.pe/" TargetMode="External"/><Relationship Id="rId1579" Type="http://schemas.openxmlformats.org/officeDocument/2006/relationships/hyperlink" Target="http://c.028-arp.0064.02.2024.gov.fes-pe.pe/" TargetMode="External"/><Relationship Id="rId2118" Type="http://schemas.openxmlformats.org/officeDocument/2006/relationships/hyperlink" Target="http://arpc.0002.00.2025.gov.sad.pe/" TargetMode="External"/><Relationship Id="rId2325" Type="http://schemas.openxmlformats.org/officeDocument/2006/relationships/hyperlink" Target="http://c.003-arp.0083.03.2024.gov.fes-pe.pe/" TargetMode="External"/><Relationship Id="rId2532" Type="http://schemas.openxmlformats.org/officeDocument/2006/relationships/hyperlink" Target="http://arp.0063.10.2024.gov.fes-pe.pe/" TargetMode="External"/><Relationship Id="rId504" Type="http://schemas.openxmlformats.org/officeDocument/2006/relationships/hyperlink" Target="http://arp.0084.05.2024.gov.procape.pe/" TargetMode="External"/><Relationship Id="rId711" Type="http://schemas.openxmlformats.org/officeDocument/2006/relationships/hyperlink" Target="http://a.001-arp.0074.01.2024.gov.fes-pe.pe/" TargetMode="External"/><Relationship Id="rId949" Type="http://schemas.openxmlformats.org/officeDocument/2006/relationships/hyperlink" Target="http://a.010-arp.0011.00.2023.gov.upegaranhuns.pe/" TargetMode="External"/><Relationship Id="rId1134" Type="http://schemas.openxmlformats.org/officeDocument/2006/relationships/hyperlink" Target="http://arp.0022.20.2023.gov.ham.pe/" TargetMode="External"/><Relationship Id="rId1341" Type="http://schemas.openxmlformats.org/officeDocument/2006/relationships/hyperlink" Target="http://a.001-arp.0001.03.2023.gov.bombeiros.pe/" TargetMode="External"/><Relationship Id="rId1786" Type="http://schemas.openxmlformats.org/officeDocument/2006/relationships/hyperlink" Target="http://arp.0036.08.2025.gov.fes-pe.pe/" TargetMode="External"/><Relationship Id="rId1993" Type="http://schemas.openxmlformats.org/officeDocument/2006/relationships/hyperlink" Target="http://c.004-arp.0012.01.2025.gov.fes-pe.pe/" TargetMode="External"/><Relationship Id="rId2837" Type="http://schemas.openxmlformats.org/officeDocument/2006/relationships/hyperlink" Target="http://c.001-arp.0003.01.2023.gov.hra.pe/" TargetMode="External"/><Relationship Id="rId78" Type="http://schemas.openxmlformats.org/officeDocument/2006/relationships/hyperlink" Target="http://arp.0005.00.2025.gov.feas.pe/" TargetMode="External"/><Relationship Id="rId809" Type="http://schemas.openxmlformats.org/officeDocument/2006/relationships/hyperlink" Target="http://a.006-arp.0031.00.2024.gov.hr.pe/" TargetMode="External"/><Relationship Id="rId1201" Type="http://schemas.openxmlformats.org/officeDocument/2006/relationships/hyperlink" Target="http://a.013-arp.0071.03.2023.gov.procape.pe/" TargetMode="External"/><Relationship Id="rId1439" Type="http://schemas.openxmlformats.org/officeDocument/2006/relationships/hyperlink" Target="http://c.006-arp.0010.03.2025.gov.fes-pe.pe/" TargetMode="External"/><Relationship Id="rId1646" Type="http://schemas.openxmlformats.org/officeDocument/2006/relationships/hyperlink" Target="http://arp.0053.02.2025.gov.fes-pe.pe/" TargetMode="External"/><Relationship Id="rId1853" Type="http://schemas.openxmlformats.org/officeDocument/2006/relationships/hyperlink" Target="http://c.021-arp.0063.00.2024.gov.fes-pe.pe/" TargetMode="External"/><Relationship Id="rId1506" Type="http://schemas.openxmlformats.org/officeDocument/2006/relationships/hyperlink" Target="http://arp.0044.06.2025.gov.fes-pe.pe/" TargetMode="External"/><Relationship Id="rId1713" Type="http://schemas.openxmlformats.org/officeDocument/2006/relationships/hyperlink" Target="http://c.005-arp.0052.11.2024.gov.cisam.pe/" TargetMode="External"/><Relationship Id="rId1920" Type="http://schemas.openxmlformats.org/officeDocument/2006/relationships/hyperlink" Target="http://arp.0022.03.2025.gov.fes-pe.pe/" TargetMode="External"/><Relationship Id="rId294" Type="http://schemas.openxmlformats.org/officeDocument/2006/relationships/hyperlink" Target="http://arp.0084.05.2024.gov.procape.pe/" TargetMode="External"/><Relationship Id="rId2182" Type="http://schemas.openxmlformats.org/officeDocument/2006/relationships/hyperlink" Target="http://arpc.0029.00.2024.gov.sad.pe/" TargetMode="External"/><Relationship Id="rId154" Type="http://schemas.openxmlformats.org/officeDocument/2006/relationships/hyperlink" Target="http://arp.0059.02.2025.gov.procape.pe/" TargetMode="External"/><Relationship Id="rId361" Type="http://schemas.openxmlformats.org/officeDocument/2006/relationships/hyperlink" Target="http://a.014-arp.0006.00.2025.gov.hr.pe/" TargetMode="External"/><Relationship Id="rId599" Type="http://schemas.openxmlformats.org/officeDocument/2006/relationships/hyperlink" Target="http://a.003-arp.0110.03.2024.gov.huoc.pe/" TargetMode="External"/><Relationship Id="rId2042" Type="http://schemas.openxmlformats.org/officeDocument/2006/relationships/hyperlink" Target="http://arp.0015.05.2025.gov.fes-pe.pe/" TargetMode="External"/><Relationship Id="rId2487" Type="http://schemas.openxmlformats.org/officeDocument/2006/relationships/hyperlink" Target="http://c.016-arp.0064.01.2024.gov.fes-pe.pe/" TargetMode="External"/><Relationship Id="rId2694" Type="http://schemas.openxmlformats.org/officeDocument/2006/relationships/hyperlink" Target="http://arp.0001.00.2024.gov.hra.pe/" TargetMode="External"/><Relationship Id="rId459" Type="http://schemas.openxmlformats.org/officeDocument/2006/relationships/hyperlink" Target="http://a.007-arp.0091.06.2024.gov.procape.pe/" TargetMode="External"/><Relationship Id="rId666" Type="http://schemas.openxmlformats.org/officeDocument/2006/relationships/hyperlink" Target="http://arp.0001.00.2024.gov.hgv.pe/" TargetMode="External"/><Relationship Id="rId873" Type="http://schemas.openxmlformats.org/officeDocument/2006/relationships/hyperlink" Target="http://a.003-arp.0036.00.2024.gov.huoc.pe/" TargetMode="External"/><Relationship Id="rId1089" Type="http://schemas.openxmlformats.org/officeDocument/2006/relationships/hyperlink" Target="http://a.002-arp.0025.03.2024.gov.procape.pe/" TargetMode="External"/><Relationship Id="rId1296" Type="http://schemas.openxmlformats.org/officeDocument/2006/relationships/hyperlink" Target="http://arp.0016.03.2023.gov.ham.pe/" TargetMode="External"/><Relationship Id="rId2347" Type="http://schemas.openxmlformats.org/officeDocument/2006/relationships/hyperlink" Target="http://c.009-arp.0075.01.2024.gov.fes-pe.pe/" TargetMode="External"/><Relationship Id="rId2554" Type="http://schemas.openxmlformats.org/officeDocument/2006/relationships/hyperlink" Target="http://arp.0052.07.2024.gov.cisam.pe/" TargetMode="External"/><Relationship Id="rId221" Type="http://schemas.openxmlformats.org/officeDocument/2006/relationships/hyperlink" Target="http://a.004-arp.0110.02.2024.gov.huoc.pe/" TargetMode="External"/><Relationship Id="rId319" Type="http://schemas.openxmlformats.org/officeDocument/2006/relationships/hyperlink" Target="http://a.009-arp.0004.00.2025.gov.procape.pe/" TargetMode="External"/><Relationship Id="rId526" Type="http://schemas.openxmlformats.org/officeDocument/2006/relationships/hyperlink" Target="http://arp.0030.01.2024.gov.cisam.pe/" TargetMode="External"/><Relationship Id="rId1156" Type="http://schemas.openxmlformats.org/officeDocument/2006/relationships/hyperlink" Target="http://arp.0755.00.2024.ext.ba/" TargetMode="External"/><Relationship Id="rId1363" Type="http://schemas.openxmlformats.org/officeDocument/2006/relationships/hyperlink" Target="http://a.001-arp.0001.00.2023.gov.defn.pe/" TargetMode="External"/><Relationship Id="rId2207" Type="http://schemas.openxmlformats.org/officeDocument/2006/relationships/hyperlink" Target="http://c.020-arp.0048.01.2024.gov.fes-pe.pe/" TargetMode="External"/><Relationship Id="rId2761" Type="http://schemas.openxmlformats.org/officeDocument/2006/relationships/hyperlink" Target="http://c.001-arp.0006.00.2023.gov.hra.pe/" TargetMode="External"/><Relationship Id="rId733" Type="http://schemas.openxmlformats.org/officeDocument/2006/relationships/hyperlink" Target="http://a.004-arp.0069.02.2024.gov.huoc.pe/" TargetMode="External"/><Relationship Id="rId940" Type="http://schemas.openxmlformats.org/officeDocument/2006/relationships/hyperlink" Target="http://arp.0046.02.2024.gov.huoc.pe/" TargetMode="External"/><Relationship Id="rId1016" Type="http://schemas.openxmlformats.org/officeDocument/2006/relationships/hyperlink" Target="http://arp.0001.06.2024.gov.hof.pe/" TargetMode="External"/><Relationship Id="rId1570" Type="http://schemas.openxmlformats.org/officeDocument/2006/relationships/hyperlink" Target="http://arp.0010.02.2025.gov.fes-pe.pe/" TargetMode="External"/><Relationship Id="rId1668" Type="http://schemas.openxmlformats.org/officeDocument/2006/relationships/hyperlink" Target="http://arp.0019.02.2025.gov.fes-pe.pe/" TargetMode="External"/><Relationship Id="rId1875" Type="http://schemas.openxmlformats.org/officeDocument/2006/relationships/hyperlink" Target="http://c.001-arp.0048.02.2025.gov.fes-pe.pe/" TargetMode="External"/><Relationship Id="rId2414" Type="http://schemas.openxmlformats.org/officeDocument/2006/relationships/hyperlink" Target="http://arp.0031.16.2024.gov.fes-pe.pe/" TargetMode="External"/><Relationship Id="rId2621" Type="http://schemas.openxmlformats.org/officeDocument/2006/relationships/hyperlink" Target="http://c.009-arp.0050.00.2024.gov.fes-pe.pe/" TargetMode="External"/><Relationship Id="rId2719" Type="http://schemas.openxmlformats.org/officeDocument/2006/relationships/hyperlink" Target="http://c.002-arp.0025.01.2024.gov.fes-pe.pe/" TargetMode="External"/><Relationship Id="rId800" Type="http://schemas.openxmlformats.org/officeDocument/2006/relationships/hyperlink" Target="http://arp.0028.00.2024.gov.hr.pe/" TargetMode="External"/><Relationship Id="rId1223" Type="http://schemas.openxmlformats.org/officeDocument/2006/relationships/hyperlink" Target="http://a.007-arp.0010.02.2023.gov.hr.pe/" TargetMode="External"/><Relationship Id="rId1430" Type="http://schemas.openxmlformats.org/officeDocument/2006/relationships/hyperlink" Target="http://arp.0110.01.2025.gov.fes-pe.pe/" TargetMode="External"/><Relationship Id="rId1528" Type="http://schemas.openxmlformats.org/officeDocument/2006/relationships/hyperlink" Target="http://arp.0079.04.2025.gov.fes-pe.pe/" TargetMode="External"/><Relationship Id="rId1735" Type="http://schemas.openxmlformats.org/officeDocument/2006/relationships/hyperlink" Target="http://c.003-arp.0044.04.2025.gov.fes-pe.pe/" TargetMode="External"/><Relationship Id="rId1942" Type="http://schemas.openxmlformats.org/officeDocument/2006/relationships/hyperlink" Target="http://arp.0022.00.2025.gov.fes-pe.pe/" TargetMode="External"/><Relationship Id="rId27" Type="http://schemas.openxmlformats.org/officeDocument/2006/relationships/hyperlink" Target="http://a.002-arp.0021.00.2025.gov.hof.pe/" TargetMode="External"/><Relationship Id="rId1802" Type="http://schemas.openxmlformats.org/officeDocument/2006/relationships/hyperlink" Target="http://arp.0035.03.2025.gov.fes-pe.pe/" TargetMode="External"/><Relationship Id="rId176" Type="http://schemas.openxmlformats.org/officeDocument/2006/relationships/hyperlink" Target="http://arp.0090.04.2025.gov.huoc.pe/" TargetMode="External"/><Relationship Id="rId383" Type="http://schemas.openxmlformats.org/officeDocument/2006/relationships/hyperlink" Target="http://a.005-arp.0027.02.2024.gov.hemope.pe/" TargetMode="External"/><Relationship Id="rId590" Type="http://schemas.openxmlformats.org/officeDocument/2006/relationships/hyperlink" Target="http://arp.0110.05.2024.gov.huoc.pe/" TargetMode="External"/><Relationship Id="rId2064" Type="http://schemas.openxmlformats.org/officeDocument/2006/relationships/hyperlink" Target="http://arp.0014.02.2025.gov.fes-pe.pe/" TargetMode="External"/><Relationship Id="rId2271" Type="http://schemas.openxmlformats.org/officeDocument/2006/relationships/hyperlink" Target="http://c.002-arp.0088.00.2024.gov.fes-pe.pe/" TargetMode="External"/><Relationship Id="rId243" Type="http://schemas.openxmlformats.org/officeDocument/2006/relationships/hyperlink" Target="http://a.005-arp.0010.00.2025.gov.cisam.pe/" TargetMode="External"/><Relationship Id="rId450" Type="http://schemas.openxmlformats.org/officeDocument/2006/relationships/hyperlink" Target="http://arp.0011.00.2025.gov.ham.pe/" TargetMode="External"/><Relationship Id="rId688" Type="http://schemas.openxmlformats.org/officeDocument/2006/relationships/hyperlink" Target="http://arp.0076.02.2024.gov.huoc.pe/" TargetMode="External"/><Relationship Id="rId895" Type="http://schemas.openxmlformats.org/officeDocument/2006/relationships/hyperlink" Target="http://a.005-arp.0102.02.2023.gov.huoc.pe/" TargetMode="External"/><Relationship Id="rId1080" Type="http://schemas.openxmlformats.org/officeDocument/2006/relationships/hyperlink" Target="http://arp.0119.00.2023.gov.fes-pe.pe/" TargetMode="External"/><Relationship Id="rId2131" Type="http://schemas.openxmlformats.org/officeDocument/2006/relationships/hyperlink" Target="http://c.001-arp.0088.01.2024.gov.cisam.pe/" TargetMode="External"/><Relationship Id="rId2369" Type="http://schemas.openxmlformats.org/officeDocument/2006/relationships/hyperlink" Target="http://c.032-arp.0031.16.2024.gov.fes-pe.pe/" TargetMode="External"/><Relationship Id="rId2576" Type="http://schemas.openxmlformats.org/officeDocument/2006/relationships/hyperlink" Target="http://arp.0061.02.2024.gov.fes-pe.pe/" TargetMode="External"/><Relationship Id="rId2783" Type="http://schemas.openxmlformats.org/officeDocument/2006/relationships/hyperlink" Target="http://c.004-arp.0003.02.2023.gov.hra.pe/" TargetMode="External"/><Relationship Id="rId103" Type="http://schemas.openxmlformats.org/officeDocument/2006/relationships/hyperlink" Target="http://a.003-arp.0073.05.2025.gov.huoc.pe/" TargetMode="External"/><Relationship Id="rId310" Type="http://schemas.openxmlformats.org/officeDocument/2006/relationships/hyperlink" Target="http://arp.0029.06.2025.gov.procape.pe/" TargetMode="External"/><Relationship Id="rId548" Type="http://schemas.openxmlformats.org/officeDocument/2006/relationships/hyperlink" Target="http://arpc.0004.00.2024.gov.sad.pe/" TargetMode="External"/><Relationship Id="rId755" Type="http://schemas.openxmlformats.org/officeDocument/2006/relationships/hyperlink" Target="http://a.004-arp.0006.00.2024.ext.hmar.pe/" TargetMode="External"/><Relationship Id="rId962" Type="http://schemas.openxmlformats.org/officeDocument/2006/relationships/hyperlink" Target="http://arp.0022.00.2024.gov.hr.pe/" TargetMode="External"/><Relationship Id="rId1178" Type="http://schemas.openxmlformats.org/officeDocument/2006/relationships/hyperlink" Target="http://arp.0011.00.2023.gov.hgv.pe/" TargetMode="External"/><Relationship Id="rId1385" Type="http://schemas.openxmlformats.org/officeDocument/2006/relationships/hyperlink" Target="http://a.001-arp.0003.04.2023.gov.hra.pe/" TargetMode="External"/><Relationship Id="rId1592" Type="http://schemas.openxmlformats.org/officeDocument/2006/relationships/hyperlink" Target="http://arp.0045.00.2025.gov.fes-pe.pe/" TargetMode="External"/><Relationship Id="rId2229" Type="http://schemas.openxmlformats.org/officeDocument/2006/relationships/hyperlink" Target="http://c.002-arp.0092.03.2024.gov.fes-pe.pe/" TargetMode="External"/><Relationship Id="rId2436" Type="http://schemas.openxmlformats.org/officeDocument/2006/relationships/hyperlink" Target="http://arp.0031.16.2024.gov.fes-pe.pe/" TargetMode="External"/><Relationship Id="rId2643" Type="http://schemas.openxmlformats.org/officeDocument/2006/relationships/hyperlink" Target="http://c.005-arp.0031.14.2024.gov.fes-pe.pe/" TargetMode="External"/><Relationship Id="rId2850" Type="http://schemas.openxmlformats.org/officeDocument/2006/relationships/hyperlink" Target="http://arpc.0006.00.2023.gov.sad.pe/" TargetMode="External"/><Relationship Id="rId91" Type="http://schemas.openxmlformats.org/officeDocument/2006/relationships/hyperlink" Target="http://a.001-arp.0068.04.2025.gov.fes-pe.pe/" TargetMode="External"/><Relationship Id="rId408" Type="http://schemas.openxmlformats.org/officeDocument/2006/relationships/hyperlink" Target="http://arp.0010.00.2024.gov.hof.pe/" TargetMode="External"/><Relationship Id="rId615" Type="http://schemas.openxmlformats.org/officeDocument/2006/relationships/hyperlink" Target="http://a.030-arp.0030.01.2024.gov.cisam.pe/" TargetMode="External"/><Relationship Id="rId822" Type="http://schemas.openxmlformats.org/officeDocument/2006/relationships/hyperlink" Target="http://arp.0113.00.2023.gov.fes-pe.pe/" TargetMode="External"/><Relationship Id="rId1038" Type="http://schemas.openxmlformats.org/officeDocument/2006/relationships/hyperlink" Target="http://arp.0001.02.2024.gov.hemope.pe/" TargetMode="External"/><Relationship Id="rId1245" Type="http://schemas.openxmlformats.org/officeDocument/2006/relationships/hyperlink" Target="http://a.003-arp.0049.01.2023.gov.huoc.pe/" TargetMode="External"/><Relationship Id="rId1452" Type="http://schemas.openxmlformats.org/officeDocument/2006/relationships/hyperlink" Target="http://arp.0088.05.2025.gov.fes-pe.pe/" TargetMode="External"/><Relationship Id="rId1897" Type="http://schemas.openxmlformats.org/officeDocument/2006/relationships/hyperlink" Target="http://c.003-arp.0033.00.2025.gov.fes-pe.pe/" TargetMode="External"/><Relationship Id="rId2503" Type="http://schemas.openxmlformats.org/officeDocument/2006/relationships/hyperlink" Target="http://c.025-arp.0018.00.2024.gov.fes-pe.pe/" TargetMode="External"/><Relationship Id="rId1105" Type="http://schemas.openxmlformats.org/officeDocument/2006/relationships/hyperlink" Target="http://a.003-arp.0008.00.2024.gov.huoc.pe/" TargetMode="External"/><Relationship Id="rId1312" Type="http://schemas.openxmlformats.org/officeDocument/2006/relationships/hyperlink" Target="http://arp.0006.04.2023.gov.ham.pe/" TargetMode="External"/><Relationship Id="rId1757" Type="http://schemas.openxmlformats.org/officeDocument/2006/relationships/hyperlink" Target="http://c.001-arp.0052.05.2025.gov.fes-pe.pe/" TargetMode="External"/><Relationship Id="rId1964" Type="http://schemas.openxmlformats.org/officeDocument/2006/relationships/hyperlink" Target="http://arp.0018.00.2025.gov.fes-pe.pe/" TargetMode="External"/><Relationship Id="rId2710" Type="http://schemas.openxmlformats.org/officeDocument/2006/relationships/hyperlink" Target="http://arpc.0005.00.2024.gov.sad.pe/" TargetMode="External"/><Relationship Id="rId2808" Type="http://schemas.openxmlformats.org/officeDocument/2006/relationships/hyperlink" Target="http://arp.0005.03.2023.gov.hra.pe/" TargetMode="External"/><Relationship Id="rId49" Type="http://schemas.openxmlformats.org/officeDocument/2006/relationships/hyperlink" Target="http://a.007-arp.0057.00.2025.gov.huoc.pe/" TargetMode="External"/><Relationship Id="rId1617" Type="http://schemas.openxmlformats.org/officeDocument/2006/relationships/hyperlink" Target="http://c.008-arp.0067.01.2025.gov.fes-pe.pe/" TargetMode="External"/><Relationship Id="rId1824" Type="http://schemas.openxmlformats.org/officeDocument/2006/relationships/hyperlink" Target="http://arp.0030.04.2025.gov.fes-pe.pe/" TargetMode="External"/><Relationship Id="rId198" Type="http://schemas.openxmlformats.org/officeDocument/2006/relationships/hyperlink" Target="http://arp.0103.06.2024.gov.procape.pe/" TargetMode="External"/><Relationship Id="rId2086" Type="http://schemas.openxmlformats.org/officeDocument/2006/relationships/hyperlink" Target="http://arp.0100.02.2024.gov.fes-pe.pe/" TargetMode="External"/><Relationship Id="rId2293" Type="http://schemas.openxmlformats.org/officeDocument/2006/relationships/hyperlink" Target="http://c.047-arpc.0005.00.2024.gov.sad.pe/" TargetMode="External"/><Relationship Id="rId2598" Type="http://schemas.openxmlformats.org/officeDocument/2006/relationships/hyperlink" Target="http://arp.0024.01.2024.gov.fes-pe.pe/" TargetMode="External"/><Relationship Id="rId265" Type="http://schemas.openxmlformats.org/officeDocument/2006/relationships/hyperlink" Target="http://a.009-arp.0038.05.2025.gov.huoc.pe/" TargetMode="External"/><Relationship Id="rId472" Type="http://schemas.openxmlformats.org/officeDocument/2006/relationships/hyperlink" Target="http://arp.0074.04.2024.gov.huoc.pe/" TargetMode="External"/><Relationship Id="rId2153" Type="http://schemas.openxmlformats.org/officeDocument/2006/relationships/hyperlink" Target="http://c.006-arp.0088.02.2024.gov.cisam.pe/" TargetMode="External"/><Relationship Id="rId2360" Type="http://schemas.openxmlformats.org/officeDocument/2006/relationships/hyperlink" Target="http://arp.0034.01.2024.gov.fes-pe.pe/" TargetMode="External"/><Relationship Id="rId125" Type="http://schemas.openxmlformats.org/officeDocument/2006/relationships/hyperlink" Target="http://a.007-arp.0079.00.2025.gov.huoc.pe/" TargetMode="External"/><Relationship Id="rId332" Type="http://schemas.openxmlformats.org/officeDocument/2006/relationships/hyperlink" Target="http://arp.0008.05.2025.gov.hgv.pe/" TargetMode="External"/><Relationship Id="rId777" Type="http://schemas.openxmlformats.org/officeDocument/2006/relationships/hyperlink" Target="http://a.003-arp.0068.02.2024.gov.huoc.pe/" TargetMode="External"/><Relationship Id="rId984" Type="http://schemas.openxmlformats.org/officeDocument/2006/relationships/hyperlink" Target="http://arp.0130.09.2023.gov.huoc.pe/" TargetMode="External"/><Relationship Id="rId2013" Type="http://schemas.openxmlformats.org/officeDocument/2006/relationships/hyperlink" Target="http://c.013-arp.0046.00.2024.gov.fes-pe.pe/" TargetMode="External"/><Relationship Id="rId2220" Type="http://schemas.openxmlformats.org/officeDocument/2006/relationships/hyperlink" Target="http://arp.0094.01.2024.gov.fes-pe.pe/" TargetMode="External"/><Relationship Id="rId2458" Type="http://schemas.openxmlformats.org/officeDocument/2006/relationships/hyperlink" Target="http://arp.0065.06.2024.gov.fes-pe.pe/" TargetMode="External"/><Relationship Id="rId2665" Type="http://schemas.openxmlformats.org/officeDocument/2006/relationships/hyperlink" Target="http://c.001-arp.0040.03.2024.gov.fes-pe.pe/" TargetMode="External"/><Relationship Id="rId637" Type="http://schemas.openxmlformats.org/officeDocument/2006/relationships/hyperlink" Target="http://a.005-arpc.0004.00.2024.gov.sad.pe/" TargetMode="External"/><Relationship Id="rId844" Type="http://schemas.openxmlformats.org/officeDocument/2006/relationships/hyperlink" Target="http://arp.0039.04.2024.gov.huoc.pe/" TargetMode="External"/><Relationship Id="rId1267" Type="http://schemas.openxmlformats.org/officeDocument/2006/relationships/hyperlink" Target="http://a.007-arp.0077.07.2023.gov.procape.pe/" TargetMode="External"/><Relationship Id="rId1474" Type="http://schemas.openxmlformats.org/officeDocument/2006/relationships/hyperlink" Target="http://arp.0001.00.2024.fes-pe.pe/" TargetMode="External"/><Relationship Id="rId1681" Type="http://schemas.openxmlformats.org/officeDocument/2006/relationships/hyperlink" Target="http://c.013-arp.0063.10.2024.gov.fes-pe.pe/" TargetMode="External"/><Relationship Id="rId2318" Type="http://schemas.openxmlformats.org/officeDocument/2006/relationships/hyperlink" Target="http://arp.0083.04.2024.gov.fes-pe.pe/" TargetMode="External"/><Relationship Id="rId2525" Type="http://schemas.openxmlformats.org/officeDocument/2006/relationships/hyperlink" Target="http://c.011-arp.0048.01.2024.gov.fes-pe.pe/" TargetMode="External"/><Relationship Id="rId2732" Type="http://schemas.openxmlformats.org/officeDocument/2006/relationships/hyperlink" Target="http://arp.0003.02.2023.gov.hra.pe/" TargetMode="External"/><Relationship Id="rId704" Type="http://schemas.openxmlformats.org/officeDocument/2006/relationships/hyperlink" Target="http://arp.0089.00.2024.gov.huoc.pe/" TargetMode="External"/><Relationship Id="rId911" Type="http://schemas.openxmlformats.org/officeDocument/2006/relationships/hyperlink" Target="http://a.011-arp.0003.01.2024.ext.hmar.pe/" TargetMode="External"/><Relationship Id="rId1127" Type="http://schemas.openxmlformats.org/officeDocument/2006/relationships/hyperlink" Target="http://a.002-arpc.0019.00.2023.gov.sad.pe/" TargetMode="External"/><Relationship Id="rId1334" Type="http://schemas.openxmlformats.org/officeDocument/2006/relationships/hyperlink" Target="http://arp.0031.05.2023.gov.hgv.pe/" TargetMode="External"/><Relationship Id="rId1541" Type="http://schemas.openxmlformats.org/officeDocument/2006/relationships/hyperlink" Target="http://c.017-arp.0009.00.2025.gov.fes-pe.pe/" TargetMode="External"/><Relationship Id="rId1779" Type="http://schemas.openxmlformats.org/officeDocument/2006/relationships/hyperlink" Target="http://c.106-arpc.0019.00.2024.gov.sad.pe/" TargetMode="External"/><Relationship Id="rId1986" Type="http://schemas.openxmlformats.org/officeDocument/2006/relationships/hyperlink" Target="http://arp.0012.02.2025.gov.fes-pe.pe/" TargetMode="External"/><Relationship Id="rId40" Type="http://schemas.openxmlformats.org/officeDocument/2006/relationships/hyperlink" Target="http://arp.0089.06.2025.gov.huoc.pe/" TargetMode="External"/><Relationship Id="rId1401" Type="http://schemas.openxmlformats.org/officeDocument/2006/relationships/hyperlink" Target="http://a.002-arp.0038.05.2023.gov.huoc.pe/" TargetMode="External"/><Relationship Id="rId1639" Type="http://schemas.openxmlformats.org/officeDocument/2006/relationships/hyperlink" Target="http://c.008-arp.0067.03.2025.gov.fes-pe.pe/" TargetMode="External"/><Relationship Id="rId1846" Type="http://schemas.openxmlformats.org/officeDocument/2006/relationships/hyperlink" Target="http://arp.0054.07.2025.gov.fes-pe.pe/" TargetMode="External"/><Relationship Id="rId1706" Type="http://schemas.openxmlformats.org/officeDocument/2006/relationships/hyperlink" Target="http://arp.0097.04.2024.gov.fes-pe.pe/" TargetMode="External"/><Relationship Id="rId1913" Type="http://schemas.openxmlformats.org/officeDocument/2006/relationships/hyperlink" Target="http://c.002-arp.0028.01.2025.gov.fes-pe.pe/" TargetMode="External"/><Relationship Id="rId287" Type="http://schemas.openxmlformats.org/officeDocument/2006/relationships/hyperlink" Target="http://a.006-arp.0005.09.2025.gov.procape.pe/" TargetMode="External"/><Relationship Id="rId494" Type="http://schemas.openxmlformats.org/officeDocument/2006/relationships/hyperlink" Target="http://arp.0009.07.2024.gov.sassepe.pe/" TargetMode="External"/><Relationship Id="rId2175" Type="http://schemas.openxmlformats.org/officeDocument/2006/relationships/hyperlink" Target="http://c.009-arp.0068.10.2024.gov.fes-pe.pe/" TargetMode="External"/><Relationship Id="rId2382" Type="http://schemas.openxmlformats.org/officeDocument/2006/relationships/hyperlink" Target="http://arp.0066.08.2024.gov.fes-pe.pe/" TargetMode="External"/><Relationship Id="rId147" Type="http://schemas.openxmlformats.org/officeDocument/2006/relationships/hyperlink" Target="http://a.011-arp.0012.07.2025.gov.ham.pe/" TargetMode="External"/><Relationship Id="rId354" Type="http://schemas.openxmlformats.org/officeDocument/2006/relationships/hyperlink" Target="http://arp.0070.00.2024.gov.huoc.pe/" TargetMode="External"/><Relationship Id="rId799" Type="http://schemas.openxmlformats.org/officeDocument/2006/relationships/hyperlink" Target="http://a.004-arp.0028.00.2024.gov.hr.pe/" TargetMode="External"/><Relationship Id="rId1191" Type="http://schemas.openxmlformats.org/officeDocument/2006/relationships/hyperlink" Target="http://a.003-arp.0004.03.2023.gov.hr.pe/" TargetMode="External"/><Relationship Id="rId2035" Type="http://schemas.openxmlformats.org/officeDocument/2006/relationships/hyperlink" Target="http://c.003-arp.0002.00.2025.gov.cisam.pe/" TargetMode="External"/><Relationship Id="rId2687" Type="http://schemas.openxmlformats.org/officeDocument/2006/relationships/hyperlink" Target="http://c.100-arpc.0026.00.2023.gov.sad.pe/" TargetMode="External"/><Relationship Id="rId561" Type="http://schemas.openxmlformats.org/officeDocument/2006/relationships/hyperlink" Target="http://a.005-arp.0074.04.2024.gov.huoc.pe/" TargetMode="External"/><Relationship Id="rId659" Type="http://schemas.openxmlformats.org/officeDocument/2006/relationships/hyperlink" Target="http://a.003-arp.0059.00.2024.gov.procape.pe/" TargetMode="External"/><Relationship Id="rId866" Type="http://schemas.openxmlformats.org/officeDocument/2006/relationships/hyperlink" Target="http://arp.0008.02.2024.gov.huoc.pe/" TargetMode="External"/><Relationship Id="rId1289" Type="http://schemas.openxmlformats.org/officeDocument/2006/relationships/hyperlink" Target="http://a.009-arp.0006.02.2023.gov.ham.pe/" TargetMode="External"/><Relationship Id="rId1496" Type="http://schemas.openxmlformats.org/officeDocument/2006/relationships/hyperlink" Target="http://arp.0011.00.2025.gov.fes-pe.pe/" TargetMode="External"/><Relationship Id="rId2242" Type="http://schemas.openxmlformats.org/officeDocument/2006/relationships/hyperlink" Target="http://arp.0063.00.2024.gov.fes-pe.pe/" TargetMode="External"/><Relationship Id="rId2547" Type="http://schemas.openxmlformats.org/officeDocument/2006/relationships/hyperlink" Target="http://c.001-arp.0052.11.2024.gov.cisam.pe/" TargetMode="External"/><Relationship Id="rId214" Type="http://schemas.openxmlformats.org/officeDocument/2006/relationships/hyperlink" Target="http://arp.0088.04.2024.gov.huoc.pe/" TargetMode="External"/><Relationship Id="rId421" Type="http://schemas.openxmlformats.org/officeDocument/2006/relationships/hyperlink" Target="http://a.011-arp.0089.01.2024.gov.huoc.pe/" TargetMode="External"/><Relationship Id="rId519" Type="http://schemas.openxmlformats.org/officeDocument/2006/relationships/hyperlink" Target="http://a.009-arp.0016.05.2024.gov.hgv.pe/" TargetMode="External"/><Relationship Id="rId1051" Type="http://schemas.openxmlformats.org/officeDocument/2006/relationships/hyperlink" Target="http://a.001-arp.0013.00.2024.gov.hr.pe/" TargetMode="External"/><Relationship Id="rId1149" Type="http://schemas.openxmlformats.org/officeDocument/2006/relationships/hyperlink" Target="http://a.004-arp.0003.00.2023.gov.upegaranhuns.pe/" TargetMode="External"/><Relationship Id="rId1356" Type="http://schemas.openxmlformats.org/officeDocument/2006/relationships/hyperlink" Target="http://arp.0028.00.2023.gov.hgv.pe/" TargetMode="External"/><Relationship Id="rId2102" Type="http://schemas.openxmlformats.org/officeDocument/2006/relationships/hyperlink" Target="http://arp.0099.03.2024.gov.fes-pe.pe/" TargetMode="External"/><Relationship Id="rId2754" Type="http://schemas.openxmlformats.org/officeDocument/2006/relationships/hyperlink" Target="http://arp.0003.08.2023.gov.hra.pe/" TargetMode="External"/><Relationship Id="rId726" Type="http://schemas.openxmlformats.org/officeDocument/2006/relationships/hyperlink" Target="http://arp.0081.03.2024.gov.huoc.pe/" TargetMode="External"/><Relationship Id="rId933" Type="http://schemas.openxmlformats.org/officeDocument/2006/relationships/hyperlink" Target="http://a.003-arp.0009.10.2024.gov.hof.pe/" TargetMode="External"/><Relationship Id="rId1009" Type="http://schemas.openxmlformats.org/officeDocument/2006/relationships/hyperlink" Target="http://a.006-arp.0039.01.2024.gov.huoc.pe/" TargetMode="External"/><Relationship Id="rId1563" Type="http://schemas.openxmlformats.org/officeDocument/2006/relationships/hyperlink" Target="http://c.002-arp.0011.01.2025.gov.hgv.pe/" TargetMode="External"/><Relationship Id="rId1770" Type="http://schemas.openxmlformats.org/officeDocument/2006/relationships/hyperlink" Target="http://arp.0043.04.2025.gov.fes-pe.pe/" TargetMode="External"/><Relationship Id="rId1868" Type="http://schemas.openxmlformats.org/officeDocument/2006/relationships/hyperlink" Target="http://arp.0006.02.2025.gov.hof.pe/" TargetMode="External"/><Relationship Id="rId2407" Type="http://schemas.openxmlformats.org/officeDocument/2006/relationships/hyperlink" Target="http://c.009-arp.0064.00.2024.gov.fes-pe.pe/" TargetMode="External"/><Relationship Id="rId2614" Type="http://schemas.openxmlformats.org/officeDocument/2006/relationships/hyperlink" Target="http://arp.0031.16.2024.gov.fes-pe.pe/" TargetMode="External"/><Relationship Id="rId2821" Type="http://schemas.openxmlformats.org/officeDocument/2006/relationships/hyperlink" Target="http://c.001-arp.0007.00.2023.gov.hra.pe/" TargetMode="External"/><Relationship Id="rId62" Type="http://schemas.openxmlformats.org/officeDocument/2006/relationships/hyperlink" Target="http://arp.0013.02.2025.gov.hof.pe/" TargetMode="External"/><Relationship Id="rId1216" Type="http://schemas.openxmlformats.org/officeDocument/2006/relationships/hyperlink" Target="http://arp.0014.11.2023.gov.hr.pe/" TargetMode="External"/><Relationship Id="rId1423" Type="http://schemas.openxmlformats.org/officeDocument/2006/relationships/hyperlink" Target="http://c.002-arp.0115.02.2025.gov.fes-pe.pe/" TargetMode="External"/><Relationship Id="rId1630" Type="http://schemas.openxmlformats.org/officeDocument/2006/relationships/hyperlink" Target="http://arp.0083.06.2024.gov.fes-pe.pe/" TargetMode="External"/><Relationship Id="rId1728" Type="http://schemas.openxmlformats.org/officeDocument/2006/relationships/hyperlink" Target="http://arp.0049.00.2024.gov.fes-pe.pe/" TargetMode="External"/><Relationship Id="rId1935" Type="http://schemas.openxmlformats.org/officeDocument/2006/relationships/hyperlink" Target="http://c.001-arp.0027.08.2025.gov.fes-pe.pe/" TargetMode="External"/><Relationship Id="rId2197" Type="http://schemas.openxmlformats.org/officeDocument/2006/relationships/hyperlink" Target="http://c.001-arp.0097.00.2024.gov.fes-pe.pe/" TargetMode="External"/><Relationship Id="rId169" Type="http://schemas.openxmlformats.org/officeDocument/2006/relationships/hyperlink" Target="http://a.013-arp.0013.00.2024.gov.ham.pe/" TargetMode="External"/><Relationship Id="rId376" Type="http://schemas.openxmlformats.org/officeDocument/2006/relationships/hyperlink" Target="http://arp.0002.02.2025.gov.hemope.pe/" TargetMode="External"/><Relationship Id="rId583" Type="http://schemas.openxmlformats.org/officeDocument/2006/relationships/hyperlink" Target="http://a.004-arp.0009.07.2024.gov.sassepe.pe/" TargetMode="External"/><Relationship Id="rId790" Type="http://schemas.openxmlformats.org/officeDocument/2006/relationships/hyperlink" Target="http://arp.0002.04.2024.gov.hof.pe/" TargetMode="External"/><Relationship Id="rId2057" Type="http://schemas.openxmlformats.org/officeDocument/2006/relationships/hyperlink" Target="http://c.012-arp.0015.06.2025.gov.fes-pe.pe/" TargetMode="External"/><Relationship Id="rId2264" Type="http://schemas.openxmlformats.org/officeDocument/2006/relationships/hyperlink" Target="http://arp.0083.04.2024.gov.fes-pe.pe/" TargetMode="External"/><Relationship Id="rId2471" Type="http://schemas.openxmlformats.org/officeDocument/2006/relationships/hyperlink" Target="http://c.013-arp.0048.01.2024.gov.fes-pe.pe/" TargetMode="External"/><Relationship Id="rId4" Type="http://schemas.openxmlformats.org/officeDocument/2006/relationships/hyperlink" Target="http://arp.0004.00.2025.gov.hr.pe/" TargetMode="External"/><Relationship Id="rId236" Type="http://schemas.openxmlformats.org/officeDocument/2006/relationships/hyperlink" Target="http://arp.0076.04.2024.gov.procape.pe/" TargetMode="External"/><Relationship Id="rId443" Type="http://schemas.openxmlformats.org/officeDocument/2006/relationships/hyperlink" Target="http://a.007-arp.0003.11.2025.gov.procape.pe/" TargetMode="External"/><Relationship Id="rId650" Type="http://schemas.openxmlformats.org/officeDocument/2006/relationships/hyperlink" Target="http://arp.0044.00.2024.gov.procape.pe/" TargetMode="External"/><Relationship Id="rId888" Type="http://schemas.openxmlformats.org/officeDocument/2006/relationships/hyperlink" Target="http://arp.0012.01.2024.gov.dasis.pe/" TargetMode="External"/><Relationship Id="rId1073" Type="http://schemas.openxmlformats.org/officeDocument/2006/relationships/hyperlink" Target="http://a.019-arpc.0026.00.2023.gov.sad.pe/" TargetMode="External"/><Relationship Id="rId1280" Type="http://schemas.openxmlformats.org/officeDocument/2006/relationships/hyperlink" Target="http://arp.0009.07.2023.gov.hbl.pe/" TargetMode="External"/><Relationship Id="rId2124" Type="http://schemas.openxmlformats.org/officeDocument/2006/relationships/hyperlink" Target="http://arpc.0018.00.2024.gov.sad.pe/" TargetMode="External"/><Relationship Id="rId2331" Type="http://schemas.openxmlformats.org/officeDocument/2006/relationships/hyperlink" Target="http://c.006-arpc.0021.00.2024.gov.sad.pe/" TargetMode="External"/><Relationship Id="rId2569" Type="http://schemas.openxmlformats.org/officeDocument/2006/relationships/hyperlink" Target="http://c.011-arp.0025.04.2024.gov.fes-pe.pe/" TargetMode="External"/><Relationship Id="rId2776" Type="http://schemas.openxmlformats.org/officeDocument/2006/relationships/hyperlink" Target="http://arp.0003.05.2023.gov.hra.pe/" TargetMode="External"/><Relationship Id="rId303" Type="http://schemas.openxmlformats.org/officeDocument/2006/relationships/hyperlink" Target="http://a.002-arp.0006.03.2025.gov.procape.pe/" TargetMode="External"/><Relationship Id="rId748" Type="http://schemas.openxmlformats.org/officeDocument/2006/relationships/hyperlink" Target="http://arp.0024.00.2024.gov.hr.pe/" TargetMode="External"/><Relationship Id="rId955" Type="http://schemas.openxmlformats.org/officeDocument/2006/relationships/hyperlink" Target="http://a.009-arp.0011.00.2023.gov.upegaranhuns.pe/" TargetMode="External"/><Relationship Id="rId1140" Type="http://schemas.openxmlformats.org/officeDocument/2006/relationships/hyperlink" Target="http://arp.0118.00.2023.gov.huoc.pe/" TargetMode="External"/><Relationship Id="rId1378" Type="http://schemas.openxmlformats.org/officeDocument/2006/relationships/hyperlink" Target="http://arp.0003.01.2023.gov.hra.pe/" TargetMode="External"/><Relationship Id="rId1585" Type="http://schemas.openxmlformats.org/officeDocument/2006/relationships/hyperlink" Target="http://c.001-arp.0074.00.2025.gov.fes-pe.pe/" TargetMode="External"/><Relationship Id="rId1792" Type="http://schemas.openxmlformats.org/officeDocument/2006/relationships/hyperlink" Target="http://arp.0036.05.2025.gov.fes-pe.pe/" TargetMode="External"/><Relationship Id="rId2429" Type="http://schemas.openxmlformats.org/officeDocument/2006/relationships/hyperlink" Target="http://c.012-arp.0022.01.2024.gov.fes-pe.pe/" TargetMode="External"/><Relationship Id="rId2636" Type="http://schemas.openxmlformats.org/officeDocument/2006/relationships/hyperlink" Target="http://arp.0052.05.2024.gov.fes-pe.pe/" TargetMode="External"/><Relationship Id="rId2843" Type="http://schemas.openxmlformats.org/officeDocument/2006/relationships/hyperlink" Target="http://c.012-arpc.0009.00.2023.gov.sad.pe/" TargetMode="External"/><Relationship Id="rId84" Type="http://schemas.openxmlformats.org/officeDocument/2006/relationships/hyperlink" Target="http://arp.0011.03.2025.gov.hgv.pe/" TargetMode="External"/><Relationship Id="rId510" Type="http://schemas.openxmlformats.org/officeDocument/2006/relationships/hyperlink" Target="http://arp.0110.03.2024.gov.huoc.pe/" TargetMode="External"/><Relationship Id="rId608" Type="http://schemas.openxmlformats.org/officeDocument/2006/relationships/hyperlink" Target="http://arpc.0007.00.2024.gov.sad.pe/" TargetMode="External"/><Relationship Id="rId815" Type="http://schemas.openxmlformats.org/officeDocument/2006/relationships/hyperlink" Target="http://a.005-arp.0039.03.2024.gov.procape.pe/" TargetMode="External"/><Relationship Id="rId1238" Type="http://schemas.openxmlformats.org/officeDocument/2006/relationships/hyperlink" Target="http://arp.0014.09.2023.gov.ham.pe/" TargetMode="External"/><Relationship Id="rId1445" Type="http://schemas.openxmlformats.org/officeDocument/2006/relationships/hyperlink" Target="http://c.002-arp.0099.00.2025.gov.fes-pe.pe/" TargetMode="External"/><Relationship Id="rId1652" Type="http://schemas.openxmlformats.org/officeDocument/2006/relationships/hyperlink" Target="http://arp.0092.04.2024.gov.fes-pe.pe/" TargetMode="External"/><Relationship Id="rId1000" Type="http://schemas.openxmlformats.org/officeDocument/2006/relationships/hyperlink" Target="http://arp.0021.00.2024.gov.hr.pe/" TargetMode="External"/><Relationship Id="rId1305" Type="http://schemas.openxmlformats.org/officeDocument/2006/relationships/hyperlink" Target="http://a.004-arp.0014.00.2023.gov.hgv.pe/" TargetMode="External"/><Relationship Id="rId1957" Type="http://schemas.openxmlformats.org/officeDocument/2006/relationships/hyperlink" Target="http://c.001-arp.0019.00.2025.gov.fes-pe.pe/" TargetMode="External"/><Relationship Id="rId2703" Type="http://schemas.openxmlformats.org/officeDocument/2006/relationships/hyperlink" Target="http://c.005-arp.0003.05.2023.gov.hra.pe/" TargetMode="External"/><Relationship Id="rId1512" Type="http://schemas.openxmlformats.org/officeDocument/2006/relationships/hyperlink" Target="http://arp.0079.14.2025.gov.fes-pe.pe/" TargetMode="External"/><Relationship Id="rId1817" Type="http://schemas.openxmlformats.org/officeDocument/2006/relationships/hyperlink" Target="http://c.002-arp.0031.01.2025.gov.fes-pe.pe/" TargetMode="External"/><Relationship Id="rId11" Type="http://schemas.openxmlformats.org/officeDocument/2006/relationships/hyperlink" Target="http://a.013-arp.0013.02.2025.gov.hof.pe/" TargetMode="External"/><Relationship Id="rId398" Type="http://schemas.openxmlformats.org/officeDocument/2006/relationships/hyperlink" Target="http://arp.0010.00.2024.gov.hof.pe/" TargetMode="External"/><Relationship Id="rId2079" Type="http://schemas.openxmlformats.org/officeDocument/2006/relationships/hyperlink" Target="http://c.008-arp.0009.02.2025.gov.fes-pe.pe/" TargetMode="External"/><Relationship Id="rId160" Type="http://schemas.openxmlformats.org/officeDocument/2006/relationships/hyperlink" Target="http://arp.0106.00.2025.gov.huoc.pe/" TargetMode="External"/><Relationship Id="rId2286" Type="http://schemas.openxmlformats.org/officeDocument/2006/relationships/hyperlink" Target="http://arp.0647.14.2024.gov.fes-pe.pe/" TargetMode="External"/><Relationship Id="rId2493" Type="http://schemas.openxmlformats.org/officeDocument/2006/relationships/hyperlink" Target="http://c.015-arp.0046.02.2024.gov.fes-pe.pe/" TargetMode="External"/><Relationship Id="rId258" Type="http://schemas.openxmlformats.org/officeDocument/2006/relationships/hyperlink" Target="http://arp.0065.02.2024.gov.cisam.pe/" TargetMode="External"/><Relationship Id="rId465" Type="http://schemas.openxmlformats.org/officeDocument/2006/relationships/hyperlink" Target="http://a.001-arp.0004.01.2025.gov.hgv.pe/" TargetMode="External"/><Relationship Id="rId672" Type="http://schemas.openxmlformats.org/officeDocument/2006/relationships/hyperlink" Target="http://arp.0088.03.2024.gov.fes-pe.pe/" TargetMode="External"/><Relationship Id="rId1095" Type="http://schemas.openxmlformats.org/officeDocument/2006/relationships/hyperlink" Target="http://a.008-arp.0085.08.2023.gov.huoc.pe/" TargetMode="External"/><Relationship Id="rId2146" Type="http://schemas.openxmlformats.org/officeDocument/2006/relationships/hyperlink" Target="http://arp.0087.01.2024.gov.cisam.pe/" TargetMode="External"/><Relationship Id="rId2353" Type="http://schemas.openxmlformats.org/officeDocument/2006/relationships/hyperlink" Target="http://c.038-arp.0031.16.2024.gov.fes-pe.pe/" TargetMode="External"/><Relationship Id="rId2560" Type="http://schemas.openxmlformats.org/officeDocument/2006/relationships/hyperlink" Target="http://arp.0064.05.2024.gov.fes-pe.pe/" TargetMode="External"/><Relationship Id="rId2798" Type="http://schemas.openxmlformats.org/officeDocument/2006/relationships/hyperlink" Target="http://arp.0005.10.2023.gov.hra.pe/" TargetMode="External"/><Relationship Id="rId118" Type="http://schemas.openxmlformats.org/officeDocument/2006/relationships/hyperlink" Target="http://arp.0059.00.2025.gov.fes-pe.pe/" TargetMode="External"/><Relationship Id="rId325" Type="http://schemas.openxmlformats.org/officeDocument/2006/relationships/hyperlink" Target="http://a.002-arp.0034.00.2025.gov.huoc.pe/" TargetMode="External"/><Relationship Id="rId532" Type="http://schemas.openxmlformats.org/officeDocument/2006/relationships/hyperlink" Target="http://arp.0087.05.2024.gov.huoc.pe/" TargetMode="External"/><Relationship Id="rId977" Type="http://schemas.openxmlformats.org/officeDocument/2006/relationships/hyperlink" Target="http://a.008-arp.0011.00.2023.gov.upegaranhuns.pe/" TargetMode="External"/><Relationship Id="rId1162" Type="http://schemas.openxmlformats.org/officeDocument/2006/relationships/hyperlink" Target="http://arp.0071.14.2023.gov.procape.pe/" TargetMode="External"/><Relationship Id="rId2006" Type="http://schemas.openxmlformats.org/officeDocument/2006/relationships/hyperlink" Target="http://arpc.0001.00.2025.gov.sad.pe/" TargetMode="External"/><Relationship Id="rId2213" Type="http://schemas.openxmlformats.org/officeDocument/2006/relationships/hyperlink" Target="http://c.001-arp.0094.03.2024.gov.fes-pe.pe/" TargetMode="External"/><Relationship Id="rId2420" Type="http://schemas.openxmlformats.org/officeDocument/2006/relationships/hyperlink" Target="http://arp.0031.16.2024.gov.fes-pe.pe/" TargetMode="External"/><Relationship Id="rId2658" Type="http://schemas.openxmlformats.org/officeDocument/2006/relationships/hyperlink" Target="http://arpc.0006.00.2024.gov.sad.pe/" TargetMode="External"/><Relationship Id="rId837" Type="http://schemas.openxmlformats.org/officeDocument/2006/relationships/hyperlink" Target="http://a.007-arp.0046.01.2024.gov.huoc.pe/" TargetMode="External"/><Relationship Id="rId1022" Type="http://schemas.openxmlformats.org/officeDocument/2006/relationships/hyperlink" Target="http://arp.0049.04.2024.gov.huoc.pe/" TargetMode="External"/><Relationship Id="rId1467" Type="http://schemas.openxmlformats.org/officeDocument/2006/relationships/hyperlink" Target="http://c.009-arp.0044.02.2025.gov.fes-pe.pe/" TargetMode="External"/><Relationship Id="rId1674" Type="http://schemas.openxmlformats.org/officeDocument/2006/relationships/hyperlink" Target="http://arp.0021.00.2024.gov.hof.pe/" TargetMode="External"/><Relationship Id="rId1881" Type="http://schemas.openxmlformats.org/officeDocument/2006/relationships/hyperlink" Target="http://c.001-arp.0048.00.2025.gov.fes-pe.pe/" TargetMode="External"/><Relationship Id="rId2518" Type="http://schemas.openxmlformats.org/officeDocument/2006/relationships/hyperlink" Target="http://arp.0002.00.2024.gov.hra.pe/" TargetMode="External"/><Relationship Id="rId2725" Type="http://schemas.openxmlformats.org/officeDocument/2006/relationships/hyperlink" Target="http://c.003-arp.0018.00.2024.gov.fes-pe.pe/" TargetMode="External"/><Relationship Id="rId904" Type="http://schemas.openxmlformats.org/officeDocument/2006/relationships/hyperlink" Target="http://arp.0054.01.2024.gov.huoc.pe/" TargetMode="External"/><Relationship Id="rId1327" Type="http://schemas.openxmlformats.org/officeDocument/2006/relationships/hyperlink" Target="http://a.003-arp.0028.04.2023.gov.hgv.pe/" TargetMode="External"/><Relationship Id="rId1534" Type="http://schemas.openxmlformats.org/officeDocument/2006/relationships/hyperlink" Target="http://arp.0044.06.2025.gov.fes-pe.pe/" TargetMode="External"/><Relationship Id="rId1741" Type="http://schemas.openxmlformats.org/officeDocument/2006/relationships/hyperlink" Target="http://c.001-arp.0059.00.2025.gov.fes-pe.pe/" TargetMode="External"/><Relationship Id="rId1979" Type="http://schemas.openxmlformats.org/officeDocument/2006/relationships/hyperlink" Target="http://c.004-arp.0013.01.2025.gov.fes-pe.pe/" TargetMode="External"/><Relationship Id="rId33" Type="http://schemas.openxmlformats.org/officeDocument/2006/relationships/hyperlink" Target="http://a.031-arp.0001.01.2025.gov.huoc.pe/" TargetMode="External"/><Relationship Id="rId1601" Type="http://schemas.openxmlformats.org/officeDocument/2006/relationships/hyperlink" Target="http://c.002-arp.0012.07.2025.gov.ham.pe/" TargetMode="External"/><Relationship Id="rId1839" Type="http://schemas.openxmlformats.org/officeDocument/2006/relationships/hyperlink" Target="http://c.004-arp.0029.03.2025.gov.fes-pe.pe/" TargetMode="External"/><Relationship Id="rId182" Type="http://schemas.openxmlformats.org/officeDocument/2006/relationships/hyperlink" Target="http://arp.0082.06.2025.gov.huoc.pe/" TargetMode="External"/><Relationship Id="rId1906" Type="http://schemas.openxmlformats.org/officeDocument/2006/relationships/hyperlink" Target="http://arp.0010.00.2025.gov.cisam.pe/" TargetMode="External"/><Relationship Id="rId487" Type="http://schemas.openxmlformats.org/officeDocument/2006/relationships/hyperlink" Target="http://a.010-arp.0002.03.2024.ext.hmar.pe/" TargetMode="External"/><Relationship Id="rId694" Type="http://schemas.openxmlformats.org/officeDocument/2006/relationships/hyperlink" Target="http://arp.0013.00.2024.ext.hmar.pe/" TargetMode="External"/><Relationship Id="rId2070" Type="http://schemas.openxmlformats.org/officeDocument/2006/relationships/hyperlink" Target="http://arp.0014.02.2025.gov.fes-pe.pe/" TargetMode="External"/><Relationship Id="rId2168" Type="http://schemas.openxmlformats.org/officeDocument/2006/relationships/hyperlink" Target="http://arp.0097.02.2024.gov.fes-pe.pe/" TargetMode="External"/><Relationship Id="rId2375" Type="http://schemas.openxmlformats.org/officeDocument/2006/relationships/hyperlink" Target="http://c.004-arp.0066.02.2024.gov.fes-pe.pe/" TargetMode="External"/><Relationship Id="rId347" Type="http://schemas.openxmlformats.org/officeDocument/2006/relationships/hyperlink" Target="http://a.001-arp.0006.06.2025.gov.procape.pe/" TargetMode="External"/><Relationship Id="rId999" Type="http://schemas.openxmlformats.org/officeDocument/2006/relationships/hyperlink" Target="http://a.003-arp.0021.00.2024.gov.hr.pe/" TargetMode="External"/><Relationship Id="rId1184" Type="http://schemas.openxmlformats.org/officeDocument/2006/relationships/hyperlink" Target="http://arp.0041.05.2023.gov.cisam.pe/" TargetMode="External"/><Relationship Id="rId2028" Type="http://schemas.openxmlformats.org/officeDocument/2006/relationships/hyperlink" Target="http://arpc.0019.00.2024.gov.sad.pe/" TargetMode="External"/><Relationship Id="rId2582" Type="http://schemas.openxmlformats.org/officeDocument/2006/relationships/hyperlink" Target="http://arp.0061.06.2024.gov.fes-pe.pe/" TargetMode="External"/><Relationship Id="rId554" Type="http://schemas.openxmlformats.org/officeDocument/2006/relationships/hyperlink" Target="http://arp.0110.08.2024.gov.huoc.pe/" TargetMode="External"/><Relationship Id="rId761" Type="http://schemas.openxmlformats.org/officeDocument/2006/relationships/hyperlink" Target="http://a.007-arp.0006.00.2023.gov.upegaranhuns.pe/" TargetMode="External"/><Relationship Id="rId859" Type="http://schemas.openxmlformats.org/officeDocument/2006/relationships/hyperlink" Target="http://a.003-arp.0087.00.2023.gov.huoc.pe/" TargetMode="External"/><Relationship Id="rId1391" Type="http://schemas.openxmlformats.org/officeDocument/2006/relationships/hyperlink" Target="http://a.001-arp.0011.00.2023.gov.huoc.pe/" TargetMode="External"/><Relationship Id="rId1489" Type="http://schemas.openxmlformats.org/officeDocument/2006/relationships/hyperlink" Target="http://c.028-arp.0015.06.2025.gov.fes-pe.pe/" TargetMode="External"/><Relationship Id="rId1696" Type="http://schemas.openxmlformats.org/officeDocument/2006/relationships/hyperlink" Target="http://arp.0047.00.2025.gov.fes-pe.pe/" TargetMode="External"/><Relationship Id="rId2235" Type="http://schemas.openxmlformats.org/officeDocument/2006/relationships/hyperlink" Target="http://c.001-arp.0092.03.2024.gov.fes-pe.pe/" TargetMode="External"/><Relationship Id="rId2442" Type="http://schemas.openxmlformats.org/officeDocument/2006/relationships/hyperlink" Target="http://arp.0018.00.2024.gov.fes-pe.pe/" TargetMode="External"/><Relationship Id="rId207" Type="http://schemas.openxmlformats.org/officeDocument/2006/relationships/hyperlink" Target="http://a.030-arp.0031.00.2024.gov.hr.pe/" TargetMode="External"/><Relationship Id="rId414" Type="http://schemas.openxmlformats.org/officeDocument/2006/relationships/hyperlink" Target="http://arp.0006.04.2025.gov.procape.pe/" TargetMode="External"/><Relationship Id="rId621" Type="http://schemas.openxmlformats.org/officeDocument/2006/relationships/hyperlink" Target="http://a.003-arp.0087.05.2024.gov.huoc.pe/" TargetMode="External"/><Relationship Id="rId1044" Type="http://schemas.openxmlformats.org/officeDocument/2006/relationships/hyperlink" Target="http://arp.0001.02.2024.gov.hemope.pe/" TargetMode="External"/><Relationship Id="rId1251" Type="http://schemas.openxmlformats.org/officeDocument/2006/relationships/hyperlink" Target="http://a.004-arp.0031.04.2023.gov.hgv.pe/" TargetMode="External"/><Relationship Id="rId1349" Type="http://schemas.openxmlformats.org/officeDocument/2006/relationships/hyperlink" Target="http://a.004-arp.0011.03.2023.gov.dasis.pe/" TargetMode="External"/><Relationship Id="rId2302" Type="http://schemas.openxmlformats.org/officeDocument/2006/relationships/hyperlink" Target="http://arp.0075.00.2024.gov.fes-pe.pe/" TargetMode="External"/><Relationship Id="rId2747" Type="http://schemas.openxmlformats.org/officeDocument/2006/relationships/hyperlink" Target="http://c.003-arp.0096.00.2023.gov.fes-pe.pe/" TargetMode="External"/><Relationship Id="rId719" Type="http://schemas.openxmlformats.org/officeDocument/2006/relationships/hyperlink" Target="http://a.015-arp.0055.06.2024.gov.cisam.pe/" TargetMode="External"/><Relationship Id="rId926" Type="http://schemas.openxmlformats.org/officeDocument/2006/relationships/hyperlink" Target="http://arp.0050.06.2024.gov.huoc.pe/" TargetMode="External"/><Relationship Id="rId1111" Type="http://schemas.openxmlformats.org/officeDocument/2006/relationships/hyperlink" Target="http://a.004-arp.0026.07.2023.gov.ham.pe/" TargetMode="External"/><Relationship Id="rId1556" Type="http://schemas.openxmlformats.org/officeDocument/2006/relationships/hyperlink" Target="http://arp.0010.00.2025.gov.cisam.pe/" TargetMode="External"/><Relationship Id="rId1763" Type="http://schemas.openxmlformats.org/officeDocument/2006/relationships/hyperlink" Target="http://c.001-arp.0052.02.2025.gov.fes-pe.pe/" TargetMode="External"/><Relationship Id="rId1970" Type="http://schemas.openxmlformats.org/officeDocument/2006/relationships/hyperlink" Target="http://arp.0017.04.2025.gov.fes-pe.pe/" TargetMode="External"/><Relationship Id="rId2607" Type="http://schemas.openxmlformats.org/officeDocument/2006/relationships/hyperlink" Target="http://c.009-arp.0058.03.2024.gov.fes-pe.pe/" TargetMode="External"/><Relationship Id="rId2814" Type="http://schemas.openxmlformats.org/officeDocument/2006/relationships/hyperlink" Target="http://arp.0005.00.2023.gov.hra.pe/" TargetMode="External"/><Relationship Id="rId55" Type="http://schemas.openxmlformats.org/officeDocument/2006/relationships/hyperlink" Target="http://a.006-arp.0008.05.2025.gov.hgv.pe/" TargetMode="External"/><Relationship Id="rId1209" Type="http://schemas.openxmlformats.org/officeDocument/2006/relationships/hyperlink" Target="http://a.001-arp.0018.06.2023.gov.ham.pe/" TargetMode="External"/><Relationship Id="rId1416" Type="http://schemas.openxmlformats.org/officeDocument/2006/relationships/hyperlink" Target="http://arp.0115.06.2025.gov.fes-pe.pe/" TargetMode="External"/><Relationship Id="rId1623" Type="http://schemas.openxmlformats.org/officeDocument/2006/relationships/hyperlink" Target="http://c.005-arp.0006.01.2025.gov.cisam.pe/" TargetMode="External"/><Relationship Id="rId1830" Type="http://schemas.openxmlformats.org/officeDocument/2006/relationships/hyperlink" Target="http://arp.0068.09.2024.gov.fes-pe.pe/" TargetMode="External"/><Relationship Id="rId1928" Type="http://schemas.openxmlformats.org/officeDocument/2006/relationships/hyperlink" Target="http://arp.0027.04.2025.gov.fes-pe.pe/" TargetMode="External"/><Relationship Id="rId2092" Type="http://schemas.openxmlformats.org/officeDocument/2006/relationships/hyperlink" Target="http://arp.0005.01.2025.gov.fes-pe.pe/" TargetMode="External"/><Relationship Id="rId271" Type="http://schemas.openxmlformats.org/officeDocument/2006/relationships/hyperlink" Target="http://a.001-arp.0010.02.2025.gov.fes-pe.pe/" TargetMode="External"/><Relationship Id="rId2397" Type="http://schemas.openxmlformats.org/officeDocument/2006/relationships/hyperlink" Target="http://c.015-arp.0025.06.2024.gov.fes-pe.pe/" TargetMode="External"/><Relationship Id="rId131" Type="http://schemas.openxmlformats.org/officeDocument/2006/relationships/hyperlink" Target="http://a.002-arp.0010.02.2025.gov.hof.pe/" TargetMode="External"/><Relationship Id="rId369" Type="http://schemas.openxmlformats.org/officeDocument/2006/relationships/hyperlink" Target="http://a.027-arp.0041.00.2024.gov.hr.pe/" TargetMode="External"/><Relationship Id="rId576" Type="http://schemas.openxmlformats.org/officeDocument/2006/relationships/hyperlink" Target="http://arp.0003.01.2025.gov.huoc.pe/" TargetMode="External"/><Relationship Id="rId783" Type="http://schemas.openxmlformats.org/officeDocument/2006/relationships/hyperlink" Target="http://a.003-arp.0107.00.2023.gov.fes-pe.pe/" TargetMode="External"/><Relationship Id="rId990" Type="http://schemas.openxmlformats.org/officeDocument/2006/relationships/hyperlink" Target="http://arp.1101.01.2024.ext.hmar.pe/" TargetMode="External"/><Relationship Id="rId2257" Type="http://schemas.openxmlformats.org/officeDocument/2006/relationships/hyperlink" Target="http://c.018-arp.0024.01.2024.gov.fes-pe.pe/" TargetMode="External"/><Relationship Id="rId2464" Type="http://schemas.openxmlformats.org/officeDocument/2006/relationships/hyperlink" Target="http://arpc.0014.00.2024.gov.sad.pe/" TargetMode="External"/><Relationship Id="rId2671" Type="http://schemas.openxmlformats.org/officeDocument/2006/relationships/hyperlink" Target="http://c.007-arpc.0018.00.2023.gov.sad.pe/" TargetMode="External"/><Relationship Id="rId229" Type="http://schemas.openxmlformats.org/officeDocument/2006/relationships/hyperlink" Target="http://a.036-arp.0041.00.2024.gov.hr.pe/" TargetMode="External"/><Relationship Id="rId436" Type="http://schemas.openxmlformats.org/officeDocument/2006/relationships/hyperlink" Target="http://arp.0074.01.2024.gov.huoc.pe/" TargetMode="External"/><Relationship Id="rId643" Type="http://schemas.openxmlformats.org/officeDocument/2006/relationships/hyperlink" Target="http://a.027-arp.0030.01.2024.gov.cisam.pe/" TargetMode="External"/><Relationship Id="rId1066" Type="http://schemas.openxmlformats.org/officeDocument/2006/relationships/hyperlink" Target="http://arp.0029.00.2023.gov.hof.pe/" TargetMode="External"/><Relationship Id="rId1273" Type="http://schemas.openxmlformats.org/officeDocument/2006/relationships/hyperlink" Target="http://a.006-arp.0047.06.2023.gov.huoc.pe/" TargetMode="External"/><Relationship Id="rId1480" Type="http://schemas.openxmlformats.org/officeDocument/2006/relationships/hyperlink" Target="http://arp.0059.02.2025.gov.fes-pe.pe/" TargetMode="External"/><Relationship Id="rId2117" Type="http://schemas.openxmlformats.org/officeDocument/2006/relationships/hyperlink" Target="http://c.004-arpc.0002.00.2025.gov.sad.pe/" TargetMode="External"/><Relationship Id="rId2324" Type="http://schemas.openxmlformats.org/officeDocument/2006/relationships/hyperlink" Target="http://arp.0083.03.2024.gov.fes-pe.pe/" TargetMode="External"/><Relationship Id="rId2769" Type="http://schemas.openxmlformats.org/officeDocument/2006/relationships/hyperlink" Target="http://c.003-arp.0003.08.2023.gov.hra.pe/" TargetMode="External"/><Relationship Id="rId850" Type="http://schemas.openxmlformats.org/officeDocument/2006/relationships/hyperlink" Target="http://arp.0001.01.2024.gov.hemope.pe/" TargetMode="External"/><Relationship Id="rId948" Type="http://schemas.openxmlformats.org/officeDocument/2006/relationships/hyperlink" Target="http://arp.0001.07.2024.gov.hof.pe/" TargetMode="External"/><Relationship Id="rId1133" Type="http://schemas.openxmlformats.org/officeDocument/2006/relationships/hyperlink" Target="http://a.004-arp.0022.20.2023.gov.ham.pe/" TargetMode="External"/><Relationship Id="rId1578" Type="http://schemas.openxmlformats.org/officeDocument/2006/relationships/hyperlink" Target="http://arp.0008.01.2025.gov.ham.pe/" TargetMode="External"/><Relationship Id="rId1785" Type="http://schemas.openxmlformats.org/officeDocument/2006/relationships/hyperlink" Target="http://c.001-arp.0036.08.2025.gov.fes-pe.pe/" TargetMode="External"/><Relationship Id="rId1992" Type="http://schemas.openxmlformats.org/officeDocument/2006/relationships/hyperlink" Target="http://arp.0012.02.2025.gov.fes-pe.pe/" TargetMode="External"/><Relationship Id="rId2531" Type="http://schemas.openxmlformats.org/officeDocument/2006/relationships/hyperlink" Target="http://c.007-arp.0063.10.2024.gov.fes-pe.pe/" TargetMode="External"/><Relationship Id="rId2629" Type="http://schemas.openxmlformats.org/officeDocument/2006/relationships/hyperlink" Target="http://c.002-arp.0052.00.2024.gov.fes-pe.pe/" TargetMode="External"/><Relationship Id="rId2836" Type="http://schemas.openxmlformats.org/officeDocument/2006/relationships/hyperlink" Target="http://arp.0003.02.2023.gov.hra.pe/" TargetMode="External"/><Relationship Id="rId77" Type="http://schemas.openxmlformats.org/officeDocument/2006/relationships/hyperlink" Target="http://a.007-arp.0005.00.2025.gov.feas.pe/" TargetMode="External"/><Relationship Id="rId503" Type="http://schemas.openxmlformats.org/officeDocument/2006/relationships/hyperlink" Target="http://a.011-arp.0084.05.2024.gov.procape.pe/" TargetMode="External"/><Relationship Id="rId710" Type="http://schemas.openxmlformats.org/officeDocument/2006/relationships/hyperlink" Target="http://arp.0069.02.2024.gov.huoc.pe/" TargetMode="External"/><Relationship Id="rId808" Type="http://schemas.openxmlformats.org/officeDocument/2006/relationships/hyperlink" Target="http://arp.0044.08.2024.gov.procape.pe/" TargetMode="External"/><Relationship Id="rId1340" Type="http://schemas.openxmlformats.org/officeDocument/2006/relationships/hyperlink" Target="http://arp.0028.00.2023.gov.hgv.pe/" TargetMode="External"/><Relationship Id="rId1438" Type="http://schemas.openxmlformats.org/officeDocument/2006/relationships/hyperlink" Target="http://arp.0077.00.2025.gov.fes-pe.pe/" TargetMode="External"/><Relationship Id="rId1645" Type="http://schemas.openxmlformats.org/officeDocument/2006/relationships/hyperlink" Target="http://c.011-arp.0053.02.2025.gov.fes-pe.pe/" TargetMode="External"/><Relationship Id="rId1200" Type="http://schemas.openxmlformats.org/officeDocument/2006/relationships/hyperlink" Target="http://arp.0028.00.2023.gov.hr.pe/" TargetMode="External"/><Relationship Id="rId1852" Type="http://schemas.openxmlformats.org/officeDocument/2006/relationships/hyperlink" Target="http://arp.0009.02.2025.gov.fes-pe.pe/" TargetMode="External"/><Relationship Id="rId1505" Type="http://schemas.openxmlformats.org/officeDocument/2006/relationships/hyperlink" Target="http://c.014-arp.0044.06.2025.gov.fes-pe.pe/" TargetMode="External"/><Relationship Id="rId1712" Type="http://schemas.openxmlformats.org/officeDocument/2006/relationships/hyperlink" Target="http://arp.0002.00.2025.gov.ses.pe/" TargetMode="External"/><Relationship Id="rId293" Type="http://schemas.openxmlformats.org/officeDocument/2006/relationships/hyperlink" Target="http://a.026-arp.0084.05.2024.gov.procape.pe/" TargetMode="External"/><Relationship Id="rId2181" Type="http://schemas.openxmlformats.org/officeDocument/2006/relationships/hyperlink" Target="http://c.005-arpc.0029.00.2024.gov.sad.pe/" TargetMode="External"/><Relationship Id="rId153" Type="http://schemas.openxmlformats.org/officeDocument/2006/relationships/hyperlink" Target="http://a.010-arp.0059.02.2025.gov.procape.pe/" TargetMode="External"/><Relationship Id="rId360" Type="http://schemas.openxmlformats.org/officeDocument/2006/relationships/hyperlink" Target="http://arp.0050.00.2024.gov.cisam.pe/" TargetMode="External"/><Relationship Id="rId598" Type="http://schemas.openxmlformats.org/officeDocument/2006/relationships/hyperlink" Target="http://arp.0045.00.2024.gov.hr.pe/" TargetMode="External"/><Relationship Id="rId2041" Type="http://schemas.openxmlformats.org/officeDocument/2006/relationships/hyperlink" Target="http://c.004-arp.0015.05.2025.gov.fes-pe.pe/" TargetMode="External"/><Relationship Id="rId2279" Type="http://schemas.openxmlformats.org/officeDocument/2006/relationships/hyperlink" Target="http://c.010-arp.0049.00.2024.gov.fes-pe.pe/" TargetMode="External"/><Relationship Id="rId2486" Type="http://schemas.openxmlformats.org/officeDocument/2006/relationships/hyperlink" Target="http://arp.0107.00.2023.gov.fes-pe.pe/" TargetMode="External"/><Relationship Id="rId2693" Type="http://schemas.openxmlformats.org/officeDocument/2006/relationships/hyperlink" Target="http://c.001-arp.0001.00.2024.gov.hra.pe/" TargetMode="External"/><Relationship Id="rId220" Type="http://schemas.openxmlformats.org/officeDocument/2006/relationships/hyperlink" Target="http://arp.0119.04.2024.gov.huoc.pe/" TargetMode="External"/><Relationship Id="rId458" Type="http://schemas.openxmlformats.org/officeDocument/2006/relationships/hyperlink" Target="http://arp.0090.04.2024.gov.procape.pe/" TargetMode="External"/><Relationship Id="rId665" Type="http://schemas.openxmlformats.org/officeDocument/2006/relationships/hyperlink" Target="http://a.005-arp.0001.00.2024.gov.hgv.pe/" TargetMode="External"/><Relationship Id="rId872" Type="http://schemas.openxmlformats.org/officeDocument/2006/relationships/hyperlink" Target="http://arp.0006.01.2024.gov.hgv.pe/" TargetMode="External"/><Relationship Id="rId1088" Type="http://schemas.openxmlformats.org/officeDocument/2006/relationships/hyperlink" Target="http://arp.0085.05.2023.gov.huoc.pe/" TargetMode="External"/><Relationship Id="rId1295" Type="http://schemas.openxmlformats.org/officeDocument/2006/relationships/hyperlink" Target="http://a.014-arp.0016.03.2023.gov.ham.pe/" TargetMode="External"/><Relationship Id="rId1309" Type="http://schemas.openxmlformats.org/officeDocument/2006/relationships/hyperlink" Target="http://a.004-arp.0006.13.2023.gov.ham.pe/" TargetMode="External"/><Relationship Id="rId1516" Type="http://schemas.openxmlformats.org/officeDocument/2006/relationships/hyperlink" Target="http://arp.0068.04.2025.gov.fes-pe.pe/" TargetMode="External"/><Relationship Id="rId1723" Type="http://schemas.openxmlformats.org/officeDocument/2006/relationships/hyperlink" Target="http://c.003-arpc.0006.00.2025.gov.sad.pe/" TargetMode="External"/><Relationship Id="rId1930" Type="http://schemas.openxmlformats.org/officeDocument/2006/relationships/hyperlink" Target="http://arp.0027.05.2025.gov.fes-pe.pe/" TargetMode="External"/><Relationship Id="rId2139" Type="http://schemas.openxmlformats.org/officeDocument/2006/relationships/hyperlink" Target="http://c.002-arp.0087.00.2024.gov.cisam.pe/" TargetMode="External"/><Relationship Id="rId2346" Type="http://schemas.openxmlformats.org/officeDocument/2006/relationships/hyperlink" Target="http://arp.0075.01.2024.gov.fes-pe.pe/" TargetMode="External"/><Relationship Id="rId2553" Type="http://schemas.openxmlformats.org/officeDocument/2006/relationships/hyperlink" Target="http://c.001-arp.0052.07.2024.gov.cisam.pe/" TargetMode="External"/><Relationship Id="rId2760" Type="http://schemas.openxmlformats.org/officeDocument/2006/relationships/hyperlink" Target="http://arpc.0003.00.2023.gov.sad.pe/" TargetMode="External"/><Relationship Id="rId15" Type="http://schemas.openxmlformats.org/officeDocument/2006/relationships/hyperlink" Target="http://a.008-arp.0008.05.2025.gov.hgv.pe/" TargetMode="External"/><Relationship Id="rId318" Type="http://schemas.openxmlformats.org/officeDocument/2006/relationships/hyperlink" Target="http://arp.0045.02.2025.gov.procape.pe/" TargetMode="External"/><Relationship Id="rId525" Type="http://schemas.openxmlformats.org/officeDocument/2006/relationships/hyperlink" Target="http://a.030-arp.0030.01.2024.gov.cisam.pe/" TargetMode="External"/><Relationship Id="rId732" Type="http://schemas.openxmlformats.org/officeDocument/2006/relationships/hyperlink" Target="http://arp.0120.03.2023.gov.procape.pe/" TargetMode="External"/><Relationship Id="rId1155" Type="http://schemas.openxmlformats.org/officeDocument/2006/relationships/hyperlink" Target="http://a.003-arp.0001.00.2024.ext.ba/" TargetMode="External"/><Relationship Id="rId1362" Type="http://schemas.openxmlformats.org/officeDocument/2006/relationships/hyperlink" Target="http://arp.0032.12.2023.gov.procape.pe/" TargetMode="External"/><Relationship Id="rId2192" Type="http://schemas.openxmlformats.org/officeDocument/2006/relationships/hyperlink" Target="http://arp.0031.11.2024.gov.fes-pe.pe/" TargetMode="External"/><Relationship Id="rId2206" Type="http://schemas.openxmlformats.org/officeDocument/2006/relationships/hyperlink" Target="http://arp.0048.01.2024.gov.fes-pe.pe/" TargetMode="External"/><Relationship Id="rId2413" Type="http://schemas.openxmlformats.org/officeDocument/2006/relationships/hyperlink" Target="http://c.028-arp.0031.16.2024.gov.fes-pe.pe/" TargetMode="External"/><Relationship Id="rId2620" Type="http://schemas.openxmlformats.org/officeDocument/2006/relationships/hyperlink" Target="http://arp.0018.00.2024.gov.fes-pe.pe/" TargetMode="External"/><Relationship Id="rId99" Type="http://schemas.openxmlformats.org/officeDocument/2006/relationships/hyperlink" Target="http://a.003-arp.0008.02.2025.gov.hgv.pe/" TargetMode="External"/><Relationship Id="rId164" Type="http://schemas.openxmlformats.org/officeDocument/2006/relationships/hyperlink" Target="http://arp.0044.06.2025.gov.fes-pe.pe/" TargetMode="External"/><Relationship Id="rId371" Type="http://schemas.openxmlformats.org/officeDocument/2006/relationships/hyperlink" Target="http://a.026-arp.0041.00.2024.gov.hr.pe/" TargetMode="External"/><Relationship Id="rId1015" Type="http://schemas.openxmlformats.org/officeDocument/2006/relationships/hyperlink" Target="http://a.010-arp.0001.06.2024.gov.hof.pe/" TargetMode="External"/><Relationship Id="rId1222" Type="http://schemas.openxmlformats.org/officeDocument/2006/relationships/hyperlink" Target="http://arp.0012.01.2023.gov.hr.pe/" TargetMode="External"/><Relationship Id="rId1667" Type="http://schemas.openxmlformats.org/officeDocument/2006/relationships/hyperlink" Target="http://c.007-arp.0019.02.2025.gov.fes-pe.pe/" TargetMode="External"/><Relationship Id="rId1874" Type="http://schemas.openxmlformats.org/officeDocument/2006/relationships/hyperlink" Target="http://arp.0048.02.2025.gov.fes-pe.pe/" TargetMode="External"/><Relationship Id="rId2052" Type="http://schemas.openxmlformats.org/officeDocument/2006/relationships/hyperlink" Target="http://arp.0016.00.2025.gov.fes-pe.pe/" TargetMode="External"/><Relationship Id="rId2497" Type="http://schemas.openxmlformats.org/officeDocument/2006/relationships/hyperlink" Target="http://c.012-arp.0064.02.2024.gov.fes-pe.pe/" TargetMode="External"/><Relationship Id="rId2718" Type="http://schemas.openxmlformats.org/officeDocument/2006/relationships/hyperlink" Target="http://arp.0025.02.2024.gov.fes-pe.pe/" TargetMode="External"/><Relationship Id="rId469" Type="http://schemas.openxmlformats.org/officeDocument/2006/relationships/hyperlink" Target="http://a.005-arp.0059.00.2024.gov.cisam.pe/" TargetMode="External"/><Relationship Id="rId676" Type="http://schemas.openxmlformats.org/officeDocument/2006/relationships/hyperlink" Target="http://arp.0002.02.2024.gov.sassepe.pe/" TargetMode="External"/><Relationship Id="rId883" Type="http://schemas.openxmlformats.org/officeDocument/2006/relationships/hyperlink" Target="http://a.004-arp.0048.03.2024.gov.huoc.pe/" TargetMode="External"/><Relationship Id="rId1099" Type="http://schemas.openxmlformats.org/officeDocument/2006/relationships/hyperlink" Target="http://a.002-arp.0026.03.2023.gov.ham.pe/" TargetMode="External"/><Relationship Id="rId1527" Type="http://schemas.openxmlformats.org/officeDocument/2006/relationships/hyperlink" Target="http://c.003-arp.0079.04.2025.gov.fes-pe.pe/" TargetMode="External"/><Relationship Id="rId1734" Type="http://schemas.openxmlformats.org/officeDocument/2006/relationships/hyperlink" Target="http://arp.0046.02.2024.gov.fes-pe.pe/" TargetMode="External"/><Relationship Id="rId1941" Type="http://schemas.openxmlformats.org/officeDocument/2006/relationships/hyperlink" Target="http://c.004-arp.0022.00.2025.gov.fes-pe.pe/" TargetMode="External"/><Relationship Id="rId2357" Type="http://schemas.openxmlformats.org/officeDocument/2006/relationships/hyperlink" Target="http://c.036-arp.0031.16.2024.gov.fes-pe.pe/" TargetMode="External"/><Relationship Id="rId2564" Type="http://schemas.openxmlformats.org/officeDocument/2006/relationships/hyperlink" Target="http://arp.0025.04.2024.gov.fes-pe.pe/" TargetMode="External"/><Relationship Id="rId26" Type="http://schemas.openxmlformats.org/officeDocument/2006/relationships/hyperlink" Target="http://arp.0009.02.2025.gov.fes-pe.pe/" TargetMode="External"/><Relationship Id="rId231" Type="http://schemas.openxmlformats.org/officeDocument/2006/relationships/hyperlink" Target="http://a.018-arp.0005.12.2025.gov.hemope.pe/" TargetMode="External"/><Relationship Id="rId329" Type="http://schemas.openxmlformats.org/officeDocument/2006/relationships/hyperlink" Target="http://a.003-arp.0008.05.2025.gov.hgv.pe/" TargetMode="External"/><Relationship Id="rId536" Type="http://schemas.openxmlformats.org/officeDocument/2006/relationships/hyperlink" Target="http://arp.0087.05.2024.gov.huoc.pe/" TargetMode="External"/><Relationship Id="rId1166" Type="http://schemas.openxmlformats.org/officeDocument/2006/relationships/hyperlink" Target="http://arp.0029.03.2023.gov.hgv.pe/" TargetMode="External"/><Relationship Id="rId1373" Type="http://schemas.openxmlformats.org/officeDocument/2006/relationships/hyperlink" Target="http://a.002-arp.0003.00.2023.gov.hra.pe/" TargetMode="External"/><Relationship Id="rId2217" Type="http://schemas.openxmlformats.org/officeDocument/2006/relationships/hyperlink" Target="http://c.002-arp.0094.01.2024.gov.fes-pe.pe/" TargetMode="External"/><Relationship Id="rId2771" Type="http://schemas.openxmlformats.org/officeDocument/2006/relationships/hyperlink" Target="http://c.002-arp.0003.06.2023.gov.hra.pe/" TargetMode="External"/><Relationship Id="rId175" Type="http://schemas.openxmlformats.org/officeDocument/2006/relationships/hyperlink" Target="http://a.004-arp.0090.04.2025.gov.huoc.pe/" TargetMode="External"/><Relationship Id="rId743" Type="http://schemas.openxmlformats.org/officeDocument/2006/relationships/hyperlink" Target="http://a.010-arp.0071.02.2024.gov.huoc.pe/" TargetMode="External"/><Relationship Id="rId950" Type="http://schemas.openxmlformats.org/officeDocument/2006/relationships/hyperlink" Target="http://arp.0011.00.2023.gov.upegaranhuns.pe/" TargetMode="External"/><Relationship Id="rId1026" Type="http://schemas.openxmlformats.org/officeDocument/2006/relationships/hyperlink" Target="http://arp.0049.03.2024.gov.huoc.pe/" TargetMode="External"/><Relationship Id="rId1580" Type="http://schemas.openxmlformats.org/officeDocument/2006/relationships/hyperlink" Target="http://arp.0064.02.2024.gov.fes-pe.pe/" TargetMode="External"/><Relationship Id="rId1678" Type="http://schemas.openxmlformats.org/officeDocument/2006/relationships/hyperlink" Target="http://arp.0010.02.2025.gov.fes-pe.pe/" TargetMode="External"/><Relationship Id="rId1801" Type="http://schemas.openxmlformats.org/officeDocument/2006/relationships/hyperlink" Target="http://c.006-arp.0035.03.2025.gov.fes-pe.pe/" TargetMode="External"/><Relationship Id="rId1885" Type="http://schemas.openxmlformats.org/officeDocument/2006/relationships/hyperlink" Target="http://c.006-arp.0010.00.2025.gov.cisam.pe/" TargetMode="External"/><Relationship Id="rId2424" Type="http://schemas.openxmlformats.org/officeDocument/2006/relationships/hyperlink" Target="http://arpc.0015.02.2024.gov.sad.pe/" TargetMode="External"/><Relationship Id="rId2631" Type="http://schemas.openxmlformats.org/officeDocument/2006/relationships/hyperlink" Target="http://c.004-arp.0005.05.2023.gov.hra.pe/" TargetMode="External"/><Relationship Id="rId2729" Type="http://schemas.openxmlformats.org/officeDocument/2006/relationships/hyperlink" Target="http://c.006-arp.0003.08.2023.gov.hra.pe/" TargetMode="External"/><Relationship Id="rId382" Type="http://schemas.openxmlformats.org/officeDocument/2006/relationships/hyperlink" Target="http://arp.0020.03.2024.gov.ham.pe/" TargetMode="External"/><Relationship Id="rId603" Type="http://schemas.openxmlformats.org/officeDocument/2006/relationships/hyperlink" Target="http://a.003-arp.0110.01.2024.gov.huoc.pe/" TargetMode="External"/><Relationship Id="rId687" Type="http://schemas.openxmlformats.org/officeDocument/2006/relationships/hyperlink" Target="http://a.006-arp.0076.02.2024.gov.huoc.pe/" TargetMode="External"/><Relationship Id="rId810" Type="http://schemas.openxmlformats.org/officeDocument/2006/relationships/hyperlink" Target="http://arp.0031.00.2024.gov.hr.pe/" TargetMode="External"/><Relationship Id="rId908" Type="http://schemas.openxmlformats.org/officeDocument/2006/relationships/hyperlink" Target="http://arp.0007.00.2024.gov.huoc.pe/" TargetMode="External"/><Relationship Id="rId1233" Type="http://schemas.openxmlformats.org/officeDocument/2006/relationships/hyperlink" Target="http://a.008-arp.0028.02.2023.gov.hr.pe/" TargetMode="External"/><Relationship Id="rId1440" Type="http://schemas.openxmlformats.org/officeDocument/2006/relationships/hyperlink" Target="http://arp.0010.03.2025.gov.fes-pe.pe/" TargetMode="External"/><Relationship Id="rId1538" Type="http://schemas.openxmlformats.org/officeDocument/2006/relationships/hyperlink" Target="http://arp.0016.03.2025.gov.fes-pe.pe/" TargetMode="External"/><Relationship Id="rId2063" Type="http://schemas.openxmlformats.org/officeDocument/2006/relationships/hyperlink" Target="http://c.006-arp.0014.02.2025.gov.fes-pe.pe/" TargetMode="External"/><Relationship Id="rId2270" Type="http://schemas.openxmlformats.org/officeDocument/2006/relationships/hyperlink" Target="http://arp.0088.00.2024.gov.fes-pe.pe/" TargetMode="External"/><Relationship Id="rId2368" Type="http://schemas.openxmlformats.org/officeDocument/2006/relationships/hyperlink" Target="http://arp.0031.16.2024.gov.fes-pe.pe/" TargetMode="External"/><Relationship Id="rId242" Type="http://schemas.openxmlformats.org/officeDocument/2006/relationships/hyperlink" Target="http://arp.0080.02.2024.gov.cisam.pe/" TargetMode="External"/><Relationship Id="rId894" Type="http://schemas.openxmlformats.org/officeDocument/2006/relationships/hyperlink" Target="http://arp.0050.03.2024.gov.huoc.pe/" TargetMode="External"/><Relationship Id="rId1177" Type="http://schemas.openxmlformats.org/officeDocument/2006/relationships/hyperlink" Target="http://a.002-arp.0011.00.2023.gov.hgv.pe/" TargetMode="External"/><Relationship Id="rId1300" Type="http://schemas.openxmlformats.org/officeDocument/2006/relationships/hyperlink" Target="http://arp.0019.00.2023.gov.ham.pe/" TargetMode="External"/><Relationship Id="rId1745" Type="http://schemas.openxmlformats.org/officeDocument/2006/relationships/hyperlink" Target="http://c.007-arp.0010.05.2025.gov.fes-pe.pe/" TargetMode="External"/><Relationship Id="rId1952" Type="http://schemas.openxmlformats.org/officeDocument/2006/relationships/hyperlink" Target="http://arp.0021.01.2025.gov.fes-pe.pe/" TargetMode="External"/><Relationship Id="rId2130" Type="http://schemas.openxmlformats.org/officeDocument/2006/relationships/hyperlink" Target="http://arp.0088.01.2024.gov.cisam.pe/" TargetMode="External"/><Relationship Id="rId2575" Type="http://schemas.openxmlformats.org/officeDocument/2006/relationships/hyperlink" Target="http://c.007-arp.0061.02.2024.gov.fes-pe.pe/" TargetMode="External"/><Relationship Id="rId2782" Type="http://schemas.openxmlformats.org/officeDocument/2006/relationships/hyperlink" Target="http://arp.0003.03.2023.gov.hra.pe/" TargetMode="External"/><Relationship Id="rId37" Type="http://schemas.openxmlformats.org/officeDocument/2006/relationships/hyperlink" Target="http://a.029-arp.0001.01.2025.gov.huoc.pe/" TargetMode="External"/><Relationship Id="rId102" Type="http://schemas.openxmlformats.org/officeDocument/2006/relationships/hyperlink" Target="http://arp.0010.05.2025.gov.ham.pe/" TargetMode="External"/><Relationship Id="rId547" Type="http://schemas.openxmlformats.org/officeDocument/2006/relationships/hyperlink" Target="http://a.005-arpc.0004.00.2024.gov.sad.pe/" TargetMode="External"/><Relationship Id="rId754" Type="http://schemas.openxmlformats.org/officeDocument/2006/relationships/hyperlink" Target="http://arp.0009.00.2024.gov.hof.pe/" TargetMode="External"/><Relationship Id="rId961" Type="http://schemas.openxmlformats.org/officeDocument/2006/relationships/hyperlink" Target="http://a.003-arp.0022.00.2024.gov.hr.pe/" TargetMode="External"/><Relationship Id="rId1384" Type="http://schemas.openxmlformats.org/officeDocument/2006/relationships/hyperlink" Target="http://arp.0003.05.2023.gov.hra.pe/" TargetMode="External"/><Relationship Id="rId1591" Type="http://schemas.openxmlformats.org/officeDocument/2006/relationships/hyperlink" Target="http://c.005-arp.0045.00.2025.gov.fes-pe.pe/" TargetMode="External"/><Relationship Id="rId1605" Type="http://schemas.openxmlformats.org/officeDocument/2006/relationships/hyperlink" Target="http://c.007-arp.0052.11.2024.gov.cisam.pe/" TargetMode="External"/><Relationship Id="rId1689" Type="http://schemas.openxmlformats.org/officeDocument/2006/relationships/hyperlink" Target="http://c.002-arp.0017.03.2024.gov.hof.pe/" TargetMode="External"/><Relationship Id="rId1812" Type="http://schemas.openxmlformats.org/officeDocument/2006/relationships/hyperlink" Target="http://arp.0031.04.2025.gov.fes-pe.pe/" TargetMode="External"/><Relationship Id="rId2228" Type="http://schemas.openxmlformats.org/officeDocument/2006/relationships/hyperlink" Target="http://arp.0092.02.2024.gov.fes-pe.pe/" TargetMode="External"/><Relationship Id="rId2435" Type="http://schemas.openxmlformats.org/officeDocument/2006/relationships/hyperlink" Target="http://c.021-arp.0031.16.2024.gov.fes-pe.pe/" TargetMode="External"/><Relationship Id="rId2642" Type="http://schemas.openxmlformats.org/officeDocument/2006/relationships/hyperlink" Target="http://arpc.0026.00.2023.gov.sad.pe/" TargetMode="External"/><Relationship Id="rId90" Type="http://schemas.openxmlformats.org/officeDocument/2006/relationships/hyperlink" Target="http://arp.0009.01.2025.ext.hmar.pe/" TargetMode="External"/><Relationship Id="rId186" Type="http://schemas.openxmlformats.org/officeDocument/2006/relationships/hyperlink" Target="http://arp.0073.00.2025.gov.fes-pe.pe/" TargetMode="External"/><Relationship Id="rId393" Type="http://schemas.openxmlformats.org/officeDocument/2006/relationships/hyperlink" Target="http://a.003-arp.0002.01.2025.gov.hgv.pe/" TargetMode="External"/><Relationship Id="rId407" Type="http://schemas.openxmlformats.org/officeDocument/2006/relationships/hyperlink" Target="http://a.013-arp.0010.00.2024.gov.hof.pe/" TargetMode="External"/><Relationship Id="rId614" Type="http://schemas.openxmlformats.org/officeDocument/2006/relationships/hyperlink" Target="http://arp.0107.05.2024.gov.huoc.pe/" TargetMode="External"/><Relationship Id="rId821" Type="http://schemas.openxmlformats.org/officeDocument/2006/relationships/hyperlink" Target="http://a.002-arp.0113.00.2023.gov.fes-pe.pe/" TargetMode="External"/><Relationship Id="rId1037" Type="http://schemas.openxmlformats.org/officeDocument/2006/relationships/hyperlink" Target="http://a.005-arp.0001.02.2024.gov.hemope.pe/" TargetMode="External"/><Relationship Id="rId1244" Type="http://schemas.openxmlformats.org/officeDocument/2006/relationships/hyperlink" Target="http://arp.0073.01.2023.gov.huoc.pe/" TargetMode="External"/><Relationship Id="rId1451" Type="http://schemas.openxmlformats.org/officeDocument/2006/relationships/hyperlink" Target="http://c.004-arp.0088.05.2025.gov.fes-pe.pe/" TargetMode="External"/><Relationship Id="rId1896" Type="http://schemas.openxmlformats.org/officeDocument/2006/relationships/hyperlink" Target="http://arp.0034.01.2025.gov.fes-pe.pe/" TargetMode="External"/><Relationship Id="rId2074" Type="http://schemas.openxmlformats.org/officeDocument/2006/relationships/hyperlink" Target="http://arpc.0006.00.2024.gov.sad.pe/" TargetMode="External"/><Relationship Id="rId2281" Type="http://schemas.openxmlformats.org/officeDocument/2006/relationships/hyperlink" Target="http://c.009-arp.0049.00.2024.gov.fes-pe.pe/" TargetMode="External"/><Relationship Id="rId2502" Type="http://schemas.openxmlformats.org/officeDocument/2006/relationships/hyperlink" Target="http://arp.0065.01.2024.gov.fes-pe.pe/" TargetMode="External"/><Relationship Id="rId253" Type="http://schemas.openxmlformats.org/officeDocument/2006/relationships/hyperlink" Target="http://a.005-arp.0077.00.2024.gov.huoc.pe/" TargetMode="External"/><Relationship Id="rId460" Type="http://schemas.openxmlformats.org/officeDocument/2006/relationships/hyperlink" Target="http://arp.0091.06.2024.gov.procape.pe/" TargetMode="External"/><Relationship Id="rId698" Type="http://schemas.openxmlformats.org/officeDocument/2006/relationships/hyperlink" Target="http://arp.0005.00.2024.gov.semul.pe/" TargetMode="External"/><Relationship Id="rId919" Type="http://schemas.openxmlformats.org/officeDocument/2006/relationships/hyperlink" Target="http://a.014-arp.0001.06.2024.gov.hof.pe/" TargetMode="External"/><Relationship Id="rId1090" Type="http://schemas.openxmlformats.org/officeDocument/2006/relationships/hyperlink" Target="http://arp.0025.03.2024.gov.procape.pe/" TargetMode="External"/><Relationship Id="rId1104" Type="http://schemas.openxmlformats.org/officeDocument/2006/relationships/hyperlink" Target="http://arp.0120.01.2023.gov.huoc.pe/" TargetMode="External"/><Relationship Id="rId1311" Type="http://schemas.openxmlformats.org/officeDocument/2006/relationships/hyperlink" Target="http://a.003-arp.0006.04.2023.gov.ham.pe/" TargetMode="External"/><Relationship Id="rId1549" Type="http://schemas.openxmlformats.org/officeDocument/2006/relationships/hyperlink" Target="http://c.012-arp.0053.02.2025.gov.fes-pe.pe/" TargetMode="External"/><Relationship Id="rId1756" Type="http://schemas.openxmlformats.org/officeDocument/2006/relationships/hyperlink" Target="http://arp.0052.06.2025.gov.fes-pe.pe/" TargetMode="External"/><Relationship Id="rId1963" Type="http://schemas.openxmlformats.org/officeDocument/2006/relationships/hyperlink" Target="http://c.003-arp.0018.00.2025.gov.fes-pe.pe/" TargetMode="External"/><Relationship Id="rId2141" Type="http://schemas.openxmlformats.org/officeDocument/2006/relationships/hyperlink" Target="http://c.004-arp.0087.01.2024.gov.cisam.pe/" TargetMode="External"/><Relationship Id="rId2379" Type="http://schemas.openxmlformats.org/officeDocument/2006/relationships/hyperlink" Target="http://c.031-arp.0031.16.2024.gov.fes-pe.pe/" TargetMode="External"/><Relationship Id="rId2586" Type="http://schemas.openxmlformats.org/officeDocument/2006/relationships/hyperlink" Target="http://arp.0040.03.2024.gov.fes-pe.pe/" TargetMode="External"/><Relationship Id="rId2793" Type="http://schemas.openxmlformats.org/officeDocument/2006/relationships/hyperlink" Target="http://c.002-arp.0003.08.2023.gov.hra.pe/" TargetMode="External"/><Relationship Id="rId2807" Type="http://schemas.openxmlformats.org/officeDocument/2006/relationships/hyperlink" Target="http://c.001-arp.0005.03.2023.gov.hra.pe/" TargetMode="External"/><Relationship Id="rId48" Type="http://schemas.openxmlformats.org/officeDocument/2006/relationships/hyperlink" Target="http://arp.0006.03.2025.gov.procape.pe/" TargetMode="External"/><Relationship Id="rId113" Type="http://schemas.openxmlformats.org/officeDocument/2006/relationships/hyperlink" Target="http://a.007-arp.0080.00.2025.gov.fes-pe.pe/" TargetMode="External"/><Relationship Id="rId320" Type="http://schemas.openxmlformats.org/officeDocument/2006/relationships/hyperlink" Target="http://arp.0004.00.2025.gov.procape.pe/" TargetMode="External"/><Relationship Id="rId558" Type="http://schemas.openxmlformats.org/officeDocument/2006/relationships/hyperlink" Target="http://arp.0005.05.2025.gov.cisam.pe/" TargetMode="External"/><Relationship Id="rId765" Type="http://schemas.openxmlformats.org/officeDocument/2006/relationships/hyperlink" Target="http://a.006-arp.0053.00.2024.gov.cisam.pe/" TargetMode="External"/><Relationship Id="rId972" Type="http://schemas.openxmlformats.org/officeDocument/2006/relationships/hyperlink" Target="http://arp.0033.01.2024.gov.cisam.pe/" TargetMode="External"/><Relationship Id="rId1188" Type="http://schemas.openxmlformats.org/officeDocument/2006/relationships/hyperlink" Target="http://arp.0009.07.2023.gov.hbl.pe/" TargetMode="External"/><Relationship Id="rId1395" Type="http://schemas.openxmlformats.org/officeDocument/2006/relationships/hyperlink" Target="http://a.001-arp.0004.02.2023.gov.cisam.pe/" TargetMode="External"/><Relationship Id="rId1409" Type="http://schemas.openxmlformats.org/officeDocument/2006/relationships/hyperlink" Target="http://a.002-arp.0021.02.2023.gov.huoc.pe/" TargetMode="External"/><Relationship Id="rId1616" Type="http://schemas.openxmlformats.org/officeDocument/2006/relationships/hyperlink" Target="http://arp.0067.06.2025.gov.fes-pe.pe/" TargetMode="External"/><Relationship Id="rId1823" Type="http://schemas.openxmlformats.org/officeDocument/2006/relationships/hyperlink" Target="http://c.006-arp.0030.04.2025.gov.fes-pe.pe/" TargetMode="External"/><Relationship Id="rId2001" Type="http://schemas.openxmlformats.org/officeDocument/2006/relationships/hyperlink" Target="http://c.003-arp.0004.05.2025.gov.fes-pe.pe/" TargetMode="External"/><Relationship Id="rId2239" Type="http://schemas.openxmlformats.org/officeDocument/2006/relationships/hyperlink" Target="http://c.018-arp.0063.00.2024.gov.fes-pe.pe/" TargetMode="External"/><Relationship Id="rId2446" Type="http://schemas.openxmlformats.org/officeDocument/2006/relationships/hyperlink" Target="http://arp.0048.07.2024.gov.fes-pe.pe/" TargetMode="External"/><Relationship Id="rId2653" Type="http://schemas.openxmlformats.org/officeDocument/2006/relationships/hyperlink" Target="http://c.002-arp.0005.07.2023.gov.hra.pe/" TargetMode="External"/><Relationship Id="rId197" Type="http://schemas.openxmlformats.org/officeDocument/2006/relationships/hyperlink" Target="http://a.024-arp.0103.06.2024.gov.procape.pe/" TargetMode="External"/><Relationship Id="rId418" Type="http://schemas.openxmlformats.org/officeDocument/2006/relationships/hyperlink" Target="http://arp.0010.00.2024.gov.hof.pe/" TargetMode="External"/><Relationship Id="rId625" Type="http://schemas.openxmlformats.org/officeDocument/2006/relationships/hyperlink" Target="http://a.002-arp.0087.05.2024.gov.huoc.pe/" TargetMode="External"/><Relationship Id="rId832" Type="http://schemas.openxmlformats.org/officeDocument/2006/relationships/hyperlink" Target="http://arp.0005.00.2024.gov.hr.pe/" TargetMode="External"/><Relationship Id="rId1048" Type="http://schemas.openxmlformats.org/officeDocument/2006/relationships/hyperlink" Target="http://arp.0004.00.2024.gov.hgv.pe/" TargetMode="External"/><Relationship Id="rId1255" Type="http://schemas.openxmlformats.org/officeDocument/2006/relationships/hyperlink" Target="http://a.001-arp.0077.11.2023.gov.procape.pe/" TargetMode="External"/><Relationship Id="rId1462" Type="http://schemas.openxmlformats.org/officeDocument/2006/relationships/hyperlink" Target="http://arp.0067.01.2025.gov.fes-pe.pe/" TargetMode="External"/><Relationship Id="rId2085" Type="http://schemas.openxmlformats.org/officeDocument/2006/relationships/hyperlink" Target="http://c.004-arp.0100.02.2024.gov.fes-pe.pe/" TargetMode="External"/><Relationship Id="rId2292" Type="http://schemas.openxmlformats.org/officeDocument/2006/relationships/hyperlink" Target="http://arp.0063.05.2024.gov.cisam.pe/" TargetMode="External"/><Relationship Id="rId2306" Type="http://schemas.openxmlformats.org/officeDocument/2006/relationships/hyperlink" Target="http://arp.0088.03.2024.gov.fes-pe.pe/" TargetMode="External"/><Relationship Id="rId2513" Type="http://schemas.openxmlformats.org/officeDocument/2006/relationships/hyperlink" Target="http://c.020-arp.0031.14.2024.gov.fes-pe.pe/" TargetMode="External"/><Relationship Id="rId264" Type="http://schemas.openxmlformats.org/officeDocument/2006/relationships/hyperlink" Target="http://arp.0001.02.2025.gov.dasis.pe/" TargetMode="External"/><Relationship Id="rId471" Type="http://schemas.openxmlformats.org/officeDocument/2006/relationships/hyperlink" Target="http://a.005-arp.0074.04.2024.gov.huoc.pe/" TargetMode="External"/><Relationship Id="rId1115" Type="http://schemas.openxmlformats.org/officeDocument/2006/relationships/hyperlink" Target="http://a.004-arp.0026.09.2023.gov.ham.pe/" TargetMode="External"/><Relationship Id="rId1322" Type="http://schemas.openxmlformats.org/officeDocument/2006/relationships/hyperlink" Target="http://arp.0014.00.2023.gov.hgv.pe/" TargetMode="External"/><Relationship Id="rId1767" Type="http://schemas.openxmlformats.org/officeDocument/2006/relationships/hyperlink" Target="http://c.001-arp.0052.00.2025.gov.fes-pe.pe/" TargetMode="External"/><Relationship Id="rId1974" Type="http://schemas.openxmlformats.org/officeDocument/2006/relationships/hyperlink" Target="http://arp.0017.00.2025.gov.fes-pe.pe/" TargetMode="External"/><Relationship Id="rId2152" Type="http://schemas.openxmlformats.org/officeDocument/2006/relationships/hyperlink" Target="http://arp.0087.05.2024.gov.cisam.pe/" TargetMode="External"/><Relationship Id="rId2597" Type="http://schemas.openxmlformats.org/officeDocument/2006/relationships/hyperlink" Target="http://c.011-arp.0024.01.2024.gov.fes-pe.pe/" TargetMode="External"/><Relationship Id="rId2720" Type="http://schemas.openxmlformats.org/officeDocument/2006/relationships/hyperlink" Target="http://arp.0025.01.2024.gov.fes-pe.pe/" TargetMode="External"/><Relationship Id="rId2818" Type="http://schemas.openxmlformats.org/officeDocument/2006/relationships/hyperlink" Target="http://arpc.0012.00.2023.gov.sad.pe/" TargetMode="External"/><Relationship Id="rId59" Type="http://schemas.openxmlformats.org/officeDocument/2006/relationships/hyperlink" Target="http://a.010-arp.0051.04.2025.gov.procape.pe/" TargetMode="External"/><Relationship Id="rId124" Type="http://schemas.openxmlformats.org/officeDocument/2006/relationships/hyperlink" Target="http://arp.0122.00.2025.gov.huoc.pe/" TargetMode="External"/><Relationship Id="rId569" Type="http://schemas.openxmlformats.org/officeDocument/2006/relationships/hyperlink" Target="http://a.001-arp.0011.00.2025.gov.ham.pe/" TargetMode="External"/><Relationship Id="rId776" Type="http://schemas.openxmlformats.org/officeDocument/2006/relationships/hyperlink" Target="http://arp.0077.01.2024.gov.huoc.pe/" TargetMode="External"/><Relationship Id="rId983" Type="http://schemas.openxmlformats.org/officeDocument/2006/relationships/hyperlink" Target="http://a.001-arp.0130.09.2023.gov.huoc.pe/" TargetMode="External"/><Relationship Id="rId1199" Type="http://schemas.openxmlformats.org/officeDocument/2006/relationships/hyperlink" Target="http://a.004-arp.0028.00.2023.gov.hr.pe/" TargetMode="External"/><Relationship Id="rId1627" Type="http://schemas.openxmlformats.org/officeDocument/2006/relationships/hyperlink" Target="http://c.005-arp.0021.01.2024.gov.hof.pe/" TargetMode="External"/><Relationship Id="rId1834" Type="http://schemas.openxmlformats.org/officeDocument/2006/relationships/hyperlink" Target="http://arp.0029.05.2025.gov.fes-pe.pe/" TargetMode="External"/><Relationship Id="rId2457" Type="http://schemas.openxmlformats.org/officeDocument/2006/relationships/hyperlink" Target="http://c.014-arp.0065.06.2024.gov.fes-pe.pe/" TargetMode="External"/><Relationship Id="rId2664" Type="http://schemas.openxmlformats.org/officeDocument/2006/relationships/hyperlink" Target="http://arpc.0007.00.2024.gov.sad.pe/" TargetMode="External"/><Relationship Id="rId331" Type="http://schemas.openxmlformats.org/officeDocument/2006/relationships/hyperlink" Target="http://a.002-arp.0008.05.2025.gov.hgv.pe/" TargetMode="External"/><Relationship Id="rId429" Type="http://schemas.openxmlformats.org/officeDocument/2006/relationships/hyperlink" Target="http://a.002-arp.0004.01.2025.gov.hgv.pe/" TargetMode="External"/><Relationship Id="rId636" Type="http://schemas.openxmlformats.org/officeDocument/2006/relationships/hyperlink" Target="http://arp.0030.01.2024.gov.cisam.pe/" TargetMode="External"/><Relationship Id="rId1059" Type="http://schemas.openxmlformats.org/officeDocument/2006/relationships/hyperlink" Target="http://a.001-arp.0001.00.2024.ext.pe/" TargetMode="External"/><Relationship Id="rId1266" Type="http://schemas.openxmlformats.org/officeDocument/2006/relationships/hyperlink" Target="http://arp.0041.03.2023.gov.cisam.pe/" TargetMode="External"/><Relationship Id="rId1473" Type="http://schemas.openxmlformats.org/officeDocument/2006/relationships/hyperlink" Target="http://c.003-arp.0001.00.2024.fes-pe.pe/" TargetMode="External"/><Relationship Id="rId2012" Type="http://schemas.openxmlformats.org/officeDocument/2006/relationships/hyperlink" Target="http://arp.0015.00.2025.gov.fes-pe.pe/" TargetMode="External"/><Relationship Id="rId2096" Type="http://schemas.openxmlformats.org/officeDocument/2006/relationships/hyperlink" Target="http://arp.0005.00.2025.gov.fes-pe.pe/" TargetMode="External"/><Relationship Id="rId2317" Type="http://schemas.openxmlformats.org/officeDocument/2006/relationships/hyperlink" Target="http://c.004-arp.0083.04.2024.gov.fes-pe.pe/" TargetMode="External"/><Relationship Id="rId843" Type="http://schemas.openxmlformats.org/officeDocument/2006/relationships/hyperlink" Target="http://a.004-arp.0039.04.2024.gov.huoc.pe/" TargetMode="External"/><Relationship Id="rId1126" Type="http://schemas.openxmlformats.org/officeDocument/2006/relationships/hyperlink" Target="http://arp.0029.02.2024.gov.huoc.pe/" TargetMode="External"/><Relationship Id="rId1680" Type="http://schemas.openxmlformats.org/officeDocument/2006/relationships/hyperlink" Target="http://arp.0010.05.2025.gov.fes-pe.pe/" TargetMode="External"/><Relationship Id="rId1778" Type="http://schemas.openxmlformats.org/officeDocument/2006/relationships/hyperlink" Target="http://arp.0043.00.2025.gov.fes-pe.pe/" TargetMode="External"/><Relationship Id="rId1901" Type="http://schemas.openxmlformats.org/officeDocument/2006/relationships/hyperlink" Target="http://c.001-arp.0020.03.2025.gov.fes-pe.pe/" TargetMode="External"/><Relationship Id="rId1985" Type="http://schemas.openxmlformats.org/officeDocument/2006/relationships/hyperlink" Target="http://c.007-arp.0012.02.2025.gov.fes-pe.pe/" TargetMode="External"/><Relationship Id="rId2524" Type="http://schemas.openxmlformats.org/officeDocument/2006/relationships/hyperlink" Target="http://arp.0064.01.2024.gov.fes-pe.pe/" TargetMode="External"/><Relationship Id="rId2731" Type="http://schemas.openxmlformats.org/officeDocument/2006/relationships/hyperlink" Target="http://c.008-arp.0003.02.2023.gov.hra.pe/" TargetMode="External"/><Relationship Id="rId2829" Type="http://schemas.openxmlformats.org/officeDocument/2006/relationships/hyperlink" Target="http://c.001-arp.0003.05.2023.gov.hra.pe/" TargetMode="External"/><Relationship Id="rId275" Type="http://schemas.openxmlformats.org/officeDocument/2006/relationships/hyperlink" Target="http://a.001-arp.0059.02.2025.gov.fes-pe.pe/" TargetMode="External"/><Relationship Id="rId482" Type="http://schemas.openxmlformats.org/officeDocument/2006/relationships/hyperlink" Target="http://arp.0021.00.2024.gov.hgv.pe/" TargetMode="External"/><Relationship Id="rId703" Type="http://schemas.openxmlformats.org/officeDocument/2006/relationships/hyperlink" Target="http://a.002-arp.0089.00.2024.gov.huoc.pe/" TargetMode="External"/><Relationship Id="rId910" Type="http://schemas.openxmlformats.org/officeDocument/2006/relationships/hyperlink" Target="http://arp.0002.02.2024.gov.dasis.pe/" TargetMode="External"/><Relationship Id="rId1333" Type="http://schemas.openxmlformats.org/officeDocument/2006/relationships/hyperlink" Target="http://a.003-arp.0031.05.2023.gov.hgv.pe/" TargetMode="External"/><Relationship Id="rId1540" Type="http://schemas.openxmlformats.org/officeDocument/2006/relationships/hyperlink" Target="http://arpc.0019.00.2024.gov.sad.pe/" TargetMode="External"/><Relationship Id="rId1638" Type="http://schemas.openxmlformats.org/officeDocument/2006/relationships/hyperlink" Target="http://arp.0021.11.2024.gov.hof.pe/" TargetMode="External"/><Relationship Id="rId2163" Type="http://schemas.openxmlformats.org/officeDocument/2006/relationships/hyperlink" Target="http://c.001-arp.0088.02.2024.gov.cisam.pe/" TargetMode="External"/><Relationship Id="rId2370" Type="http://schemas.openxmlformats.org/officeDocument/2006/relationships/hyperlink" Target="http://arp.0031.16.2024.gov.fes-pe.pe/" TargetMode="External"/><Relationship Id="rId135" Type="http://schemas.openxmlformats.org/officeDocument/2006/relationships/hyperlink" Target="http://a.005-arp.0038.02.2025.gov.huoc.pe/" TargetMode="External"/><Relationship Id="rId342" Type="http://schemas.openxmlformats.org/officeDocument/2006/relationships/hyperlink" Target="http://arp.0004.00.2025.gov.hr.pe/" TargetMode="External"/><Relationship Id="rId787" Type="http://schemas.openxmlformats.org/officeDocument/2006/relationships/hyperlink" Target="http://a.005-arp.0002.00.2024.gov.hof.pe/" TargetMode="External"/><Relationship Id="rId994" Type="http://schemas.openxmlformats.org/officeDocument/2006/relationships/hyperlink" Target="http://arp.0046.06.2024.gov.huoc.pe/" TargetMode="External"/><Relationship Id="rId1400" Type="http://schemas.openxmlformats.org/officeDocument/2006/relationships/hyperlink" Target="http://arp.0016.00.2023.gov.huoc.pe/" TargetMode="External"/><Relationship Id="rId1845" Type="http://schemas.openxmlformats.org/officeDocument/2006/relationships/hyperlink" Target="http://c.004-arp.0054.07.2025.gov.fes-pe.pe/" TargetMode="External"/><Relationship Id="rId2023" Type="http://schemas.openxmlformats.org/officeDocument/2006/relationships/hyperlink" Target="http://c.008-arp.0099.00.2024.gov.fes-pe.pe/" TargetMode="External"/><Relationship Id="rId2230" Type="http://schemas.openxmlformats.org/officeDocument/2006/relationships/hyperlink" Target="http://arp.0092.03.2024.gov.fes-pe.pe/" TargetMode="External"/><Relationship Id="rId2468" Type="http://schemas.openxmlformats.org/officeDocument/2006/relationships/hyperlink" Target="http://arp.0022.04.2024.gov.fes-pe.pe/" TargetMode="External"/><Relationship Id="rId2675" Type="http://schemas.openxmlformats.org/officeDocument/2006/relationships/hyperlink" Target="http://c.008-arp.0024.01.2024.gov.fes-pe.pe/" TargetMode="External"/><Relationship Id="rId202" Type="http://schemas.openxmlformats.org/officeDocument/2006/relationships/hyperlink" Target="http://arp.0001.04.2025.gov.huoc.pe/" TargetMode="External"/><Relationship Id="rId647" Type="http://schemas.openxmlformats.org/officeDocument/2006/relationships/hyperlink" Target="http://a.004-arp.0072.00.2024.gov.procape.pe/" TargetMode="External"/><Relationship Id="rId854" Type="http://schemas.openxmlformats.org/officeDocument/2006/relationships/hyperlink" Target="http://arp.0006.00.2024.ext.hmar.pe/" TargetMode="External"/><Relationship Id="rId1277" Type="http://schemas.openxmlformats.org/officeDocument/2006/relationships/hyperlink" Target="http://a.001-arp.0007.01.2023.gov.hgv.pe/" TargetMode="External"/><Relationship Id="rId1484" Type="http://schemas.openxmlformats.org/officeDocument/2006/relationships/hyperlink" Target="http://arp.0079.01.2025.gov.fes-pe.pe/" TargetMode="External"/><Relationship Id="rId1691" Type="http://schemas.openxmlformats.org/officeDocument/2006/relationships/hyperlink" Target="http://c.017-arp.0061.00.2024.gov.fes-pe.pe/" TargetMode="External"/><Relationship Id="rId1705" Type="http://schemas.openxmlformats.org/officeDocument/2006/relationships/hyperlink" Target="http://c.008-arp.0097.04.2024.gov.fes-pe.pe/" TargetMode="External"/><Relationship Id="rId1912" Type="http://schemas.openxmlformats.org/officeDocument/2006/relationships/hyperlink" Target="http://arp.0028.02.2025.gov.fes-pe.pe/" TargetMode="External"/><Relationship Id="rId2328" Type="http://schemas.openxmlformats.org/officeDocument/2006/relationships/hyperlink" Target="http://arp.0083.05.2024.gov.fes-pe.pe/" TargetMode="External"/><Relationship Id="rId2535" Type="http://schemas.openxmlformats.org/officeDocument/2006/relationships/hyperlink" Target="http://c.038-arpc.0005.00.2024.gov.sad.pe/" TargetMode="External"/><Relationship Id="rId2742" Type="http://schemas.openxmlformats.org/officeDocument/2006/relationships/hyperlink" Target="http://arp.0003.08.2023.gov.hra.pe/" TargetMode="External"/><Relationship Id="rId286" Type="http://schemas.openxmlformats.org/officeDocument/2006/relationships/hyperlink" Target="http://arp.0011.00.2025.gov.hr.pe/" TargetMode="External"/><Relationship Id="rId493" Type="http://schemas.openxmlformats.org/officeDocument/2006/relationships/hyperlink" Target="http://a.004-arp.0009.07.2024.gov.sassepe.pe/" TargetMode="External"/><Relationship Id="rId507" Type="http://schemas.openxmlformats.org/officeDocument/2006/relationships/hyperlink" Target="http://a.002-arp.0045.00.2024.gov.hr.pe/" TargetMode="External"/><Relationship Id="rId714" Type="http://schemas.openxmlformats.org/officeDocument/2006/relationships/hyperlink" Target="http://arp.0038.02.2024.gov.fes-pe.pe/" TargetMode="External"/><Relationship Id="rId921" Type="http://schemas.openxmlformats.org/officeDocument/2006/relationships/hyperlink" Target="http://a.002-arp.0063.03.2024.gov.huoc.pe/" TargetMode="External"/><Relationship Id="rId1137" Type="http://schemas.openxmlformats.org/officeDocument/2006/relationships/hyperlink" Target="http://a.013-arp.0064.08.2023.gov.huoc.pe/" TargetMode="External"/><Relationship Id="rId1344" Type="http://schemas.openxmlformats.org/officeDocument/2006/relationships/hyperlink" Target="http://arp.0028.10.2023.gov.hgv.pe/" TargetMode="External"/><Relationship Id="rId1551" Type="http://schemas.openxmlformats.org/officeDocument/2006/relationships/hyperlink" Target="http://c.009-arp.0008.01.2025.gov.ham.pe/" TargetMode="External"/><Relationship Id="rId1789" Type="http://schemas.openxmlformats.org/officeDocument/2006/relationships/hyperlink" Target="http://c.004-arp.0036.06.2025.gov.fes-pe.pe/" TargetMode="External"/><Relationship Id="rId1996" Type="http://schemas.openxmlformats.org/officeDocument/2006/relationships/hyperlink" Target="http://arp.0012.00.2025.gov.fes-pe.pe/" TargetMode="External"/><Relationship Id="rId2174" Type="http://schemas.openxmlformats.org/officeDocument/2006/relationships/hyperlink" Target="http://arp.0096.01.2024.gov.fes-pe.pe/" TargetMode="External"/><Relationship Id="rId2381" Type="http://schemas.openxmlformats.org/officeDocument/2006/relationships/hyperlink" Target="http://c.002-arp.0066.08.2024.gov.fes-pe.pe/" TargetMode="External"/><Relationship Id="rId2602" Type="http://schemas.openxmlformats.org/officeDocument/2006/relationships/hyperlink" Target="http://arp.0046.01.2024.gov.fes-pe.pe/" TargetMode="External"/><Relationship Id="rId50" Type="http://schemas.openxmlformats.org/officeDocument/2006/relationships/hyperlink" Target="http://arp.0057.00.2025.gov.huoc.pe/" TargetMode="External"/><Relationship Id="rId146" Type="http://schemas.openxmlformats.org/officeDocument/2006/relationships/hyperlink" Target="http://arp.0068.00.2025.gov.fes-pe.pe/" TargetMode="External"/><Relationship Id="rId353" Type="http://schemas.openxmlformats.org/officeDocument/2006/relationships/hyperlink" Target="http://a.005-arp.0070.00.2024.gov.huoc.pe/" TargetMode="External"/><Relationship Id="rId560" Type="http://schemas.openxmlformats.org/officeDocument/2006/relationships/hyperlink" Target="http://arp.0059.00.2024.gov.cisam.pe/" TargetMode="External"/><Relationship Id="rId798" Type="http://schemas.openxmlformats.org/officeDocument/2006/relationships/hyperlink" Target="http://arp.0009.03.2024.gov.fes-pe.pe/" TargetMode="External"/><Relationship Id="rId1190" Type="http://schemas.openxmlformats.org/officeDocument/2006/relationships/hyperlink" Target="http://arp.0022.20.2023.gov.ham.pe/" TargetMode="External"/><Relationship Id="rId1204" Type="http://schemas.openxmlformats.org/officeDocument/2006/relationships/hyperlink" Target="http://arp.0030.05.2023.gov.hr.pe/" TargetMode="External"/><Relationship Id="rId1411" Type="http://schemas.openxmlformats.org/officeDocument/2006/relationships/hyperlink" Target="http://a.003-arp.0012.03.2023.gov.huoc.pe/" TargetMode="External"/><Relationship Id="rId1649" Type="http://schemas.openxmlformats.org/officeDocument/2006/relationships/hyperlink" Target="http://c.012-arp.0092.04.2024.gov.fes-pe.pe/" TargetMode="External"/><Relationship Id="rId1856" Type="http://schemas.openxmlformats.org/officeDocument/2006/relationships/hyperlink" Target="http://arp.0064.01.2024.gov.fes-pe.pe/" TargetMode="External"/><Relationship Id="rId2034" Type="http://schemas.openxmlformats.org/officeDocument/2006/relationships/hyperlink" Target="http://arp.0002.00.2025.gov.cisam.pe/" TargetMode="External"/><Relationship Id="rId2241" Type="http://schemas.openxmlformats.org/officeDocument/2006/relationships/hyperlink" Target="http://c.017-arp.0063.00.2024.gov.fes-pe.pe/" TargetMode="External"/><Relationship Id="rId2479" Type="http://schemas.openxmlformats.org/officeDocument/2006/relationships/hyperlink" Target="http://c.019-arp.0031.16.2024.gov.fes-pe.pe/" TargetMode="External"/><Relationship Id="rId2686" Type="http://schemas.openxmlformats.org/officeDocument/2006/relationships/hyperlink" Target="http://arp.0005.08.2023.gov.hra.pe/" TargetMode="External"/><Relationship Id="rId213" Type="http://schemas.openxmlformats.org/officeDocument/2006/relationships/hyperlink" Target="http://a.015-arp.0088.04.2024.gov.huoc.pe/" TargetMode="External"/><Relationship Id="rId420" Type="http://schemas.openxmlformats.org/officeDocument/2006/relationships/hyperlink" Target="http://arp.0015.00.2024.gov.hgv.pe/" TargetMode="External"/><Relationship Id="rId658" Type="http://schemas.openxmlformats.org/officeDocument/2006/relationships/hyperlink" Target="http://arp.0576.00.2024.ext.hmar.pe/" TargetMode="External"/><Relationship Id="rId865" Type="http://schemas.openxmlformats.org/officeDocument/2006/relationships/hyperlink" Target="http://a.005-arp.0008.02.2024.gov.huoc.pe/" TargetMode="External"/><Relationship Id="rId1050" Type="http://schemas.openxmlformats.org/officeDocument/2006/relationships/hyperlink" Target="http://arp.0013.00.2024.gov.hr.pe/" TargetMode="External"/><Relationship Id="rId1288" Type="http://schemas.openxmlformats.org/officeDocument/2006/relationships/hyperlink" Target="http://arp.0006.09.2023.gov.ham.pe/" TargetMode="External"/><Relationship Id="rId1495" Type="http://schemas.openxmlformats.org/officeDocument/2006/relationships/hyperlink" Target="http://c.005-arp.0011.00.2025.gov.fes-pe.pe/" TargetMode="External"/><Relationship Id="rId1509" Type="http://schemas.openxmlformats.org/officeDocument/2006/relationships/hyperlink" Target="http://c.007-arp.0015.05.2025.gov.fes-pe.pe/" TargetMode="External"/><Relationship Id="rId1716" Type="http://schemas.openxmlformats.org/officeDocument/2006/relationships/hyperlink" Target="http://arp.0052.11.2024.gov.cisam.pe/" TargetMode="External"/><Relationship Id="rId1923" Type="http://schemas.openxmlformats.org/officeDocument/2006/relationships/hyperlink" Target="http://c.001-arp.0027.00.2025.gov.fes-pe.pe/" TargetMode="External"/><Relationship Id="rId2101" Type="http://schemas.openxmlformats.org/officeDocument/2006/relationships/hyperlink" Target="http://c.002-arp.0099.03.2024.gov.fes-pe.pe/" TargetMode="External"/><Relationship Id="rId2339" Type="http://schemas.openxmlformats.org/officeDocument/2006/relationships/hyperlink" Target="http://c.017-arp.0018.01.2024.gov.fes-pe.pe/" TargetMode="External"/><Relationship Id="rId2546" Type="http://schemas.openxmlformats.org/officeDocument/2006/relationships/hyperlink" Target="http://arp.0018.00.2024.gov.fes-pe.pe/" TargetMode="External"/><Relationship Id="rId2753" Type="http://schemas.openxmlformats.org/officeDocument/2006/relationships/hyperlink" Target="http://c.004-arp.0003.08.2023.gov.hra.pe/" TargetMode="External"/><Relationship Id="rId297" Type="http://schemas.openxmlformats.org/officeDocument/2006/relationships/hyperlink" Target="http://a.002-arp.0010.00.2025.gov.hr.pe/" TargetMode="External"/><Relationship Id="rId518" Type="http://schemas.openxmlformats.org/officeDocument/2006/relationships/hyperlink" Target="http://arpc.0007.00.2024.gov.sad.pe/" TargetMode="External"/><Relationship Id="rId725" Type="http://schemas.openxmlformats.org/officeDocument/2006/relationships/hyperlink" Target="http://a.005-arp.0081.03.2024.gov.huoc.pe/" TargetMode="External"/><Relationship Id="rId932" Type="http://schemas.openxmlformats.org/officeDocument/2006/relationships/hyperlink" Target="http://arp.0057.02.2024.gov.huoc.pe/" TargetMode="External"/><Relationship Id="rId1148" Type="http://schemas.openxmlformats.org/officeDocument/2006/relationships/hyperlink" Target="http://arp.0025.12.2023.gov.hr.pe/" TargetMode="External"/><Relationship Id="rId1355" Type="http://schemas.openxmlformats.org/officeDocument/2006/relationships/hyperlink" Target="http://a.001-arp.0028.00.2023.gov.hgv.pe/" TargetMode="External"/><Relationship Id="rId1562" Type="http://schemas.openxmlformats.org/officeDocument/2006/relationships/hyperlink" Target="http://arp.0015.00.2025.gov.fes-pe.pe/" TargetMode="External"/><Relationship Id="rId2185" Type="http://schemas.openxmlformats.org/officeDocument/2006/relationships/hyperlink" Target="http://c.002-arp.0089.00.2024.gov.fes-pe.pe/" TargetMode="External"/><Relationship Id="rId2392" Type="http://schemas.openxmlformats.org/officeDocument/2006/relationships/hyperlink" Target="http://arp.0031.16.2024.gov.fes-pe.pe/" TargetMode="External"/><Relationship Id="rId2406" Type="http://schemas.openxmlformats.org/officeDocument/2006/relationships/hyperlink" Target="http://arp.0063.05.2024.gov.cisam.pe/" TargetMode="External"/><Relationship Id="rId2613" Type="http://schemas.openxmlformats.org/officeDocument/2006/relationships/hyperlink" Target="http://c.008-arp.0031.16.2024.gov.fes-pe.pe/" TargetMode="External"/><Relationship Id="rId157" Type="http://schemas.openxmlformats.org/officeDocument/2006/relationships/hyperlink" Target="http://a.004-arp.0012.01.2025.gov.hemope.pe/" TargetMode="External"/><Relationship Id="rId364" Type="http://schemas.openxmlformats.org/officeDocument/2006/relationships/hyperlink" Target="http://arp.0031.00.2024.gov.hr.pe/" TargetMode="External"/><Relationship Id="rId1008" Type="http://schemas.openxmlformats.org/officeDocument/2006/relationships/hyperlink" Target="http://arp.0049.01.2024.gov.huoc.pe/" TargetMode="External"/><Relationship Id="rId1215" Type="http://schemas.openxmlformats.org/officeDocument/2006/relationships/hyperlink" Target="http://a.001-arp.0014.11.2023.gov.hr.pe/" TargetMode="External"/><Relationship Id="rId1422" Type="http://schemas.openxmlformats.org/officeDocument/2006/relationships/hyperlink" Target="http://arp.0115.01.2025.gov.fes-pe.pe/" TargetMode="External"/><Relationship Id="rId1867" Type="http://schemas.openxmlformats.org/officeDocument/2006/relationships/hyperlink" Target="http://c.002-arp.0006.02.2025.gov.hof.pe/" TargetMode="External"/><Relationship Id="rId2045" Type="http://schemas.openxmlformats.org/officeDocument/2006/relationships/hyperlink" Target="http://c.005-arp.0010.04.2025.gov.fes-pe.pe/" TargetMode="External"/><Relationship Id="rId2697" Type="http://schemas.openxmlformats.org/officeDocument/2006/relationships/hyperlink" Target="http://c.003-arp.0005.04.2023.gov.hra.pe/" TargetMode="External"/><Relationship Id="rId2820" Type="http://schemas.openxmlformats.org/officeDocument/2006/relationships/hyperlink" Target="http://arp.0008.00.2023.gov.hra.pe/" TargetMode="External"/><Relationship Id="rId61" Type="http://schemas.openxmlformats.org/officeDocument/2006/relationships/hyperlink" Target="http://a.012-arp.0013.02.2025.gov.hof.pe/" TargetMode="External"/><Relationship Id="rId571" Type="http://schemas.openxmlformats.org/officeDocument/2006/relationships/hyperlink" Target="http://a.001-arp.0021.00.2024.gov.hgv.pe/" TargetMode="External"/><Relationship Id="rId669" Type="http://schemas.openxmlformats.org/officeDocument/2006/relationships/hyperlink" Target="http://a.009-arp.0011.00.2024.gov.hgv.pe/" TargetMode="External"/><Relationship Id="rId876" Type="http://schemas.openxmlformats.org/officeDocument/2006/relationships/hyperlink" Target="http://arp.0057.07.2024.gov.huoc.pe/" TargetMode="External"/><Relationship Id="rId1299" Type="http://schemas.openxmlformats.org/officeDocument/2006/relationships/hyperlink" Target="http://a.004-arp.0019.00.2023.gov.ham.pe/" TargetMode="External"/><Relationship Id="rId1727" Type="http://schemas.openxmlformats.org/officeDocument/2006/relationships/hyperlink" Target="http://c.014-arp.0049.00.2024.gov.fes-pe.pe/" TargetMode="External"/><Relationship Id="rId1934" Type="http://schemas.openxmlformats.org/officeDocument/2006/relationships/hyperlink" Target="http://arp.0027.07.2025.gov.fes-pe.pe/" TargetMode="External"/><Relationship Id="rId2252" Type="http://schemas.openxmlformats.org/officeDocument/2006/relationships/hyperlink" Target="http://arp.0025.01.2024.gov.fes-pe.pe/" TargetMode="External"/><Relationship Id="rId2557" Type="http://schemas.openxmlformats.org/officeDocument/2006/relationships/hyperlink" Target="http://c.147-arpc.0026.00.2023.gov.sad.pe/" TargetMode="External"/><Relationship Id="rId19" Type="http://schemas.openxmlformats.org/officeDocument/2006/relationships/hyperlink" Target="http://a.008-arp.0001.00.2025.gov.hr.pe/" TargetMode="External"/><Relationship Id="rId224" Type="http://schemas.openxmlformats.org/officeDocument/2006/relationships/hyperlink" Target="http://arp.0011.01.2025.gov.hgv.pe/" TargetMode="External"/><Relationship Id="rId431" Type="http://schemas.openxmlformats.org/officeDocument/2006/relationships/hyperlink" Target="http://a.007-arp.0059.00.2024.gov.cisam.pe/" TargetMode="External"/><Relationship Id="rId529" Type="http://schemas.openxmlformats.org/officeDocument/2006/relationships/hyperlink" Target="http://a.008-arp.0010.00.2024.gov.hof.pe/" TargetMode="External"/><Relationship Id="rId736" Type="http://schemas.openxmlformats.org/officeDocument/2006/relationships/hyperlink" Target="http://arp.0025.01.2024.gov.fes-pe.pe/" TargetMode="External"/><Relationship Id="rId1061" Type="http://schemas.openxmlformats.org/officeDocument/2006/relationships/hyperlink" Target="http://a.006-arp.0039.02.2024.gov.huoc.pe/" TargetMode="External"/><Relationship Id="rId1159" Type="http://schemas.openxmlformats.org/officeDocument/2006/relationships/hyperlink" Target="http://a.002-arp.0111.00.2023.gov.huoc.pe/" TargetMode="External"/><Relationship Id="rId1366" Type="http://schemas.openxmlformats.org/officeDocument/2006/relationships/hyperlink" Target="http://arp.0047.06.2023.gov.huoc.pe/" TargetMode="External"/><Relationship Id="rId2112" Type="http://schemas.openxmlformats.org/officeDocument/2006/relationships/hyperlink" Target="http://arp.0098.01.2024.gov.fes-pe.pe/" TargetMode="External"/><Relationship Id="rId2196" Type="http://schemas.openxmlformats.org/officeDocument/2006/relationships/hyperlink" Target="http://arp.0097.03.2024.gov.fes-pe.pe/" TargetMode="External"/><Relationship Id="rId2417" Type="http://schemas.openxmlformats.org/officeDocument/2006/relationships/hyperlink" Target="http://c.026-arp.0031.16.2024.gov.fes-pe.pe/" TargetMode="External"/><Relationship Id="rId2764" Type="http://schemas.openxmlformats.org/officeDocument/2006/relationships/hyperlink" Target="http://arp.0005.05.2023.gov.hra.pe/" TargetMode="External"/><Relationship Id="rId168" Type="http://schemas.openxmlformats.org/officeDocument/2006/relationships/hyperlink" Target="http://arp.0010.00.2025.gov.hr.pe/" TargetMode="External"/><Relationship Id="rId943" Type="http://schemas.openxmlformats.org/officeDocument/2006/relationships/hyperlink" Target="http://a.005-arp.0011.00.2024.gov.hgv.pe/" TargetMode="External"/><Relationship Id="rId1019" Type="http://schemas.openxmlformats.org/officeDocument/2006/relationships/hyperlink" Target="http://a.004-arp.0035.00.2023.gov.hof.pe/" TargetMode="External"/><Relationship Id="rId1573" Type="http://schemas.openxmlformats.org/officeDocument/2006/relationships/hyperlink" Target="http://c.001-arp.0006.03.2025.gov.cisam.pe/" TargetMode="External"/><Relationship Id="rId1780" Type="http://schemas.openxmlformats.org/officeDocument/2006/relationships/hyperlink" Target="http://arpc.0019.00.2024.gov.sad.pe/" TargetMode="External"/><Relationship Id="rId1878" Type="http://schemas.openxmlformats.org/officeDocument/2006/relationships/hyperlink" Target="http://arp.0005.01.2025.gov.fes-pe.pe/" TargetMode="External"/><Relationship Id="rId2624" Type="http://schemas.openxmlformats.org/officeDocument/2006/relationships/hyperlink" Target="http://arp.0037.02.2024.gov.fes-pe.pe/" TargetMode="External"/><Relationship Id="rId2831" Type="http://schemas.openxmlformats.org/officeDocument/2006/relationships/hyperlink" Target="http://c.001-arp.0003.04.2023.gov.hra.pe/" TargetMode="External"/><Relationship Id="rId72" Type="http://schemas.openxmlformats.org/officeDocument/2006/relationships/hyperlink" Target="http://arp.0084.05.2024.gov.cisam.pe/" TargetMode="External"/><Relationship Id="rId375" Type="http://schemas.openxmlformats.org/officeDocument/2006/relationships/hyperlink" Target="http://a.001-arp.0002.02.2025.gov.hemope.pe/" TargetMode="External"/><Relationship Id="rId582" Type="http://schemas.openxmlformats.org/officeDocument/2006/relationships/hyperlink" Target="http://arp.0106.08.2024.gov.huoc.pe/" TargetMode="External"/><Relationship Id="rId803" Type="http://schemas.openxmlformats.org/officeDocument/2006/relationships/hyperlink" Target="http://a.008-arp.0028.01.2024.gov.procape.pe/" TargetMode="External"/><Relationship Id="rId1226" Type="http://schemas.openxmlformats.org/officeDocument/2006/relationships/hyperlink" Target="http://arp.0025.09.2023.gov.hr.pe/" TargetMode="External"/><Relationship Id="rId1433" Type="http://schemas.openxmlformats.org/officeDocument/2006/relationships/hyperlink" Target="http://c.013-arp.0044.04.2025.gov.fes-pe.pe/" TargetMode="External"/><Relationship Id="rId1640" Type="http://schemas.openxmlformats.org/officeDocument/2006/relationships/hyperlink" Target="http://arp.0067.03.2025.gov.fes-pe.pe/" TargetMode="External"/><Relationship Id="rId1738" Type="http://schemas.openxmlformats.org/officeDocument/2006/relationships/hyperlink" Target="http://arp.0059.02.2025.gov.fes-pe.pe/" TargetMode="External"/><Relationship Id="rId2056" Type="http://schemas.openxmlformats.org/officeDocument/2006/relationships/hyperlink" Target="http://arp.0647.14.2024.gov.fes-pe.pe/" TargetMode="External"/><Relationship Id="rId2263" Type="http://schemas.openxmlformats.org/officeDocument/2006/relationships/hyperlink" Target="http://c.005-arp.0083.04.2024.gov.fes-pe.pe/" TargetMode="External"/><Relationship Id="rId2470" Type="http://schemas.openxmlformats.org/officeDocument/2006/relationships/hyperlink" Target="http://arp.0018.00.2024.gov.fes-pe.pe/" TargetMode="External"/><Relationship Id="rId3" Type="http://schemas.openxmlformats.org/officeDocument/2006/relationships/hyperlink" Target="http://a.014-arp.0004.00.2025.gov.hr.pe/" TargetMode="External"/><Relationship Id="rId235" Type="http://schemas.openxmlformats.org/officeDocument/2006/relationships/hyperlink" Target="http://a.003-arp.0076.04.2024.gov.procape.pe/" TargetMode="External"/><Relationship Id="rId442" Type="http://schemas.openxmlformats.org/officeDocument/2006/relationships/hyperlink" Target="http://arp.0006.00.2025.gov.hr.pe/" TargetMode="External"/><Relationship Id="rId887" Type="http://schemas.openxmlformats.org/officeDocument/2006/relationships/hyperlink" Target="http://a.001-arp.0012.01.2024.gov.dasis.pe/" TargetMode="External"/><Relationship Id="rId1072" Type="http://schemas.openxmlformats.org/officeDocument/2006/relationships/hyperlink" Target="http://arp.0004.02.2024.gov.hgv.pe/" TargetMode="External"/><Relationship Id="rId1500" Type="http://schemas.openxmlformats.org/officeDocument/2006/relationships/hyperlink" Target="http://arp.0068.04.2025.gov.fes-pe.pe/" TargetMode="External"/><Relationship Id="rId1945" Type="http://schemas.openxmlformats.org/officeDocument/2006/relationships/hyperlink" Target="http://c.003-arp.0021.03.2025.gov.fes-pe.pe/" TargetMode="External"/><Relationship Id="rId2123" Type="http://schemas.openxmlformats.org/officeDocument/2006/relationships/hyperlink" Target="http://c.037-arpc.0018.00.2024.gov.sad.pe/" TargetMode="External"/><Relationship Id="rId2330" Type="http://schemas.openxmlformats.org/officeDocument/2006/relationships/hyperlink" Target="http://arp.0065.00.2024.gov.cisam.pe/" TargetMode="External"/><Relationship Id="rId2568" Type="http://schemas.openxmlformats.org/officeDocument/2006/relationships/hyperlink" Target="http://arp.0046.02.2024.gov.fes-pe.pe/" TargetMode="External"/><Relationship Id="rId2775" Type="http://schemas.openxmlformats.org/officeDocument/2006/relationships/hyperlink" Target="http://c.002-arp.0003.05.2023.gov.hra.pe/" TargetMode="External"/><Relationship Id="rId302" Type="http://schemas.openxmlformats.org/officeDocument/2006/relationships/hyperlink" Target="http://arp.0041.00.2024.gov.hr.pe/" TargetMode="External"/><Relationship Id="rId747" Type="http://schemas.openxmlformats.org/officeDocument/2006/relationships/hyperlink" Target="http://a.030-arp.0024.00.2024.gov.hr.pe/" TargetMode="External"/><Relationship Id="rId954" Type="http://schemas.openxmlformats.org/officeDocument/2006/relationships/hyperlink" Target="http://arp.0059.02.2024.gov.huoc.pe/" TargetMode="External"/><Relationship Id="rId1377" Type="http://schemas.openxmlformats.org/officeDocument/2006/relationships/hyperlink" Target="http://a.001-arp.0003.01.2023.gov.hra.pe/" TargetMode="External"/><Relationship Id="rId1584" Type="http://schemas.openxmlformats.org/officeDocument/2006/relationships/hyperlink" Target="http://arp.0073.00.2025.gov.fes-pe.pe/" TargetMode="External"/><Relationship Id="rId1791" Type="http://schemas.openxmlformats.org/officeDocument/2006/relationships/hyperlink" Target="http://c.002-arp.0036.05.2025.gov.fes-pe.pe/" TargetMode="External"/><Relationship Id="rId1805" Type="http://schemas.openxmlformats.org/officeDocument/2006/relationships/hyperlink" Target="http://c.008-arp.0035.01.2025.gov.fes-pe.pe/" TargetMode="External"/><Relationship Id="rId2428" Type="http://schemas.openxmlformats.org/officeDocument/2006/relationships/hyperlink" Target="http://arp.0031.16.2024.gov.fes-pe.pe/" TargetMode="External"/><Relationship Id="rId2635" Type="http://schemas.openxmlformats.org/officeDocument/2006/relationships/hyperlink" Target="http://c.001-arp.0052.05.2024.gov.fes-pe.pe/" TargetMode="External"/><Relationship Id="rId2842" Type="http://schemas.openxmlformats.org/officeDocument/2006/relationships/hyperlink" Target="http://arp.0077.04.2023.gov.fes-pe.pe/" TargetMode="External"/><Relationship Id="rId83" Type="http://schemas.openxmlformats.org/officeDocument/2006/relationships/hyperlink" Target="http://a.001-arp.0011.03.2025.gov.hgv.pe/" TargetMode="External"/><Relationship Id="rId179" Type="http://schemas.openxmlformats.org/officeDocument/2006/relationships/hyperlink" Target="http://a.018-arp.0038.03.2025.gov.huoc.pe/" TargetMode="External"/><Relationship Id="rId386" Type="http://schemas.openxmlformats.org/officeDocument/2006/relationships/hyperlink" Target="http://arp.0027.01.2024.gov.hemope.pe/" TargetMode="External"/><Relationship Id="rId593" Type="http://schemas.openxmlformats.org/officeDocument/2006/relationships/hyperlink" Target="http://a.011-arp.0084.05.2024.gov.procape.pe/" TargetMode="External"/><Relationship Id="rId607" Type="http://schemas.openxmlformats.org/officeDocument/2006/relationships/hyperlink" Target="http://a.123-arpc.0007.00.2024.gov.sad.pe/" TargetMode="External"/><Relationship Id="rId814" Type="http://schemas.openxmlformats.org/officeDocument/2006/relationships/hyperlink" Target="http://arp.0063.06.2024.gov.huoc.pe/" TargetMode="External"/><Relationship Id="rId1237" Type="http://schemas.openxmlformats.org/officeDocument/2006/relationships/hyperlink" Target="http://a.002-arp.0014.09.2023.gov.ham.pe/" TargetMode="External"/><Relationship Id="rId1444" Type="http://schemas.openxmlformats.org/officeDocument/2006/relationships/hyperlink" Target="http://arp.0003.01.2025.gov.fes-pe.pe/" TargetMode="External"/><Relationship Id="rId1651" Type="http://schemas.openxmlformats.org/officeDocument/2006/relationships/hyperlink" Target="http://c.011-arp.0092.04.2024.gov.fes-pe.pe/" TargetMode="External"/><Relationship Id="rId1889" Type="http://schemas.openxmlformats.org/officeDocument/2006/relationships/hyperlink" Target="http://c.002-arpc.0011.00.2025.gov.sad.pe/" TargetMode="External"/><Relationship Id="rId2067" Type="http://schemas.openxmlformats.org/officeDocument/2006/relationships/hyperlink" Target="http://c.004-arp.0014.02.2025.gov.fes-pe.pe/" TargetMode="External"/><Relationship Id="rId2274" Type="http://schemas.openxmlformats.org/officeDocument/2006/relationships/hyperlink" Target="http://arp.0090.05.2024.gov.fes-pe.pe/" TargetMode="External"/><Relationship Id="rId2481" Type="http://schemas.openxmlformats.org/officeDocument/2006/relationships/hyperlink" Target="http://c.016-arp.0046.02.2024.gov.fes-pe.pe/" TargetMode="External"/><Relationship Id="rId2702" Type="http://schemas.openxmlformats.org/officeDocument/2006/relationships/hyperlink" Target="http://arp.0003.06.2023.gov.hra.pe/" TargetMode="External"/><Relationship Id="rId246" Type="http://schemas.openxmlformats.org/officeDocument/2006/relationships/hyperlink" Target="http://arp.0003.00.2025.gov.hgv.pe/" TargetMode="External"/><Relationship Id="rId453" Type="http://schemas.openxmlformats.org/officeDocument/2006/relationships/hyperlink" Target="http://a.007-arp.0066.02.2024.gov.fes-pe.pe/" TargetMode="External"/><Relationship Id="rId660" Type="http://schemas.openxmlformats.org/officeDocument/2006/relationships/hyperlink" Target="http://arp.0059.00.2024.gov.procape.pe/" TargetMode="External"/><Relationship Id="rId898" Type="http://schemas.openxmlformats.org/officeDocument/2006/relationships/hyperlink" Target="http://arp.0048.03.2024.gov.huoc.pe/" TargetMode="External"/><Relationship Id="rId1083" Type="http://schemas.openxmlformats.org/officeDocument/2006/relationships/hyperlink" Target="http://a.007-arpc.0007.00.2024.gov.sad.pe/" TargetMode="External"/><Relationship Id="rId1290" Type="http://schemas.openxmlformats.org/officeDocument/2006/relationships/hyperlink" Target="http://arp.0006.02.2023.gov.ham.pe/" TargetMode="External"/><Relationship Id="rId1304" Type="http://schemas.openxmlformats.org/officeDocument/2006/relationships/hyperlink" Target="http://arp.0025.09.2023.gov.hr.pe/" TargetMode="External"/><Relationship Id="rId1511" Type="http://schemas.openxmlformats.org/officeDocument/2006/relationships/hyperlink" Target="http://c.007-arp.0079.14.2025.gov.fes-pe.pe/" TargetMode="External"/><Relationship Id="rId1749" Type="http://schemas.openxmlformats.org/officeDocument/2006/relationships/hyperlink" Target="http://c.003-arp.0021.00.2024.gov.hof.pe/" TargetMode="External"/><Relationship Id="rId1956" Type="http://schemas.openxmlformats.org/officeDocument/2006/relationships/hyperlink" Target="http://arp.0019.01.2025.gov.fes-pe.pe/" TargetMode="External"/><Relationship Id="rId2134" Type="http://schemas.openxmlformats.org/officeDocument/2006/relationships/hyperlink" Target="http://arp.0089.01.2024.gov.cisam.pe/" TargetMode="External"/><Relationship Id="rId2341" Type="http://schemas.openxmlformats.org/officeDocument/2006/relationships/hyperlink" Target="http://c.003-arp.0005.00.2024.gov.upecmn.pe/" TargetMode="External"/><Relationship Id="rId2579" Type="http://schemas.openxmlformats.org/officeDocument/2006/relationships/hyperlink" Target="http://c.004-arp.0038.01.2024.gov.fes-pe.pe/" TargetMode="External"/><Relationship Id="rId2786" Type="http://schemas.openxmlformats.org/officeDocument/2006/relationships/hyperlink" Target="http://arpc.0006.00.2023.gov.sad.pe/" TargetMode="External"/><Relationship Id="rId106" Type="http://schemas.openxmlformats.org/officeDocument/2006/relationships/hyperlink" Target="http://arp.0089.01.2024.gov.huoc.pe/" TargetMode="External"/><Relationship Id="rId313" Type="http://schemas.openxmlformats.org/officeDocument/2006/relationships/hyperlink" Target="http://a.009-arp.0076.01.2024.gov.procape.pe/" TargetMode="External"/><Relationship Id="rId758" Type="http://schemas.openxmlformats.org/officeDocument/2006/relationships/hyperlink" Target="http://arp.0021.00.2024.gov.hemope.pe/" TargetMode="External"/><Relationship Id="rId965" Type="http://schemas.openxmlformats.org/officeDocument/2006/relationships/hyperlink" Target="http://a.003-arp.0102.02.2023.gov.huoc.pe/" TargetMode="External"/><Relationship Id="rId1150" Type="http://schemas.openxmlformats.org/officeDocument/2006/relationships/hyperlink" Target="http://arp.0003.00.2023.gov.upegaranhuns.pe/" TargetMode="External"/><Relationship Id="rId1388" Type="http://schemas.openxmlformats.org/officeDocument/2006/relationships/hyperlink" Target="http://arp.0003.03.2023.gov.hra.pe/" TargetMode="External"/><Relationship Id="rId1595" Type="http://schemas.openxmlformats.org/officeDocument/2006/relationships/hyperlink" Target="http://c.015-arp.0088.02.2024.gov.cisam.pe/" TargetMode="External"/><Relationship Id="rId1609" Type="http://schemas.openxmlformats.org/officeDocument/2006/relationships/hyperlink" Target="http://c.006-arp.0049.02.2025.gov.fes-pe.pe/" TargetMode="External"/><Relationship Id="rId1816" Type="http://schemas.openxmlformats.org/officeDocument/2006/relationships/hyperlink" Target="http://arp.0031.02.2025.gov.fes-pe.pe/" TargetMode="External"/><Relationship Id="rId2439" Type="http://schemas.openxmlformats.org/officeDocument/2006/relationships/hyperlink" Target="http://c.003-arpc.0018.00.2024.gov.sad.pe/" TargetMode="External"/><Relationship Id="rId2646" Type="http://schemas.openxmlformats.org/officeDocument/2006/relationships/hyperlink" Target="http://arp.0005.02.2023.gov.hra.pe/" TargetMode="External"/><Relationship Id="rId2853" Type="http://schemas.openxmlformats.org/officeDocument/2006/relationships/hyperlink" Target="http://c.014-arpc.0004.00.2023.gov.sad.pe/" TargetMode="External"/><Relationship Id="rId10" Type="http://schemas.openxmlformats.org/officeDocument/2006/relationships/hyperlink" Target="http://arp.0005.12.2025.gov.hemope.pe/" TargetMode="External"/><Relationship Id="rId94" Type="http://schemas.openxmlformats.org/officeDocument/2006/relationships/hyperlink" Target="http://arp.0009.02.2025.gov.hgv.pe/" TargetMode="External"/><Relationship Id="rId397" Type="http://schemas.openxmlformats.org/officeDocument/2006/relationships/hyperlink" Target="http://a.014-arp.0010.00.2024.gov.hof.pe/" TargetMode="External"/><Relationship Id="rId520" Type="http://schemas.openxmlformats.org/officeDocument/2006/relationships/hyperlink" Target="http://arp.0016.05.2024.gov.hgv.pe/" TargetMode="External"/><Relationship Id="rId618" Type="http://schemas.openxmlformats.org/officeDocument/2006/relationships/hyperlink" Target="http://arpc.0014.00.2024.gov.sad.pe/" TargetMode="External"/><Relationship Id="rId825" Type="http://schemas.openxmlformats.org/officeDocument/2006/relationships/hyperlink" Target="http://a.001-arp.0058.03.2024.gov.huoc.pe/" TargetMode="External"/><Relationship Id="rId1248" Type="http://schemas.openxmlformats.org/officeDocument/2006/relationships/hyperlink" Target="http://arp.0030.01.2023.gov.hr.pe/" TargetMode="External"/><Relationship Id="rId1455" Type="http://schemas.openxmlformats.org/officeDocument/2006/relationships/hyperlink" Target="http://c.008-arp.0049.01.2025.gov.fes-pe.pe/" TargetMode="External"/><Relationship Id="rId1662" Type="http://schemas.openxmlformats.org/officeDocument/2006/relationships/hyperlink" Target="http://arp.0075.01.2024.gov.fes-pe.pe/" TargetMode="External"/><Relationship Id="rId2078" Type="http://schemas.openxmlformats.org/officeDocument/2006/relationships/hyperlink" Target="http://arp.0009.02.2025.gov.fes-pe.pe/" TargetMode="External"/><Relationship Id="rId2201" Type="http://schemas.openxmlformats.org/officeDocument/2006/relationships/hyperlink" Target="http://c.003-arp.0096.00.2024.gov.fes-pe.pe/" TargetMode="External"/><Relationship Id="rId2285" Type="http://schemas.openxmlformats.org/officeDocument/2006/relationships/hyperlink" Target="http://c.031-arp.0031.14.2024.gov.fes-pe.pe/" TargetMode="External"/><Relationship Id="rId2492" Type="http://schemas.openxmlformats.org/officeDocument/2006/relationships/hyperlink" Target="http://arp.0031.16.2024.gov.fes-pe.pe/" TargetMode="External"/><Relationship Id="rId2506" Type="http://schemas.openxmlformats.org/officeDocument/2006/relationships/hyperlink" Target="http://arp.0112.00.2023.gov.fes-pe.pe/" TargetMode="External"/><Relationship Id="rId257" Type="http://schemas.openxmlformats.org/officeDocument/2006/relationships/hyperlink" Target="http://a.016-arp.0065.02.2024.gov.cisam.pe/" TargetMode="External"/><Relationship Id="rId464" Type="http://schemas.openxmlformats.org/officeDocument/2006/relationships/hyperlink" Target="http://arp.0110.08.2024.gov.huoc.pe/" TargetMode="External"/><Relationship Id="rId1010" Type="http://schemas.openxmlformats.org/officeDocument/2006/relationships/hyperlink" Target="http://arp.0039.01.2024.gov.huoc.pe/" TargetMode="External"/><Relationship Id="rId1094" Type="http://schemas.openxmlformats.org/officeDocument/2006/relationships/hyperlink" Target="http://arp.0085.12.2023.gov.huoc.pe/" TargetMode="External"/><Relationship Id="rId1108" Type="http://schemas.openxmlformats.org/officeDocument/2006/relationships/hyperlink" Target="http://arp.0030.05.2023.gov.hr.pe/" TargetMode="External"/><Relationship Id="rId1315" Type="http://schemas.openxmlformats.org/officeDocument/2006/relationships/hyperlink" Target="http://a.002-arp.0010.08.2023.gov.ham.pe/" TargetMode="External"/><Relationship Id="rId1967" Type="http://schemas.openxmlformats.org/officeDocument/2006/relationships/hyperlink" Target="http://c.001-arp.0017.05.2025.gov.fes-pe.pe/" TargetMode="External"/><Relationship Id="rId2145" Type="http://schemas.openxmlformats.org/officeDocument/2006/relationships/hyperlink" Target="http://c.002-arp.0087.01.2024.gov.cisam.pe/" TargetMode="External"/><Relationship Id="rId2713" Type="http://schemas.openxmlformats.org/officeDocument/2006/relationships/hyperlink" Target="http://c.003-arp.0025.06.2024.gov.fes-pe.pe/" TargetMode="External"/><Relationship Id="rId2797" Type="http://schemas.openxmlformats.org/officeDocument/2006/relationships/hyperlink" Target="http://c.001-arp.0005.10.2023.gov.hra.pe/" TargetMode="External"/><Relationship Id="rId117" Type="http://schemas.openxmlformats.org/officeDocument/2006/relationships/hyperlink" Target="http://a.003-arp.0059.00.2025.gov.fes-pe.pe/" TargetMode="External"/><Relationship Id="rId671" Type="http://schemas.openxmlformats.org/officeDocument/2006/relationships/hyperlink" Target="http://a.002-arp.0088.03.2024.gov.fes-pe.pe/" TargetMode="External"/><Relationship Id="rId769" Type="http://schemas.openxmlformats.org/officeDocument/2006/relationships/hyperlink" Target="http://a.008-arp.0002.00.2024.ext.hmar.pe/" TargetMode="External"/><Relationship Id="rId976" Type="http://schemas.openxmlformats.org/officeDocument/2006/relationships/hyperlink" Target="http://arp.0002.04.2024.gov.hof.pe/" TargetMode="External"/><Relationship Id="rId1399" Type="http://schemas.openxmlformats.org/officeDocument/2006/relationships/hyperlink" Target="http://a.001-arp.0016.00.2023.gov.huoc.pe/" TargetMode="External"/><Relationship Id="rId2352" Type="http://schemas.openxmlformats.org/officeDocument/2006/relationships/hyperlink" Target="http://arp.0031.16.2024.gov.fes-pe.pe/" TargetMode="External"/><Relationship Id="rId2657" Type="http://schemas.openxmlformats.org/officeDocument/2006/relationships/hyperlink" Target="http://c.046-arpc.0006.00.2024.gov.sad.pe/" TargetMode="External"/><Relationship Id="rId324" Type="http://schemas.openxmlformats.org/officeDocument/2006/relationships/hyperlink" Target="http://arp.0051.00.2025.gov.procape.pe/" TargetMode="External"/><Relationship Id="rId531" Type="http://schemas.openxmlformats.org/officeDocument/2006/relationships/hyperlink" Target="http://a.003-arp.0087.05.2024.gov.huoc.pe/" TargetMode="External"/><Relationship Id="rId629" Type="http://schemas.openxmlformats.org/officeDocument/2006/relationships/hyperlink" Target="http://a.005-arp.0012.01.2024.gov.dasis.pe/" TargetMode="External"/><Relationship Id="rId1161" Type="http://schemas.openxmlformats.org/officeDocument/2006/relationships/hyperlink" Target="http://a.007-arp.0071.14.2023.gov.procape.pe/" TargetMode="External"/><Relationship Id="rId1259" Type="http://schemas.openxmlformats.org/officeDocument/2006/relationships/hyperlink" Target="http://a.007-arp.0084.01.2023.gov.huoc.pe/" TargetMode="External"/><Relationship Id="rId1466" Type="http://schemas.openxmlformats.org/officeDocument/2006/relationships/hyperlink" Target="http://arp.0044.04.2025.gov.fes-pe.pe/" TargetMode="External"/><Relationship Id="rId2005" Type="http://schemas.openxmlformats.org/officeDocument/2006/relationships/hyperlink" Target="http://c.010-arpc.0001.00.2025.gov.sad.pe/" TargetMode="External"/><Relationship Id="rId2212" Type="http://schemas.openxmlformats.org/officeDocument/2006/relationships/hyperlink" Target="http://arp.0094.03.2024.gov.fes-pe.pe/" TargetMode="External"/><Relationship Id="rId836" Type="http://schemas.openxmlformats.org/officeDocument/2006/relationships/hyperlink" Target="http://arp.0014.00.2024.gov.fes-pe.pe/" TargetMode="External"/><Relationship Id="rId1021" Type="http://schemas.openxmlformats.org/officeDocument/2006/relationships/hyperlink" Target="http://a.004-arp.0049.04.2024.gov.huoc.pe/" TargetMode="External"/><Relationship Id="rId1119" Type="http://schemas.openxmlformats.org/officeDocument/2006/relationships/hyperlink" Target="http://a.001-arp.0082.04.2023.gov.huoc.pe/" TargetMode="External"/><Relationship Id="rId1673" Type="http://schemas.openxmlformats.org/officeDocument/2006/relationships/hyperlink" Target="http://c.004-arp.0021.00.2024.gov.hof.pe/" TargetMode="External"/><Relationship Id="rId1880" Type="http://schemas.openxmlformats.org/officeDocument/2006/relationships/hyperlink" Target="http://arp.0048.01.2025.gov.fes-pe.pe/" TargetMode="External"/><Relationship Id="rId1978" Type="http://schemas.openxmlformats.org/officeDocument/2006/relationships/hyperlink" Target="http://arp.0013.02.2025.gov.fes-pe.pe/" TargetMode="External"/><Relationship Id="rId2517" Type="http://schemas.openxmlformats.org/officeDocument/2006/relationships/hyperlink" Target="http://c.001-arp.0002.00.2024.gov.hra.pe/" TargetMode="External"/><Relationship Id="rId2724" Type="http://schemas.openxmlformats.org/officeDocument/2006/relationships/hyperlink" Target="http://arp.0018.01.2024.gov.fes-pe.pe/" TargetMode="External"/><Relationship Id="rId903" Type="http://schemas.openxmlformats.org/officeDocument/2006/relationships/hyperlink" Target="http://a.001-arp.0054.01.2024.gov.huoc.pe/" TargetMode="External"/><Relationship Id="rId1326" Type="http://schemas.openxmlformats.org/officeDocument/2006/relationships/hyperlink" Target="http://arp.0005.00.2023.gov.hof.pe/" TargetMode="External"/><Relationship Id="rId1533" Type="http://schemas.openxmlformats.org/officeDocument/2006/relationships/hyperlink" Target="http://c.011-arp.0044.06.2025.gov.fes-pe.pe/" TargetMode="External"/><Relationship Id="rId1740" Type="http://schemas.openxmlformats.org/officeDocument/2006/relationships/hyperlink" Target="http://arp.0003.00.2025.gov.dasis.pe/" TargetMode="External"/><Relationship Id="rId32" Type="http://schemas.openxmlformats.org/officeDocument/2006/relationships/hyperlink" Target="http://arp.0021.00.2025.gov.hof.pe/" TargetMode="External"/><Relationship Id="rId1600" Type="http://schemas.openxmlformats.org/officeDocument/2006/relationships/hyperlink" Target="http://arp.0015.06.2025.gov.fes-pe.pe/" TargetMode="External"/><Relationship Id="rId1838" Type="http://schemas.openxmlformats.org/officeDocument/2006/relationships/hyperlink" Target="http://arp.0029.04.2025.gov.fes-pe.pe/" TargetMode="External"/><Relationship Id="rId181" Type="http://schemas.openxmlformats.org/officeDocument/2006/relationships/hyperlink" Target="http://a.005-arp.0082.06.2025.gov.huoc.pe/" TargetMode="External"/><Relationship Id="rId1905" Type="http://schemas.openxmlformats.org/officeDocument/2006/relationships/hyperlink" Target="http://c.005-arp.0010.00.2025.gov.cisam.pe/" TargetMode="External"/><Relationship Id="rId279" Type="http://schemas.openxmlformats.org/officeDocument/2006/relationships/hyperlink" Target="http://a.019-arp.0001.08.2025.gov.huoc.pe/" TargetMode="External"/><Relationship Id="rId486" Type="http://schemas.openxmlformats.org/officeDocument/2006/relationships/hyperlink" Target="http://arp.0003.01.2025.gov.huoc.pe/" TargetMode="External"/><Relationship Id="rId693" Type="http://schemas.openxmlformats.org/officeDocument/2006/relationships/hyperlink" Target="http://a.005-arp.0013.00.2024.ext.hmar.pe/" TargetMode="External"/><Relationship Id="rId2167" Type="http://schemas.openxmlformats.org/officeDocument/2006/relationships/hyperlink" Target="http://c.002-arp.0097.02.2024.gov.fes-pe.pe/" TargetMode="External"/><Relationship Id="rId2374" Type="http://schemas.openxmlformats.org/officeDocument/2006/relationships/hyperlink" Target="http://arp.0066.03.2024.gov.fes-pe.pe/" TargetMode="External"/><Relationship Id="rId2581" Type="http://schemas.openxmlformats.org/officeDocument/2006/relationships/hyperlink" Target="http://c.006-arp.0061.06.2024.gov.fes-pe.pe/" TargetMode="External"/><Relationship Id="rId139" Type="http://schemas.openxmlformats.org/officeDocument/2006/relationships/hyperlink" Target="http://a.012-arp.0004.00.2025.gov.hr.pe/" TargetMode="External"/><Relationship Id="rId346" Type="http://schemas.openxmlformats.org/officeDocument/2006/relationships/hyperlink" Target="http://arp.0103.00.2024.gov.procape.pe/" TargetMode="External"/><Relationship Id="rId553" Type="http://schemas.openxmlformats.org/officeDocument/2006/relationships/hyperlink" Target="http://a.012-arp.0110.08.2024.gov.huoc.pe/" TargetMode="External"/><Relationship Id="rId760" Type="http://schemas.openxmlformats.org/officeDocument/2006/relationships/hyperlink" Target="http://arp.0025.00.2024.gov.hr.pe/" TargetMode="External"/><Relationship Id="rId998" Type="http://schemas.openxmlformats.org/officeDocument/2006/relationships/hyperlink" Target="http://arp.0021.00.2024.gov.hr.pe/" TargetMode="External"/><Relationship Id="rId1183" Type="http://schemas.openxmlformats.org/officeDocument/2006/relationships/hyperlink" Target="http://a.011-arp.0041.05.2023.gov.cisam.pe/" TargetMode="External"/><Relationship Id="rId1390" Type="http://schemas.openxmlformats.org/officeDocument/2006/relationships/hyperlink" Target="http://arp.0003.02.2023.gov.hra.pe/" TargetMode="External"/><Relationship Id="rId2027" Type="http://schemas.openxmlformats.org/officeDocument/2006/relationships/hyperlink" Target="http://c.077-arpc.0019.00.2024.gov.sad.pe/" TargetMode="External"/><Relationship Id="rId2234" Type="http://schemas.openxmlformats.org/officeDocument/2006/relationships/hyperlink" Target="http://arp.0092.04.2024.gov.fes-pe.pe/" TargetMode="External"/><Relationship Id="rId2441" Type="http://schemas.openxmlformats.org/officeDocument/2006/relationships/hyperlink" Target="http://c.033-arp.0018.00.2024.gov.fes-pe.pe/" TargetMode="External"/><Relationship Id="rId2679" Type="http://schemas.openxmlformats.org/officeDocument/2006/relationships/hyperlink" Target="http://c.010-arp.0018.00.2024.gov.fes-pe.pe/" TargetMode="External"/><Relationship Id="rId206" Type="http://schemas.openxmlformats.org/officeDocument/2006/relationships/hyperlink" Target="http://arp.0678.00.2025.ext.hmar.pe/" TargetMode="External"/><Relationship Id="rId413" Type="http://schemas.openxmlformats.org/officeDocument/2006/relationships/hyperlink" Target="http://a.001-arp.0006.04.2025.gov.procape.pe/" TargetMode="External"/><Relationship Id="rId858" Type="http://schemas.openxmlformats.org/officeDocument/2006/relationships/hyperlink" Target="http://arp.0009.00.2024.gov.hof.pe/" TargetMode="External"/><Relationship Id="rId1043" Type="http://schemas.openxmlformats.org/officeDocument/2006/relationships/hyperlink" Target="http://a.003-arp.0001.02.2024.gov.hemope.pe/" TargetMode="External"/><Relationship Id="rId1488" Type="http://schemas.openxmlformats.org/officeDocument/2006/relationships/hyperlink" Target="http://arp.0070.02.2025.gov.fes-pe.pe/" TargetMode="External"/><Relationship Id="rId1695" Type="http://schemas.openxmlformats.org/officeDocument/2006/relationships/hyperlink" Target="http://c.003-arp.0047.00.2025.gov.fes-pe.pe/" TargetMode="External"/><Relationship Id="rId2539" Type="http://schemas.openxmlformats.org/officeDocument/2006/relationships/hyperlink" Target="http://c.003-arp.0065.06.2024.gov.fes-pe.pe/" TargetMode="External"/><Relationship Id="rId2746" Type="http://schemas.openxmlformats.org/officeDocument/2006/relationships/hyperlink" Target="http://arp.0003.02.2023.gov.hra.pe/" TargetMode="External"/><Relationship Id="rId620" Type="http://schemas.openxmlformats.org/officeDocument/2006/relationships/hyperlink" Target="http://arp.0010.00.2024.gov.hof.pe/" TargetMode="External"/><Relationship Id="rId718" Type="http://schemas.openxmlformats.org/officeDocument/2006/relationships/hyperlink" Target="http://arp.0004.00.2024.gov.hgv.pe/" TargetMode="External"/><Relationship Id="rId925" Type="http://schemas.openxmlformats.org/officeDocument/2006/relationships/hyperlink" Target="http://a.003-arp.0050.06.2024.gov.huoc.pe/" TargetMode="External"/><Relationship Id="rId1250" Type="http://schemas.openxmlformats.org/officeDocument/2006/relationships/hyperlink" Target="http://arp.0086.02.2023.gov.huoc.pe/" TargetMode="External"/><Relationship Id="rId1348" Type="http://schemas.openxmlformats.org/officeDocument/2006/relationships/hyperlink" Target="http://arp.0037.02.2023.gov.procape.pe/" TargetMode="External"/><Relationship Id="rId1555" Type="http://schemas.openxmlformats.org/officeDocument/2006/relationships/hyperlink" Target="http://c.010-arp.0010.00.2025.gov.cisam.pe/" TargetMode="External"/><Relationship Id="rId1762" Type="http://schemas.openxmlformats.org/officeDocument/2006/relationships/hyperlink" Target="http://arp.0052.03.2025.gov.fes-pe.pe/" TargetMode="External"/><Relationship Id="rId2301" Type="http://schemas.openxmlformats.org/officeDocument/2006/relationships/hyperlink" Target="http://c.011-arp.0075.00.2024.gov.fes-pe.pe/" TargetMode="External"/><Relationship Id="rId2606" Type="http://schemas.openxmlformats.org/officeDocument/2006/relationships/hyperlink" Target="http://arp.0647.14.2024.gov.fes-pe.pe/" TargetMode="External"/><Relationship Id="rId1110" Type="http://schemas.openxmlformats.org/officeDocument/2006/relationships/hyperlink" Target="http://arp.0112.00.2023.gov.huoc.pe/" TargetMode="External"/><Relationship Id="rId1208" Type="http://schemas.openxmlformats.org/officeDocument/2006/relationships/hyperlink" Target="http://arp.0030.01.2023.gov.hr.pe/" TargetMode="External"/><Relationship Id="rId1415" Type="http://schemas.openxmlformats.org/officeDocument/2006/relationships/hyperlink" Target="http://c.001-arp.0115.06.2025.gov.fes-pe.pe/" TargetMode="External"/><Relationship Id="rId2813" Type="http://schemas.openxmlformats.org/officeDocument/2006/relationships/hyperlink" Target="http://c.001-arp.0005.00.2023.gov.hra.pe/" TargetMode="External"/><Relationship Id="rId54" Type="http://schemas.openxmlformats.org/officeDocument/2006/relationships/hyperlink" Target="http://arp.0118.01.2024.gov.huoc.pe/" TargetMode="External"/><Relationship Id="rId1622" Type="http://schemas.openxmlformats.org/officeDocument/2006/relationships/hyperlink" Target="http://arp.0006.00.2025.gov.cisam.pe/" TargetMode="External"/><Relationship Id="rId1927" Type="http://schemas.openxmlformats.org/officeDocument/2006/relationships/hyperlink" Target="http://c.001-arp.0027.04.2025.gov.fes-pe.pe/" TargetMode="External"/><Relationship Id="rId2091" Type="http://schemas.openxmlformats.org/officeDocument/2006/relationships/hyperlink" Target="http://c.005-arp.0005.01.2025.gov.fes-pe.pe/" TargetMode="External"/><Relationship Id="rId2189" Type="http://schemas.openxmlformats.org/officeDocument/2006/relationships/hyperlink" Target="http://c.009-arp.0040.01.2024.gov.fes-pe.pe/" TargetMode="External"/><Relationship Id="rId270" Type="http://schemas.openxmlformats.org/officeDocument/2006/relationships/hyperlink" Target="http://arp.0005.09.2025.gov.procape.pe/" TargetMode="External"/><Relationship Id="rId2396" Type="http://schemas.openxmlformats.org/officeDocument/2006/relationships/hyperlink" Target="http://arp.0052.10.2024.gov.fes-pe.pe/" TargetMode="External"/><Relationship Id="rId130" Type="http://schemas.openxmlformats.org/officeDocument/2006/relationships/hyperlink" Target="http://arp.0013.02.2025.gov.hof.pe/" TargetMode="External"/><Relationship Id="rId368" Type="http://schemas.openxmlformats.org/officeDocument/2006/relationships/hyperlink" Target="http://arp.0041.00.2024.gov.hr.pe/" TargetMode="External"/><Relationship Id="rId575" Type="http://schemas.openxmlformats.org/officeDocument/2006/relationships/hyperlink" Target="http://a.008-arp.0003.01.2025.gov.huoc.pe/" TargetMode="External"/><Relationship Id="rId782" Type="http://schemas.openxmlformats.org/officeDocument/2006/relationships/hyperlink" Target="http://arp.0004.02.2024.gov.hgv.pe/" TargetMode="External"/><Relationship Id="rId2049" Type="http://schemas.openxmlformats.org/officeDocument/2006/relationships/hyperlink" Target="http://c.075-arpc.0019.00.2024.gov.sad.pe/" TargetMode="External"/><Relationship Id="rId2256" Type="http://schemas.openxmlformats.org/officeDocument/2006/relationships/hyperlink" Target="http://arp.0018.00.2024.gov.fes-pe.pe/" TargetMode="External"/><Relationship Id="rId2463" Type="http://schemas.openxmlformats.org/officeDocument/2006/relationships/hyperlink" Target="http://c.018-arpc.0014.00.2024.gov.sad.pe/" TargetMode="External"/><Relationship Id="rId2670" Type="http://schemas.openxmlformats.org/officeDocument/2006/relationships/hyperlink" Target="http://arpc.0003.00.2024.gov.sad.pe/" TargetMode="External"/><Relationship Id="rId228" Type="http://schemas.openxmlformats.org/officeDocument/2006/relationships/hyperlink" Target="http://arp.0074.00.2024.gov.fes-pe.pe/" TargetMode="External"/><Relationship Id="rId435" Type="http://schemas.openxmlformats.org/officeDocument/2006/relationships/hyperlink" Target="http://a.005-arp.0074.01.2024.gov.huoc.pe/" TargetMode="External"/><Relationship Id="rId642" Type="http://schemas.openxmlformats.org/officeDocument/2006/relationships/hyperlink" Target="http://arp.0110.08.2024.gov.huoc.pe/" TargetMode="External"/><Relationship Id="rId1065" Type="http://schemas.openxmlformats.org/officeDocument/2006/relationships/hyperlink" Target="http://a.001-arp.0029.00.2023.gov.hof.pe/" TargetMode="External"/><Relationship Id="rId1272" Type="http://schemas.openxmlformats.org/officeDocument/2006/relationships/hyperlink" Target="http://arp.0014.01.2023.gov.dasis.pe/" TargetMode="External"/><Relationship Id="rId2116" Type="http://schemas.openxmlformats.org/officeDocument/2006/relationships/hyperlink" Target="http://arpc.0002.00.2025.gov.sad.pe/" TargetMode="External"/><Relationship Id="rId2323" Type="http://schemas.openxmlformats.org/officeDocument/2006/relationships/hyperlink" Target="http://c.004-arp.0083.03.2024.gov.fes-pe.pe/" TargetMode="External"/><Relationship Id="rId2530" Type="http://schemas.openxmlformats.org/officeDocument/2006/relationships/hyperlink" Target="http://arp.0031.16.2024.gov.fes-pe.pe/" TargetMode="External"/><Relationship Id="rId2768" Type="http://schemas.openxmlformats.org/officeDocument/2006/relationships/hyperlink" Target="http://arp.0005.00.2023.gov.hra.pe/" TargetMode="External"/><Relationship Id="rId502" Type="http://schemas.openxmlformats.org/officeDocument/2006/relationships/hyperlink" Target="http://arp.0003.00.2025.gov.hr.pe/" TargetMode="External"/><Relationship Id="rId947" Type="http://schemas.openxmlformats.org/officeDocument/2006/relationships/hyperlink" Target="http://a.008-arp.0001.07.2024.gov.hof.pe/" TargetMode="External"/><Relationship Id="rId1132" Type="http://schemas.openxmlformats.org/officeDocument/2006/relationships/hyperlink" Target="http://arp.0131.01.2023.gov.huoc.pe/" TargetMode="External"/><Relationship Id="rId1577" Type="http://schemas.openxmlformats.org/officeDocument/2006/relationships/hyperlink" Target="http://c.007-arp.0008.01.2025.gov.ham.pe/" TargetMode="External"/><Relationship Id="rId1784" Type="http://schemas.openxmlformats.org/officeDocument/2006/relationships/hyperlink" Target="http://arp.0036.09.2025.gov.fes-pe.pe/" TargetMode="External"/><Relationship Id="rId1991" Type="http://schemas.openxmlformats.org/officeDocument/2006/relationships/hyperlink" Target="http://c.005-arp.0012.02.2025.gov.fes-pe.pe/" TargetMode="External"/><Relationship Id="rId2628" Type="http://schemas.openxmlformats.org/officeDocument/2006/relationships/hyperlink" Target="http://arp.0048.11.2024.gov.fes-pe.pe/" TargetMode="External"/><Relationship Id="rId2835" Type="http://schemas.openxmlformats.org/officeDocument/2006/relationships/hyperlink" Target="http://c.002-arp.0003.02.2023.gov.hra.pe/" TargetMode="External"/><Relationship Id="rId76" Type="http://schemas.openxmlformats.org/officeDocument/2006/relationships/hyperlink" Target="http://arp.0118.05.2024.gov.huoc.pe/" TargetMode="External"/><Relationship Id="rId807" Type="http://schemas.openxmlformats.org/officeDocument/2006/relationships/hyperlink" Target="http://a.003-arp.0044.08.2024.gov.procape.pe/" TargetMode="External"/><Relationship Id="rId1437" Type="http://schemas.openxmlformats.org/officeDocument/2006/relationships/hyperlink" Target="http://c.005-arp.0077.00.2025.gov.fes-pe.pe/" TargetMode="External"/><Relationship Id="rId1644" Type="http://schemas.openxmlformats.org/officeDocument/2006/relationships/hyperlink" Target="http://arp.0009.01.2025.gov.fes-pe.pe/" TargetMode="External"/><Relationship Id="rId1851" Type="http://schemas.openxmlformats.org/officeDocument/2006/relationships/hyperlink" Target="http://c.016-arp.0009.02.2025.gov.fes-pe.pe/" TargetMode="External"/><Relationship Id="rId1504" Type="http://schemas.openxmlformats.org/officeDocument/2006/relationships/hyperlink" Target="http://arp.0008.01.2025.gov.ham.pe/" TargetMode="External"/><Relationship Id="rId1711" Type="http://schemas.openxmlformats.org/officeDocument/2006/relationships/hyperlink" Target="http://c.001-arp.0002.00.2025.gov.ses.pe/" TargetMode="External"/><Relationship Id="rId1949" Type="http://schemas.openxmlformats.org/officeDocument/2006/relationships/hyperlink" Target="http://c.003-arp.0010.00.2025.gov.cisam.pe/" TargetMode="External"/><Relationship Id="rId292" Type="http://schemas.openxmlformats.org/officeDocument/2006/relationships/hyperlink" Target="http://arp.0076.01.2024.gov.procape.pe/" TargetMode="External"/><Relationship Id="rId1809" Type="http://schemas.openxmlformats.org/officeDocument/2006/relationships/hyperlink" Target="http://c.001-arp.0031.06.2025.gov.fes-pe.pe/" TargetMode="External"/><Relationship Id="rId597" Type="http://schemas.openxmlformats.org/officeDocument/2006/relationships/hyperlink" Target="http://a.002-arp.0045.00.2024.gov.hr.pe/" TargetMode="External"/><Relationship Id="rId2180" Type="http://schemas.openxmlformats.org/officeDocument/2006/relationships/hyperlink" Target="http://arpc.0004.00.2024.gov.sad.pe/" TargetMode="External"/><Relationship Id="rId2278" Type="http://schemas.openxmlformats.org/officeDocument/2006/relationships/hyperlink" Target="http://arp.0090.02.2024.gov.fes-pe.pe/" TargetMode="External"/><Relationship Id="rId2485" Type="http://schemas.openxmlformats.org/officeDocument/2006/relationships/hyperlink" Target="http://c.003-arp.0107.00.2023.gov.fes-pe.pe/" TargetMode="External"/><Relationship Id="rId152" Type="http://schemas.openxmlformats.org/officeDocument/2006/relationships/hyperlink" Target="http://arp.0011.02.2025.gov.hemope.pe/" TargetMode="External"/><Relationship Id="rId457" Type="http://schemas.openxmlformats.org/officeDocument/2006/relationships/hyperlink" Target="http://a.006-arp.0090.04.2024.gov.procape.pe/" TargetMode="External"/><Relationship Id="rId1087" Type="http://schemas.openxmlformats.org/officeDocument/2006/relationships/hyperlink" Target="http://a.011-arp.0085.05.2023.gov.huoc.pe/" TargetMode="External"/><Relationship Id="rId1294" Type="http://schemas.openxmlformats.org/officeDocument/2006/relationships/hyperlink" Target="http://arp.0024.02.2023.gov.huoc.pe/" TargetMode="External"/><Relationship Id="rId2040" Type="http://schemas.openxmlformats.org/officeDocument/2006/relationships/hyperlink" Target="http://arp.0015.05.2025.gov.fes-pe.pe/" TargetMode="External"/><Relationship Id="rId2138" Type="http://schemas.openxmlformats.org/officeDocument/2006/relationships/hyperlink" Target="http://arp.0087.00.2024.gov.cisam.pe/" TargetMode="External"/><Relationship Id="rId2692" Type="http://schemas.openxmlformats.org/officeDocument/2006/relationships/hyperlink" Target="http://arpc.0006.00.2024.gov.sad.pe/" TargetMode="External"/><Relationship Id="rId664" Type="http://schemas.openxmlformats.org/officeDocument/2006/relationships/hyperlink" Target="http://arp.0576.00.2024.ext.hmar.pe/" TargetMode="External"/><Relationship Id="rId871" Type="http://schemas.openxmlformats.org/officeDocument/2006/relationships/hyperlink" Target="http://a.007-arp.0006.01.2024.gov.hgv.pe/" TargetMode="External"/><Relationship Id="rId969" Type="http://schemas.openxmlformats.org/officeDocument/2006/relationships/hyperlink" Target="http://a.004-arp.0032.00.2023.gov.hr.pe/" TargetMode="External"/><Relationship Id="rId1599" Type="http://schemas.openxmlformats.org/officeDocument/2006/relationships/hyperlink" Target="http://c.022-arp.0015.06.2025.gov.fes-pe.pe/" TargetMode="External"/><Relationship Id="rId2345" Type="http://schemas.openxmlformats.org/officeDocument/2006/relationships/hyperlink" Target="http://c.010-arp.0075.01.2024.gov.fes-pe.pe/" TargetMode="External"/><Relationship Id="rId2552" Type="http://schemas.openxmlformats.org/officeDocument/2006/relationships/hyperlink" Target="http://arp.0063.06.2024.gov.fes-pe.pe/" TargetMode="External"/><Relationship Id="rId317" Type="http://schemas.openxmlformats.org/officeDocument/2006/relationships/hyperlink" Target="http://a.001-arp.0045.02.2025.gov.procape.pe/" TargetMode="External"/><Relationship Id="rId524" Type="http://schemas.openxmlformats.org/officeDocument/2006/relationships/hyperlink" Target="http://arp.0107.05.2024.gov.huoc.pe/" TargetMode="External"/><Relationship Id="rId731" Type="http://schemas.openxmlformats.org/officeDocument/2006/relationships/hyperlink" Target="http://a.007-arp.0120.03.2023.gov.procape.pe/" TargetMode="External"/><Relationship Id="rId1154" Type="http://schemas.openxmlformats.org/officeDocument/2006/relationships/hyperlink" Target="http://arp.0014.10.2023.gov.hr.pe/" TargetMode="External"/><Relationship Id="rId1361" Type="http://schemas.openxmlformats.org/officeDocument/2006/relationships/hyperlink" Target="http://a.004-arp.0032.12.2023.gov.procape.pe/" TargetMode="External"/><Relationship Id="rId1459" Type="http://schemas.openxmlformats.org/officeDocument/2006/relationships/hyperlink" Target="http://c.011-arp.0008.01.2025.gov.ham.pe/" TargetMode="External"/><Relationship Id="rId2205" Type="http://schemas.openxmlformats.org/officeDocument/2006/relationships/hyperlink" Target="http://c.021-arp.0048.01.2024.gov.fes-pe.pe/" TargetMode="External"/><Relationship Id="rId2412" Type="http://schemas.openxmlformats.org/officeDocument/2006/relationships/hyperlink" Target="http://arp.0031.16.2024.gov.fes-pe.pe/" TargetMode="External"/><Relationship Id="rId98" Type="http://schemas.openxmlformats.org/officeDocument/2006/relationships/hyperlink" Target="http://arp.0011.00.2025.gov.ham.pe/" TargetMode="External"/><Relationship Id="rId829" Type="http://schemas.openxmlformats.org/officeDocument/2006/relationships/hyperlink" Target="http://a.004-arp.0130.00.2023.gov.huoc.pe/" TargetMode="External"/><Relationship Id="rId1014" Type="http://schemas.openxmlformats.org/officeDocument/2006/relationships/hyperlink" Target="http://arp.0043.00.2024.gov.procape.pe/" TargetMode="External"/><Relationship Id="rId1221" Type="http://schemas.openxmlformats.org/officeDocument/2006/relationships/hyperlink" Target="http://a.009-arp.0012.01.2023.gov.hr.pe/" TargetMode="External"/><Relationship Id="rId1666" Type="http://schemas.openxmlformats.org/officeDocument/2006/relationships/hyperlink" Target="http://arp.0010.05.2025.gov.fes-pe.pe/" TargetMode="External"/><Relationship Id="rId1873" Type="http://schemas.openxmlformats.org/officeDocument/2006/relationships/hyperlink" Target="http://c.002-arp.0048.02.2025.gov.fes-pe.pe/" TargetMode="External"/><Relationship Id="rId2717" Type="http://schemas.openxmlformats.org/officeDocument/2006/relationships/hyperlink" Target="http://c.001-arp.0025.02.2024.gov.fes-pe.pe/" TargetMode="External"/><Relationship Id="rId1319" Type="http://schemas.openxmlformats.org/officeDocument/2006/relationships/hyperlink" Target="http://a.002-arp.0029.02.2023.gov.hgv.pe/" TargetMode="External"/><Relationship Id="rId1526" Type="http://schemas.openxmlformats.org/officeDocument/2006/relationships/hyperlink" Target="http://arp.0030.03.2025.gov.cisam.pe/" TargetMode="External"/><Relationship Id="rId1733" Type="http://schemas.openxmlformats.org/officeDocument/2006/relationships/hyperlink" Target="http://c.022-arp.0046.02.2024.gov.fes-pe.pe/" TargetMode="External"/><Relationship Id="rId1940" Type="http://schemas.openxmlformats.org/officeDocument/2006/relationships/hyperlink" Target="http://arp.0022.01.2025.gov.fes-pe.pe/" TargetMode="External"/><Relationship Id="rId25" Type="http://schemas.openxmlformats.org/officeDocument/2006/relationships/hyperlink" Target="http://a.012-arp.0009.02.2025.gov.fes-pe.pe/" TargetMode="External"/><Relationship Id="rId1800" Type="http://schemas.openxmlformats.org/officeDocument/2006/relationships/hyperlink" Target="http://arp.0035.04.2025.gov.fes-pe.pe/" TargetMode="External"/><Relationship Id="rId174" Type="http://schemas.openxmlformats.org/officeDocument/2006/relationships/hyperlink" Target="http://arp.0093.00.2024.gov.cisam.pe/" TargetMode="External"/><Relationship Id="rId381" Type="http://schemas.openxmlformats.org/officeDocument/2006/relationships/hyperlink" Target="http://a.002-arp.0020.03.2024.gov.ham.pe/" TargetMode="External"/><Relationship Id="rId2062" Type="http://schemas.openxmlformats.org/officeDocument/2006/relationships/hyperlink" Target="http://arp.0015.02.2025.gov.fes-pe.pe/" TargetMode="External"/><Relationship Id="rId241" Type="http://schemas.openxmlformats.org/officeDocument/2006/relationships/hyperlink" Target="http://a.007-arp.0080.02.2024.gov.cisam.pe/" TargetMode="External"/><Relationship Id="rId479" Type="http://schemas.openxmlformats.org/officeDocument/2006/relationships/hyperlink" Target="http://a.001-arp.0011.00.2025.gov.ham.pe/" TargetMode="External"/><Relationship Id="rId686" Type="http://schemas.openxmlformats.org/officeDocument/2006/relationships/hyperlink" Target="http://arp.0012.00.2024.gov.ham.pe/" TargetMode="External"/><Relationship Id="rId893" Type="http://schemas.openxmlformats.org/officeDocument/2006/relationships/hyperlink" Target="http://a.002-arp.0050.03.2024.gov.huoc.pe/" TargetMode="External"/><Relationship Id="rId2367" Type="http://schemas.openxmlformats.org/officeDocument/2006/relationships/hyperlink" Target="http://c.033-arp.0031.16.2024.gov.fes-pe.pe/" TargetMode="External"/><Relationship Id="rId2574" Type="http://schemas.openxmlformats.org/officeDocument/2006/relationships/hyperlink" Target="http://arp.0048.06.2024.gov.fes-pe.pe/" TargetMode="External"/><Relationship Id="rId2781" Type="http://schemas.openxmlformats.org/officeDocument/2006/relationships/hyperlink" Target="http://c.003-arp.0003.03.2023.gov.hra.pe/" TargetMode="External"/><Relationship Id="rId339" Type="http://schemas.openxmlformats.org/officeDocument/2006/relationships/hyperlink" Target="http://a.004-arp.0013.06.2025.gov.hof.pe/" TargetMode="External"/><Relationship Id="rId546" Type="http://schemas.openxmlformats.org/officeDocument/2006/relationships/hyperlink" Target="http://arp.0030.01.2024.gov.cisam.pe/" TargetMode="External"/><Relationship Id="rId753" Type="http://schemas.openxmlformats.org/officeDocument/2006/relationships/hyperlink" Target="http://a.009-arp.0009.00.2024.gov.hof.pe/" TargetMode="External"/><Relationship Id="rId1176" Type="http://schemas.openxmlformats.org/officeDocument/2006/relationships/hyperlink" Target="http://arp.0012.01.2023.gov.sassepe.pe/" TargetMode="External"/><Relationship Id="rId1383" Type="http://schemas.openxmlformats.org/officeDocument/2006/relationships/hyperlink" Target="http://a.001-arp.0003.05.2023.gov.hra.pe/" TargetMode="External"/><Relationship Id="rId2227" Type="http://schemas.openxmlformats.org/officeDocument/2006/relationships/hyperlink" Target="http://c.001-arp.0092.02.2024.gov.fes-pe.pe/" TargetMode="External"/><Relationship Id="rId2434" Type="http://schemas.openxmlformats.org/officeDocument/2006/relationships/hyperlink" Target="http://arp.0031.16.2024.gov.fes-pe.pe/" TargetMode="External"/><Relationship Id="rId101" Type="http://schemas.openxmlformats.org/officeDocument/2006/relationships/hyperlink" Target="http://a.004-arp.0010.05.2025.gov.ham.pe/" TargetMode="External"/><Relationship Id="rId406" Type="http://schemas.openxmlformats.org/officeDocument/2006/relationships/hyperlink" Target="http://arp.0114.02.2024.gov.huoc.pe/" TargetMode="External"/><Relationship Id="rId960" Type="http://schemas.openxmlformats.org/officeDocument/2006/relationships/hyperlink" Target="http://arp.0004.00.2024.gov.hgv.pe/" TargetMode="External"/><Relationship Id="rId1036" Type="http://schemas.openxmlformats.org/officeDocument/2006/relationships/hyperlink" Target="http://arp.0046.01.2024.gov.huoc.pe/" TargetMode="External"/><Relationship Id="rId1243" Type="http://schemas.openxmlformats.org/officeDocument/2006/relationships/hyperlink" Target="http://a.002-arp.0073.01.2023.gov.huoc.pe/" TargetMode="External"/><Relationship Id="rId1590" Type="http://schemas.openxmlformats.org/officeDocument/2006/relationships/hyperlink" Target="http://arp.0084.02.2024.gov.fes-pe.pe/" TargetMode="External"/><Relationship Id="rId1688" Type="http://schemas.openxmlformats.org/officeDocument/2006/relationships/hyperlink" Target="http://arp.0067.03.2025.gov.fes-pe.pe/" TargetMode="External"/><Relationship Id="rId1895" Type="http://schemas.openxmlformats.org/officeDocument/2006/relationships/hyperlink" Target="http://c.002-arp.0034.01.2025.gov.fes-pe.pe/" TargetMode="External"/><Relationship Id="rId2641" Type="http://schemas.openxmlformats.org/officeDocument/2006/relationships/hyperlink" Target="http://c.116-arpc.0026.00.2023.gov.sad.pe/" TargetMode="External"/><Relationship Id="rId2739" Type="http://schemas.openxmlformats.org/officeDocument/2006/relationships/hyperlink" Target="http://c.004-arp.0003.04.2023.gov.hra.pe/" TargetMode="External"/><Relationship Id="rId613" Type="http://schemas.openxmlformats.org/officeDocument/2006/relationships/hyperlink" Target="http://a.002-arp.0107.05.2024.gov.huoc.pe/" TargetMode="External"/><Relationship Id="rId820" Type="http://schemas.openxmlformats.org/officeDocument/2006/relationships/hyperlink" Target="http://arp.0021.00.2023.gov.sassepe.pe/" TargetMode="External"/><Relationship Id="rId918" Type="http://schemas.openxmlformats.org/officeDocument/2006/relationships/hyperlink" Target="http://arp.0010.00.2024.gov.cisam.pe/" TargetMode="External"/><Relationship Id="rId1450" Type="http://schemas.openxmlformats.org/officeDocument/2006/relationships/hyperlink" Target="http://arp.0101.00.2025.gov.fes-pe.pe/" TargetMode="External"/><Relationship Id="rId1548" Type="http://schemas.openxmlformats.org/officeDocument/2006/relationships/hyperlink" Target="http://arp.0002.00.2025.gov.ses.pe/" TargetMode="External"/><Relationship Id="rId1755" Type="http://schemas.openxmlformats.org/officeDocument/2006/relationships/hyperlink" Target="http://c.001-arp.0052.06.2025.gov.fes-pe.pe/" TargetMode="External"/><Relationship Id="rId2501" Type="http://schemas.openxmlformats.org/officeDocument/2006/relationships/hyperlink" Target="http://c.012-arp.0065.01.2024.gov.fes-pe.pe/" TargetMode="External"/><Relationship Id="rId1103" Type="http://schemas.openxmlformats.org/officeDocument/2006/relationships/hyperlink" Target="http://a.012-arp.0120.01.2023.gov.huoc.pe/" TargetMode="External"/><Relationship Id="rId1310" Type="http://schemas.openxmlformats.org/officeDocument/2006/relationships/hyperlink" Target="http://arp.0006.13.2023.gov.ham.pe/" TargetMode="External"/><Relationship Id="rId1408" Type="http://schemas.openxmlformats.org/officeDocument/2006/relationships/hyperlink" Target="http://arp.0016.01.2023.gov.huoc.pe/" TargetMode="External"/><Relationship Id="rId1962" Type="http://schemas.openxmlformats.org/officeDocument/2006/relationships/hyperlink" Target="http://arp.0018.01.2025.gov.fes-pe.pe/" TargetMode="External"/><Relationship Id="rId2806" Type="http://schemas.openxmlformats.org/officeDocument/2006/relationships/hyperlink" Target="http://arp.0005.04.2023.gov.hra.pe/" TargetMode="External"/><Relationship Id="rId47" Type="http://schemas.openxmlformats.org/officeDocument/2006/relationships/hyperlink" Target="http://a.003-arp.0006.03.2025.gov.procape.pe/" TargetMode="External"/><Relationship Id="rId1615" Type="http://schemas.openxmlformats.org/officeDocument/2006/relationships/hyperlink" Target="http://c.008-arp.0067.06.2025.gov.fes-pe.pe/" TargetMode="External"/><Relationship Id="rId1822" Type="http://schemas.openxmlformats.org/officeDocument/2006/relationships/hyperlink" Target="http://arp.0030.05.2025.gov.fes-pe.pe/" TargetMode="External"/><Relationship Id="rId196" Type="http://schemas.openxmlformats.org/officeDocument/2006/relationships/hyperlink" Target="http://arp.0028.03.2025.gov.procape.pe/" TargetMode="External"/><Relationship Id="rId2084" Type="http://schemas.openxmlformats.org/officeDocument/2006/relationships/hyperlink" Target="http://arp.0003.00.2025.gov.fes-pe.pe/" TargetMode="External"/><Relationship Id="rId2291" Type="http://schemas.openxmlformats.org/officeDocument/2006/relationships/hyperlink" Target="http://c.004-arp.0063.05.2024.gov.cisam.pe/" TargetMode="External"/><Relationship Id="rId263" Type="http://schemas.openxmlformats.org/officeDocument/2006/relationships/hyperlink" Target="http://a.001-arp.0001.02.2025.gov.dasis.pe/" TargetMode="External"/><Relationship Id="rId470" Type="http://schemas.openxmlformats.org/officeDocument/2006/relationships/hyperlink" Target="http://arp.0059.00.2024.gov.cisam.pe/" TargetMode="External"/><Relationship Id="rId2151" Type="http://schemas.openxmlformats.org/officeDocument/2006/relationships/hyperlink" Target="http://c.001-arp.0087.05.2024.gov.cisam.pe/" TargetMode="External"/><Relationship Id="rId2389" Type="http://schemas.openxmlformats.org/officeDocument/2006/relationships/hyperlink" Target="http://c.004-arp.0063.03.2024.gov.fes-pe.pe/" TargetMode="External"/><Relationship Id="rId2596" Type="http://schemas.openxmlformats.org/officeDocument/2006/relationships/hyperlink" Target="http://arpc.0005.00.2024.gov.sad.pe/" TargetMode="External"/><Relationship Id="rId123" Type="http://schemas.openxmlformats.org/officeDocument/2006/relationships/hyperlink" Target="http://a.013-arp.0122.00.2025.gov.huoc.pe/" TargetMode="External"/><Relationship Id="rId330" Type="http://schemas.openxmlformats.org/officeDocument/2006/relationships/hyperlink" Target="http://arp.0008.05.2025.gov.hgv.pe/" TargetMode="External"/><Relationship Id="rId568" Type="http://schemas.openxmlformats.org/officeDocument/2006/relationships/hyperlink" Target="http://arp.0041.00.2024.gov.hr.pe/" TargetMode="External"/><Relationship Id="rId775" Type="http://schemas.openxmlformats.org/officeDocument/2006/relationships/hyperlink" Target="http://a.008-arp.0077.01.2024.gov.huoc.pe/" TargetMode="External"/><Relationship Id="rId982" Type="http://schemas.openxmlformats.org/officeDocument/2006/relationships/hyperlink" Target="http://arp.0130.09.2023.gov.huoc.pe/" TargetMode="External"/><Relationship Id="rId1198" Type="http://schemas.openxmlformats.org/officeDocument/2006/relationships/hyperlink" Target="http://arp.0009.05.2023.gov.hbl.pe/" TargetMode="External"/><Relationship Id="rId2011" Type="http://schemas.openxmlformats.org/officeDocument/2006/relationships/hyperlink" Target="http://c.010-arp.0015.00.2025.gov.fes-pe.pe/" TargetMode="External"/><Relationship Id="rId2249" Type="http://schemas.openxmlformats.org/officeDocument/2006/relationships/hyperlink" Target="http://c.017-arp.0025.03.2024.gov.fes-pe.pe/" TargetMode="External"/><Relationship Id="rId2456" Type="http://schemas.openxmlformats.org/officeDocument/2006/relationships/hyperlink" Target="http://arp.0018.00.2024.gov.fes-pe.pe/" TargetMode="External"/><Relationship Id="rId2663" Type="http://schemas.openxmlformats.org/officeDocument/2006/relationships/hyperlink" Target="http://c.026-arpc.0007.00.2024.gov.sad.pe/" TargetMode="External"/><Relationship Id="rId428" Type="http://schemas.openxmlformats.org/officeDocument/2006/relationships/hyperlink" Target="http://arp.0010.00.2024.gov.hof.pe/" TargetMode="External"/><Relationship Id="rId635" Type="http://schemas.openxmlformats.org/officeDocument/2006/relationships/hyperlink" Target="http://a.028-arp.0030.01.2024.gov.cisam.pe/" TargetMode="External"/><Relationship Id="rId842" Type="http://schemas.openxmlformats.org/officeDocument/2006/relationships/hyperlink" Target="http://arp.0130.02.2023.gov.huoc.pe/" TargetMode="External"/><Relationship Id="rId1058" Type="http://schemas.openxmlformats.org/officeDocument/2006/relationships/hyperlink" Target="http://arp.0112.00.2023.gov.huoc.pe/" TargetMode="External"/><Relationship Id="rId1265" Type="http://schemas.openxmlformats.org/officeDocument/2006/relationships/hyperlink" Target="http://a.001-arp.0041.03.2023.gov.cisam.pe/" TargetMode="External"/><Relationship Id="rId1472" Type="http://schemas.openxmlformats.org/officeDocument/2006/relationships/hyperlink" Target="http://arp.0001.00.2024.fes-pe.pe/" TargetMode="External"/><Relationship Id="rId2109" Type="http://schemas.openxmlformats.org/officeDocument/2006/relationships/hyperlink" Target="http://c.001-arp.0098.04.2024.gov.fes-pe.pe/" TargetMode="External"/><Relationship Id="rId2316" Type="http://schemas.openxmlformats.org/officeDocument/2006/relationships/hyperlink" Target="http://arpc.0018.00.2024.gov.sad.pe/" TargetMode="External"/><Relationship Id="rId2523" Type="http://schemas.openxmlformats.org/officeDocument/2006/relationships/hyperlink" Target="http://c.011-arp.0064.01.2024.gov.fes-pe.pe/" TargetMode="External"/><Relationship Id="rId2730" Type="http://schemas.openxmlformats.org/officeDocument/2006/relationships/hyperlink" Target="http://arp.0003.08.2023.gov.hra.pe/" TargetMode="External"/><Relationship Id="rId702" Type="http://schemas.openxmlformats.org/officeDocument/2006/relationships/hyperlink" Target="http://arp.0013.00.2024.gov.ham.pe/" TargetMode="External"/><Relationship Id="rId1125" Type="http://schemas.openxmlformats.org/officeDocument/2006/relationships/hyperlink" Target="http://a.003-arp.0029.02.2024.gov.huoc.pe/" TargetMode="External"/><Relationship Id="rId1332" Type="http://schemas.openxmlformats.org/officeDocument/2006/relationships/hyperlink" Target="http://arp.0006.14.2023.gov.ham.pe/" TargetMode="External"/><Relationship Id="rId1777" Type="http://schemas.openxmlformats.org/officeDocument/2006/relationships/hyperlink" Target="http://c.003-arp.0043.00.2025.gov.fes-pe.pe/" TargetMode="External"/><Relationship Id="rId1984" Type="http://schemas.openxmlformats.org/officeDocument/2006/relationships/hyperlink" Target="http://arp.0012.04.2025.gov.fes-pe.pe/" TargetMode="External"/><Relationship Id="rId2828" Type="http://schemas.openxmlformats.org/officeDocument/2006/relationships/hyperlink" Target="http://arp.0003.06.2023.gov.hra.pe/" TargetMode="External"/><Relationship Id="rId69" Type="http://schemas.openxmlformats.org/officeDocument/2006/relationships/hyperlink" Target="http://a.024-arp.0119.01.2024.gov.huoc.pe/" TargetMode="External"/><Relationship Id="rId1637" Type="http://schemas.openxmlformats.org/officeDocument/2006/relationships/hyperlink" Target="http://c.002-arp.0021.11.2024.gov.hof.pe/" TargetMode="External"/><Relationship Id="rId1844" Type="http://schemas.openxmlformats.org/officeDocument/2006/relationships/hyperlink" Target="http://arp.0029.01.2025.gov.fes-pe.pe/" TargetMode="External"/><Relationship Id="rId1704" Type="http://schemas.openxmlformats.org/officeDocument/2006/relationships/hyperlink" Target="http://arp.0068.09.2024.gov.fes-pe.pe/" TargetMode="External"/><Relationship Id="rId285" Type="http://schemas.openxmlformats.org/officeDocument/2006/relationships/hyperlink" Target="http://a.010-arp.0011.00.2025.gov.hr.pe/" TargetMode="External"/><Relationship Id="rId1911" Type="http://schemas.openxmlformats.org/officeDocument/2006/relationships/hyperlink" Target="http://c.001-arp.0028.02.2025.gov.fes-pe.pe/" TargetMode="External"/><Relationship Id="rId492" Type="http://schemas.openxmlformats.org/officeDocument/2006/relationships/hyperlink" Target="http://arp.0106.08.2024.gov.huoc.pe/" TargetMode="External"/><Relationship Id="rId797" Type="http://schemas.openxmlformats.org/officeDocument/2006/relationships/hyperlink" Target="http://a.007-arp.0009.03.2024.gov.fes-pe.pe/" TargetMode="External"/><Relationship Id="rId2173" Type="http://schemas.openxmlformats.org/officeDocument/2006/relationships/hyperlink" Target="http://c.004-arp.0096.01.2024.gov.fes-pe.pe/" TargetMode="External"/><Relationship Id="rId2380" Type="http://schemas.openxmlformats.org/officeDocument/2006/relationships/hyperlink" Target="http://arp.0031.16.2024.gov.fes-pe.pe/" TargetMode="External"/><Relationship Id="rId2478" Type="http://schemas.openxmlformats.org/officeDocument/2006/relationships/hyperlink" Target="http://arp.0031.16.2024.gov.fes-pe.pe/" TargetMode="External"/><Relationship Id="rId145" Type="http://schemas.openxmlformats.org/officeDocument/2006/relationships/hyperlink" Target="http://a.001-arp.0068.00.2025.gov.fes-pe.pe/" TargetMode="External"/><Relationship Id="rId352" Type="http://schemas.openxmlformats.org/officeDocument/2006/relationships/hyperlink" Target="http://arp.0004.00.2025.gov.procape.pe/" TargetMode="External"/><Relationship Id="rId1287" Type="http://schemas.openxmlformats.org/officeDocument/2006/relationships/hyperlink" Target="http://a.010-arp.0006.09.2023.gov.ham.pe/" TargetMode="External"/><Relationship Id="rId2033" Type="http://schemas.openxmlformats.org/officeDocument/2006/relationships/hyperlink" Target="http://c.004-arp.0002.00.2025.gov.cisam.pe/" TargetMode="External"/><Relationship Id="rId2240" Type="http://schemas.openxmlformats.org/officeDocument/2006/relationships/hyperlink" Target="http://arp.0063.00.2024.gov.fes-pe.pe/" TargetMode="External"/><Relationship Id="rId2685" Type="http://schemas.openxmlformats.org/officeDocument/2006/relationships/hyperlink" Target="http://c.003-arp.0005.08.2023.gov.hra.pe/" TargetMode="External"/><Relationship Id="rId212" Type="http://schemas.openxmlformats.org/officeDocument/2006/relationships/hyperlink" Target="http://arp.0011.00.2025.gov.fes-pe.pe/" TargetMode="External"/><Relationship Id="rId657" Type="http://schemas.openxmlformats.org/officeDocument/2006/relationships/hyperlink" Target="http://a.003-arp.0010.00.2024.ext.hmar.pe/" TargetMode="External"/><Relationship Id="rId864" Type="http://schemas.openxmlformats.org/officeDocument/2006/relationships/hyperlink" Target="http://arp.0051.01.2024.gov.cisam.pe/" TargetMode="External"/><Relationship Id="rId1494" Type="http://schemas.openxmlformats.org/officeDocument/2006/relationships/hyperlink" Target="http://arp.0070.02.2025.gov.fes-pe.pe/" TargetMode="External"/><Relationship Id="rId1799" Type="http://schemas.openxmlformats.org/officeDocument/2006/relationships/hyperlink" Target="http://c.003-arp.0035.04.2025.gov.fes-pe.pe/" TargetMode="External"/><Relationship Id="rId2100" Type="http://schemas.openxmlformats.org/officeDocument/2006/relationships/hyperlink" Target="http://arp.0099.03.2024.gov.fes-pe.pe/" TargetMode="External"/><Relationship Id="rId2338" Type="http://schemas.openxmlformats.org/officeDocument/2006/relationships/hyperlink" Target="http://arpc.0006.00.2024.gov.sad.pe/" TargetMode="External"/><Relationship Id="rId2545" Type="http://schemas.openxmlformats.org/officeDocument/2006/relationships/hyperlink" Target="http://c.020-arp.0018.00.2024.gov.fes-pe.pe/" TargetMode="External"/><Relationship Id="rId2752" Type="http://schemas.openxmlformats.org/officeDocument/2006/relationships/hyperlink" Target="http://arp.0003.04.2023.gov.hra.pe/" TargetMode="External"/><Relationship Id="rId517" Type="http://schemas.openxmlformats.org/officeDocument/2006/relationships/hyperlink" Target="http://a.123-arpc.0007.00.2024.gov.sad.pe/" TargetMode="External"/><Relationship Id="rId724" Type="http://schemas.openxmlformats.org/officeDocument/2006/relationships/hyperlink" Target="http://arp.0046.02.2024.gov.huoc.pe/" TargetMode="External"/><Relationship Id="rId931" Type="http://schemas.openxmlformats.org/officeDocument/2006/relationships/hyperlink" Target="http://a.002-arp.0057.02.2024.gov.huoc.pe/" TargetMode="External"/><Relationship Id="rId1147" Type="http://schemas.openxmlformats.org/officeDocument/2006/relationships/hyperlink" Target="http://a.006-arp.0025.12.2023.gov.hr.pe/" TargetMode="External"/><Relationship Id="rId1354" Type="http://schemas.openxmlformats.org/officeDocument/2006/relationships/hyperlink" Target="http://arp.0060.01.2023.gov.huoc.pe/" TargetMode="External"/><Relationship Id="rId1561" Type="http://schemas.openxmlformats.org/officeDocument/2006/relationships/hyperlink" Target="http://c.015-arp.0015.00.2025.gov.fes-pe.pe/" TargetMode="External"/><Relationship Id="rId2405" Type="http://schemas.openxmlformats.org/officeDocument/2006/relationships/hyperlink" Target="http://c.001-arp.0063.05.2024.gov.cisam.pe/" TargetMode="External"/><Relationship Id="rId2612" Type="http://schemas.openxmlformats.org/officeDocument/2006/relationships/hyperlink" Target="http://arp.0058.00.2024.gov.fes-pe.pe/" TargetMode="External"/><Relationship Id="rId60" Type="http://schemas.openxmlformats.org/officeDocument/2006/relationships/hyperlink" Target="http://arp.0051.04.2025.gov.procape.pe/" TargetMode="External"/><Relationship Id="rId1007" Type="http://schemas.openxmlformats.org/officeDocument/2006/relationships/hyperlink" Target="http://a.006-arp.0049.01.2024.gov.huoc.pe/" TargetMode="External"/><Relationship Id="rId1214" Type="http://schemas.openxmlformats.org/officeDocument/2006/relationships/hyperlink" Target="http://arp.0025.12.2023.gov.hr.pe/" TargetMode="External"/><Relationship Id="rId1421" Type="http://schemas.openxmlformats.org/officeDocument/2006/relationships/hyperlink" Target="http://c.001-arp.0115.01.2025.gov.fes-pe.pe/" TargetMode="External"/><Relationship Id="rId1659" Type="http://schemas.openxmlformats.org/officeDocument/2006/relationships/hyperlink" Target="http://c.006-arp.0083.05.2024.gov.fes-pe.pe/" TargetMode="External"/><Relationship Id="rId1866" Type="http://schemas.openxmlformats.org/officeDocument/2006/relationships/hyperlink" Target="http://arp.0006.04.2025.gov.hof.pe/" TargetMode="External"/><Relationship Id="rId1519" Type="http://schemas.openxmlformats.org/officeDocument/2006/relationships/hyperlink" Target="http://c.007-arp.0068.01.2025.gov.fes-pe.pe/" TargetMode="External"/><Relationship Id="rId1726" Type="http://schemas.openxmlformats.org/officeDocument/2006/relationships/hyperlink" Target="http://arp.0053.05.2025.gov.fes-pe.pe/" TargetMode="External"/><Relationship Id="rId1933" Type="http://schemas.openxmlformats.org/officeDocument/2006/relationships/hyperlink" Target="http://c.001-arp.0027.07.2025.gov.fes-pe.pe/" TargetMode="External"/><Relationship Id="rId18" Type="http://schemas.openxmlformats.org/officeDocument/2006/relationships/hyperlink" Target="http://arp.0073.00.2025.gov.fes-pe.pe/" TargetMode="External"/><Relationship Id="rId2195" Type="http://schemas.openxmlformats.org/officeDocument/2006/relationships/hyperlink" Target="http://c.003-arp.0097.03.2024.gov.fes-pe.pe/" TargetMode="External"/><Relationship Id="rId167" Type="http://schemas.openxmlformats.org/officeDocument/2006/relationships/hyperlink" Target="http://a.004-arp.0010.00.2025.gov.hr.pe/" TargetMode="External"/><Relationship Id="rId374" Type="http://schemas.openxmlformats.org/officeDocument/2006/relationships/hyperlink" Target="http://arp.0041.00.2024.gov.hr.pe/" TargetMode="External"/><Relationship Id="rId581" Type="http://schemas.openxmlformats.org/officeDocument/2006/relationships/hyperlink" Target="http://a.006-arp.0106.08.2024.gov.huoc.pe/" TargetMode="External"/><Relationship Id="rId2055" Type="http://schemas.openxmlformats.org/officeDocument/2006/relationships/hyperlink" Target="http://c.038-arp.0031.14.2024.gov.fes-pe.pe/" TargetMode="External"/><Relationship Id="rId2262" Type="http://schemas.openxmlformats.org/officeDocument/2006/relationships/hyperlink" Target="http://arp.0018.00.2024.gov.fes-pe.pe/" TargetMode="External"/><Relationship Id="rId234" Type="http://schemas.openxmlformats.org/officeDocument/2006/relationships/hyperlink" Target="http://arp.0012.00.2025.gov.cisam.pe/" TargetMode="External"/><Relationship Id="rId679" Type="http://schemas.openxmlformats.org/officeDocument/2006/relationships/hyperlink" Target="http://a.002-arp.0046.05.2024.gov.procape.pe/" TargetMode="External"/><Relationship Id="rId886" Type="http://schemas.openxmlformats.org/officeDocument/2006/relationships/hyperlink" Target="http://arp.0048.03.2024.gov.huoc.pe/" TargetMode="External"/><Relationship Id="rId2567" Type="http://schemas.openxmlformats.org/officeDocument/2006/relationships/hyperlink" Target="http://c.010-arp.0046.02.2024.gov.fes-pe.pe/" TargetMode="External"/><Relationship Id="rId2774" Type="http://schemas.openxmlformats.org/officeDocument/2006/relationships/hyperlink" Target="http://arp.0003.04.2023.gov.hra.pe/" TargetMode="External"/><Relationship Id="rId2" Type="http://schemas.openxmlformats.org/officeDocument/2006/relationships/hyperlink" Target="http://arp.1036.00.2025.gov.cisam.pe/" TargetMode="External"/><Relationship Id="rId441" Type="http://schemas.openxmlformats.org/officeDocument/2006/relationships/hyperlink" Target="http://a.006-arp.0006.00.2025.gov.hr.pe/" TargetMode="External"/><Relationship Id="rId539" Type="http://schemas.openxmlformats.org/officeDocument/2006/relationships/hyperlink" Target="http://a.005-arp.0012.01.2024.gov.dasis.pe/" TargetMode="External"/><Relationship Id="rId746" Type="http://schemas.openxmlformats.org/officeDocument/2006/relationships/hyperlink" Target="http://arp.0046.05.2024.gov.huoc.pe/" TargetMode="External"/><Relationship Id="rId1071" Type="http://schemas.openxmlformats.org/officeDocument/2006/relationships/hyperlink" Target="http://a.003-arp.0004.02.2024.gov.hgv.pe/" TargetMode="External"/><Relationship Id="rId1169" Type="http://schemas.openxmlformats.org/officeDocument/2006/relationships/hyperlink" Target="http://a.002-arp.0001.00.2024.ext.ba/" TargetMode="External"/><Relationship Id="rId1376" Type="http://schemas.openxmlformats.org/officeDocument/2006/relationships/hyperlink" Target="http://arp.0003.00.2023.gov.hra.pe/" TargetMode="External"/><Relationship Id="rId1583" Type="http://schemas.openxmlformats.org/officeDocument/2006/relationships/hyperlink" Target="http://c.004-arp.0073.00.2025.gov.fes-pe.pe/" TargetMode="External"/><Relationship Id="rId2122" Type="http://schemas.openxmlformats.org/officeDocument/2006/relationships/hyperlink" Target="http://arpc.0002.00.2025.gov.sad.pe/" TargetMode="External"/><Relationship Id="rId2427" Type="http://schemas.openxmlformats.org/officeDocument/2006/relationships/hyperlink" Target="http://c.023-arp.0031.16.2024.gov.fes-pe.pe/" TargetMode="External"/><Relationship Id="rId301" Type="http://schemas.openxmlformats.org/officeDocument/2006/relationships/hyperlink" Target="http://a.032-arp.0041.00.2024.gov.hr.pe/" TargetMode="External"/><Relationship Id="rId953" Type="http://schemas.openxmlformats.org/officeDocument/2006/relationships/hyperlink" Target="http://a.001-arp.0059.02.2024.gov.huoc.pe/" TargetMode="External"/><Relationship Id="rId1029" Type="http://schemas.openxmlformats.org/officeDocument/2006/relationships/hyperlink" Target="http://a.001-arp.0046.03.2024.gov.procape.pe/" TargetMode="External"/><Relationship Id="rId1236" Type="http://schemas.openxmlformats.org/officeDocument/2006/relationships/hyperlink" Target="http://arp.0002.11.2023.gov.bombeiros.pe/" TargetMode="External"/><Relationship Id="rId1790" Type="http://schemas.openxmlformats.org/officeDocument/2006/relationships/hyperlink" Target="http://arp.0036.06.2025.gov.fes-pe.pe/" TargetMode="External"/><Relationship Id="rId1888" Type="http://schemas.openxmlformats.org/officeDocument/2006/relationships/hyperlink" Target="http://arpc.0001.00.2025.gov.sad.pe/" TargetMode="External"/><Relationship Id="rId2634" Type="http://schemas.openxmlformats.org/officeDocument/2006/relationships/hyperlink" Target="http://arp.0046.05.2024.gov.fes-pe.pe/" TargetMode="External"/><Relationship Id="rId2841" Type="http://schemas.openxmlformats.org/officeDocument/2006/relationships/hyperlink" Target="http://c.001-arp.0077.04.2023.gov.fes-pe.pe/" TargetMode="External"/><Relationship Id="rId82" Type="http://schemas.openxmlformats.org/officeDocument/2006/relationships/hyperlink" Target="http://arp.0013.06.2025.gov.hof.pe/" TargetMode="External"/><Relationship Id="rId606" Type="http://schemas.openxmlformats.org/officeDocument/2006/relationships/hyperlink" Target="http://arp.0011.01.2024.ext.hmar.pe/" TargetMode="External"/><Relationship Id="rId813" Type="http://schemas.openxmlformats.org/officeDocument/2006/relationships/hyperlink" Target="http://a.003-arp.0063.06.2024.gov.huoc.pe/" TargetMode="External"/><Relationship Id="rId1443" Type="http://schemas.openxmlformats.org/officeDocument/2006/relationships/hyperlink" Target="http://c.011-arp.0003.01.2025.gov.fes-pe.pe/" TargetMode="External"/><Relationship Id="rId1650" Type="http://schemas.openxmlformats.org/officeDocument/2006/relationships/hyperlink" Target="http://arp.0092.04.2024.gov.fes-pe.pe/" TargetMode="External"/><Relationship Id="rId1748" Type="http://schemas.openxmlformats.org/officeDocument/2006/relationships/hyperlink" Target="http://arp.0010.01.2025.gov.fes-pe.pe/" TargetMode="External"/><Relationship Id="rId2701" Type="http://schemas.openxmlformats.org/officeDocument/2006/relationships/hyperlink" Target="http://c.004-arp.0003.06.2023.gov.hra.pe/" TargetMode="External"/><Relationship Id="rId1303" Type="http://schemas.openxmlformats.org/officeDocument/2006/relationships/hyperlink" Target="http://a.008-arp.0025.09.2023.gov.hr.pe/" TargetMode="External"/><Relationship Id="rId1510" Type="http://schemas.openxmlformats.org/officeDocument/2006/relationships/hyperlink" Target="http://arp.0015.05.2025.gov.fes-pe.pe/" TargetMode="External"/><Relationship Id="rId1955" Type="http://schemas.openxmlformats.org/officeDocument/2006/relationships/hyperlink" Target="http://c.006-arp.0019.01.2025.gov.fes-pe.pe/" TargetMode="External"/><Relationship Id="rId1608" Type="http://schemas.openxmlformats.org/officeDocument/2006/relationships/hyperlink" Target="http://arpc.0018.00.2024.gov.sad.pe/" TargetMode="External"/><Relationship Id="rId1815" Type="http://schemas.openxmlformats.org/officeDocument/2006/relationships/hyperlink" Target="http://c.003-arp.0031.02.2025.gov.fes-pe.pe/" TargetMode="External"/><Relationship Id="rId189" Type="http://schemas.openxmlformats.org/officeDocument/2006/relationships/hyperlink" Target="http://a.002-arp.0010.02.2025.ext.hmar.pe/" TargetMode="External"/><Relationship Id="rId396" Type="http://schemas.openxmlformats.org/officeDocument/2006/relationships/hyperlink" Target="http://arp.0104.01.2024.gov.huoc.pe/" TargetMode="External"/><Relationship Id="rId2077" Type="http://schemas.openxmlformats.org/officeDocument/2006/relationships/hyperlink" Target="http://c.009-arp.0009.02.2025.gov.fes-pe.pe/" TargetMode="External"/><Relationship Id="rId2284" Type="http://schemas.openxmlformats.org/officeDocument/2006/relationships/hyperlink" Target="http://arp.0052.08.2024.gov.fes-pe.pe/" TargetMode="External"/><Relationship Id="rId2491" Type="http://schemas.openxmlformats.org/officeDocument/2006/relationships/hyperlink" Target="http://c.018-arp.0031.16.2024.gov.fes-pe.pe/" TargetMode="External"/><Relationship Id="rId256" Type="http://schemas.openxmlformats.org/officeDocument/2006/relationships/hyperlink" Target="http://arp.0009.00.2025.gov.fes-pe.pe/" TargetMode="External"/><Relationship Id="rId463" Type="http://schemas.openxmlformats.org/officeDocument/2006/relationships/hyperlink" Target="http://a.012-arp.0110.08.2024.gov.huoc.pe/" TargetMode="External"/><Relationship Id="rId670" Type="http://schemas.openxmlformats.org/officeDocument/2006/relationships/hyperlink" Target="http://arp.0011.00.2024.gov.hgv.pe/" TargetMode="External"/><Relationship Id="rId1093" Type="http://schemas.openxmlformats.org/officeDocument/2006/relationships/hyperlink" Target="http://a.008-arp.0085.12.2023.gov.huoc.pe/" TargetMode="External"/><Relationship Id="rId2144" Type="http://schemas.openxmlformats.org/officeDocument/2006/relationships/hyperlink" Target="http://arp.0087.01.2024.gov.cisam.pe/" TargetMode="External"/><Relationship Id="rId2351" Type="http://schemas.openxmlformats.org/officeDocument/2006/relationships/hyperlink" Target="http://c.039-arp.0031.16.2024.gov.fes-pe.pe/" TargetMode="External"/><Relationship Id="rId2589" Type="http://schemas.openxmlformats.org/officeDocument/2006/relationships/hyperlink" Target="http://c.003-arp.0038.01.2024.gov.fes-pe.pe/" TargetMode="External"/><Relationship Id="rId2796" Type="http://schemas.openxmlformats.org/officeDocument/2006/relationships/hyperlink" Target="http://arp.0004.00.2023.gov.hra.pe/" TargetMode="External"/><Relationship Id="rId116" Type="http://schemas.openxmlformats.org/officeDocument/2006/relationships/hyperlink" Target="http://arp.0059.00.2025.gov.fes-pe.pe/" TargetMode="External"/><Relationship Id="rId323" Type="http://schemas.openxmlformats.org/officeDocument/2006/relationships/hyperlink" Target="http://a.002-arp.0051.00.2025.gov.procape.pe/" TargetMode="External"/><Relationship Id="rId530" Type="http://schemas.openxmlformats.org/officeDocument/2006/relationships/hyperlink" Target="http://arp.0010.00.2024.gov.hof.pe/" TargetMode="External"/><Relationship Id="rId768" Type="http://schemas.openxmlformats.org/officeDocument/2006/relationships/hyperlink" Target="http://arp.0055.03.2024.gov.cisam.pe/" TargetMode="External"/><Relationship Id="rId975" Type="http://schemas.openxmlformats.org/officeDocument/2006/relationships/hyperlink" Target="http://a.004-arp.0002.04.2024.gov.hof.pe/" TargetMode="External"/><Relationship Id="rId1160" Type="http://schemas.openxmlformats.org/officeDocument/2006/relationships/hyperlink" Target="http://arp.0111.00.2023.gov.huoc.pe/" TargetMode="External"/><Relationship Id="rId1398" Type="http://schemas.openxmlformats.org/officeDocument/2006/relationships/hyperlink" Target="http://arp.0015.00.2023.gov.huoc.pe/" TargetMode="External"/><Relationship Id="rId2004" Type="http://schemas.openxmlformats.org/officeDocument/2006/relationships/hyperlink" Target="http://arp.0003.00.2025.gov.fes-pe.pe/" TargetMode="External"/><Relationship Id="rId2211" Type="http://schemas.openxmlformats.org/officeDocument/2006/relationships/hyperlink" Target="http://c.002-arp.0094.03.2024.gov.fes-pe.pe/" TargetMode="External"/><Relationship Id="rId2449" Type="http://schemas.openxmlformats.org/officeDocument/2006/relationships/hyperlink" Target="http://c.016-arp.0065.01.2024.gov.fes-pe.pe/" TargetMode="External"/><Relationship Id="rId2656" Type="http://schemas.openxmlformats.org/officeDocument/2006/relationships/hyperlink" Target="http://arp.0005.10.2023.gov.hra.pe/" TargetMode="External"/><Relationship Id="rId628" Type="http://schemas.openxmlformats.org/officeDocument/2006/relationships/hyperlink" Target="http://arp.0034.01.2024.gov.fes-pe.pe/" TargetMode="External"/><Relationship Id="rId835" Type="http://schemas.openxmlformats.org/officeDocument/2006/relationships/hyperlink" Target="http://a.002-arp.0014.00.2024.gov.fes-pe.pe/" TargetMode="External"/><Relationship Id="rId1258" Type="http://schemas.openxmlformats.org/officeDocument/2006/relationships/hyperlink" Target="http://arp.0020.04.2023.gov.hemope.pe/" TargetMode="External"/><Relationship Id="rId1465" Type="http://schemas.openxmlformats.org/officeDocument/2006/relationships/hyperlink" Target="http://c.011-arp.0044.04.2025.gov.fes-pe.pe/" TargetMode="External"/><Relationship Id="rId1672" Type="http://schemas.openxmlformats.org/officeDocument/2006/relationships/hyperlink" Target="http://arp.0061.02.2024.gov.fes-pe.pe/" TargetMode="External"/><Relationship Id="rId2309" Type="http://schemas.openxmlformats.org/officeDocument/2006/relationships/hyperlink" Target="http://c.032-arpc.0018.00.2024.gov.sad.pe/" TargetMode="External"/><Relationship Id="rId2516" Type="http://schemas.openxmlformats.org/officeDocument/2006/relationships/hyperlink" Target="http://arp.0046.02.2024.gov.fes-pe.pe/" TargetMode="External"/><Relationship Id="rId2723" Type="http://schemas.openxmlformats.org/officeDocument/2006/relationships/hyperlink" Target="http://c.003-arp.0018.01.2024.gov.fes-pe.pe/" TargetMode="External"/><Relationship Id="rId1020" Type="http://schemas.openxmlformats.org/officeDocument/2006/relationships/hyperlink" Target="http://arp.0035.00.2023.gov.hof.pe/" TargetMode="External"/><Relationship Id="rId1118" Type="http://schemas.openxmlformats.org/officeDocument/2006/relationships/hyperlink" Target="http://arp.0026.10.2023.gov.ham.pe/" TargetMode="External"/><Relationship Id="rId1325" Type="http://schemas.openxmlformats.org/officeDocument/2006/relationships/hyperlink" Target="http://a.010-arp.0005.00.2023.gov.hof.pe/" TargetMode="External"/><Relationship Id="rId1532" Type="http://schemas.openxmlformats.org/officeDocument/2006/relationships/hyperlink" Target="http://arp.0044.06.2025.gov.fes-pe.pe/" TargetMode="External"/><Relationship Id="rId1977" Type="http://schemas.openxmlformats.org/officeDocument/2006/relationships/hyperlink" Target="http://c.005-arp.0013.02.2025.gov.fes-pe.pe/" TargetMode="External"/><Relationship Id="rId902" Type="http://schemas.openxmlformats.org/officeDocument/2006/relationships/hyperlink" Target="http://arp.0063.05.2024.gov.huoc.pe/" TargetMode="External"/><Relationship Id="rId1837" Type="http://schemas.openxmlformats.org/officeDocument/2006/relationships/hyperlink" Target="http://c.003-arp.0029.04.2025.gov.fes-pe.pe/" TargetMode="External"/><Relationship Id="rId31" Type="http://schemas.openxmlformats.org/officeDocument/2006/relationships/hyperlink" Target="http://a.001-arp.0021.00.2025.gov.hof.pe/" TargetMode="External"/><Relationship Id="rId2099" Type="http://schemas.openxmlformats.org/officeDocument/2006/relationships/hyperlink" Target="http://c.003-arp.0099.03.2024.gov.fes-pe.pe/" TargetMode="External"/><Relationship Id="rId180" Type="http://schemas.openxmlformats.org/officeDocument/2006/relationships/hyperlink" Target="http://arp.0038.03.2025.gov.huoc.pe/" TargetMode="External"/><Relationship Id="rId278" Type="http://schemas.openxmlformats.org/officeDocument/2006/relationships/hyperlink" Target="http://arp.0005.09.2025.gov.procape.pe/" TargetMode="External"/><Relationship Id="rId1904" Type="http://schemas.openxmlformats.org/officeDocument/2006/relationships/hyperlink" Target="http://arp.0003.01.2025.gov.fes-pe.pe/" TargetMode="External"/><Relationship Id="rId485" Type="http://schemas.openxmlformats.org/officeDocument/2006/relationships/hyperlink" Target="http://a.008-arp.0003.01.2025.gov.huoc.pe/" TargetMode="External"/><Relationship Id="rId692" Type="http://schemas.openxmlformats.org/officeDocument/2006/relationships/hyperlink" Target="http://arp.0018.00.2024.gov.fes-pe.pe/" TargetMode="External"/><Relationship Id="rId2166" Type="http://schemas.openxmlformats.org/officeDocument/2006/relationships/hyperlink" Target="http://arp.0088.03.2024.gov.cisam.pe/" TargetMode="External"/><Relationship Id="rId2373" Type="http://schemas.openxmlformats.org/officeDocument/2006/relationships/hyperlink" Target="http://c.004-arp.0066.03.2024.gov.fes-pe.pe/" TargetMode="External"/><Relationship Id="rId2580" Type="http://schemas.openxmlformats.org/officeDocument/2006/relationships/hyperlink" Target="http://arp.0038.01.2024.gov.fes-pe.pe/" TargetMode="External"/><Relationship Id="rId138" Type="http://schemas.openxmlformats.org/officeDocument/2006/relationships/hyperlink" Target="http://arp.0100.00.2024.gov.huoc.pe/" TargetMode="External"/><Relationship Id="rId345" Type="http://schemas.openxmlformats.org/officeDocument/2006/relationships/hyperlink" Target="http://a.004-arp.0103.00.2024.gov.procape.pe/" TargetMode="External"/><Relationship Id="rId552" Type="http://schemas.openxmlformats.org/officeDocument/2006/relationships/hyperlink" Target="http://arp.1414.00.2024.ext.amgesp.al/" TargetMode="External"/><Relationship Id="rId997" Type="http://schemas.openxmlformats.org/officeDocument/2006/relationships/hyperlink" Target="http://a.004-arp.0021.00.2024.gov.hr.pe/" TargetMode="External"/><Relationship Id="rId1182" Type="http://schemas.openxmlformats.org/officeDocument/2006/relationships/hyperlink" Target="http://arp.0022.00.2023.gov.huoc.pe/" TargetMode="External"/><Relationship Id="rId2026" Type="http://schemas.openxmlformats.org/officeDocument/2006/relationships/hyperlink" Target="http://arp.0005.01.2025.gov.fes-pe.pe/" TargetMode="External"/><Relationship Id="rId2233" Type="http://schemas.openxmlformats.org/officeDocument/2006/relationships/hyperlink" Target="http://c.001-arp.0092.04.2024.gov.fes-pe.pe/" TargetMode="External"/><Relationship Id="rId2440" Type="http://schemas.openxmlformats.org/officeDocument/2006/relationships/hyperlink" Target="http://arpc.0018.00.2024.gov.sad.pe/" TargetMode="External"/><Relationship Id="rId2678" Type="http://schemas.openxmlformats.org/officeDocument/2006/relationships/hyperlink" Target="http://arp.0037.00.2024.gov.fes-pe.pe/" TargetMode="External"/><Relationship Id="rId205" Type="http://schemas.openxmlformats.org/officeDocument/2006/relationships/hyperlink" Target="http://a.003-arp.0004.00.2025.ext.hmar.pe/" TargetMode="External"/><Relationship Id="rId412" Type="http://schemas.openxmlformats.org/officeDocument/2006/relationships/hyperlink" Target="http://arp.0020.00.2024.gov.hgv.pe/" TargetMode="External"/><Relationship Id="rId857" Type="http://schemas.openxmlformats.org/officeDocument/2006/relationships/hyperlink" Target="http://a.003-arp.0009.00.2024.gov.hof.pe/" TargetMode="External"/><Relationship Id="rId1042" Type="http://schemas.openxmlformats.org/officeDocument/2006/relationships/hyperlink" Target="http://arp.0001.02.2024.gov.hemope.pe/" TargetMode="External"/><Relationship Id="rId1487" Type="http://schemas.openxmlformats.org/officeDocument/2006/relationships/hyperlink" Target="http://c.015-arp.0070.02.2025.gov.fes-pe.pe/" TargetMode="External"/><Relationship Id="rId1694" Type="http://schemas.openxmlformats.org/officeDocument/2006/relationships/hyperlink" Target="http://arp.0061.00.2024.gov.fes-pe.pe/" TargetMode="External"/><Relationship Id="rId2300" Type="http://schemas.openxmlformats.org/officeDocument/2006/relationships/hyperlink" Target="http://arp.0040.03.2024.gov.fes-pe.pe/" TargetMode="External"/><Relationship Id="rId2538" Type="http://schemas.openxmlformats.org/officeDocument/2006/relationships/hyperlink" Target="http://arp.0052.07.2024.gov.cisam.pe/" TargetMode="External"/><Relationship Id="rId2745" Type="http://schemas.openxmlformats.org/officeDocument/2006/relationships/hyperlink" Target="http://c.006-arp.0003.02.2023.gov.hra.pe/" TargetMode="External"/><Relationship Id="rId717" Type="http://schemas.openxmlformats.org/officeDocument/2006/relationships/hyperlink" Target="http://a.009-arp.0004.00.2024.gov.hgv.pe/" TargetMode="External"/><Relationship Id="rId924" Type="http://schemas.openxmlformats.org/officeDocument/2006/relationships/hyperlink" Target="http://arp.0008.02.2024.gov.huoc.pe/" TargetMode="External"/><Relationship Id="rId1347" Type="http://schemas.openxmlformats.org/officeDocument/2006/relationships/hyperlink" Target="http://a.003-arp.0037.02.2023.gov.procape.pe/" TargetMode="External"/><Relationship Id="rId1554" Type="http://schemas.openxmlformats.org/officeDocument/2006/relationships/hyperlink" Target="http://arp.0070.03.2025.gov.fes-pe.pe/" TargetMode="External"/><Relationship Id="rId1761" Type="http://schemas.openxmlformats.org/officeDocument/2006/relationships/hyperlink" Target="http://c.001-arp.0052.03.2025.gov.fes-pe.pe/" TargetMode="External"/><Relationship Id="rId1999" Type="http://schemas.openxmlformats.org/officeDocument/2006/relationships/hyperlink" Target="http://c.004-arp.0004.00.2025.gov.fes-pe.pe/" TargetMode="External"/><Relationship Id="rId2605" Type="http://schemas.openxmlformats.org/officeDocument/2006/relationships/hyperlink" Target="http://c.011-arp.0031.14.2024.gov.fes-pe.pe/" TargetMode="External"/><Relationship Id="rId2812" Type="http://schemas.openxmlformats.org/officeDocument/2006/relationships/hyperlink" Target="http://arp.0005.01.2023.gov.hra.pe/" TargetMode="External"/><Relationship Id="rId53" Type="http://schemas.openxmlformats.org/officeDocument/2006/relationships/hyperlink" Target="http://a.003-arp.0118.01.2024.gov.huoc.pe/" TargetMode="External"/><Relationship Id="rId1207" Type="http://schemas.openxmlformats.org/officeDocument/2006/relationships/hyperlink" Target="http://a.003-arp.0030.01.2023.gov.hr.pe/" TargetMode="External"/><Relationship Id="rId1414" Type="http://schemas.openxmlformats.org/officeDocument/2006/relationships/hyperlink" Target="http://arp.0036.05.2025.gov.fes-pe.pe/" TargetMode="External"/><Relationship Id="rId1621" Type="http://schemas.openxmlformats.org/officeDocument/2006/relationships/hyperlink" Target="http://c.003-arp.0006.00.2025.gov.cisam.pe/" TargetMode="External"/><Relationship Id="rId1859" Type="http://schemas.openxmlformats.org/officeDocument/2006/relationships/hyperlink" Target="http://c.016-arp.0022.01.2025.gov.fes-pe.pe/" TargetMode="External"/><Relationship Id="rId1719" Type="http://schemas.openxmlformats.org/officeDocument/2006/relationships/hyperlink" Target="http://c.023-arp.0063.00.2024.gov.fes-pe.pe/" TargetMode="External"/><Relationship Id="rId1926" Type="http://schemas.openxmlformats.org/officeDocument/2006/relationships/hyperlink" Target="http://arp.0027.01.2025.gov.fes-pe.pe/" TargetMode="External"/><Relationship Id="rId2090" Type="http://schemas.openxmlformats.org/officeDocument/2006/relationships/hyperlink" Target="http://arp.0005.02.2025.gov.fes-pe.pe/" TargetMode="External"/><Relationship Id="rId2188" Type="http://schemas.openxmlformats.org/officeDocument/2006/relationships/hyperlink" Target="http://arp.0089.01.2024.gov.fes-pe.pe/" TargetMode="External"/><Relationship Id="rId2395" Type="http://schemas.openxmlformats.org/officeDocument/2006/relationships/hyperlink" Target="http://c.002-arp.0052.10.2024.gov.fes-pe.pe/" TargetMode="External"/><Relationship Id="rId367" Type="http://schemas.openxmlformats.org/officeDocument/2006/relationships/hyperlink" Target="http://a.028-arp.0041.00.2024.gov.hr.pe/" TargetMode="External"/><Relationship Id="rId574" Type="http://schemas.openxmlformats.org/officeDocument/2006/relationships/hyperlink" Target="http://arp.1291.00.2024.ext.rs/" TargetMode="External"/><Relationship Id="rId2048" Type="http://schemas.openxmlformats.org/officeDocument/2006/relationships/hyperlink" Target="http://arp.0010.03.2025.gov.fes-pe.pe/" TargetMode="External"/><Relationship Id="rId2255" Type="http://schemas.openxmlformats.org/officeDocument/2006/relationships/hyperlink" Target="http://c.039-arp.0018.00.2024.gov.fes-pe.pe/" TargetMode="External"/><Relationship Id="rId227" Type="http://schemas.openxmlformats.org/officeDocument/2006/relationships/hyperlink" Target="http://a.003-arp.0074.00.2024.gov.fes-pe.pe/" TargetMode="External"/><Relationship Id="rId781" Type="http://schemas.openxmlformats.org/officeDocument/2006/relationships/hyperlink" Target="http://a.004-arp.0004.02.2024.gov.hgv.pe/" TargetMode="External"/><Relationship Id="rId879" Type="http://schemas.openxmlformats.org/officeDocument/2006/relationships/hyperlink" Target="http://a.002-arp.0057.00.2024.gov.huoc.pe/" TargetMode="External"/><Relationship Id="rId2462" Type="http://schemas.openxmlformats.org/officeDocument/2006/relationships/hyperlink" Target="http://arp.0065.02.2024.gov.cisam.pe/" TargetMode="External"/><Relationship Id="rId2767" Type="http://schemas.openxmlformats.org/officeDocument/2006/relationships/hyperlink" Target="http://c.002-arp.0005.00.2023.gov.hra.pe/" TargetMode="External"/><Relationship Id="rId434" Type="http://schemas.openxmlformats.org/officeDocument/2006/relationships/hyperlink" Target="http://arp.0109.00.2024.gov.procape.pe/" TargetMode="External"/><Relationship Id="rId641" Type="http://schemas.openxmlformats.org/officeDocument/2006/relationships/hyperlink" Target="http://a.001-arp.0110.08.2024.gov.huoc.pe/" TargetMode="External"/><Relationship Id="rId739" Type="http://schemas.openxmlformats.org/officeDocument/2006/relationships/hyperlink" Target="http://a.008-arp.0012.00.2023.gov.upegaranhuns.pe/" TargetMode="External"/><Relationship Id="rId1064" Type="http://schemas.openxmlformats.org/officeDocument/2006/relationships/hyperlink" Target="http://arp.0035.04.2023.gov.hof.pe/" TargetMode="External"/><Relationship Id="rId1271" Type="http://schemas.openxmlformats.org/officeDocument/2006/relationships/hyperlink" Target="http://a.009-arp.0014.01.2023.gov.dasis.pe/" TargetMode="External"/><Relationship Id="rId1369" Type="http://schemas.openxmlformats.org/officeDocument/2006/relationships/hyperlink" Target="http://a.001-arp.0009.00.2023.gov.dasis.pe/" TargetMode="External"/><Relationship Id="rId1576" Type="http://schemas.openxmlformats.org/officeDocument/2006/relationships/hyperlink" Target="http://arp.0009.00.2025.gov.fes-pe.pe/" TargetMode="External"/><Relationship Id="rId2115" Type="http://schemas.openxmlformats.org/officeDocument/2006/relationships/hyperlink" Target="http://c.005-arpc.0002.00.2025.gov.sad.pe/" TargetMode="External"/><Relationship Id="rId2322" Type="http://schemas.openxmlformats.org/officeDocument/2006/relationships/hyperlink" Target="http://arp.0083.02.2024.gov.fes-pe.pe/" TargetMode="External"/><Relationship Id="rId501" Type="http://schemas.openxmlformats.org/officeDocument/2006/relationships/hyperlink" Target="http://a.004-arp.0003.00.2025.gov.hr.pe/" TargetMode="External"/><Relationship Id="rId946" Type="http://schemas.openxmlformats.org/officeDocument/2006/relationships/hyperlink" Target="http://arp.0022.06.2023.gov.ham.pe/" TargetMode="External"/><Relationship Id="rId1131" Type="http://schemas.openxmlformats.org/officeDocument/2006/relationships/hyperlink" Target="http://a.002-arp.0131.01.2023.gov.huoc.pe/" TargetMode="External"/><Relationship Id="rId1229" Type="http://schemas.openxmlformats.org/officeDocument/2006/relationships/hyperlink" Target="http://a.010-arp.0025.09.2023.gov.hr.pe/" TargetMode="External"/><Relationship Id="rId1783" Type="http://schemas.openxmlformats.org/officeDocument/2006/relationships/hyperlink" Target="http://c.001-arp.0036.09.2025.gov.fes-pe.pe/" TargetMode="External"/><Relationship Id="rId1990" Type="http://schemas.openxmlformats.org/officeDocument/2006/relationships/hyperlink" Target="http://arp.0012.05.2025.gov.fes-pe.pe/" TargetMode="External"/><Relationship Id="rId2627" Type="http://schemas.openxmlformats.org/officeDocument/2006/relationships/hyperlink" Target="http://c.006-arp.0048.11.2024.gov.fes-pe.pe/" TargetMode="External"/><Relationship Id="rId2834" Type="http://schemas.openxmlformats.org/officeDocument/2006/relationships/hyperlink" Target="http://arp.0003.03.2023.gov.hra.pe/" TargetMode="External"/><Relationship Id="rId75" Type="http://schemas.openxmlformats.org/officeDocument/2006/relationships/hyperlink" Target="http://a.002-arp.0118.05.2024.gov.huoc.pe/" TargetMode="External"/><Relationship Id="rId806" Type="http://schemas.openxmlformats.org/officeDocument/2006/relationships/hyperlink" Target="http://arp.0009.04.2024.gov.fes-pe.pe/" TargetMode="External"/><Relationship Id="rId1436" Type="http://schemas.openxmlformats.org/officeDocument/2006/relationships/hyperlink" Target="http://arp.0077.07.2025.gov.fes-pe.pe/" TargetMode="External"/><Relationship Id="rId1643" Type="http://schemas.openxmlformats.org/officeDocument/2006/relationships/hyperlink" Target="http://c.014-arp.0009.01.2025.gov.fes-pe.pe/" TargetMode="External"/><Relationship Id="rId1850" Type="http://schemas.openxmlformats.org/officeDocument/2006/relationships/hyperlink" Target="http://arp.0009.01.2025.gov.fes-pe.pe/" TargetMode="External"/><Relationship Id="rId1503" Type="http://schemas.openxmlformats.org/officeDocument/2006/relationships/hyperlink" Target="http://c.010-arp.0008.01.2025.gov.ham.pe/" TargetMode="External"/><Relationship Id="rId1710" Type="http://schemas.openxmlformats.org/officeDocument/2006/relationships/hyperlink" Target="http://arp.0054.04.2025.gov.fes-pe.pe/" TargetMode="External"/><Relationship Id="rId1948" Type="http://schemas.openxmlformats.org/officeDocument/2006/relationships/hyperlink" Target="http://arp.0021.02.2025.gov.fes-pe.pe/" TargetMode="External"/><Relationship Id="rId291" Type="http://schemas.openxmlformats.org/officeDocument/2006/relationships/hyperlink" Target="http://a.011-arp.0076.01.2024.gov.procape.pe/" TargetMode="External"/><Relationship Id="rId1808" Type="http://schemas.openxmlformats.org/officeDocument/2006/relationships/hyperlink" Target="http://arp.0035.00.2025.gov.fes-pe.pe/" TargetMode="External"/><Relationship Id="rId151" Type="http://schemas.openxmlformats.org/officeDocument/2006/relationships/hyperlink" Target="http://a.002-arp.0011.02.2025.gov.hemope.pe/" TargetMode="External"/><Relationship Id="rId389" Type="http://schemas.openxmlformats.org/officeDocument/2006/relationships/hyperlink" Target="http://a.002-arp.0012.00.2025.gov.huoc.pe/" TargetMode="External"/><Relationship Id="rId596" Type="http://schemas.openxmlformats.org/officeDocument/2006/relationships/hyperlink" Target="http://arp.0105.03.2024.gov.procape.pe/" TargetMode="External"/><Relationship Id="rId2277" Type="http://schemas.openxmlformats.org/officeDocument/2006/relationships/hyperlink" Target="http://c.005-arp.0090.02.2024.gov.fes-pe.pe/" TargetMode="External"/><Relationship Id="rId2484" Type="http://schemas.openxmlformats.org/officeDocument/2006/relationships/hyperlink" Target="http://arp.0064.01.2024.gov.fes-pe.pe/" TargetMode="External"/><Relationship Id="rId2691" Type="http://schemas.openxmlformats.org/officeDocument/2006/relationships/hyperlink" Target="http://c.009-arpc.0006.00.2024.gov.sad.pe/" TargetMode="External"/><Relationship Id="rId249" Type="http://schemas.openxmlformats.org/officeDocument/2006/relationships/hyperlink" Target="http://a.010-arp.0012.00.2025.gov.cisam.pe/" TargetMode="External"/><Relationship Id="rId456" Type="http://schemas.openxmlformats.org/officeDocument/2006/relationships/hyperlink" Target="http://arp.0033.00.2024.gov.hr.pe/" TargetMode="External"/><Relationship Id="rId663" Type="http://schemas.openxmlformats.org/officeDocument/2006/relationships/hyperlink" Target="http://a.002-arp.0010.00.2024.ext.hmar.pe/" TargetMode="External"/><Relationship Id="rId870" Type="http://schemas.openxmlformats.org/officeDocument/2006/relationships/hyperlink" Target="http://arp.0059.01.2024.gov.huoc.pe/" TargetMode="External"/><Relationship Id="rId1086" Type="http://schemas.openxmlformats.org/officeDocument/2006/relationships/hyperlink" Target="http://arp.0104.04.2023.gov.procape.pe/" TargetMode="External"/><Relationship Id="rId1293" Type="http://schemas.openxmlformats.org/officeDocument/2006/relationships/hyperlink" Target="http://a.004-arp.0024.02.2023.gov.huoc.pe/" TargetMode="External"/><Relationship Id="rId2137" Type="http://schemas.openxmlformats.org/officeDocument/2006/relationships/hyperlink" Target="http://c.003-arp.0087.00.2024.gov.cisam.pe/" TargetMode="External"/><Relationship Id="rId2344" Type="http://schemas.openxmlformats.org/officeDocument/2006/relationships/hyperlink" Target="http://arp.0024.00.2024.gov.fes-pe.pe/" TargetMode="External"/><Relationship Id="rId2551" Type="http://schemas.openxmlformats.org/officeDocument/2006/relationships/hyperlink" Target="http://c.007-arp.0063.06.2024.gov.fes-pe.pe/" TargetMode="External"/><Relationship Id="rId2789" Type="http://schemas.openxmlformats.org/officeDocument/2006/relationships/hyperlink" Target="http://c.002-arp.0003.03.2023.gov.hra.pe/" TargetMode="External"/><Relationship Id="rId109" Type="http://schemas.openxmlformats.org/officeDocument/2006/relationships/hyperlink" Target="http://a.026-arp.0089.01.2024.gov.huoc.pe/" TargetMode="External"/><Relationship Id="rId316" Type="http://schemas.openxmlformats.org/officeDocument/2006/relationships/hyperlink" Target="http://arp.0004.00.2025.ext.161458.ba/" TargetMode="External"/><Relationship Id="rId523" Type="http://schemas.openxmlformats.org/officeDocument/2006/relationships/hyperlink" Target="http://a.002-arp.0107.05.2024.gov.huoc.pe/" TargetMode="External"/><Relationship Id="rId968" Type="http://schemas.openxmlformats.org/officeDocument/2006/relationships/hyperlink" Target="http://arp.0009.01.2024.gov.hof.pe/" TargetMode="External"/><Relationship Id="rId1153" Type="http://schemas.openxmlformats.org/officeDocument/2006/relationships/hyperlink" Target="http://a.004-arp.0014.10.2023.gov.hr.pe/" TargetMode="External"/><Relationship Id="rId1598" Type="http://schemas.openxmlformats.org/officeDocument/2006/relationships/hyperlink" Target="http://arp.0010.00.2025.gov.cisam.pe/" TargetMode="External"/><Relationship Id="rId2204" Type="http://schemas.openxmlformats.org/officeDocument/2006/relationships/hyperlink" Target="http://arp.0078.01.2024.gov.fes-pe.pe/" TargetMode="External"/><Relationship Id="rId2649" Type="http://schemas.openxmlformats.org/officeDocument/2006/relationships/hyperlink" Target="http://c.008-arp.0046.05.2024.gov.fes-pe.pe/" TargetMode="External"/><Relationship Id="rId97" Type="http://schemas.openxmlformats.org/officeDocument/2006/relationships/hyperlink" Target="http://a.005-arp.0011.00.2025.gov.ham.pe/" TargetMode="External"/><Relationship Id="rId730" Type="http://schemas.openxmlformats.org/officeDocument/2006/relationships/hyperlink" Target="http://arp.0018.00.2024.gov.fes-pe.pe/" TargetMode="External"/><Relationship Id="rId828" Type="http://schemas.openxmlformats.org/officeDocument/2006/relationships/hyperlink" Target="http://arp.0028.00.2024.gov.hr.pe/" TargetMode="External"/><Relationship Id="rId1013" Type="http://schemas.openxmlformats.org/officeDocument/2006/relationships/hyperlink" Target="http://a.002-arp.0043.00.2024.gov.procape.pe/" TargetMode="External"/><Relationship Id="rId1360" Type="http://schemas.openxmlformats.org/officeDocument/2006/relationships/hyperlink" Target="http://arp.0037.09.2023.gov.procape.pe/" TargetMode="External"/><Relationship Id="rId1458" Type="http://schemas.openxmlformats.org/officeDocument/2006/relationships/hyperlink" Target="http://arp.0049.04.2025.gov.fes-pe.pe/" TargetMode="External"/><Relationship Id="rId1665" Type="http://schemas.openxmlformats.org/officeDocument/2006/relationships/hyperlink" Target="http://c.010-arp.0010.05.2025.gov.fes-pe.pe/" TargetMode="External"/><Relationship Id="rId1872" Type="http://schemas.openxmlformats.org/officeDocument/2006/relationships/hyperlink" Target="http://arp.0048.03.2025.gov.fes-pe.pe/" TargetMode="External"/><Relationship Id="rId2411" Type="http://schemas.openxmlformats.org/officeDocument/2006/relationships/hyperlink" Target="http://c.029-arp.0031.16.2024.gov.fes-pe.pe/" TargetMode="External"/><Relationship Id="rId2509" Type="http://schemas.openxmlformats.org/officeDocument/2006/relationships/hyperlink" Target="http://c.018-arp.0048.07.2024.gov.fes-pe.pe/" TargetMode="External"/><Relationship Id="rId2716" Type="http://schemas.openxmlformats.org/officeDocument/2006/relationships/hyperlink" Target="http://arp.0025.03.2024.gov.fes-pe.pe/" TargetMode="External"/><Relationship Id="rId1220" Type="http://schemas.openxmlformats.org/officeDocument/2006/relationships/hyperlink" Target="http://arp.0026.03.2023.gov.hr.pe/" TargetMode="External"/><Relationship Id="rId1318" Type="http://schemas.openxmlformats.org/officeDocument/2006/relationships/hyperlink" Target="http://arp.0010.03.2023.gov.ham.pe/" TargetMode="External"/><Relationship Id="rId1525" Type="http://schemas.openxmlformats.org/officeDocument/2006/relationships/hyperlink" Target="http://c.002-arp.0030.03.2025.gov.cisam.pe/" TargetMode="External"/><Relationship Id="rId1732" Type="http://schemas.openxmlformats.org/officeDocument/2006/relationships/hyperlink" Target="http://arp.0046.01.2024.gov.fes-pe.pe/" TargetMode="External"/><Relationship Id="rId24" Type="http://schemas.openxmlformats.org/officeDocument/2006/relationships/hyperlink" Target="http://arp.0102.01.2025.gov.huoc.pe/" TargetMode="External"/><Relationship Id="rId2299" Type="http://schemas.openxmlformats.org/officeDocument/2006/relationships/hyperlink" Target="http://c.010-arp.0040.03.2024.gov.fes-pe.pe/" TargetMode="External"/><Relationship Id="rId173" Type="http://schemas.openxmlformats.org/officeDocument/2006/relationships/hyperlink" Target="http://a.003-arp.0093.00.2024.gov.cisam.pe/" TargetMode="External"/><Relationship Id="rId380" Type="http://schemas.openxmlformats.org/officeDocument/2006/relationships/hyperlink" Target="http://arp.0021.00.2024.gov.hgv.pe/" TargetMode="External"/><Relationship Id="rId2061" Type="http://schemas.openxmlformats.org/officeDocument/2006/relationships/hyperlink" Target="http://c.003-arp.0015.02.2025.gov.fes-pe.pe/" TargetMode="External"/><Relationship Id="rId240" Type="http://schemas.openxmlformats.org/officeDocument/2006/relationships/hyperlink" Target="http://arp.0064.01.2025.gov.huoc.pe/" TargetMode="External"/><Relationship Id="rId478" Type="http://schemas.openxmlformats.org/officeDocument/2006/relationships/hyperlink" Target="http://arp.0041.00.2024.gov.hr.pe/" TargetMode="External"/><Relationship Id="rId685" Type="http://schemas.openxmlformats.org/officeDocument/2006/relationships/hyperlink" Target="http://a.005-arp.0012.00.2024.gov.ham.pe/" TargetMode="External"/><Relationship Id="rId892" Type="http://schemas.openxmlformats.org/officeDocument/2006/relationships/hyperlink" Target="http://arp.0126.01.2023.gov.huoc.pe/" TargetMode="External"/><Relationship Id="rId2159" Type="http://schemas.openxmlformats.org/officeDocument/2006/relationships/hyperlink" Target="http://c.003-arp.0088.02.2024.gov.cisam.pe/" TargetMode="External"/><Relationship Id="rId2366" Type="http://schemas.openxmlformats.org/officeDocument/2006/relationships/hyperlink" Target="http://arp.0031.16.2024.gov.fes-pe.pe/" TargetMode="External"/><Relationship Id="rId2573" Type="http://schemas.openxmlformats.org/officeDocument/2006/relationships/hyperlink" Target="http://c.006-arp.0048.06.2024.gov.fes-pe.pe/" TargetMode="External"/><Relationship Id="rId2780" Type="http://schemas.openxmlformats.org/officeDocument/2006/relationships/hyperlink" Target="http://arp.0003.02.2023.gov.hra.pe/" TargetMode="External"/><Relationship Id="rId100" Type="http://schemas.openxmlformats.org/officeDocument/2006/relationships/hyperlink" Target="http://arp.0008.02.2025.gov.hgv.pe/" TargetMode="External"/><Relationship Id="rId338" Type="http://schemas.openxmlformats.org/officeDocument/2006/relationships/hyperlink" Target="http://arp.0017.00.2025.gov.hof.pe/" TargetMode="External"/><Relationship Id="rId545" Type="http://schemas.openxmlformats.org/officeDocument/2006/relationships/hyperlink" Target="http://a.028-arp.0030.01.2024.gov.cisam.pe/" TargetMode="External"/><Relationship Id="rId752" Type="http://schemas.openxmlformats.org/officeDocument/2006/relationships/hyperlink" Target="http://arp.0018.00.2024.opd.mppe.pe/" TargetMode="External"/><Relationship Id="rId1175" Type="http://schemas.openxmlformats.org/officeDocument/2006/relationships/hyperlink" Target="http://a.007-arp.0012.01.2023.gov.sassepe.pe/" TargetMode="External"/><Relationship Id="rId1382" Type="http://schemas.openxmlformats.org/officeDocument/2006/relationships/hyperlink" Target="http://arp.0003.06.2023.gov.hra.pe/" TargetMode="External"/><Relationship Id="rId2019" Type="http://schemas.openxmlformats.org/officeDocument/2006/relationships/hyperlink" Target="http://c.006-arp.0005.02.2025.gov.fes-pe.pe/" TargetMode="External"/><Relationship Id="rId2226" Type="http://schemas.openxmlformats.org/officeDocument/2006/relationships/hyperlink" Target="http://arp.0049.00.2024.gov.cisam.pe/" TargetMode="External"/><Relationship Id="rId2433" Type="http://schemas.openxmlformats.org/officeDocument/2006/relationships/hyperlink" Target="http://c.022-arp.0031.16.2024.gov.fes-pe.pe/" TargetMode="External"/><Relationship Id="rId2640" Type="http://schemas.openxmlformats.org/officeDocument/2006/relationships/hyperlink" Target="http://arpc.0006.00.2024.gov.sad.pe/" TargetMode="External"/><Relationship Id="rId405" Type="http://schemas.openxmlformats.org/officeDocument/2006/relationships/hyperlink" Target="http://a.005-arp.0114.02.2024.gov.huoc.pe/" TargetMode="External"/><Relationship Id="rId612" Type="http://schemas.openxmlformats.org/officeDocument/2006/relationships/hyperlink" Target="http://arp.0091.00.2024.gov.huoc.pe/" TargetMode="External"/><Relationship Id="rId1035" Type="http://schemas.openxmlformats.org/officeDocument/2006/relationships/hyperlink" Target="http://a.002-arp.0046.01.2024.gov.huoc.pe/" TargetMode="External"/><Relationship Id="rId1242" Type="http://schemas.openxmlformats.org/officeDocument/2006/relationships/hyperlink" Target="http://arp.0061.00.2023.gov.huoc.pe/" TargetMode="External"/><Relationship Id="rId1687" Type="http://schemas.openxmlformats.org/officeDocument/2006/relationships/hyperlink" Target="http://c.005-arp.0067.03.2025.gov.fes-pe.pe/" TargetMode="External"/><Relationship Id="rId1894" Type="http://schemas.openxmlformats.org/officeDocument/2006/relationships/hyperlink" Target="http://arp.0034.00.2025.gov.fes-pe.pe/" TargetMode="External"/><Relationship Id="rId2500" Type="http://schemas.openxmlformats.org/officeDocument/2006/relationships/hyperlink" Target="http://arp.0012.00.2024.gov.fes-pe.pe/" TargetMode="External"/><Relationship Id="rId2738" Type="http://schemas.openxmlformats.org/officeDocument/2006/relationships/hyperlink" Target="http://arp.0003.06.2023.gov.hra.pe/" TargetMode="External"/><Relationship Id="rId917" Type="http://schemas.openxmlformats.org/officeDocument/2006/relationships/hyperlink" Target="http://a.002-arp.0010.00.2024.gov.cisam.pe/" TargetMode="External"/><Relationship Id="rId1102" Type="http://schemas.openxmlformats.org/officeDocument/2006/relationships/hyperlink" Target="http://arp.0029.01.2023.gov.hof.pe/" TargetMode="External"/><Relationship Id="rId1547" Type="http://schemas.openxmlformats.org/officeDocument/2006/relationships/hyperlink" Target="http://c.014-arp.0002.00.2025.gov.ses.pe/" TargetMode="External"/><Relationship Id="rId1754" Type="http://schemas.openxmlformats.org/officeDocument/2006/relationships/hyperlink" Target="http://arp.0052.07.2025.gov.fes-pe.pe/" TargetMode="External"/><Relationship Id="rId1961" Type="http://schemas.openxmlformats.org/officeDocument/2006/relationships/hyperlink" Target="http://c.004-arp.0018.01.2025.gov.fes-pe.pe/" TargetMode="External"/><Relationship Id="rId2805" Type="http://schemas.openxmlformats.org/officeDocument/2006/relationships/hyperlink" Target="http://c.001-arp.0005.04.2023.gov.hra.pe/" TargetMode="External"/><Relationship Id="rId46" Type="http://schemas.openxmlformats.org/officeDocument/2006/relationships/hyperlink" Target="http://arp.0008.05.2025.gov.hgv.pe/" TargetMode="External"/><Relationship Id="rId1407" Type="http://schemas.openxmlformats.org/officeDocument/2006/relationships/hyperlink" Target="http://a.003-arp.0016.01.2023.gov.huoc.pe/" TargetMode="External"/><Relationship Id="rId1614" Type="http://schemas.openxmlformats.org/officeDocument/2006/relationships/hyperlink" Target="http://arp.0067.06.2025.gov.fes-pe.pe/" TargetMode="External"/><Relationship Id="rId1821" Type="http://schemas.openxmlformats.org/officeDocument/2006/relationships/hyperlink" Target="http://c.004-arp.0030.05.2025.gov.fes-pe.pe/" TargetMode="External"/><Relationship Id="rId195" Type="http://schemas.openxmlformats.org/officeDocument/2006/relationships/hyperlink" Target="http://a.008-arp.0028.03.2025.gov.procape.pe/" TargetMode="External"/><Relationship Id="rId1919" Type="http://schemas.openxmlformats.org/officeDocument/2006/relationships/hyperlink" Target="http://c.004-arp.0022.03.2025.gov.fes-pe.pe/" TargetMode="External"/><Relationship Id="rId2083" Type="http://schemas.openxmlformats.org/officeDocument/2006/relationships/hyperlink" Target="http://c.003-arp.0003.00.2025.gov.fes-pe.pe/" TargetMode="External"/><Relationship Id="rId2290" Type="http://schemas.openxmlformats.org/officeDocument/2006/relationships/hyperlink" Target="http://arp.0063.05.2024.gov.cisam.pe/" TargetMode="External"/><Relationship Id="rId2388" Type="http://schemas.openxmlformats.org/officeDocument/2006/relationships/hyperlink" Target="http://arp.0025.01.2024.gov.fes-pe.pe/" TargetMode="External"/><Relationship Id="rId2595" Type="http://schemas.openxmlformats.org/officeDocument/2006/relationships/hyperlink" Target="http://c.026-arpc.0005.00.2024.gov.sad.pe/" TargetMode="External"/><Relationship Id="rId262" Type="http://schemas.openxmlformats.org/officeDocument/2006/relationships/hyperlink" Target="http://arp.0041.00.2024.gov.hr.pe/" TargetMode="External"/><Relationship Id="rId567" Type="http://schemas.openxmlformats.org/officeDocument/2006/relationships/hyperlink" Target="http://a.022-arp.0041.00.2024.gov.hr.pe/" TargetMode="External"/><Relationship Id="rId1197" Type="http://schemas.openxmlformats.org/officeDocument/2006/relationships/hyperlink" Target="http://a.003-arp.0009.05.2023.gov.hbl.pe/" TargetMode="External"/><Relationship Id="rId2150" Type="http://schemas.openxmlformats.org/officeDocument/2006/relationships/hyperlink" Target="http://arp.0087.03.2024.gov.cisam.pe/" TargetMode="External"/><Relationship Id="rId2248" Type="http://schemas.openxmlformats.org/officeDocument/2006/relationships/hyperlink" Target="http://arp.0025.04.2024.gov.fes-pe.pe/" TargetMode="External"/><Relationship Id="rId122" Type="http://schemas.openxmlformats.org/officeDocument/2006/relationships/hyperlink" Target="http://arp.0089.01.2024.gov.huoc.pe/" TargetMode="External"/><Relationship Id="rId774" Type="http://schemas.openxmlformats.org/officeDocument/2006/relationships/hyperlink" Target="http://arp.0009.00.2024.gov.sassepe.pe/" TargetMode="External"/><Relationship Id="rId981" Type="http://schemas.openxmlformats.org/officeDocument/2006/relationships/hyperlink" Target="http://a.002-arp.0130.09.2023.gov.huoc.pe/" TargetMode="External"/><Relationship Id="rId1057" Type="http://schemas.openxmlformats.org/officeDocument/2006/relationships/hyperlink" Target="http://a.006-arp.0112.00.2023.gov.huoc.pe/" TargetMode="External"/><Relationship Id="rId2010" Type="http://schemas.openxmlformats.org/officeDocument/2006/relationships/hyperlink" Target="http://arp.0015.03.2025.gov.fes-pe.pe/" TargetMode="External"/><Relationship Id="rId2455" Type="http://schemas.openxmlformats.org/officeDocument/2006/relationships/hyperlink" Target="http://c.030-arp.0018.00.2024.gov.fes-pe.pe/" TargetMode="External"/><Relationship Id="rId2662" Type="http://schemas.openxmlformats.org/officeDocument/2006/relationships/hyperlink" Target="http://arpc.0007.00.2024.gov.sad.pe/" TargetMode="External"/><Relationship Id="rId427" Type="http://schemas.openxmlformats.org/officeDocument/2006/relationships/hyperlink" Target="http://a.010-arp.0010.00.2024.gov.hof.pe/" TargetMode="External"/><Relationship Id="rId634" Type="http://schemas.openxmlformats.org/officeDocument/2006/relationships/hyperlink" Target="http://arp.0068.09.2024.gov.fes-pe.pe/" TargetMode="External"/><Relationship Id="rId841" Type="http://schemas.openxmlformats.org/officeDocument/2006/relationships/hyperlink" Target="http://a.003-arp.0130.02.2023.gov.huoc.pe/" TargetMode="External"/><Relationship Id="rId1264" Type="http://schemas.openxmlformats.org/officeDocument/2006/relationships/hyperlink" Target="http://arp.0041.03.2023.gov.cisam.pe/" TargetMode="External"/><Relationship Id="rId1471" Type="http://schemas.openxmlformats.org/officeDocument/2006/relationships/hyperlink" Target="http://c.004-arp.0001.00.2024.fes-pe.pe/" TargetMode="External"/><Relationship Id="rId1569" Type="http://schemas.openxmlformats.org/officeDocument/2006/relationships/hyperlink" Target="http://c.007-arp.0010.02.2025.gov.fes-pe.pe/" TargetMode="External"/><Relationship Id="rId2108" Type="http://schemas.openxmlformats.org/officeDocument/2006/relationships/hyperlink" Target="http://arp.0098.02.2024.gov.fes-pe.pe/" TargetMode="External"/><Relationship Id="rId2315" Type="http://schemas.openxmlformats.org/officeDocument/2006/relationships/hyperlink" Target="http://c.029-arpc.0018.00.2024.gov.sad.pe/" TargetMode="External"/><Relationship Id="rId2522" Type="http://schemas.openxmlformats.org/officeDocument/2006/relationships/hyperlink" Target="http://arp.0064.01.2024.gov.fes-pe.pe/" TargetMode="External"/><Relationship Id="rId701" Type="http://schemas.openxmlformats.org/officeDocument/2006/relationships/hyperlink" Target="http://a.002-arp.0013.00.2024.gov.ham.pe/" TargetMode="External"/><Relationship Id="rId939" Type="http://schemas.openxmlformats.org/officeDocument/2006/relationships/hyperlink" Target="http://a.007-arp.0046.02.2024.gov.huoc.pe/" TargetMode="External"/><Relationship Id="rId1124" Type="http://schemas.openxmlformats.org/officeDocument/2006/relationships/hyperlink" Target="http://arp.0030.01.2024.gov.cisam.pe/" TargetMode="External"/><Relationship Id="rId1331" Type="http://schemas.openxmlformats.org/officeDocument/2006/relationships/hyperlink" Target="http://a.006-arp.0006.14.2023.gov.ham.pe/" TargetMode="External"/><Relationship Id="rId1776" Type="http://schemas.openxmlformats.org/officeDocument/2006/relationships/hyperlink" Target="http://arp.0043.01.2025.gov.fes-pe.pe/" TargetMode="External"/><Relationship Id="rId1983" Type="http://schemas.openxmlformats.org/officeDocument/2006/relationships/hyperlink" Target="http://c.004-arp.0012.04.2025.gov.fes-pe.pe/" TargetMode="External"/><Relationship Id="rId2827" Type="http://schemas.openxmlformats.org/officeDocument/2006/relationships/hyperlink" Target="http://c.001-arp.0003.06.2023.gov.hra.pe/" TargetMode="External"/><Relationship Id="rId68" Type="http://schemas.openxmlformats.org/officeDocument/2006/relationships/hyperlink" Target="http://arp.0044.04.2025.gov.fes-pe.pe/" TargetMode="External"/><Relationship Id="rId1429" Type="http://schemas.openxmlformats.org/officeDocument/2006/relationships/hyperlink" Target="http://c.003-arp.0110.01.2025.gov.fes-pe.pe/" TargetMode="External"/><Relationship Id="rId1636" Type="http://schemas.openxmlformats.org/officeDocument/2006/relationships/hyperlink" Target="http://arp.0021.11.2024.gov.hof.pe/" TargetMode="External"/><Relationship Id="rId1843" Type="http://schemas.openxmlformats.org/officeDocument/2006/relationships/hyperlink" Target="http://c.001-arp.0029.01.2025.gov.fes-pe.pe/" TargetMode="External"/><Relationship Id="rId1703" Type="http://schemas.openxmlformats.org/officeDocument/2006/relationships/hyperlink" Target="http://c.015-arp.0068.09.2024.gov.fes-pe.pe/" TargetMode="External"/><Relationship Id="rId1910" Type="http://schemas.openxmlformats.org/officeDocument/2006/relationships/hyperlink" Target="http://arp.0028.03.2025.gov.fes-pe.pe/" TargetMode="External"/><Relationship Id="rId284" Type="http://schemas.openxmlformats.org/officeDocument/2006/relationships/hyperlink" Target="http://arp.0108.01.2024.gov.huoc.pe/" TargetMode="External"/><Relationship Id="rId491" Type="http://schemas.openxmlformats.org/officeDocument/2006/relationships/hyperlink" Target="http://a.006-arp.0106.08.2024.gov.huoc.pe/" TargetMode="External"/><Relationship Id="rId2172" Type="http://schemas.openxmlformats.org/officeDocument/2006/relationships/hyperlink" Target="http://arp.0052.12.2024.gov.cisam.pe/" TargetMode="External"/><Relationship Id="rId144" Type="http://schemas.openxmlformats.org/officeDocument/2006/relationships/hyperlink" Target="http://arp.0005.00.2025.ext.136144.es/" TargetMode="External"/><Relationship Id="rId589" Type="http://schemas.openxmlformats.org/officeDocument/2006/relationships/hyperlink" Target="http://a.006-arp.0110.05.2024.gov.huoc.pe/" TargetMode="External"/><Relationship Id="rId796" Type="http://schemas.openxmlformats.org/officeDocument/2006/relationships/hyperlink" Target="http://arp.0027.00.2024.gov.hr.pe/" TargetMode="External"/><Relationship Id="rId2477" Type="http://schemas.openxmlformats.org/officeDocument/2006/relationships/hyperlink" Target="http://c.020-arp.0031.16.2024.gov.fes-pe.pe/" TargetMode="External"/><Relationship Id="rId2684" Type="http://schemas.openxmlformats.org/officeDocument/2006/relationships/hyperlink" Target="http://arp.0005.08.2023.gov.hra.pe/" TargetMode="External"/><Relationship Id="rId351" Type="http://schemas.openxmlformats.org/officeDocument/2006/relationships/hyperlink" Target="http://a.007-arp.0004.00.2025.gov.procape.pe/" TargetMode="External"/><Relationship Id="rId449" Type="http://schemas.openxmlformats.org/officeDocument/2006/relationships/hyperlink" Target="http://a.002-arp.0011.00.2025.gov.ham.pe/" TargetMode="External"/><Relationship Id="rId656" Type="http://schemas.openxmlformats.org/officeDocument/2006/relationships/hyperlink" Target="http://arp.1289.00.2024.ext.rs/" TargetMode="External"/><Relationship Id="rId863" Type="http://schemas.openxmlformats.org/officeDocument/2006/relationships/hyperlink" Target="http://a.005-arp.0051.01.2024.gov.cisam.pe/" TargetMode="External"/><Relationship Id="rId1079" Type="http://schemas.openxmlformats.org/officeDocument/2006/relationships/hyperlink" Target="http://a.003-arp.0119.00.2023.gov.fes-pe.pe/" TargetMode="External"/><Relationship Id="rId1286" Type="http://schemas.openxmlformats.org/officeDocument/2006/relationships/hyperlink" Target="http://arp.0006.12.2023.gov.ham.pe/" TargetMode="External"/><Relationship Id="rId1493" Type="http://schemas.openxmlformats.org/officeDocument/2006/relationships/hyperlink" Target="http://c.012-arp.0070.02.2025.gov.fes-pe.pe/" TargetMode="External"/><Relationship Id="rId2032" Type="http://schemas.openxmlformats.org/officeDocument/2006/relationships/hyperlink" Target="http://arp.0002.00.2025.gov.cisam.pe/" TargetMode="External"/><Relationship Id="rId2337" Type="http://schemas.openxmlformats.org/officeDocument/2006/relationships/hyperlink" Target="http://c.119-arpc.0006.00.2024.gov.sad.pe/" TargetMode="External"/><Relationship Id="rId2544" Type="http://schemas.openxmlformats.org/officeDocument/2006/relationships/hyperlink" Target="http://arp.0018.00.2024.gov.fes-pe.pe/" TargetMode="External"/><Relationship Id="rId211" Type="http://schemas.openxmlformats.org/officeDocument/2006/relationships/hyperlink" Target="http://a.010-arp.0011.00.2025.gov.fes-pe.pe/" TargetMode="External"/><Relationship Id="rId309" Type="http://schemas.openxmlformats.org/officeDocument/2006/relationships/hyperlink" Target="http://a.004-arp.0029.06.2025.gov.procape.pe/" TargetMode="External"/><Relationship Id="rId516" Type="http://schemas.openxmlformats.org/officeDocument/2006/relationships/hyperlink" Target="http://arp.0011.01.2024.ext.hmar.pe/" TargetMode="External"/><Relationship Id="rId1146" Type="http://schemas.openxmlformats.org/officeDocument/2006/relationships/hyperlink" Target="http://arp.0035.00.2023.gov.hr.pe/" TargetMode="External"/><Relationship Id="rId1798" Type="http://schemas.openxmlformats.org/officeDocument/2006/relationships/hyperlink" Target="http://arp.0035.05.2025.gov.fes-pe.pe/" TargetMode="External"/><Relationship Id="rId2751" Type="http://schemas.openxmlformats.org/officeDocument/2006/relationships/hyperlink" Target="http://c.003-arp.0003.04.2023.gov.hra.pe/" TargetMode="External"/><Relationship Id="rId2849" Type="http://schemas.openxmlformats.org/officeDocument/2006/relationships/hyperlink" Target="http://c.004-arpc.0006.00.2023.gov.sad.pe/" TargetMode="External"/><Relationship Id="rId723" Type="http://schemas.openxmlformats.org/officeDocument/2006/relationships/hyperlink" Target="http://a.012-arp.0046.02.2024.gov.huoc.pe/" TargetMode="External"/><Relationship Id="rId930" Type="http://schemas.openxmlformats.org/officeDocument/2006/relationships/hyperlink" Target="http://arp.0057.06.2024.gov.huoc.pe/" TargetMode="External"/><Relationship Id="rId1006" Type="http://schemas.openxmlformats.org/officeDocument/2006/relationships/hyperlink" Target="http://arp.0114.00.2023.gov.fes-pe.pe/" TargetMode="External"/><Relationship Id="rId1353" Type="http://schemas.openxmlformats.org/officeDocument/2006/relationships/hyperlink" Target="http://a.002-arp.0060.01.2023.gov.huoc.pe/" TargetMode="External"/><Relationship Id="rId1560" Type="http://schemas.openxmlformats.org/officeDocument/2006/relationships/hyperlink" Target="http://arp.0065.02.2024.gov.cisam.pe/" TargetMode="External"/><Relationship Id="rId1658" Type="http://schemas.openxmlformats.org/officeDocument/2006/relationships/hyperlink" Target="http://arp.0083.05.2024.gov.fes-pe.pe/" TargetMode="External"/><Relationship Id="rId1865" Type="http://schemas.openxmlformats.org/officeDocument/2006/relationships/hyperlink" Target="http://c.002-arp.0006.04.2025.gov.hof.pe/" TargetMode="External"/><Relationship Id="rId2404" Type="http://schemas.openxmlformats.org/officeDocument/2006/relationships/hyperlink" Target="http://arp.0052.03.2024.gov.fes-pe.pe/" TargetMode="External"/><Relationship Id="rId2611" Type="http://schemas.openxmlformats.org/officeDocument/2006/relationships/hyperlink" Target="http://c.003-arp.0058.00.2024.gov.fes-pe.pe/" TargetMode="External"/><Relationship Id="rId2709" Type="http://schemas.openxmlformats.org/officeDocument/2006/relationships/hyperlink" Target="http://c.002-arpc.0005.00.2024.gov.sad.pe/" TargetMode="External"/><Relationship Id="rId1213" Type="http://schemas.openxmlformats.org/officeDocument/2006/relationships/hyperlink" Target="http://a.005-arp.0025.12.2023.gov.hr.pe/" TargetMode="External"/><Relationship Id="rId1420" Type="http://schemas.openxmlformats.org/officeDocument/2006/relationships/hyperlink" Target="http://arp.0115.04.2025.gov.fes-pe.pe/" TargetMode="External"/><Relationship Id="rId1518" Type="http://schemas.openxmlformats.org/officeDocument/2006/relationships/hyperlink" Target="http://arp.0068.01.2025.gov.fes-pe.pe/" TargetMode="External"/><Relationship Id="rId1725" Type="http://schemas.openxmlformats.org/officeDocument/2006/relationships/hyperlink" Target="http://c.003-arp.0053.05.2025.gov.fes-pe.pe/" TargetMode="External"/><Relationship Id="rId1932" Type="http://schemas.openxmlformats.org/officeDocument/2006/relationships/hyperlink" Target="http://arp.0027.06.2025.gov.fes-pe.pe/" TargetMode="External"/><Relationship Id="rId17" Type="http://schemas.openxmlformats.org/officeDocument/2006/relationships/hyperlink" Target="http://a.003-arp.0073.00.2025.gov.fes-pe.pe/" TargetMode="External"/><Relationship Id="rId2194" Type="http://schemas.openxmlformats.org/officeDocument/2006/relationships/hyperlink" Target="http://arp.0050.00.2024.gov.fes-pe.pe/" TargetMode="External"/><Relationship Id="rId166" Type="http://schemas.openxmlformats.org/officeDocument/2006/relationships/hyperlink" Target="http://arp.0064.01.2025.gov.huoc.pe/" TargetMode="External"/><Relationship Id="rId373" Type="http://schemas.openxmlformats.org/officeDocument/2006/relationships/hyperlink" Target="http://a.025-arp.0041.00.2024.gov.hr.pe/" TargetMode="External"/><Relationship Id="rId580" Type="http://schemas.openxmlformats.org/officeDocument/2006/relationships/hyperlink" Target="http://arp.1363.03.2024.ext.hmar.pe/" TargetMode="External"/><Relationship Id="rId2054" Type="http://schemas.openxmlformats.org/officeDocument/2006/relationships/hyperlink" Target="http://arp.0016.00.2025.gov.fes-pe.pe/" TargetMode="External"/><Relationship Id="rId2261" Type="http://schemas.openxmlformats.org/officeDocument/2006/relationships/hyperlink" Target="http://c.038-arp.0018.00.2024.gov.fes-pe.pe/" TargetMode="External"/><Relationship Id="rId2499" Type="http://schemas.openxmlformats.org/officeDocument/2006/relationships/hyperlink" Target="http://c.004-arp.0012.00.2024.gov.fes-pe.pe/" TargetMode="External"/><Relationship Id="rId1" Type="http://schemas.openxmlformats.org/officeDocument/2006/relationships/hyperlink" Target="http://a.006-arp.1036.00.2025.gov.cisam.pe/" TargetMode="External"/><Relationship Id="rId233" Type="http://schemas.openxmlformats.org/officeDocument/2006/relationships/hyperlink" Target="http://a.011-arp.0012.00.2025.gov.cisam.pe/" TargetMode="External"/><Relationship Id="rId440" Type="http://schemas.openxmlformats.org/officeDocument/2006/relationships/hyperlink" Target="http://arp.0010.00.2024.gov.hof.pe/" TargetMode="External"/><Relationship Id="rId678" Type="http://schemas.openxmlformats.org/officeDocument/2006/relationships/hyperlink" Target="http://arp.0002.02.2024.gov.sassepe.pe/" TargetMode="External"/><Relationship Id="rId885" Type="http://schemas.openxmlformats.org/officeDocument/2006/relationships/hyperlink" Target="http://a.003-arp.0048.03.2024.gov.huoc.pe/" TargetMode="External"/><Relationship Id="rId1070" Type="http://schemas.openxmlformats.org/officeDocument/2006/relationships/hyperlink" Target="http://arp.0130.06.2023.gov.huoc.pe/" TargetMode="External"/><Relationship Id="rId2121" Type="http://schemas.openxmlformats.org/officeDocument/2006/relationships/hyperlink" Target="http://c.003-arpc.0002.00.2025.gov.sad.pe/" TargetMode="External"/><Relationship Id="rId2359" Type="http://schemas.openxmlformats.org/officeDocument/2006/relationships/hyperlink" Target="http://c.014-arp.0034.01.2024.gov.fes-pe.pe/" TargetMode="External"/><Relationship Id="rId2566" Type="http://schemas.openxmlformats.org/officeDocument/2006/relationships/hyperlink" Target="http://arp.0018.07.2024.gov.fes-pe.pe/" TargetMode="External"/><Relationship Id="rId2773" Type="http://schemas.openxmlformats.org/officeDocument/2006/relationships/hyperlink" Target="http://c.002-arp.0003.04.2023.gov.hra.pe/" TargetMode="External"/><Relationship Id="rId300" Type="http://schemas.openxmlformats.org/officeDocument/2006/relationships/hyperlink" Target="http://arp.0010.01.2025.gov.hgv.pe/" TargetMode="External"/><Relationship Id="rId538" Type="http://schemas.openxmlformats.org/officeDocument/2006/relationships/hyperlink" Target="http://arp.0034.01.2024.gov.fes-pe.pe/" TargetMode="External"/><Relationship Id="rId745" Type="http://schemas.openxmlformats.org/officeDocument/2006/relationships/hyperlink" Target="http://a.008-arp.0046.05.2024.gov.huoc.pe/" TargetMode="External"/><Relationship Id="rId952" Type="http://schemas.openxmlformats.org/officeDocument/2006/relationships/hyperlink" Target="http://arp.0057.08.2024.gov.huoc.pe/" TargetMode="External"/><Relationship Id="rId1168" Type="http://schemas.openxmlformats.org/officeDocument/2006/relationships/hyperlink" Target="http://arp.0014.08.2023.gov.hgv.pe/" TargetMode="External"/><Relationship Id="rId1375" Type="http://schemas.openxmlformats.org/officeDocument/2006/relationships/hyperlink" Target="http://a.001-arp.0003.00.2023.gov.hra.pe/" TargetMode="External"/><Relationship Id="rId1582" Type="http://schemas.openxmlformats.org/officeDocument/2006/relationships/hyperlink" Target="http://arp.0073.01.2025.gov.fes-pe.pe/" TargetMode="External"/><Relationship Id="rId2219" Type="http://schemas.openxmlformats.org/officeDocument/2006/relationships/hyperlink" Target="http://c.001-arp.0094.01.2024.gov.fes-pe.pe/" TargetMode="External"/><Relationship Id="rId2426" Type="http://schemas.openxmlformats.org/officeDocument/2006/relationships/hyperlink" Target="http://arp.0031.16.2024.gov.fes-pe.pe/" TargetMode="External"/><Relationship Id="rId2633" Type="http://schemas.openxmlformats.org/officeDocument/2006/relationships/hyperlink" Target="http://c.009-arp.0046.05.2024.gov.fes-pe.pe/" TargetMode="External"/><Relationship Id="rId81" Type="http://schemas.openxmlformats.org/officeDocument/2006/relationships/hyperlink" Target="http://a.007-arp.0013.06.2025.gov.hof.pe/" TargetMode="External"/><Relationship Id="rId605" Type="http://schemas.openxmlformats.org/officeDocument/2006/relationships/hyperlink" Target="http://a.012-arp.0011.01.2024.ext.hmar.pe/" TargetMode="External"/><Relationship Id="rId812" Type="http://schemas.openxmlformats.org/officeDocument/2006/relationships/hyperlink" Target="http://arp.0059.05.2024.gov.huoc.pe/" TargetMode="External"/><Relationship Id="rId1028" Type="http://schemas.openxmlformats.org/officeDocument/2006/relationships/hyperlink" Target="http://arp.0049.04.2024.gov.huoc.pe/" TargetMode="External"/><Relationship Id="rId1235" Type="http://schemas.openxmlformats.org/officeDocument/2006/relationships/hyperlink" Target="http://a.003-arp.0002.11.2023.gov.bombeiros.pe/" TargetMode="External"/><Relationship Id="rId1442" Type="http://schemas.openxmlformats.org/officeDocument/2006/relationships/hyperlink" Target="http://arp.0073.00.2025.gov.fes-pe.pe/" TargetMode="External"/><Relationship Id="rId1887" Type="http://schemas.openxmlformats.org/officeDocument/2006/relationships/hyperlink" Target="http://c.015-arpc.0001.00.2025.gov.sad.pe/" TargetMode="External"/><Relationship Id="rId2840" Type="http://schemas.openxmlformats.org/officeDocument/2006/relationships/hyperlink" Target="http://arp.0003.00.2023.gov.hra.pe/" TargetMode="External"/><Relationship Id="rId1302" Type="http://schemas.openxmlformats.org/officeDocument/2006/relationships/hyperlink" Target="http://arp.0029.00.2023.gov.hgv.pe/" TargetMode="External"/><Relationship Id="rId1747" Type="http://schemas.openxmlformats.org/officeDocument/2006/relationships/hyperlink" Target="http://c.006-arp.0010.01.2025.gov.fes-pe.pe/" TargetMode="External"/><Relationship Id="rId1954" Type="http://schemas.openxmlformats.org/officeDocument/2006/relationships/hyperlink" Target="http://arp.0019.02.2025.gov.fes-pe.pe/" TargetMode="External"/><Relationship Id="rId2700" Type="http://schemas.openxmlformats.org/officeDocument/2006/relationships/hyperlink" Target="http://arp.0005.00.2023.gov.hra.pe/" TargetMode="External"/><Relationship Id="rId39" Type="http://schemas.openxmlformats.org/officeDocument/2006/relationships/hyperlink" Target="http://a.001-arp.0089.06.2025.gov.huoc.pe/" TargetMode="External"/><Relationship Id="rId1607" Type="http://schemas.openxmlformats.org/officeDocument/2006/relationships/hyperlink" Target="http://c.052-arpc.0018.00.2024.gov.sad.pe/" TargetMode="External"/><Relationship Id="rId1814" Type="http://schemas.openxmlformats.org/officeDocument/2006/relationships/hyperlink" Target="http://arp.0031.03.2025.gov.fes-pe.pe/" TargetMode="External"/><Relationship Id="rId188" Type="http://schemas.openxmlformats.org/officeDocument/2006/relationships/hyperlink" Target="http://arp.0106.02.2025.gov.huoc.pe/" TargetMode="External"/><Relationship Id="rId395" Type="http://schemas.openxmlformats.org/officeDocument/2006/relationships/hyperlink" Target="http://a.007-arp.0104.01.2024.gov.huoc.pe/" TargetMode="External"/><Relationship Id="rId2076" Type="http://schemas.openxmlformats.org/officeDocument/2006/relationships/hyperlink" Target="http://arp.0001.00.2025.gov.hof.pe/" TargetMode="External"/><Relationship Id="rId2283" Type="http://schemas.openxmlformats.org/officeDocument/2006/relationships/hyperlink" Target="http://c.016-arp.0052.08.2024.gov.fes-pe.pe/" TargetMode="External"/><Relationship Id="rId2490" Type="http://schemas.openxmlformats.org/officeDocument/2006/relationships/hyperlink" Target="http://arp.0031.11.2024.gov.fes-pe.pe/" TargetMode="External"/><Relationship Id="rId2588" Type="http://schemas.openxmlformats.org/officeDocument/2006/relationships/hyperlink" Target="http://arp.0031.10.2024.gov.fes-pe.pe/" TargetMode="External"/><Relationship Id="rId255" Type="http://schemas.openxmlformats.org/officeDocument/2006/relationships/hyperlink" Target="http://a.004-arp.0009.00.2025.gov.fes-pe.pe/" TargetMode="External"/><Relationship Id="rId462" Type="http://schemas.openxmlformats.org/officeDocument/2006/relationships/hyperlink" Target="http://arp.1414.00.2024.ext.amgesp.al/" TargetMode="External"/><Relationship Id="rId1092" Type="http://schemas.openxmlformats.org/officeDocument/2006/relationships/hyperlink" Target="http://arp.0022.02.2024.gov.cisam.pe/" TargetMode="External"/><Relationship Id="rId1397" Type="http://schemas.openxmlformats.org/officeDocument/2006/relationships/hyperlink" Target="http://a.001-arp.0015.00.2023.gov.huoc.pe/" TargetMode="External"/><Relationship Id="rId2143" Type="http://schemas.openxmlformats.org/officeDocument/2006/relationships/hyperlink" Target="http://c.003-arp.0087.01.2024.gov.cisam.pe/" TargetMode="External"/><Relationship Id="rId2350" Type="http://schemas.openxmlformats.org/officeDocument/2006/relationships/hyperlink" Target="http://arp.0022.01.2024.gov.fes-pe.pe/" TargetMode="External"/><Relationship Id="rId2795" Type="http://schemas.openxmlformats.org/officeDocument/2006/relationships/hyperlink" Target="http://c.001-arp.0004.00.2023.gov.hra.pe/" TargetMode="External"/><Relationship Id="rId115" Type="http://schemas.openxmlformats.org/officeDocument/2006/relationships/hyperlink" Target="http://a.004-arp.0059.00.2025.gov.fes-pe.pe/" TargetMode="External"/><Relationship Id="rId322" Type="http://schemas.openxmlformats.org/officeDocument/2006/relationships/hyperlink" Target="http://arp.0084.02.2024.gov.fes-pe.pe/" TargetMode="External"/><Relationship Id="rId767" Type="http://schemas.openxmlformats.org/officeDocument/2006/relationships/hyperlink" Target="http://a.005-arp.0055.03.2024.gov.cisam.pe/" TargetMode="External"/><Relationship Id="rId974" Type="http://schemas.openxmlformats.org/officeDocument/2006/relationships/hyperlink" Target="http://arp.0009.10.2024.gov.hof.pe/" TargetMode="External"/><Relationship Id="rId2003" Type="http://schemas.openxmlformats.org/officeDocument/2006/relationships/hyperlink" Target="http://c.004-arp.0003.00.2025.gov.fes-pe.pe/" TargetMode="External"/><Relationship Id="rId2210" Type="http://schemas.openxmlformats.org/officeDocument/2006/relationships/hyperlink" Target="http://arp.0094.00.2024.gov.fes-pe.pe/" TargetMode="External"/><Relationship Id="rId2448" Type="http://schemas.openxmlformats.org/officeDocument/2006/relationships/hyperlink" Target="http://arp.0018.00.2024.gov.fes-pe.pe/" TargetMode="External"/><Relationship Id="rId2655" Type="http://schemas.openxmlformats.org/officeDocument/2006/relationships/hyperlink" Target="http://c.002-arp.0005.10.2023.gov.hra.pe/" TargetMode="External"/><Relationship Id="rId627" Type="http://schemas.openxmlformats.org/officeDocument/2006/relationships/hyperlink" Target="http://a.003-arp.0034.01.2024.gov.fes-pe.pe/" TargetMode="External"/><Relationship Id="rId834" Type="http://schemas.openxmlformats.org/officeDocument/2006/relationships/hyperlink" Target="http://arp.1101.01.2024.ext.hmar.pe/" TargetMode="External"/><Relationship Id="rId1257" Type="http://schemas.openxmlformats.org/officeDocument/2006/relationships/hyperlink" Target="http://a.008-arp.0020.04.2023.gov.hemope.pe/" TargetMode="External"/><Relationship Id="rId1464" Type="http://schemas.openxmlformats.org/officeDocument/2006/relationships/hyperlink" Target="http://arp.0077.01.2025.gov.fes-pe.pe/" TargetMode="External"/><Relationship Id="rId1671" Type="http://schemas.openxmlformats.org/officeDocument/2006/relationships/hyperlink" Target="http://c.018-arp.0061.02.2024.gov.fes-pe.pe/" TargetMode="External"/><Relationship Id="rId2308" Type="http://schemas.openxmlformats.org/officeDocument/2006/relationships/hyperlink" Target="http://arpc.0026.00.2024.gov.sad.pe/" TargetMode="External"/><Relationship Id="rId2515" Type="http://schemas.openxmlformats.org/officeDocument/2006/relationships/hyperlink" Target="http://c.013-arp.0046.02.2024.gov.fes-pe.pe/" TargetMode="External"/><Relationship Id="rId2722" Type="http://schemas.openxmlformats.org/officeDocument/2006/relationships/hyperlink" Target="http://arp.0018.06.2024.gov.fes-pe.pe/" TargetMode="External"/><Relationship Id="rId901" Type="http://schemas.openxmlformats.org/officeDocument/2006/relationships/hyperlink" Target="http://a.001-arp.0063.05.2024.gov.huoc.pe/" TargetMode="External"/><Relationship Id="rId1117" Type="http://schemas.openxmlformats.org/officeDocument/2006/relationships/hyperlink" Target="http://a.005-arp.0026.10.2023.gov.ham.pe/" TargetMode="External"/><Relationship Id="rId1324" Type="http://schemas.openxmlformats.org/officeDocument/2006/relationships/hyperlink" Target="http://arp.0031.00.2023.gov.hgv.pe/" TargetMode="External"/><Relationship Id="rId1531" Type="http://schemas.openxmlformats.org/officeDocument/2006/relationships/hyperlink" Target="http://c.012-arp.0044.06.2025.gov.fes-pe.pe/" TargetMode="External"/><Relationship Id="rId1769" Type="http://schemas.openxmlformats.org/officeDocument/2006/relationships/hyperlink" Target="http://c.002-arp.0043.04.2025.gov.fes-pe.pe/" TargetMode="External"/><Relationship Id="rId1976" Type="http://schemas.openxmlformats.org/officeDocument/2006/relationships/hyperlink" Target="http://arp.0013.04.2025.gov.fes-pe.pe/" TargetMode="External"/><Relationship Id="rId30" Type="http://schemas.openxmlformats.org/officeDocument/2006/relationships/hyperlink" Target="http://arp.0013.00.2025.gov.fundarpe.pe/" TargetMode="External"/><Relationship Id="rId1629" Type="http://schemas.openxmlformats.org/officeDocument/2006/relationships/hyperlink" Target="http://c.006-arp.0083.06.2024.gov.fes-pe.pe/" TargetMode="External"/><Relationship Id="rId1836" Type="http://schemas.openxmlformats.org/officeDocument/2006/relationships/hyperlink" Target="http://arp.0029.05.2025.gov.fes-pe.pe/" TargetMode="External"/><Relationship Id="rId1903" Type="http://schemas.openxmlformats.org/officeDocument/2006/relationships/hyperlink" Target="http://c.006-arp.0003.01.2025.gov.fes-pe.pe/" TargetMode="External"/><Relationship Id="rId2098" Type="http://schemas.openxmlformats.org/officeDocument/2006/relationships/hyperlink" Target="http://arp.0099.04.2024.gov.fes-pe.pe/" TargetMode="External"/><Relationship Id="rId277" Type="http://schemas.openxmlformats.org/officeDocument/2006/relationships/hyperlink" Target="http://a.007-arp.0005.09.2025.gov.procape.pe/" TargetMode="External"/><Relationship Id="rId484" Type="http://schemas.openxmlformats.org/officeDocument/2006/relationships/hyperlink" Target="http://arp.1291.00.2024.ext.rs/" TargetMode="External"/><Relationship Id="rId2165" Type="http://schemas.openxmlformats.org/officeDocument/2006/relationships/hyperlink" Target="http://c.001-arp.0088.03.2024.gov.cisam.pe/" TargetMode="External"/><Relationship Id="rId137" Type="http://schemas.openxmlformats.org/officeDocument/2006/relationships/hyperlink" Target="http://a.008-arp.0100.00.2024.gov.huoc.pe/" TargetMode="External"/><Relationship Id="rId344" Type="http://schemas.openxmlformats.org/officeDocument/2006/relationships/hyperlink" Target="http://arp.0006.00.2025.gov.hr.pe/" TargetMode="External"/><Relationship Id="rId691" Type="http://schemas.openxmlformats.org/officeDocument/2006/relationships/hyperlink" Target="http://a.010-arp.0018.00.2024.gov.fes-pe.pe/" TargetMode="External"/><Relationship Id="rId789" Type="http://schemas.openxmlformats.org/officeDocument/2006/relationships/hyperlink" Target="http://a.009-arp.0002.04.2024.gov.hof.pe/" TargetMode="External"/><Relationship Id="rId996" Type="http://schemas.openxmlformats.org/officeDocument/2006/relationships/hyperlink" Target="http://arp.0004.00.2024.gov.hgv.pe/" TargetMode="External"/><Relationship Id="rId2025" Type="http://schemas.openxmlformats.org/officeDocument/2006/relationships/hyperlink" Target="http://c.007-arp.0005.01.2025.gov.fes-pe.pe/" TargetMode="External"/><Relationship Id="rId2372" Type="http://schemas.openxmlformats.org/officeDocument/2006/relationships/hyperlink" Target="http://arp.0018.00.2024.gov.fes-pe.pe/" TargetMode="External"/><Relationship Id="rId2677" Type="http://schemas.openxmlformats.org/officeDocument/2006/relationships/hyperlink" Target="http://c.001-arp.0037.00.2024.gov.fes-pe.pe/" TargetMode="External"/><Relationship Id="rId551" Type="http://schemas.openxmlformats.org/officeDocument/2006/relationships/hyperlink" Target="http://a.004-arp.0003.00.2024.ext.amgesp.al/" TargetMode="External"/><Relationship Id="rId649" Type="http://schemas.openxmlformats.org/officeDocument/2006/relationships/hyperlink" Target="http://a.010-arp.0044.00.2024.gov.procape.pe/" TargetMode="External"/><Relationship Id="rId856" Type="http://schemas.openxmlformats.org/officeDocument/2006/relationships/hyperlink" Target="http://arp.0011.01.2024.gov.dasis.pe/" TargetMode="External"/><Relationship Id="rId1181" Type="http://schemas.openxmlformats.org/officeDocument/2006/relationships/hyperlink" Target="http://a.011-arp.0022.00.2023.gov.huoc.pe/" TargetMode="External"/><Relationship Id="rId1279" Type="http://schemas.openxmlformats.org/officeDocument/2006/relationships/hyperlink" Target="http://a.001-arp.0009.07.2023.gov.hbl.pe/" TargetMode="External"/><Relationship Id="rId1486" Type="http://schemas.openxmlformats.org/officeDocument/2006/relationships/hyperlink" Target="http://arp.0079.00.2025.gov.fes-pe.pe/" TargetMode="External"/><Relationship Id="rId2232" Type="http://schemas.openxmlformats.org/officeDocument/2006/relationships/hyperlink" Target="http://arp.0092.04.2024.gov.fes-pe.pe/" TargetMode="External"/><Relationship Id="rId2537" Type="http://schemas.openxmlformats.org/officeDocument/2006/relationships/hyperlink" Target="http://c.002-arp.0052.07.2024.gov.cisam.pe/" TargetMode="External"/><Relationship Id="rId204" Type="http://schemas.openxmlformats.org/officeDocument/2006/relationships/hyperlink" Target="http://arp.0010.00.2025.gov.hr.pe/" TargetMode="External"/><Relationship Id="rId411" Type="http://schemas.openxmlformats.org/officeDocument/2006/relationships/hyperlink" Target="http://a.004-arp.0020.00.2024.gov.hgv.pe/" TargetMode="External"/><Relationship Id="rId509" Type="http://schemas.openxmlformats.org/officeDocument/2006/relationships/hyperlink" Target="http://a.003-arp.0110.03.2024.gov.huoc.pe/" TargetMode="External"/><Relationship Id="rId1041" Type="http://schemas.openxmlformats.org/officeDocument/2006/relationships/hyperlink" Target="http://a.004-arp.0001.02.2024.gov.hemope.pe/" TargetMode="External"/><Relationship Id="rId1139" Type="http://schemas.openxmlformats.org/officeDocument/2006/relationships/hyperlink" Target="http://a.005-arp.0118.00.2023.gov.huoc.pe/" TargetMode="External"/><Relationship Id="rId1346" Type="http://schemas.openxmlformats.org/officeDocument/2006/relationships/hyperlink" Target="http://arp.0017.00.2023.gov.hgv.pe/" TargetMode="External"/><Relationship Id="rId1693" Type="http://schemas.openxmlformats.org/officeDocument/2006/relationships/hyperlink" Target="http://c.016-arp.0061.00.2024.gov.fes-pe.pe/" TargetMode="External"/><Relationship Id="rId1998" Type="http://schemas.openxmlformats.org/officeDocument/2006/relationships/hyperlink" Target="http://arp.0010.04.2025.gov.fes-pe.pe/" TargetMode="External"/><Relationship Id="rId2744" Type="http://schemas.openxmlformats.org/officeDocument/2006/relationships/hyperlink" Target="http://arp.0003.05.2023.gov.hra.pe/" TargetMode="External"/><Relationship Id="rId716" Type="http://schemas.openxmlformats.org/officeDocument/2006/relationships/hyperlink" Target="http://arp.0033.03.2024.gov.cisam.pe/" TargetMode="External"/><Relationship Id="rId923" Type="http://schemas.openxmlformats.org/officeDocument/2006/relationships/hyperlink" Target="http://a.004-arp.0008.02.2024.gov.huoc.pe/" TargetMode="External"/><Relationship Id="rId1553" Type="http://schemas.openxmlformats.org/officeDocument/2006/relationships/hyperlink" Target="http://c.016-arp.0070.03.2025.gov.fes-pe.pe/" TargetMode="External"/><Relationship Id="rId1760" Type="http://schemas.openxmlformats.org/officeDocument/2006/relationships/hyperlink" Target="http://arp.0052.04.2025.gov.fes-pe.pe/" TargetMode="External"/><Relationship Id="rId1858" Type="http://schemas.openxmlformats.org/officeDocument/2006/relationships/hyperlink" Target="http://arp.0012.05.2025.gov.fes-pe.pe/" TargetMode="External"/><Relationship Id="rId2604" Type="http://schemas.openxmlformats.org/officeDocument/2006/relationships/hyperlink" Target="http://arp.0025.01.2024.gov.fes-pe.pe/" TargetMode="External"/><Relationship Id="rId2811" Type="http://schemas.openxmlformats.org/officeDocument/2006/relationships/hyperlink" Target="http://c.001-arp.0005.01.2023.gov.hra.pe/" TargetMode="External"/><Relationship Id="rId52" Type="http://schemas.openxmlformats.org/officeDocument/2006/relationships/hyperlink" Target="http://arp.0118.05.2024.gov.huoc.pe/" TargetMode="External"/><Relationship Id="rId1206" Type="http://schemas.openxmlformats.org/officeDocument/2006/relationships/hyperlink" Target="http://arp.0030.05.2023.gov.hr.pe/" TargetMode="External"/><Relationship Id="rId1413" Type="http://schemas.openxmlformats.org/officeDocument/2006/relationships/hyperlink" Target="http://a.002-arp.0036.05.2025.gov.fes-pe.pe/" TargetMode="External"/><Relationship Id="rId1620" Type="http://schemas.openxmlformats.org/officeDocument/2006/relationships/hyperlink" Target="http://arp.0010.05.2025.gov.fes-pe.pe/" TargetMode="External"/><Relationship Id="rId1718" Type="http://schemas.openxmlformats.org/officeDocument/2006/relationships/hyperlink" Target="http://arp.0050.00.2025.gov.fes-pe.pe/" TargetMode="External"/><Relationship Id="rId1925" Type="http://schemas.openxmlformats.org/officeDocument/2006/relationships/hyperlink" Target="http://c.001-arp.0027.01.2025.gov.fes-pe.pe/" TargetMode="External"/><Relationship Id="rId299" Type="http://schemas.openxmlformats.org/officeDocument/2006/relationships/hyperlink" Target="http://a.004-arp.0010.01.2025.gov.hgv.pe/" TargetMode="External"/><Relationship Id="rId2187" Type="http://schemas.openxmlformats.org/officeDocument/2006/relationships/hyperlink" Target="http://c.002-arp.0089.01.2024.gov.fes-pe.pe/" TargetMode="External"/><Relationship Id="rId2394" Type="http://schemas.openxmlformats.org/officeDocument/2006/relationships/hyperlink" Target="http://arp.0052.10.2024.gov.fes-pe.pe/" TargetMode="External"/><Relationship Id="rId159" Type="http://schemas.openxmlformats.org/officeDocument/2006/relationships/hyperlink" Target="http://a.010-arp.0106.00.2025.gov.huoc.pe/" TargetMode="External"/><Relationship Id="rId366" Type="http://schemas.openxmlformats.org/officeDocument/2006/relationships/hyperlink" Target="http://arp.0031.00.2024.gov.hr.pe/" TargetMode="External"/><Relationship Id="rId573" Type="http://schemas.openxmlformats.org/officeDocument/2006/relationships/hyperlink" Target="http://a.002-arp.0001.00.2024.ext.rs/" TargetMode="External"/><Relationship Id="rId780" Type="http://schemas.openxmlformats.org/officeDocument/2006/relationships/hyperlink" Target="http://arp.0068.02.2024.gov.huoc.pe/" TargetMode="External"/><Relationship Id="rId2047" Type="http://schemas.openxmlformats.org/officeDocument/2006/relationships/hyperlink" Target="http://c.004-arp.0010.03.2025.gov.fes-pe.pe/" TargetMode="External"/><Relationship Id="rId2254" Type="http://schemas.openxmlformats.org/officeDocument/2006/relationships/hyperlink" Target="http://arp.0018.01.2024.gov.fes-pe.pe/" TargetMode="External"/><Relationship Id="rId2461" Type="http://schemas.openxmlformats.org/officeDocument/2006/relationships/hyperlink" Target="http://c.001-arp.0065.02.2024.gov.cisam.pe/" TargetMode="External"/><Relationship Id="rId2699" Type="http://schemas.openxmlformats.org/officeDocument/2006/relationships/hyperlink" Target="http://c.003-arp.0005.00.2023.gov.hra.pe/" TargetMode="External"/><Relationship Id="rId226" Type="http://schemas.openxmlformats.org/officeDocument/2006/relationships/hyperlink" Target="http://arp.0005.01.2025.gov.hemope.pe/" TargetMode="External"/><Relationship Id="rId433" Type="http://schemas.openxmlformats.org/officeDocument/2006/relationships/hyperlink" Target="http://a.001-arp.0109.00.2024.gov.procape.pe/" TargetMode="External"/><Relationship Id="rId878" Type="http://schemas.openxmlformats.org/officeDocument/2006/relationships/hyperlink" Target="http://arp.1101.01.2024.ext.hmar.pe/" TargetMode="External"/><Relationship Id="rId1063" Type="http://schemas.openxmlformats.org/officeDocument/2006/relationships/hyperlink" Target="http://a.004-arp.0035.04.2023.gov.hof.pe/" TargetMode="External"/><Relationship Id="rId1270" Type="http://schemas.openxmlformats.org/officeDocument/2006/relationships/hyperlink" Target="http://arp.0063.10.2023.gov.procape.pe/" TargetMode="External"/><Relationship Id="rId2114" Type="http://schemas.openxmlformats.org/officeDocument/2006/relationships/hyperlink" Target="http://arp.0098.00.2024.gov.fes-pe.pe/" TargetMode="External"/><Relationship Id="rId2559" Type="http://schemas.openxmlformats.org/officeDocument/2006/relationships/hyperlink" Target="http://c.006-arp.0064.05.2024.gov.fes-pe.pe/" TargetMode="External"/><Relationship Id="rId2766" Type="http://schemas.openxmlformats.org/officeDocument/2006/relationships/hyperlink" Target="http://arp.0005.04.2023.gov.hra.pe/" TargetMode="External"/><Relationship Id="rId640" Type="http://schemas.openxmlformats.org/officeDocument/2006/relationships/hyperlink" Target="http://arp.0055.06.2024.gov.cisam.pe/" TargetMode="External"/><Relationship Id="rId738" Type="http://schemas.openxmlformats.org/officeDocument/2006/relationships/hyperlink" Target="http://arp.0008.00.2024.gov.hr.pe/" TargetMode="External"/><Relationship Id="rId945" Type="http://schemas.openxmlformats.org/officeDocument/2006/relationships/hyperlink" Target="http://a.005-arp.0022.06.2023.gov.ham.pe/" TargetMode="External"/><Relationship Id="rId1368" Type="http://schemas.openxmlformats.org/officeDocument/2006/relationships/hyperlink" Target="http://arp.0025.12.2023.gov.hr.pe/" TargetMode="External"/><Relationship Id="rId1575" Type="http://schemas.openxmlformats.org/officeDocument/2006/relationships/hyperlink" Target="http://c.015-arp.0009.00.2025.gov.fes-pe.pe/" TargetMode="External"/><Relationship Id="rId1782" Type="http://schemas.openxmlformats.org/officeDocument/2006/relationships/hyperlink" Target="http://arp.0036.10.2025.gov.fes-pe.pe/" TargetMode="External"/><Relationship Id="rId2321" Type="http://schemas.openxmlformats.org/officeDocument/2006/relationships/hyperlink" Target="http://c.003-arp.0083.02.2024.gov.fes-pe.pe/" TargetMode="External"/><Relationship Id="rId2419" Type="http://schemas.openxmlformats.org/officeDocument/2006/relationships/hyperlink" Target="http://c.025-arp.0031.16.2024.gov.fes-pe.pe/" TargetMode="External"/><Relationship Id="rId2626" Type="http://schemas.openxmlformats.org/officeDocument/2006/relationships/hyperlink" Target="http://arpc.0026.00.2023.gov.sad.pe/" TargetMode="External"/><Relationship Id="rId2833" Type="http://schemas.openxmlformats.org/officeDocument/2006/relationships/hyperlink" Target="http://c.001-arp.0003.03.2023.gov.hra.pe/" TargetMode="External"/><Relationship Id="rId74" Type="http://schemas.openxmlformats.org/officeDocument/2006/relationships/hyperlink" Target="http://arp.0009.01.2025.ext.hmar.pe/" TargetMode="External"/><Relationship Id="rId500" Type="http://schemas.openxmlformats.org/officeDocument/2006/relationships/hyperlink" Target="http://arp.0110.05.2024.gov.huoc.pe/" TargetMode="External"/><Relationship Id="rId805" Type="http://schemas.openxmlformats.org/officeDocument/2006/relationships/hyperlink" Target="http://a.003-arp.0009.04.2024.gov.fes-pe.pe/" TargetMode="External"/><Relationship Id="rId1130" Type="http://schemas.openxmlformats.org/officeDocument/2006/relationships/hyperlink" Target="http://arp.0002.03.2024.gov.hof.pe/" TargetMode="External"/><Relationship Id="rId1228" Type="http://schemas.openxmlformats.org/officeDocument/2006/relationships/hyperlink" Target="http://arp.0025.00.2023.gov.hr.pe/" TargetMode="External"/><Relationship Id="rId1435" Type="http://schemas.openxmlformats.org/officeDocument/2006/relationships/hyperlink" Target="http://c.005-arp.0077.07.2025.gov.fes-pe.pe/" TargetMode="External"/><Relationship Id="rId1642" Type="http://schemas.openxmlformats.org/officeDocument/2006/relationships/hyperlink" Target="http://arp.0019.02.2025.gov.fes-pe.pe/" TargetMode="External"/><Relationship Id="rId1947" Type="http://schemas.openxmlformats.org/officeDocument/2006/relationships/hyperlink" Target="http://c.002-arp.0021.02.2025.gov.fes-pe.pe/" TargetMode="External"/><Relationship Id="rId1502" Type="http://schemas.openxmlformats.org/officeDocument/2006/relationships/hyperlink" Target="http://arp.0012.07.2025.gov.ham.pe/" TargetMode="External"/><Relationship Id="rId1807" Type="http://schemas.openxmlformats.org/officeDocument/2006/relationships/hyperlink" Target="http://c.004-arp.0035.00.2025.gov.fes-pe.pe/" TargetMode="External"/><Relationship Id="rId290" Type="http://schemas.openxmlformats.org/officeDocument/2006/relationships/hyperlink" Target="http://arp.0005.09.2025.gov.procape.pe/" TargetMode="External"/><Relationship Id="rId388" Type="http://schemas.openxmlformats.org/officeDocument/2006/relationships/hyperlink" Target="http://arp.0009.00.2025.gov.hgv.pe/" TargetMode="External"/><Relationship Id="rId2069" Type="http://schemas.openxmlformats.org/officeDocument/2006/relationships/hyperlink" Target="http://c.003-arp.0014.02.2025.gov.fes-pe.pe/" TargetMode="External"/><Relationship Id="rId150" Type="http://schemas.openxmlformats.org/officeDocument/2006/relationships/hyperlink" Target="http://arp.0021.01.2024.gov.hof.pe/" TargetMode="External"/><Relationship Id="rId595" Type="http://schemas.openxmlformats.org/officeDocument/2006/relationships/hyperlink" Target="http://a.012-arp.0105.03.2024.gov.procape.pe/" TargetMode="External"/><Relationship Id="rId2276" Type="http://schemas.openxmlformats.org/officeDocument/2006/relationships/hyperlink" Target="http://arp.0090.02.2024.gov.fes-pe.pe/" TargetMode="External"/><Relationship Id="rId2483" Type="http://schemas.openxmlformats.org/officeDocument/2006/relationships/hyperlink" Target="http://c.017-arp.0064.01.2024.gov.fes-pe.pe/" TargetMode="External"/><Relationship Id="rId2690" Type="http://schemas.openxmlformats.org/officeDocument/2006/relationships/hyperlink" Target="http://arpc.0003.00.2024.gov.sad.pe/" TargetMode="External"/><Relationship Id="rId248" Type="http://schemas.openxmlformats.org/officeDocument/2006/relationships/hyperlink" Target="http://arp.0041.00.2024.gov.hr.pe/" TargetMode="External"/><Relationship Id="rId455" Type="http://schemas.openxmlformats.org/officeDocument/2006/relationships/hyperlink" Target="http://a.012-arp.0033.00.2024.gov.hr.pe/" TargetMode="External"/><Relationship Id="rId662" Type="http://schemas.openxmlformats.org/officeDocument/2006/relationships/hyperlink" Target="http://arp.0051.02.2024.gov.cisam.pe/" TargetMode="External"/><Relationship Id="rId1085" Type="http://schemas.openxmlformats.org/officeDocument/2006/relationships/hyperlink" Target="http://a.003-arp.0104.04.2023.gov.procape.pe/" TargetMode="External"/><Relationship Id="rId1292" Type="http://schemas.openxmlformats.org/officeDocument/2006/relationships/hyperlink" Target="http://arp.0006.01.2023.gov.ham.pe/" TargetMode="External"/><Relationship Id="rId2136" Type="http://schemas.openxmlformats.org/officeDocument/2006/relationships/hyperlink" Target="http://arp.0089.01.2024.gov.cisam.pe/" TargetMode="External"/><Relationship Id="rId2343" Type="http://schemas.openxmlformats.org/officeDocument/2006/relationships/hyperlink" Target="http://c.012-arp.0024.00.2024.gov.fes-pe.pe/" TargetMode="External"/><Relationship Id="rId2550" Type="http://schemas.openxmlformats.org/officeDocument/2006/relationships/hyperlink" Target="http://arp.0052.12.2024.gov.cisam.pe/" TargetMode="External"/><Relationship Id="rId2788" Type="http://schemas.openxmlformats.org/officeDocument/2006/relationships/hyperlink" Target="http://arp.0003.02.2023.gov.hra.pe/" TargetMode="External"/><Relationship Id="rId108" Type="http://schemas.openxmlformats.org/officeDocument/2006/relationships/hyperlink" Target="http://arp.0059.00.2025.gov.fes-pe.pe/" TargetMode="External"/><Relationship Id="rId315" Type="http://schemas.openxmlformats.org/officeDocument/2006/relationships/hyperlink" Target="http://a.003-arp.0004.00.2025.ext.161458.ba/" TargetMode="External"/><Relationship Id="rId522" Type="http://schemas.openxmlformats.org/officeDocument/2006/relationships/hyperlink" Target="http://arp.0091.00.2024.gov.huoc.pe/" TargetMode="External"/><Relationship Id="rId967" Type="http://schemas.openxmlformats.org/officeDocument/2006/relationships/hyperlink" Target="http://a.002-arp.0009.01.2024.gov.hof.pe/" TargetMode="External"/><Relationship Id="rId1152" Type="http://schemas.openxmlformats.org/officeDocument/2006/relationships/hyperlink" Target="http://arp.0064.07.2023.gov.huoc.pe/" TargetMode="External"/><Relationship Id="rId1597" Type="http://schemas.openxmlformats.org/officeDocument/2006/relationships/hyperlink" Target="http://c.009-arp.0010.00.2025.gov.cisam.pe/" TargetMode="External"/><Relationship Id="rId2203" Type="http://schemas.openxmlformats.org/officeDocument/2006/relationships/hyperlink" Target="http://c.003-arp.0078.01.2024.gov.fes-pe.pe/" TargetMode="External"/><Relationship Id="rId2410" Type="http://schemas.openxmlformats.org/officeDocument/2006/relationships/hyperlink" Target="http://arp.0022.00.2024.gov.fes-pe.pe/" TargetMode="External"/><Relationship Id="rId2648" Type="http://schemas.openxmlformats.org/officeDocument/2006/relationships/hyperlink" Target="http://arp.0005.01.2023.gov.hra.pe/" TargetMode="External"/><Relationship Id="rId2855" Type="http://schemas.openxmlformats.org/officeDocument/2006/relationships/table" Target="../tables/table3.xml"/><Relationship Id="rId96" Type="http://schemas.openxmlformats.org/officeDocument/2006/relationships/hyperlink" Target="http://arp.0005.00.2025.gov.feas.pe/" TargetMode="External"/><Relationship Id="rId827" Type="http://schemas.openxmlformats.org/officeDocument/2006/relationships/hyperlink" Target="http://a.001-arp.0028.00.2024.gov.hr.pe/" TargetMode="External"/><Relationship Id="rId1012" Type="http://schemas.openxmlformats.org/officeDocument/2006/relationships/hyperlink" Target="http://arp.0008.00.2024.gov.hr.pe/" TargetMode="External"/><Relationship Id="rId1457" Type="http://schemas.openxmlformats.org/officeDocument/2006/relationships/hyperlink" Target="http://c.011-arp.0049.04.2025.gov.fes-pe.pe/" TargetMode="External"/><Relationship Id="rId1664" Type="http://schemas.openxmlformats.org/officeDocument/2006/relationships/hyperlink" Target="http://arp.0063.00.2024.gov.fes-pe.pe/" TargetMode="External"/><Relationship Id="rId1871" Type="http://schemas.openxmlformats.org/officeDocument/2006/relationships/hyperlink" Target="http://c.001-arp.0048.03.2025.gov.fes-pe.pe/" TargetMode="External"/><Relationship Id="rId2508" Type="http://schemas.openxmlformats.org/officeDocument/2006/relationships/hyperlink" Target="http://arp.0112.00.2023.gov.fes-pe.pe/" TargetMode="External"/><Relationship Id="rId2715" Type="http://schemas.openxmlformats.org/officeDocument/2006/relationships/hyperlink" Target="http://c.002-arp.0025.03.2024.gov.fes-pe.pe/" TargetMode="External"/><Relationship Id="rId1317" Type="http://schemas.openxmlformats.org/officeDocument/2006/relationships/hyperlink" Target="http://a.003-arp.0010.03.2023.gov.ham.pe/" TargetMode="External"/><Relationship Id="rId1524" Type="http://schemas.openxmlformats.org/officeDocument/2006/relationships/hyperlink" Target="http://arp.0011.03.2025.gov.hgv.pe/" TargetMode="External"/><Relationship Id="rId1731" Type="http://schemas.openxmlformats.org/officeDocument/2006/relationships/hyperlink" Target="http://c.016-arp.0046.01.2024.gov.fes-pe.pe/" TargetMode="External"/><Relationship Id="rId1969" Type="http://schemas.openxmlformats.org/officeDocument/2006/relationships/hyperlink" Target="http://c.006-arp.0017.04.2025.gov.fes-pe.pe/" TargetMode="External"/><Relationship Id="rId23" Type="http://schemas.openxmlformats.org/officeDocument/2006/relationships/hyperlink" Target="http://a.002-arp.0102.01.2025.gov.huoc.pe/" TargetMode="External"/><Relationship Id="rId1829" Type="http://schemas.openxmlformats.org/officeDocument/2006/relationships/hyperlink" Target="http://c.012-arp.0068.09.2024.gov.fes-pe.pe/" TargetMode="External"/><Relationship Id="rId2298" Type="http://schemas.openxmlformats.org/officeDocument/2006/relationships/hyperlink" Target="http://arp.0061.02.2024.gov.fes-pe.pe/" TargetMode="External"/><Relationship Id="rId172" Type="http://schemas.openxmlformats.org/officeDocument/2006/relationships/hyperlink" Target="http://arp.0028.03.2025.gov.procape.pe/" TargetMode="External"/><Relationship Id="rId477" Type="http://schemas.openxmlformats.org/officeDocument/2006/relationships/hyperlink" Target="http://a.022-arp.0041.00.2024.gov.hr.pe/" TargetMode="External"/><Relationship Id="rId684" Type="http://schemas.openxmlformats.org/officeDocument/2006/relationships/hyperlink" Target="http://arp.0002.01.2024.gov.fundarpe.pe/" TargetMode="External"/><Relationship Id="rId2060" Type="http://schemas.openxmlformats.org/officeDocument/2006/relationships/hyperlink" Target="http://arp.0015.06.2025.gov.fes-pe.pe/" TargetMode="External"/><Relationship Id="rId2158" Type="http://schemas.openxmlformats.org/officeDocument/2006/relationships/hyperlink" Target="http://arp.0088.02.2024.gov.cisam.pe/" TargetMode="External"/><Relationship Id="rId2365" Type="http://schemas.openxmlformats.org/officeDocument/2006/relationships/hyperlink" Target="http://c.034-arp.0031.16.2024.gov.fes-pe.pe/" TargetMode="External"/><Relationship Id="rId337" Type="http://schemas.openxmlformats.org/officeDocument/2006/relationships/hyperlink" Target="http://a.018-arp.0017.00.2025.gov.hof.pe/" TargetMode="External"/><Relationship Id="rId891" Type="http://schemas.openxmlformats.org/officeDocument/2006/relationships/hyperlink" Target="http://a.003-arp.0126.01.2023.gov.huoc.pe/" TargetMode="External"/><Relationship Id="rId989" Type="http://schemas.openxmlformats.org/officeDocument/2006/relationships/hyperlink" Target="http://a.005-arp.0003.01.2024.ext.hmar.pe/" TargetMode="External"/><Relationship Id="rId2018" Type="http://schemas.openxmlformats.org/officeDocument/2006/relationships/hyperlink" Target="http://arp.0100.03.2024.gov.fes-pe.pe/" TargetMode="External"/><Relationship Id="rId2572" Type="http://schemas.openxmlformats.org/officeDocument/2006/relationships/hyperlink" Target="http://arp.0048.07.2024.gov.fes-pe.pe/" TargetMode="External"/><Relationship Id="rId544" Type="http://schemas.openxmlformats.org/officeDocument/2006/relationships/hyperlink" Target="http://arp.0068.09.2024.gov.fes-pe.pe/" TargetMode="External"/><Relationship Id="rId751" Type="http://schemas.openxmlformats.org/officeDocument/2006/relationships/hyperlink" Target="http://a.002-arp.0018.00.2024.opd.mppe.pe/" TargetMode="External"/><Relationship Id="rId849" Type="http://schemas.openxmlformats.org/officeDocument/2006/relationships/hyperlink" Target="http://a.001-arp.0001.01.2024.gov.hemope.pe/" TargetMode="External"/><Relationship Id="rId1174" Type="http://schemas.openxmlformats.org/officeDocument/2006/relationships/hyperlink" Target="http://arp.0012.04.2023.gov.sassepe.pe/" TargetMode="External"/><Relationship Id="rId1381" Type="http://schemas.openxmlformats.org/officeDocument/2006/relationships/hyperlink" Target="http://a.001-arp.0003.06.2023.gov.hra.pe/" TargetMode="External"/><Relationship Id="rId1479" Type="http://schemas.openxmlformats.org/officeDocument/2006/relationships/hyperlink" Target="http://c.007-arp.0059.02.2025.gov.fes-pe.pe/" TargetMode="External"/><Relationship Id="rId1686" Type="http://schemas.openxmlformats.org/officeDocument/2006/relationships/hyperlink" Target="http://arp.0084.02.2024.gov.fes-pe.pe/" TargetMode="External"/><Relationship Id="rId2225" Type="http://schemas.openxmlformats.org/officeDocument/2006/relationships/hyperlink" Target="http://c.003-arp.0049.00.2024.gov.cisam.pe/" TargetMode="External"/><Relationship Id="rId2432" Type="http://schemas.openxmlformats.org/officeDocument/2006/relationships/hyperlink" Target="http://arp.0022.01.2024.gov.fes-pe.pe/" TargetMode="External"/><Relationship Id="rId404" Type="http://schemas.openxmlformats.org/officeDocument/2006/relationships/hyperlink" Target="http://arp.0028.00.2024.gov.hr.pe/" TargetMode="External"/><Relationship Id="rId611" Type="http://schemas.openxmlformats.org/officeDocument/2006/relationships/hyperlink" Target="http://a.007-arp.0091.00.2024.gov.huoc.pe/" TargetMode="External"/><Relationship Id="rId1034" Type="http://schemas.openxmlformats.org/officeDocument/2006/relationships/hyperlink" Target="http://arp.0008.02.2024.gov.huoc.pe/" TargetMode="External"/><Relationship Id="rId1241" Type="http://schemas.openxmlformats.org/officeDocument/2006/relationships/hyperlink" Target="http://a.002-arp.0061.00.2023.gov.huoc.pe/" TargetMode="External"/><Relationship Id="rId1339" Type="http://schemas.openxmlformats.org/officeDocument/2006/relationships/hyperlink" Target="http://a.003-arp.0028.00.2023.gov.hgv.pe/" TargetMode="External"/><Relationship Id="rId1893" Type="http://schemas.openxmlformats.org/officeDocument/2006/relationships/hyperlink" Target="http://c.004-arp.0034.00.2025.gov.fes-pe.pe/" TargetMode="External"/><Relationship Id="rId2737" Type="http://schemas.openxmlformats.org/officeDocument/2006/relationships/hyperlink" Target="http://c.003-arp.0003.06.2023.gov.hra.pe/" TargetMode="External"/><Relationship Id="rId709" Type="http://schemas.openxmlformats.org/officeDocument/2006/relationships/hyperlink" Target="http://a.005-arp.0069.02.2024.gov.huoc.pe/" TargetMode="External"/><Relationship Id="rId916" Type="http://schemas.openxmlformats.org/officeDocument/2006/relationships/hyperlink" Target="http://arp.0063.04.2024.gov.huoc.pe/" TargetMode="External"/><Relationship Id="rId1101" Type="http://schemas.openxmlformats.org/officeDocument/2006/relationships/hyperlink" Target="http://a.004-arp.0029.01.2023.gov.hof.pe/" TargetMode="External"/><Relationship Id="rId1546" Type="http://schemas.openxmlformats.org/officeDocument/2006/relationships/hyperlink" Target="http://arp.0077.00.2025.gov.fes-pe.pe/" TargetMode="External"/><Relationship Id="rId1753" Type="http://schemas.openxmlformats.org/officeDocument/2006/relationships/hyperlink" Target="http://c.001-arp.0052.07.2025.gov.fes-pe.pe/" TargetMode="External"/><Relationship Id="rId1960" Type="http://schemas.openxmlformats.org/officeDocument/2006/relationships/hyperlink" Target="http://arp.0018.02.2025.gov.fes-pe.pe/" TargetMode="External"/><Relationship Id="rId2804" Type="http://schemas.openxmlformats.org/officeDocument/2006/relationships/hyperlink" Target="http://arp.0005.05.2023.gov.hra.pe/" TargetMode="External"/><Relationship Id="rId45" Type="http://schemas.openxmlformats.org/officeDocument/2006/relationships/hyperlink" Target="http://a.007-arp.0008.05.2025.gov.hgv.pe/" TargetMode="External"/><Relationship Id="rId1406" Type="http://schemas.openxmlformats.org/officeDocument/2006/relationships/hyperlink" Target="http://arp.0016.08.2023.gov.huoc.pe/" TargetMode="External"/><Relationship Id="rId1613" Type="http://schemas.openxmlformats.org/officeDocument/2006/relationships/hyperlink" Target="http://c.009-arp.0067.06.2025.gov.fes-pe.pe/" TargetMode="External"/><Relationship Id="rId1820" Type="http://schemas.openxmlformats.org/officeDocument/2006/relationships/hyperlink" Target="http://arp.0031.00.2025.gov.fes-pe.pe/" TargetMode="External"/><Relationship Id="rId194" Type="http://schemas.openxmlformats.org/officeDocument/2006/relationships/hyperlink" Target="http://arp.0010.02.2025.gov.ham.pe/" TargetMode="External"/><Relationship Id="rId1918" Type="http://schemas.openxmlformats.org/officeDocument/2006/relationships/hyperlink" Target="http://arp.0028.00.2025.gov.fes-pe.pe/" TargetMode="External"/><Relationship Id="rId2082" Type="http://schemas.openxmlformats.org/officeDocument/2006/relationships/hyperlink" Target="http://arp.0009.02.2025.gov.fes-pe.pe/" TargetMode="External"/><Relationship Id="rId261" Type="http://schemas.openxmlformats.org/officeDocument/2006/relationships/hyperlink" Target="http://a.033-arp.0041.00.2024.gov.hr.pe/" TargetMode="External"/><Relationship Id="rId499" Type="http://schemas.openxmlformats.org/officeDocument/2006/relationships/hyperlink" Target="http://a.006-arp.0110.05.2024.gov.huoc.pe/" TargetMode="External"/><Relationship Id="rId2387" Type="http://schemas.openxmlformats.org/officeDocument/2006/relationships/hyperlink" Target="http://c.020-arp.0025.01.2024.gov.fes-pe.pe/" TargetMode="External"/><Relationship Id="rId2594" Type="http://schemas.openxmlformats.org/officeDocument/2006/relationships/hyperlink" Target="http://arp.0038.01.2024.gov.fes-pe.pe/" TargetMode="External"/><Relationship Id="rId359" Type="http://schemas.openxmlformats.org/officeDocument/2006/relationships/hyperlink" Target="http://a.008-arp.0050.00.2024.gov.cisam.pe/" TargetMode="External"/><Relationship Id="rId566" Type="http://schemas.openxmlformats.org/officeDocument/2006/relationships/hyperlink" Target="http://arp.0011.00.2024.gov.hgv.pe/" TargetMode="External"/><Relationship Id="rId773" Type="http://schemas.openxmlformats.org/officeDocument/2006/relationships/hyperlink" Target="http://a.003-arp.0009.00.2024.gov.sassepe.pe/" TargetMode="External"/><Relationship Id="rId1196" Type="http://schemas.openxmlformats.org/officeDocument/2006/relationships/hyperlink" Target="http://arp.0009.03.2023.gov.hbl.pe/" TargetMode="External"/><Relationship Id="rId2247" Type="http://schemas.openxmlformats.org/officeDocument/2006/relationships/hyperlink" Target="http://c.022-arp.0025.04.2024.gov.fes-pe.pe/" TargetMode="External"/><Relationship Id="rId2454" Type="http://schemas.openxmlformats.org/officeDocument/2006/relationships/hyperlink" Target="http://arp.0065.01.2024.gov.fes-pe.pe/" TargetMode="External"/><Relationship Id="rId121" Type="http://schemas.openxmlformats.org/officeDocument/2006/relationships/hyperlink" Target="http://a.025-arp.0089.01.2024.gov.huoc.pe/" TargetMode="External"/><Relationship Id="rId219" Type="http://schemas.openxmlformats.org/officeDocument/2006/relationships/hyperlink" Target="http://a.012-arp.0119.04.2024.gov.huoc.pe/" TargetMode="External"/><Relationship Id="rId426" Type="http://schemas.openxmlformats.org/officeDocument/2006/relationships/hyperlink" Target="http://arp.0020.04.2024.gov.ham.pe/" TargetMode="External"/><Relationship Id="rId633" Type="http://schemas.openxmlformats.org/officeDocument/2006/relationships/hyperlink" Target="http://a.004-arp.0068.09.2024.gov.fes-pe.pe/" TargetMode="External"/><Relationship Id="rId980" Type="http://schemas.openxmlformats.org/officeDocument/2006/relationships/hyperlink" Target="http://arp.0130.09.2023.gov.huoc.pe/" TargetMode="External"/><Relationship Id="rId1056" Type="http://schemas.openxmlformats.org/officeDocument/2006/relationships/hyperlink" Target="http://arpc.0033.00.2023.gov.sad.pe/" TargetMode="External"/><Relationship Id="rId1263" Type="http://schemas.openxmlformats.org/officeDocument/2006/relationships/hyperlink" Target="http://a.002-arp.0041.03.2023.gov.cisam.pe/" TargetMode="External"/><Relationship Id="rId2107" Type="http://schemas.openxmlformats.org/officeDocument/2006/relationships/hyperlink" Target="http://c.003-arp.0098.02.2024.gov.fes-pe.pe/" TargetMode="External"/><Relationship Id="rId2314" Type="http://schemas.openxmlformats.org/officeDocument/2006/relationships/hyperlink" Target="http://arpc.0018.00.2024.gov.sad.pe/" TargetMode="External"/><Relationship Id="rId2661" Type="http://schemas.openxmlformats.org/officeDocument/2006/relationships/hyperlink" Target="http://c.036-arpc.0007.00.2024.gov.sad.pe/" TargetMode="External"/><Relationship Id="rId2759" Type="http://schemas.openxmlformats.org/officeDocument/2006/relationships/hyperlink" Target="http://c.025-arpc.0003.00.2023.gov.sad.pe/" TargetMode="External"/><Relationship Id="rId840" Type="http://schemas.openxmlformats.org/officeDocument/2006/relationships/hyperlink" Target="http://arp.0095.01.2023.gov.huoc.pe/" TargetMode="External"/><Relationship Id="rId938" Type="http://schemas.openxmlformats.org/officeDocument/2006/relationships/hyperlink" Target="http://arp.0057.03.2024.gov.huoc.pe/" TargetMode="External"/><Relationship Id="rId1470" Type="http://schemas.openxmlformats.org/officeDocument/2006/relationships/hyperlink" Target="http://arp.0022.02.2024.gov.hof.pe/" TargetMode="External"/><Relationship Id="rId1568" Type="http://schemas.openxmlformats.org/officeDocument/2006/relationships/hyperlink" Target="http://arp.0063.05.2024.gov.cisam.pe/" TargetMode="External"/><Relationship Id="rId1775" Type="http://schemas.openxmlformats.org/officeDocument/2006/relationships/hyperlink" Target="http://c.003-arp.0043.01.2025.gov.fes-pe.pe/" TargetMode="External"/><Relationship Id="rId2521" Type="http://schemas.openxmlformats.org/officeDocument/2006/relationships/hyperlink" Target="http://c.012-arp.0064.01.2024.gov.fes-pe.pe/" TargetMode="External"/><Relationship Id="rId2619" Type="http://schemas.openxmlformats.org/officeDocument/2006/relationships/hyperlink" Target="http://c.016-arp.0018.00.2024.gov.fes-pe.pe/" TargetMode="External"/><Relationship Id="rId2826" Type="http://schemas.openxmlformats.org/officeDocument/2006/relationships/hyperlink" Target="http://arp.0003.07.2023.gov.hra.pe/" TargetMode="External"/><Relationship Id="rId67" Type="http://schemas.openxmlformats.org/officeDocument/2006/relationships/hyperlink" Target="http://a.002-arp.0044.04.2025.gov.fes-pe.pe/" TargetMode="External"/><Relationship Id="rId700" Type="http://schemas.openxmlformats.org/officeDocument/2006/relationships/hyperlink" Target="http://arp.0077.01.2024.gov.huoc.pe/" TargetMode="External"/><Relationship Id="rId1123" Type="http://schemas.openxmlformats.org/officeDocument/2006/relationships/hyperlink" Target="http://a.007-arp.0030.01.2024.gov.cisam.pe/" TargetMode="External"/><Relationship Id="rId1330" Type="http://schemas.openxmlformats.org/officeDocument/2006/relationships/hyperlink" Target="http://arp.0038.01.2023.gov.procape.pe/" TargetMode="External"/><Relationship Id="rId1428" Type="http://schemas.openxmlformats.org/officeDocument/2006/relationships/hyperlink" Target="http://arp.0008.01.2025.gov.ham.pe/" TargetMode="External"/><Relationship Id="rId1635" Type="http://schemas.openxmlformats.org/officeDocument/2006/relationships/hyperlink" Target="http://c.003-arp.0021.11.2024.gov.hof.pe/" TargetMode="External"/><Relationship Id="rId1982" Type="http://schemas.openxmlformats.org/officeDocument/2006/relationships/hyperlink" Target="http://arp.0012.05.2025.gov.fes-pe.pe/" TargetMode="External"/><Relationship Id="rId1842" Type="http://schemas.openxmlformats.org/officeDocument/2006/relationships/hyperlink" Target="http://arp.0029.02.2025.gov.fes-pe.pe/" TargetMode="External"/><Relationship Id="rId1702" Type="http://schemas.openxmlformats.org/officeDocument/2006/relationships/hyperlink" Target="http://arp.0058.00.2024.gov.fes-pe.pe/" TargetMode="External"/><Relationship Id="rId283" Type="http://schemas.openxmlformats.org/officeDocument/2006/relationships/hyperlink" Target="http://a.007-arp.0108.01.2024.gov.huoc.pe/" TargetMode="External"/><Relationship Id="rId490" Type="http://schemas.openxmlformats.org/officeDocument/2006/relationships/hyperlink" Target="http://arp.1363.03.2024.ext.hmar.pe/" TargetMode="External"/><Relationship Id="rId2171" Type="http://schemas.openxmlformats.org/officeDocument/2006/relationships/hyperlink" Target="http://c.007-arp.0052.12.2024.gov.cisam.pe/" TargetMode="External"/><Relationship Id="rId143" Type="http://schemas.openxmlformats.org/officeDocument/2006/relationships/hyperlink" Target="http://a.003-arp.0005.00.2025.ext.136144.es/" TargetMode="External"/><Relationship Id="rId350" Type="http://schemas.openxmlformats.org/officeDocument/2006/relationships/hyperlink" Target="http://arp.0044.00.2024.gov.hr.pe/" TargetMode="External"/><Relationship Id="rId588" Type="http://schemas.openxmlformats.org/officeDocument/2006/relationships/hyperlink" Target="http://arp.0076.02.2024.gov.huoc.pe/" TargetMode="External"/><Relationship Id="rId795" Type="http://schemas.openxmlformats.org/officeDocument/2006/relationships/hyperlink" Target="http://a.002-arp.0027.00.2024.gov.hr.pe/" TargetMode="External"/><Relationship Id="rId2031" Type="http://schemas.openxmlformats.org/officeDocument/2006/relationships/hyperlink" Target="http://c.005-arp.0002.00.2025.gov.cisam.pe/" TargetMode="External"/><Relationship Id="rId2269" Type="http://schemas.openxmlformats.org/officeDocument/2006/relationships/hyperlink" Target="http://c.003-arp.0088.00.2024.gov.fes-pe.pe/" TargetMode="External"/><Relationship Id="rId2476" Type="http://schemas.openxmlformats.org/officeDocument/2006/relationships/hyperlink" Target="http://arp.0018.00.2024.gov.fes-pe.pe/" TargetMode="External"/><Relationship Id="rId2683" Type="http://schemas.openxmlformats.org/officeDocument/2006/relationships/hyperlink" Target="http://c.004-arp.0005.08.2023.gov.hra.pe/" TargetMode="External"/><Relationship Id="rId9" Type="http://schemas.openxmlformats.org/officeDocument/2006/relationships/hyperlink" Target="http://a.026-arp.0005.12.2025.gov.hemope.pe/" TargetMode="External"/><Relationship Id="rId210" Type="http://schemas.openxmlformats.org/officeDocument/2006/relationships/hyperlink" Target="http://arp.0031.00.2024.gov.hr.pe/" TargetMode="External"/><Relationship Id="rId448" Type="http://schemas.openxmlformats.org/officeDocument/2006/relationships/hyperlink" Target="http://arpc.0007.01.2024.gov.sad.pe/" TargetMode="External"/><Relationship Id="rId655" Type="http://schemas.openxmlformats.org/officeDocument/2006/relationships/hyperlink" Target="http://a.005-arp.0001.00.2024.ext.rs/" TargetMode="External"/><Relationship Id="rId862" Type="http://schemas.openxmlformats.org/officeDocument/2006/relationships/hyperlink" Target="http://arp.0002.00.2024.gov.hr.pe/" TargetMode="External"/><Relationship Id="rId1078" Type="http://schemas.openxmlformats.org/officeDocument/2006/relationships/hyperlink" Target="http://arp.0112.01.2023.gov.huoc.pe/" TargetMode="External"/><Relationship Id="rId1285" Type="http://schemas.openxmlformats.org/officeDocument/2006/relationships/hyperlink" Target="http://a.004-arp.0006.12.2023.gov.ham.pe/" TargetMode="External"/><Relationship Id="rId1492" Type="http://schemas.openxmlformats.org/officeDocument/2006/relationships/hyperlink" Target="http://arp.0015.02.2025.gov.fes-pe.pe/" TargetMode="External"/><Relationship Id="rId2129" Type="http://schemas.openxmlformats.org/officeDocument/2006/relationships/hyperlink" Target="http://c.002-arp.0088.01.2024.gov.cisam.pe/" TargetMode="External"/><Relationship Id="rId2336" Type="http://schemas.openxmlformats.org/officeDocument/2006/relationships/hyperlink" Target="http://arp.0001.00.2024.fes-pe.pe/" TargetMode="External"/><Relationship Id="rId2543" Type="http://schemas.openxmlformats.org/officeDocument/2006/relationships/hyperlink" Target="http://c.021-arp.0018.00.2024.gov.fes-pe.pe/" TargetMode="External"/><Relationship Id="rId2750" Type="http://schemas.openxmlformats.org/officeDocument/2006/relationships/hyperlink" Target="http://arp.0003.03.2023.gov.hra.pe/" TargetMode="External"/><Relationship Id="rId308" Type="http://schemas.openxmlformats.org/officeDocument/2006/relationships/hyperlink" Target="http://arp.0069.00.2024.gov.huoc.pe/" TargetMode="External"/><Relationship Id="rId515" Type="http://schemas.openxmlformats.org/officeDocument/2006/relationships/hyperlink" Target="http://a.012-arp.0011.01.2024.ext.hmar.pe/" TargetMode="External"/><Relationship Id="rId722" Type="http://schemas.openxmlformats.org/officeDocument/2006/relationships/hyperlink" Target="http://arp.0055.06.2024.gov.cisam.pe/" TargetMode="External"/><Relationship Id="rId1145" Type="http://schemas.openxmlformats.org/officeDocument/2006/relationships/hyperlink" Target="http://a.032-arp.0035.00.2023.gov.hr.pe/" TargetMode="External"/><Relationship Id="rId1352" Type="http://schemas.openxmlformats.org/officeDocument/2006/relationships/hyperlink" Target="http://arp.0013.01.2023.gov.dasis.pe/" TargetMode="External"/><Relationship Id="rId1797" Type="http://schemas.openxmlformats.org/officeDocument/2006/relationships/hyperlink" Target="http://c.004-arp.0035.05.2025.gov.fes-pe.pe/" TargetMode="External"/><Relationship Id="rId2403" Type="http://schemas.openxmlformats.org/officeDocument/2006/relationships/hyperlink" Target="http://c.022-arp.0052.03.2024.gov.fes-pe.pe/" TargetMode="External"/><Relationship Id="rId2848" Type="http://schemas.openxmlformats.org/officeDocument/2006/relationships/hyperlink" Target="http://arp.0049.05.2023.gov.fes-pe.pe/" TargetMode="External"/><Relationship Id="rId89" Type="http://schemas.openxmlformats.org/officeDocument/2006/relationships/hyperlink" Target="http://a.002-arp.0009.01.2025.ext.hmar.pe/" TargetMode="External"/><Relationship Id="rId1005" Type="http://schemas.openxmlformats.org/officeDocument/2006/relationships/hyperlink" Target="http://a.002-arp.0114.00.2023.gov.fes-pe.pe/" TargetMode="External"/><Relationship Id="rId1212" Type="http://schemas.openxmlformats.org/officeDocument/2006/relationships/hyperlink" Target="http://arp.0014.05.2023.gov.hr.pe/" TargetMode="External"/><Relationship Id="rId1657" Type="http://schemas.openxmlformats.org/officeDocument/2006/relationships/hyperlink" Target="http://c.007-arp.0083.05.2024.gov.fes-pe.pe/" TargetMode="External"/><Relationship Id="rId1864" Type="http://schemas.openxmlformats.org/officeDocument/2006/relationships/hyperlink" Target="http://arp.0006.05.2025.gov.hof.pe/" TargetMode="External"/><Relationship Id="rId2610" Type="http://schemas.openxmlformats.org/officeDocument/2006/relationships/hyperlink" Target="http://arpc.0005.00.2024.gov.sad.pe/" TargetMode="External"/><Relationship Id="rId2708" Type="http://schemas.openxmlformats.org/officeDocument/2006/relationships/hyperlink" Target="http://arp.0003.08.2023.gov.hra.pe/" TargetMode="External"/><Relationship Id="rId1517" Type="http://schemas.openxmlformats.org/officeDocument/2006/relationships/hyperlink" Target="http://c.008-arp.0068.01.2025.gov.fes-pe.pe/" TargetMode="External"/><Relationship Id="rId1724" Type="http://schemas.openxmlformats.org/officeDocument/2006/relationships/hyperlink" Target="http://arpc.0006.00.2025.gov.sad.pe/" TargetMode="External"/><Relationship Id="rId16" Type="http://schemas.openxmlformats.org/officeDocument/2006/relationships/hyperlink" Target="http://arp.0008.05.2025.gov.hgv.pe/" TargetMode="External"/><Relationship Id="rId1931" Type="http://schemas.openxmlformats.org/officeDocument/2006/relationships/hyperlink" Target="http://c.001-arp.0027.06.2025.gov.fes-pe.pe/" TargetMode="External"/><Relationship Id="rId2193" Type="http://schemas.openxmlformats.org/officeDocument/2006/relationships/hyperlink" Target="http://c.026-arp.0050.00.2024.gov.fes-pe.pe/" TargetMode="External"/><Relationship Id="rId2498" Type="http://schemas.openxmlformats.org/officeDocument/2006/relationships/hyperlink" Target="http://arp.0064.02.2024.gov.fes-pe.pe/" TargetMode="External"/><Relationship Id="rId165" Type="http://schemas.openxmlformats.org/officeDocument/2006/relationships/hyperlink" Target="http://a.005-arp.0064.01.2025.gov.huoc.pe/" TargetMode="External"/><Relationship Id="rId372" Type="http://schemas.openxmlformats.org/officeDocument/2006/relationships/hyperlink" Target="http://arp.0041.00.2024.gov.hr.pe/" TargetMode="External"/><Relationship Id="rId677" Type="http://schemas.openxmlformats.org/officeDocument/2006/relationships/hyperlink" Target="http://a.024-arp.0002.02.2024.gov.sassepe.pe/" TargetMode="External"/><Relationship Id="rId2053" Type="http://schemas.openxmlformats.org/officeDocument/2006/relationships/hyperlink" Target="http://c.008-arp.0016.00.2025.gov.fes-pe.pe/" TargetMode="External"/><Relationship Id="rId2260" Type="http://schemas.openxmlformats.org/officeDocument/2006/relationships/hyperlink" Target="http://arp.0063.04.2024.gov.fes-pe.pe/" TargetMode="External"/><Relationship Id="rId2358" Type="http://schemas.openxmlformats.org/officeDocument/2006/relationships/hyperlink" Target="http://arp.0031.16.2024.gov.fes-pe.pe/" TargetMode="External"/><Relationship Id="rId232" Type="http://schemas.openxmlformats.org/officeDocument/2006/relationships/hyperlink" Target="http://arp.0005.12.2025.gov.hemope.pe/" TargetMode="External"/><Relationship Id="rId884" Type="http://schemas.openxmlformats.org/officeDocument/2006/relationships/hyperlink" Target="http://arp.0048.03.2024.gov.huoc.pe/" TargetMode="External"/><Relationship Id="rId2120" Type="http://schemas.openxmlformats.org/officeDocument/2006/relationships/hyperlink" Target="http://arpc.0001.00.2025.gov.sad.pe/" TargetMode="External"/><Relationship Id="rId2565" Type="http://schemas.openxmlformats.org/officeDocument/2006/relationships/hyperlink" Target="http://c.012-arp.0018.07.2024.gov.fes-pe.pe/" TargetMode="External"/><Relationship Id="rId2772" Type="http://schemas.openxmlformats.org/officeDocument/2006/relationships/hyperlink" Target="http://arp.0003.06.2023.gov.hra.pe/" TargetMode="External"/><Relationship Id="rId537" Type="http://schemas.openxmlformats.org/officeDocument/2006/relationships/hyperlink" Target="http://a.003-arp.0034.01.2024.gov.fes-pe.pe/" TargetMode="External"/><Relationship Id="rId744" Type="http://schemas.openxmlformats.org/officeDocument/2006/relationships/hyperlink" Target="http://arp.0071.02.2024.gov.huoc.pe/" TargetMode="External"/><Relationship Id="rId951" Type="http://schemas.openxmlformats.org/officeDocument/2006/relationships/hyperlink" Target="http://a.003-arp.0057.08.2024.gov.huoc.pe/" TargetMode="External"/><Relationship Id="rId1167" Type="http://schemas.openxmlformats.org/officeDocument/2006/relationships/hyperlink" Target="http://a.001-arp.0014.08.2023.gov.hgv.pe/" TargetMode="External"/><Relationship Id="rId1374" Type="http://schemas.openxmlformats.org/officeDocument/2006/relationships/hyperlink" Target="http://arp.0003.00.2023.gov.hra.pe/" TargetMode="External"/><Relationship Id="rId1581" Type="http://schemas.openxmlformats.org/officeDocument/2006/relationships/hyperlink" Target="http://c.004-arp.0073.01.2025.gov.fes-pe.pe/" TargetMode="External"/><Relationship Id="rId1679" Type="http://schemas.openxmlformats.org/officeDocument/2006/relationships/hyperlink" Target="http://c.009-arp.0010.05.2025.gov.fes-pe.pe/" TargetMode="External"/><Relationship Id="rId2218" Type="http://schemas.openxmlformats.org/officeDocument/2006/relationships/hyperlink" Target="http://arp.0094.01.2024.gov.fes-pe.pe/" TargetMode="External"/><Relationship Id="rId2425" Type="http://schemas.openxmlformats.org/officeDocument/2006/relationships/hyperlink" Target="http://c.024-arp.0031.16.2024.gov.fes-pe.pe/" TargetMode="External"/><Relationship Id="rId2632" Type="http://schemas.openxmlformats.org/officeDocument/2006/relationships/hyperlink" Target="http://arp.0005.05.2023.gov.hra.pe/" TargetMode="External"/><Relationship Id="rId80" Type="http://schemas.openxmlformats.org/officeDocument/2006/relationships/hyperlink" Target="http://arp.0068.04.2025.gov.fes-pe.pe/" TargetMode="External"/><Relationship Id="rId604" Type="http://schemas.openxmlformats.org/officeDocument/2006/relationships/hyperlink" Target="http://arp.0110.01.2024.gov.huoc.pe/" TargetMode="External"/><Relationship Id="rId811" Type="http://schemas.openxmlformats.org/officeDocument/2006/relationships/hyperlink" Target="http://a.002-arp.0059.05.2024.gov.huoc.pe/" TargetMode="External"/><Relationship Id="rId1027" Type="http://schemas.openxmlformats.org/officeDocument/2006/relationships/hyperlink" Target="http://a.003-arp.0049.04.2024.gov.huoc.pe/" TargetMode="External"/><Relationship Id="rId1234" Type="http://schemas.openxmlformats.org/officeDocument/2006/relationships/hyperlink" Target="http://arp.0028.02.2023.gov.hr.pe/" TargetMode="External"/><Relationship Id="rId1441" Type="http://schemas.openxmlformats.org/officeDocument/2006/relationships/hyperlink" Target="http://c.008-arp.0073.00.2025.gov.fes-pe.pe/" TargetMode="External"/><Relationship Id="rId1886" Type="http://schemas.openxmlformats.org/officeDocument/2006/relationships/hyperlink" Target="http://arp.0010.00.2025.gov.cisam.pe/" TargetMode="External"/><Relationship Id="rId909" Type="http://schemas.openxmlformats.org/officeDocument/2006/relationships/hyperlink" Target="http://a.016-arp.0002.02.2024.gov.dasis.pe/" TargetMode="External"/><Relationship Id="rId1301" Type="http://schemas.openxmlformats.org/officeDocument/2006/relationships/hyperlink" Target="http://a.001-arp.0029.00.2023.gov.hgv.pe/" TargetMode="External"/><Relationship Id="rId1539" Type="http://schemas.openxmlformats.org/officeDocument/2006/relationships/hyperlink" Target="http://c.145-arpc.0019.00.2024.gov.sad.pe/" TargetMode="External"/><Relationship Id="rId1746" Type="http://schemas.openxmlformats.org/officeDocument/2006/relationships/hyperlink" Target="http://arp.0010.05.2025.gov.fes-pe.pe/" TargetMode="External"/><Relationship Id="rId1953" Type="http://schemas.openxmlformats.org/officeDocument/2006/relationships/hyperlink" Target="http://c.003-arp.0019.02.2025.gov.fes-pe.pe/" TargetMode="External"/><Relationship Id="rId38" Type="http://schemas.openxmlformats.org/officeDocument/2006/relationships/hyperlink" Target="http://arp.0001.01.2025.gov.huoc.pe/" TargetMode="External"/><Relationship Id="rId1606" Type="http://schemas.openxmlformats.org/officeDocument/2006/relationships/hyperlink" Target="http://arp.0052.11.2024.gov.cisam.pe/" TargetMode="External"/><Relationship Id="rId1813" Type="http://schemas.openxmlformats.org/officeDocument/2006/relationships/hyperlink" Target="http://c.003-arp.0031.03.2025.gov.fes-pe.pe/" TargetMode="External"/><Relationship Id="rId187" Type="http://schemas.openxmlformats.org/officeDocument/2006/relationships/hyperlink" Target="http://a.007-arp.0106.02.2025.gov.huoc.pe/" TargetMode="External"/><Relationship Id="rId394" Type="http://schemas.openxmlformats.org/officeDocument/2006/relationships/hyperlink" Target="http://arp.0002.01.2025.gov.hgv.pe/" TargetMode="External"/><Relationship Id="rId2075" Type="http://schemas.openxmlformats.org/officeDocument/2006/relationships/hyperlink" Target="http://c.002-arp.0001.00.2025.gov.hof.pe/" TargetMode="External"/><Relationship Id="rId2282" Type="http://schemas.openxmlformats.org/officeDocument/2006/relationships/hyperlink" Target="http://arp.0049.00.2024.gov.fes-pe.pe/" TargetMode="External"/><Relationship Id="rId254" Type="http://schemas.openxmlformats.org/officeDocument/2006/relationships/hyperlink" Target="http://arp.0077.00.2024.gov.huoc.pe/" TargetMode="External"/><Relationship Id="rId699" Type="http://schemas.openxmlformats.org/officeDocument/2006/relationships/hyperlink" Target="http://a.011-arp.0077.01.2024.gov.huoc.pe/" TargetMode="External"/><Relationship Id="rId1091" Type="http://schemas.openxmlformats.org/officeDocument/2006/relationships/hyperlink" Target="http://a.003-arp.0022.02.2024.gov.cisam.pe/" TargetMode="External"/><Relationship Id="rId2587" Type="http://schemas.openxmlformats.org/officeDocument/2006/relationships/hyperlink" Target="http://c.010-arp.0031.10.2024.gov.fes-pe.pe/" TargetMode="External"/><Relationship Id="rId2794" Type="http://schemas.openxmlformats.org/officeDocument/2006/relationships/hyperlink" Target="http://arp.0003.08.2023.gov.hra.pe/" TargetMode="External"/><Relationship Id="rId114" Type="http://schemas.openxmlformats.org/officeDocument/2006/relationships/hyperlink" Target="http://arp.0080.00.2025.gov.fes-pe.pe/" TargetMode="External"/><Relationship Id="rId461" Type="http://schemas.openxmlformats.org/officeDocument/2006/relationships/hyperlink" Target="http://a.004-arp.0003.00.2024.ext.amgesp.al/" TargetMode="External"/><Relationship Id="rId559" Type="http://schemas.openxmlformats.org/officeDocument/2006/relationships/hyperlink" Target="http://a.005-arp.0059.00.2024.gov.cisam.pe/" TargetMode="External"/><Relationship Id="rId766" Type="http://schemas.openxmlformats.org/officeDocument/2006/relationships/hyperlink" Target="http://arp.0053.00.2024.gov.cisam.pe/" TargetMode="External"/><Relationship Id="rId1189" Type="http://schemas.openxmlformats.org/officeDocument/2006/relationships/hyperlink" Target="http://a.002-arp.0022.20.2023.gov.ham.pe/" TargetMode="External"/><Relationship Id="rId1396" Type="http://schemas.openxmlformats.org/officeDocument/2006/relationships/hyperlink" Target="http://arp.0004.02.2023.gov.cisam.pe/" TargetMode="External"/><Relationship Id="rId2142" Type="http://schemas.openxmlformats.org/officeDocument/2006/relationships/hyperlink" Target="http://arp.0087.01.2024.gov.cisam.pe/" TargetMode="External"/><Relationship Id="rId2447" Type="http://schemas.openxmlformats.org/officeDocument/2006/relationships/hyperlink" Target="http://c.031-arp.0018.00.2024.gov.fes-pe.pe/" TargetMode="External"/><Relationship Id="rId321" Type="http://schemas.openxmlformats.org/officeDocument/2006/relationships/hyperlink" Target="http://a.002-arp.0084.02.2024.gov.fes-pe.pe/" TargetMode="External"/><Relationship Id="rId419" Type="http://schemas.openxmlformats.org/officeDocument/2006/relationships/hyperlink" Target="http://a.001-arp.0015.00.2024.gov.hgv.pe/" TargetMode="External"/><Relationship Id="rId626" Type="http://schemas.openxmlformats.org/officeDocument/2006/relationships/hyperlink" Target="http://arp.0087.05.2024.gov.huoc.pe/" TargetMode="External"/><Relationship Id="rId973" Type="http://schemas.openxmlformats.org/officeDocument/2006/relationships/hyperlink" Target="http://a.002-arp.0009.10.2024.gov.hof.pe/" TargetMode="External"/><Relationship Id="rId1049" Type="http://schemas.openxmlformats.org/officeDocument/2006/relationships/hyperlink" Target="http://a.002-arp.0013.00.2024.gov.hr.pe/" TargetMode="External"/><Relationship Id="rId1256" Type="http://schemas.openxmlformats.org/officeDocument/2006/relationships/hyperlink" Target="http://arp.0077.11.2023.gov.procape.pe/" TargetMode="External"/><Relationship Id="rId2002" Type="http://schemas.openxmlformats.org/officeDocument/2006/relationships/hyperlink" Target="http://arp.0004.05.2025.gov.fes-pe.pe/" TargetMode="External"/><Relationship Id="rId2307" Type="http://schemas.openxmlformats.org/officeDocument/2006/relationships/hyperlink" Target="http://c.001-arpc.0026.00.2024.gov.sad.pe/" TargetMode="External"/><Relationship Id="rId2654" Type="http://schemas.openxmlformats.org/officeDocument/2006/relationships/hyperlink" Target="http://arp.0005.07.2023.gov.hra.pe/" TargetMode="External"/><Relationship Id="rId833" Type="http://schemas.openxmlformats.org/officeDocument/2006/relationships/hyperlink" Target="http://a.014-arp.0003.01.2024.ext.hmar.pe/" TargetMode="External"/><Relationship Id="rId1116" Type="http://schemas.openxmlformats.org/officeDocument/2006/relationships/hyperlink" Target="http://arp.0026.09.2023.gov.ham.pe/" TargetMode="External"/><Relationship Id="rId1463" Type="http://schemas.openxmlformats.org/officeDocument/2006/relationships/hyperlink" Target="http://c.006-arp.0077.01.2025.gov.fes-pe.pe/" TargetMode="External"/><Relationship Id="rId1670" Type="http://schemas.openxmlformats.org/officeDocument/2006/relationships/hyperlink" Target="http://arp.0094.03.2024.gov.fes-pe.pe/" TargetMode="External"/><Relationship Id="rId1768" Type="http://schemas.openxmlformats.org/officeDocument/2006/relationships/hyperlink" Target="http://arp.0052.00.2025.gov.fes-pe.pe/" TargetMode="External"/><Relationship Id="rId2514" Type="http://schemas.openxmlformats.org/officeDocument/2006/relationships/hyperlink" Target="http://arp.0647.14.2024.gov.fes-pe.pe/" TargetMode="External"/><Relationship Id="rId2721" Type="http://schemas.openxmlformats.org/officeDocument/2006/relationships/hyperlink" Target="http://c.002-arp.0018.06.2024.gov.fes-pe.pe/" TargetMode="External"/><Relationship Id="rId2819" Type="http://schemas.openxmlformats.org/officeDocument/2006/relationships/hyperlink" Target="http://c.001-arp.0008.00.2023.gov.hra.pe/" TargetMode="External"/><Relationship Id="rId900" Type="http://schemas.openxmlformats.org/officeDocument/2006/relationships/hyperlink" Target="http://arp.0057.05.2024.gov.huoc.pe/" TargetMode="External"/><Relationship Id="rId1323" Type="http://schemas.openxmlformats.org/officeDocument/2006/relationships/hyperlink" Target="http://a.006-arp.0031.00.2023.gov.hgv.pe/" TargetMode="External"/><Relationship Id="rId1530" Type="http://schemas.openxmlformats.org/officeDocument/2006/relationships/hyperlink" Target="http://arp.0096.02.2024.gov.fes-pe.pe/" TargetMode="External"/><Relationship Id="rId1628" Type="http://schemas.openxmlformats.org/officeDocument/2006/relationships/hyperlink" Target="http://arp.0021.01.2024.gov.hof.pe/" TargetMode="External"/><Relationship Id="rId1975" Type="http://schemas.openxmlformats.org/officeDocument/2006/relationships/hyperlink" Target="http://c.003-arp.0013.04.2025.gov.fes-pe.pe/" TargetMode="External"/><Relationship Id="rId1835" Type="http://schemas.openxmlformats.org/officeDocument/2006/relationships/hyperlink" Target="http://c.002-arp.0029.05.2025.gov.fes-pe.pe/" TargetMode="External"/><Relationship Id="rId1902" Type="http://schemas.openxmlformats.org/officeDocument/2006/relationships/hyperlink" Target="http://arp.0020.03.2025.gov.fes-pe.pe/" TargetMode="External"/><Relationship Id="rId2097" Type="http://schemas.openxmlformats.org/officeDocument/2006/relationships/hyperlink" Target="http://c.003-arp.0099.04.2024.gov.fes-pe.pe/" TargetMode="External"/><Relationship Id="rId276" Type="http://schemas.openxmlformats.org/officeDocument/2006/relationships/hyperlink" Target="http://arp.0059.02.2025.gov.fes-pe.pe/" TargetMode="External"/><Relationship Id="rId483" Type="http://schemas.openxmlformats.org/officeDocument/2006/relationships/hyperlink" Target="http://a.002-arp.0001.00.2024.ext.rs/" TargetMode="External"/><Relationship Id="rId690" Type="http://schemas.openxmlformats.org/officeDocument/2006/relationships/hyperlink" Target="http://arp.0044.00.2024.gov.huoc.pe/" TargetMode="External"/><Relationship Id="rId2164" Type="http://schemas.openxmlformats.org/officeDocument/2006/relationships/hyperlink" Target="http://arp.0088.02.2024.gov.cisam.pe/" TargetMode="External"/><Relationship Id="rId2371" Type="http://schemas.openxmlformats.org/officeDocument/2006/relationships/hyperlink" Target="http://c.034-arp.0018.00.2024.gov.fes-pe.pe/" TargetMode="External"/><Relationship Id="rId136" Type="http://schemas.openxmlformats.org/officeDocument/2006/relationships/hyperlink" Target="http://arp.0038.02.2025.gov.huoc.pe/" TargetMode="External"/><Relationship Id="rId343" Type="http://schemas.openxmlformats.org/officeDocument/2006/relationships/hyperlink" Target="http://a.016-arp.0006.00.2025.gov.hr.pe/" TargetMode="External"/><Relationship Id="rId550" Type="http://schemas.openxmlformats.org/officeDocument/2006/relationships/hyperlink" Target="http://arp.0055.06.2024.gov.cisam.pe/" TargetMode="External"/><Relationship Id="rId788" Type="http://schemas.openxmlformats.org/officeDocument/2006/relationships/hyperlink" Target="http://arp.0002.00.2024.gov.hof.pe/" TargetMode="External"/><Relationship Id="rId995" Type="http://schemas.openxmlformats.org/officeDocument/2006/relationships/hyperlink" Target="http://a.006-arp.0004.00.2024.gov.hgv.pe/" TargetMode="External"/><Relationship Id="rId1180" Type="http://schemas.openxmlformats.org/officeDocument/2006/relationships/hyperlink" Target="http://arp.0025.04.2023.gov.huoc.pe/" TargetMode="External"/><Relationship Id="rId2024" Type="http://schemas.openxmlformats.org/officeDocument/2006/relationships/hyperlink" Target="http://arp.0099.00.2024.gov.fes-pe.pe/" TargetMode="External"/><Relationship Id="rId2231" Type="http://schemas.openxmlformats.org/officeDocument/2006/relationships/hyperlink" Target="http://c.002-arp.0092.04.2024.gov.fes-pe.pe/" TargetMode="External"/><Relationship Id="rId2469" Type="http://schemas.openxmlformats.org/officeDocument/2006/relationships/hyperlink" Target="http://c.028-arp.0018.00.2024.gov.fes-pe.pe/" TargetMode="External"/><Relationship Id="rId2676" Type="http://schemas.openxmlformats.org/officeDocument/2006/relationships/hyperlink" Target="http://arp.0024.01.2024.gov.fes-pe.pe/" TargetMode="External"/><Relationship Id="rId203" Type="http://schemas.openxmlformats.org/officeDocument/2006/relationships/hyperlink" Target="http://a.003-arp.0010.00.2025.gov.hr.pe/" TargetMode="External"/><Relationship Id="rId648" Type="http://schemas.openxmlformats.org/officeDocument/2006/relationships/hyperlink" Target="http://arp.0072.00.2024.gov.procape.pe/" TargetMode="External"/><Relationship Id="rId855" Type="http://schemas.openxmlformats.org/officeDocument/2006/relationships/hyperlink" Target="http://a.002-arp.0011.01.2024.gov.dasis.pe/" TargetMode="External"/><Relationship Id="rId1040" Type="http://schemas.openxmlformats.org/officeDocument/2006/relationships/hyperlink" Target="http://arp.0002.00.2024.gov.hof.pe/" TargetMode="External"/><Relationship Id="rId1278" Type="http://schemas.openxmlformats.org/officeDocument/2006/relationships/hyperlink" Target="http://arp.0007.01.2023.gov.hgv.pe/" TargetMode="External"/><Relationship Id="rId1485" Type="http://schemas.openxmlformats.org/officeDocument/2006/relationships/hyperlink" Target="http://c.004-arp.0079.00.2025.gov.fes-pe.pe/" TargetMode="External"/><Relationship Id="rId1692" Type="http://schemas.openxmlformats.org/officeDocument/2006/relationships/hyperlink" Target="http://arp.0061.00.2024.gov.fes-pe.pe/" TargetMode="External"/><Relationship Id="rId2329" Type="http://schemas.openxmlformats.org/officeDocument/2006/relationships/hyperlink" Target="http://c.003-arp.0065.00.2024.gov.cisam.pe/" TargetMode="External"/><Relationship Id="rId2536" Type="http://schemas.openxmlformats.org/officeDocument/2006/relationships/hyperlink" Target="http://arpc.0005.00.2024.gov.sad.pe/" TargetMode="External"/><Relationship Id="rId2743" Type="http://schemas.openxmlformats.org/officeDocument/2006/relationships/hyperlink" Target="http://c.004-arp.0003.05.2023.gov.hra.pe/" TargetMode="External"/><Relationship Id="rId410" Type="http://schemas.openxmlformats.org/officeDocument/2006/relationships/hyperlink" Target="http://arp.0010.00.2024.gov.hof.pe/" TargetMode="External"/><Relationship Id="rId508" Type="http://schemas.openxmlformats.org/officeDocument/2006/relationships/hyperlink" Target="http://arp.0045.00.2024.gov.hr.pe/" TargetMode="External"/><Relationship Id="rId715" Type="http://schemas.openxmlformats.org/officeDocument/2006/relationships/hyperlink" Target="http://a.008-arp.0033.03.2024.gov.cisam.pe/" TargetMode="External"/><Relationship Id="rId922" Type="http://schemas.openxmlformats.org/officeDocument/2006/relationships/hyperlink" Target="http://arp.0063.03.2024.gov.huoc.pe/" TargetMode="External"/><Relationship Id="rId1138" Type="http://schemas.openxmlformats.org/officeDocument/2006/relationships/hyperlink" Target="http://arp.0064.08.2023.gov.huoc.pe/" TargetMode="External"/><Relationship Id="rId1345" Type="http://schemas.openxmlformats.org/officeDocument/2006/relationships/hyperlink" Target="http://a.001-arp.0017.00.2023.gov.hgv.pe/" TargetMode="External"/><Relationship Id="rId1552" Type="http://schemas.openxmlformats.org/officeDocument/2006/relationships/hyperlink" Target="http://arp.0008.01.2025.gov.ham.pe/" TargetMode="External"/><Relationship Id="rId1997" Type="http://schemas.openxmlformats.org/officeDocument/2006/relationships/hyperlink" Target="http://c.006-arp.0010.04.2025.gov.fes-pe.pe/" TargetMode="External"/><Relationship Id="rId2603" Type="http://schemas.openxmlformats.org/officeDocument/2006/relationships/hyperlink" Target="http://c.012-arp.0025.01.2024.gov.fes-pe.pe/" TargetMode="External"/><Relationship Id="rId1205" Type="http://schemas.openxmlformats.org/officeDocument/2006/relationships/hyperlink" Target="http://a.002-arp.0030.05.2023.gov.hr.pe/" TargetMode="External"/><Relationship Id="rId1857" Type="http://schemas.openxmlformats.org/officeDocument/2006/relationships/hyperlink" Target="http://c.010-arp.0012.05.2025.gov.fes-pe.pe/" TargetMode="External"/><Relationship Id="rId2810" Type="http://schemas.openxmlformats.org/officeDocument/2006/relationships/hyperlink" Target="http://arp.0005.02.2023.gov.hra.pe/" TargetMode="External"/><Relationship Id="rId51" Type="http://schemas.openxmlformats.org/officeDocument/2006/relationships/hyperlink" Target="http://a.003-arp.0118.05.2024.gov.huoc.pe/" TargetMode="External"/><Relationship Id="rId1412" Type="http://schemas.openxmlformats.org/officeDocument/2006/relationships/hyperlink" Target="http://arp.0012.03.2023.gov.huoc.pe/" TargetMode="External"/><Relationship Id="rId1717" Type="http://schemas.openxmlformats.org/officeDocument/2006/relationships/hyperlink" Target="http://c.003-arp.0050.00.2025.gov.fes-pe.pe/" TargetMode="External"/><Relationship Id="rId1924" Type="http://schemas.openxmlformats.org/officeDocument/2006/relationships/hyperlink" Target="http://arp.0027.00.2025.gov.fes-pe.pe/" TargetMode="External"/><Relationship Id="rId298" Type="http://schemas.openxmlformats.org/officeDocument/2006/relationships/hyperlink" Target="http://arp.0010.00.2025.gov.hr.pe/" TargetMode="External"/><Relationship Id="rId158" Type="http://schemas.openxmlformats.org/officeDocument/2006/relationships/hyperlink" Target="http://arp.0012.01.2025.gov.hemope.pe/" TargetMode="External"/><Relationship Id="rId2186" Type="http://schemas.openxmlformats.org/officeDocument/2006/relationships/hyperlink" Target="http://arp.0089.00.2024.gov.fes-pe.pe/" TargetMode="External"/><Relationship Id="rId2393" Type="http://schemas.openxmlformats.org/officeDocument/2006/relationships/hyperlink" Target="http://c.003-arp.0052.10.2024.gov.fes-pe.pe/" TargetMode="External"/><Relationship Id="rId2698" Type="http://schemas.openxmlformats.org/officeDocument/2006/relationships/hyperlink" Target="http://arp.0005.04.2023.gov.hra.pe/" TargetMode="External"/><Relationship Id="rId365" Type="http://schemas.openxmlformats.org/officeDocument/2006/relationships/hyperlink" Target="http://a.024-arp.0031.00.2024.gov.hr.pe/" TargetMode="External"/><Relationship Id="rId572" Type="http://schemas.openxmlformats.org/officeDocument/2006/relationships/hyperlink" Target="http://arp.0021.00.2024.gov.hgv.pe/" TargetMode="External"/><Relationship Id="rId2046" Type="http://schemas.openxmlformats.org/officeDocument/2006/relationships/hyperlink" Target="http://arp.0010.04.2025.gov.fes-pe.pe/" TargetMode="External"/><Relationship Id="rId2253" Type="http://schemas.openxmlformats.org/officeDocument/2006/relationships/hyperlink" Target="http://c.021-arp.0018.01.2024.gov.fes-pe.pe/" TargetMode="External"/><Relationship Id="rId2460" Type="http://schemas.openxmlformats.org/officeDocument/2006/relationships/hyperlink" Target="http://arp.0065.06.2024.gov.fes-pe.pe/" TargetMode="External"/><Relationship Id="rId225" Type="http://schemas.openxmlformats.org/officeDocument/2006/relationships/hyperlink" Target="http://a.001-arp.0005.01.2025.gov.hemope.pe/" TargetMode="External"/><Relationship Id="rId432" Type="http://schemas.openxmlformats.org/officeDocument/2006/relationships/hyperlink" Target="http://arp.0059.00.2024.gov.cisam.pe/" TargetMode="External"/><Relationship Id="rId877" Type="http://schemas.openxmlformats.org/officeDocument/2006/relationships/hyperlink" Target="http://a.012-arp.0003.01.2024.ext.hmar.pe/" TargetMode="External"/><Relationship Id="rId1062" Type="http://schemas.openxmlformats.org/officeDocument/2006/relationships/hyperlink" Target="http://arp.0039.02.2024.gov.huoc.pe/" TargetMode="External"/><Relationship Id="rId2113" Type="http://schemas.openxmlformats.org/officeDocument/2006/relationships/hyperlink" Target="http://c.001-arp.0098.00.2024.gov.fes-pe.pe/" TargetMode="External"/><Relationship Id="rId2320" Type="http://schemas.openxmlformats.org/officeDocument/2006/relationships/hyperlink" Target="http://arp.0038.02.2024.gov.fes-pe.pe/" TargetMode="External"/><Relationship Id="rId2558" Type="http://schemas.openxmlformats.org/officeDocument/2006/relationships/hyperlink" Target="http://arpc.0026.00.2023.gov.sad.pe/" TargetMode="External"/><Relationship Id="rId2765" Type="http://schemas.openxmlformats.org/officeDocument/2006/relationships/hyperlink" Target="http://c.002-arp.0005.04.2023.gov.hra.pe/" TargetMode="External"/><Relationship Id="rId737" Type="http://schemas.openxmlformats.org/officeDocument/2006/relationships/hyperlink" Target="http://a.022-arp.0008.00.2024.gov.hr.pe/" TargetMode="External"/><Relationship Id="rId944" Type="http://schemas.openxmlformats.org/officeDocument/2006/relationships/hyperlink" Target="http://arp.0011.00.2024.gov.hgv.pe/" TargetMode="External"/><Relationship Id="rId1367" Type="http://schemas.openxmlformats.org/officeDocument/2006/relationships/hyperlink" Target="http://a.001-arp.0025.12.2023.gov.hr.pe/" TargetMode="External"/><Relationship Id="rId1574" Type="http://schemas.openxmlformats.org/officeDocument/2006/relationships/hyperlink" Target="http://arp.0006.03.2025.gov.cisam.pe/" TargetMode="External"/><Relationship Id="rId1781" Type="http://schemas.openxmlformats.org/officeDocument/2006/relationships/hyperlink" Target="http://c.004-arp.0036.10.2025.gov.fes-pe.pe/" TargetMode="External"/><Relationship Id="rId2418" Type="http://schemas.openxmlformats.org/officeDocument/2006/relationships/hyperlink" Target="http://arp.0031.16.2024.gov.fes-pe.pe/" TargetMode="External"/><Relationship Id="rId2625" Type="http://schemas.openxmlformats.org/officeDocument/2006/relationships/hyperlink" Target="http://c.123-arpc.0026.00.2023.gov.sad.pe/" TargetMode="External"/><Relationship Id="rId2832" Type="http://schemas.openxmlformats.org/officeDocument/2006/relationships/hyperlink" Target="http://arp.0003.04.2023.gov.hra.pe/" TargetMode="External"/><Relationship Id="rId73" Type="http://schemas.openxmlformats.org/officeDocument/2006/relationships/hyperlink" Target="http://a.003-arp.0009.01.2025.ext.hmar.pe/" TargetMode="External"/><Relationship Id="rId804" Type="http://schemas.openxmlformats.org/officeDocument/2006/relationships/hyperlink" Target="http://arp.0028.01.2024.gov.procape.pe/" TargetMode="External"/><Relationship Id="rId1227" Type="http://schemas.openxmlformats.org/officeDocument/2006/relationships/hyperlink" Target="http://a.003-arp.0025.00.2023.gov.hr.pe/" TargetMode="External"/><Relationship Id="rId1434" Type="http://schemas.openxmlformats.org/officeDocument/2006/relationships/hyperlink" Target="http://arp.0044.04.2025.gov.fes-pe.pe/" TargetMode="External"/><Relationship Id="rId1641" Type="http://schemas.openxmlformats.org/officeDocument/2006/relationships/hyperlink" Target="http://c.008-arp.0019.02.2025.gov.fes-pe.pe/" TargetMode="External"/><Relationship Id="rId1879" Type="http://schemas.openxmlformats.org/officeDocument/2006/relationships/hyperlink" Target="http://c.001-arp.0048.01.2025.gov.fes-pe.pe/" TargetMode="External"/><Relationship Id="rId1501" Type="http://schemas.openxmlformats.org/officeDocument/2006/relationships/hyperlink" Target="http://c.003-arp.0012.07.2025.gov.ham.pe/" TargetMode="External"/><Relationship Id="rId1739" Type="http://schemas.openxmlformats.org/officeDocument/2006/relationships/hyperlink" Target="http://c.001-arp.0003.00.2025.gov.dasis.pe/" TargetMode="External"/><Relationship Id="rId1946" Type="http://schemas.openxmlformats.org/officeDocument/2006/relationships/hyperlink" Target="http://arp.0021.03.2025.gov.fes-pe.pe/" TargetMode="External"/><Relationship Id="rId1806" Type="http://schemas.openxmlformats.org/officeDocument/2006/relationships/hyperlink" Target="http://arp.0035.01.2025.gov.fes-pe.pe/" TargetMode="External"/><Relationship Id="rId387" Type="http://schemas.openxmlformats.org/officeDocument/2006/relationships/hyperlink" Target="http://a.001-arp.0009.00.2025.gov.hgv.pe/" TargetMode="External"/><Relationship Id="rId594" Type="http://schemas.openxmlformats.org/officeDocument/2006/relationships/hyperlink" Target="http://arp.0084.05.2024.gov.procape.pe/" TargetMode="External"/><Relationship Id="rId2068" Type="http://schemas.openxmlformats.org/officeDocument/2006/relationships/hyperlink" Target="http://arp.0014.02.2025.gov.fes-pe.pe/" TargetMode="External"/><Relationship Id="rId2275" Type="http://schemas.openxmlformats.org/officeDocument/2006/relationships/hyperlink" Target="http://c.006-arp.0090.02.2024.gov.fes-pe.pe/" TargetMode="External"/><Relationship Id="rId247" Type="http://schemas.openxmlformats.org/officeDocument/2006/relationships/hyperlink" Target="http://a.034-arp.0041.00.2024.gov.hr.pe/" TargetMode="External"/><Relationship Id="rId899" Type="http://schemas.openxmlformats.org/officeDocument/2006/relationships/hyperlink" Target="http://a.001-arp.0057.05.2024.gov.huoc.pe/" TargetMode="External"/><Relationship Id="rId1084" Type="http://schemas.openxmlformats.org/officeDocument/2006/relationships/hyperlink" Target="http://arpc.0007.00.2024.gov.sad.pe/" TargetMode="External"/><Relationship Id="rId2482" Type="http://schemas.openxmlformats.org/officeDocument/2006/relationships/hyperlink" Target="http://arp.0046.02.2024.gov.fes-pe.pe/" TargetMode="External"/><Relationship Id="rId2787" Type="http://schemas.openxmlformats.org/officeDocument/2006/relationships/hyperlink" Target="http://c.003-arp.0003.02.2023.gov.hra.pe/" TargetMode="External"/><Relationship Id="rId107" Type="http://schemas.openxmlformats.org/officeDocument/2006/relationships/hyperlink" Target="http://a.005-arp.0059.00.2025.gov.fes-pe.pe/" TargetMode="External"/><Relationship Id="rId454" Type="http://schemas.openxmlformats.org/officeDocument/2006/relationships/hyperlink" Target="http://arp.0066.02.2024.gov.fes-pe.pe/" TargetMode="External"/><Relationship Id="rId661" Type="http://schemas.openxmlformats.org/officeDocument/2006/relationships/hyperlink" Target="http://a.008-arp.0051.02.2024.gov.cisam.pe/" TargetMode="External"/><Relationship Id="rId759" Type="http://schemas.openxmlformats.org/officeDocument/2006/relationships/hyperlink" Target="http://a.010-arp.0025.00.2024.gov.hr.pe/" TargetMode="External"/><Relationship Id="rId966" Type="http://schemas.openxmlformats.org/officeDocument/2006/relationships/hyperlink" Target="http://arp.0102.02.2023.gov.huoc.pe/" TargetMode="External"/><Relationship Id="rId1291" Type="http://schemas.openxmlformats.org/officeDocument/2006/relationships/hyperlink" Target="http://a.009-arp.0006.01.2023.gov.ham.pe/" TargetMode="External"/><Relationship Id="rId1389" Type="http://schemas.openxmlformats.org/officeDocument/2006/relationships/hyperlink" Target="http://a.001-arp.0003.02.2023.gov.hra.pe/" TargetMode="External"/><Relationship Id="rId1596" Type="http://schemas.openxmlformats.org/officeDocument/2006/relationships/hyperlink" Target="http://arp.0088.02.2024.gov.cisam.pe/" TargetMode="External"/><Relationship Id="rId2135" Type="http://schemas.openxmlformats.org/officeDocument/2006/relationships/hyperlink" Target="http://c.001-arp.0089.01.2024.gov.cisam.pe/" TargetMode="External"/><Relationship Id="rId2342" Type="http://schemas.openxmlformats.org/officeDocument/2006/relationships/hyperlink" Target="http://arp.0005.00.2024.gov.upecmn.pe/" TargetMode="External"/><Relationship Id="rId2647" Type="http://schemas.openxmlformats.org/officeDocument/2006/relationships/hyperlink" Target="http://c.002-arp.0005.01.2023.gov.hra.pe/" TargetMode="External"/><Relationship Id="rId314" Type="http://schemas.openxmlformats.org/officeDocument/2006/relationships/hyperlink" Target="http://arp.0076.01.2024.gov.procape.pe/" TargetMode="External"/><Relationship Id="rId521" Type="http://schemas.openxmlformats.org/officeDocument/2006/relationships/hyperlink" Target="http://a.007-arp.0091.00.2024.gov.huoc.pe/" TargetMode="External"/><Relationship Id="rId619" Type="http://schemas.openxmlformats.org/officeDocument/2006/relationships/hyperlink" Target="http://a.008-arp.0010.00.2024.gov.hof.pe/" TargetMode="External"/><Relationship Id="rId1151" Type="http://schemas.openxmlformats.org/officeDocument/2006/relationships/hyperlink" Target="http://a.003-arp.0064.07.2023.gov.huoc.pe/" TargetMode="External"/><Relationship Id="rId1249" Type="http://schemas.openxmlformats.org/officeDocument/2006/relationships/hyperlink" Target="http://a.005-arp.0086.02.2023.gov.huoc.pe/" TargetMode="External"/><Relationship Id="rId2202" Type="http://schemas.openxmlformats.org/officeDocument/2006/relationships/hyperlink" Target="http://arp.0096.00.2024.gov.fes-pe.pe/" TargetMode="External"/><Relationship Id="rId2854" Type="http://schemas.openxmlformats.org/officeDocument/2006/relationships/hyperlink" Target="http://arpc.0004.00.2023.gov.sad.pe/" TargetMode="External"/><Relationship Id="rId95" Type="http://schemas.openxmlformats.org/officeDocument/2006/relationships/hyperlink" Target="http://a.006-arp.0005.00.2025.gov.feas.pe/" TargetMode="External"/><Relationship Id="rId826" Type="http://schemas.openxmlformats.org/officeDocument/2006/relationships/hyperlink" Target="http://arp.0058.03.2024.gov.huoc.pe/" TargetMode="External"/><Relationship Id="rId1011" Type="http://schemas.openxmlformats.org/officeDocument/2006/relationships/hyperlink" Target="http://a.005-arp.0008.00.2024.gov.hr.pe/" TargetMode="External"/><Relationship Id="rId1109" Type="http://schemas.openxmlformats.org/officeDocument/2006/relationships/hyperlink" Target="http://a.004-arp.0112.00.2023.gov.huoc.pe/" TargetMode="External"/><Relationship Id="rId1456" Type="http://schemas.openxmlformats.org/officeDocument/2006/relationships/hyperlink" Target="http://arp.0049.01.2025.gov.fes-pe.pe/" TargetMode="External"/><Relationship Id="rId1663" Type="http://schemas.openxmlformats.org/officeDocument/2006/relationships/hyperlink" Target="http://c.027-arp.0063.00.2024.gov.fes-pe.pe/" TargetMode="External"/><Relationship Id="rId1870" Type="http://schemas.openxmlformats.org/officeDocument/2006/relationships/hyperlink" Target="http://arpc.0006.00.2025.gov.sad.pe/" TargetMode="External"/><Relationship Id="rId1968" Type="http://schemas.openxmlformats.org/officeDocument/2006/relationships/hyperlink" Target="http://arp.0017.05.2025.gov.fes-pe.pe/" TargetMode="External"/><Relationship Id="rId2507" Type="http://schemas.openxmlformats.org/officeDocument/2006/relationships/hyperlink" Target="http://c.001-arp.0112.00.2023.gov.fes-pe.pe/" TargetMode="External"/><Relationship Id="rId2714" Type="http://schemas.openxmlformats.org/officeDocument/2006/relationships/hyperlink" Target="http://arp.0025.06.2024.gov.fes-pe.pe/" TargetMode="External"/><Relationship Id="rId1316" Type="http://schemas.openxmlformats.org/officeDocument/2006/relationships/hyperlink" Target="http://arp.0010.08.2023.gov.ham.pe/" TargetMode="External"/><Relationship Id="rId1523" Type="http://schemas.openxmlformats.org/officeDocument/2006/relationships/hyperlink" Target="http://c.002-arp.0011.03.2025.gov.hgv.pe/" TargetMode="External"/><Relationship Id="rId1730" Type="http://schemas.openxmlformats.org/officeDocument/2006/relationships/hyperlink" Target="http://arp.0003.00.2025.gov.dasis.pe/" TargetMode="External"/><Relationship Id="rId22" Type="http://schemas.openxmlformats.org/officeDocument/2006/relationships/hyperlink" Target="http://arp.0001.00.2025.gov.hr.pe/" TargetMode="External"/><Relationship Id="rId1828" Type="http://schemas.openxmlformats.org/officeDocument/2006/relationships/hyperlink" Target="http://arp.0068.09.2024.gov.fes-pe.pe/" TargetMode="External"/><Relationship Id="rId171" Type="http://schemas.openxmlformats.org/officeDocument/2006/relationships/hyperlink" Target="http://a.009-arp.0028.03.2025.gov.procape.pe/" TargetMode="External"/><Relationship Id="rId2297" Type="http://schemas.openxmlformats.org/officeDocument/2006/relationships/hyperlink" Target="http://c.014-arp.0061.02.2024.gov.fes-pe.pe/" TargetMode="External"/><Relationship Id="rId269" Type="http://schemas.openxmlformats.org/officeDocument/2006/relationships/hyperlink" Target="http://a.008-arp.0005.09.2025.gov.procape.pe/" TargetMode="External"/><Relationship Id="rId476" Type="http://schemas.openxmlformats.org/officeDocument/2006/relationships/hyperlink" Target="http://arp.0011.00.2024.gov.hgv.pe/" TargetMode="External"/><Relationship Id="rId683" Type="http://schemas.openxmlformats.org/officeDocument/2006/relationships/hyperlink" Target="http://a.048-arp.0002.01.2024.gov.fundarpe.pe/" TargetMode="External"/><Relationship Id="rId890" Type="http://schemas.openxmlformats.org/officeDocument/2006/relationships/hyperlink" Target="http://arp.0095.00.2023.gov.huoc.pe/" TargetMode="External"/><Relationship Id="rId2157" Type="http://schemas.openxmlformats.org/officeDocument/2006/relationships/hyperlink" Target="http://c.004-arp.0088.02.2024.gov.cisam.pe/" TargetMode="External"/><Relationship Id="rId2364" Type="http://schemas.openxmlformats.org/officeDocument/2006/relationships/hyperlink" Target="http://arp.0031.16.2024.gov.fes-pe.pe/" TargetMode="External"/><Relationship Id="rId2571" Type="http://schemas.openxmlformats.org/officeDocument/2006/relationships/hyperlink" Target="http://c.009-arp.0048.07.2024.gov.fes-pe.pe/" TargetMode="External"/><Relationship Id="rId129" Type="http://schemas.openxmlformats.org/officeDocument/2006/relationships/hyperlink" Target="http://a.011-arp.0013.02.2025.gov.hof.pe/" TargetMode="External"/><Relationship Id="rId336" Type="http://schemas.openxmlformats.org/officeDocument/2006/relationships/hyperlink" Target="http://arp.0012.02.2025.gov.huoc.pe/" TargetMode="External"/><Relationship Id="rId543" Type="http://schemas.openxmlformats.org/officeDocument/2006/relationships/hyperlink" Target="http://a.004-arp.0068.09.2024.gov.fes-pe.pe/" TargetMode="External"/><Relationship Id="rId988" Type="http://schemas.openxmlformats.org/officeDocument/2006/relationships/hyperlink" Target="http://arp.1101.01.2024.ext.hmar.pe/" TargetMode="External"/><Relationship Id="rId1173" Type="http://schemas.openxmlformats.org/officeDocument/2006/relationships/hyperlink" Target="http://a.002-arp.0012.04.2023.gov.sassepe.pe/" TargetMode="External"/><Relationship Id="rId1380" Type="http://schemas.openxmlformats.org/officeDocument/2006/relationships/hyperlink" Target="http://arp.0003.08.2023.gov.hra.pe/" TargetMode="External"/><Relationship Id="rId2017" Type="http://schemas.openxmlformats.org/officeDocument/2006/relationships/hyperlink" Target="http://c.003-arp.0100.03.2024.gov.fes-pe.pe/" TargetMode="External"/><Relationship Id="rId2224" Type="http://schemas.openxmlformats.org/officeDocument/2006/relationships/hyperlink" Target="http://arp.0065.05.2024.gov.cisam.pe/" TargetMode="External"/><Relationship Id="rId2669" Type="http://schemas.openxmlformats.org/officeDocument/2006/relationships/hyperlink" Target="http://c.025-arpc.0003.00.2024.gov.sad.pe/" TargetMode="External"/><Relationship Id="rId403" Type="http://schemas.openxmlformats.org/officeDocument/2006/relationships/hyperlink" Target="http://a.015-arp.0028.00.2024.gov.hr.pe/" TargetMode="External"/><Relationship Id="rId750" Type="http://schemas.openxmlformats.org/officeDocument/2006/relationships/hyperlink" Target="http://arp.0018.00.2024.opd.mppe.pe/" TargetMode="External"/><Relationship Id="rId848" Type="http://schemas.openxmlformats.org/officeDocument/2006/relationships/hyperlink" Target="http://arp.0063.08.2024.gov.huoc.pe/" TargetMode="External"/><Relationship Id="rId1033" Type="http://schemas.openxmlformats.org/officeDocument/2006/relationships/hyperlink" Target="http://a.003-arp.0008.02.2024.gov.huoc.pe/" TargetMode="External"/><Relationship Id="rId1478" Type="http://schemas.openxmlformats.org/officeDocument/2006/relationships/hyperlink" Target="http://arp.0070.01.2025.gov.fes-pe.pe/" TargetMode="External"/><Relationship Id="rId1685" Type="http://schemas.openxmlformats.org/officeDocument/2006/relationships/hyperlink" Target="http://c.001-arp.0084.02.2024.gov.fes-pe.pe/" TargetMode="External"/><Relationship Id="rId1892" Type="http://schemas.openxmlformats.org/officeDocument/2006/relationships/hyperlink" Target="http://arpc.0002.00.2025.gov.sad.pe/" TargetMode="External"/><Relationship Id="rId2431" Type="http://schemas.openxmlformats.org/officeDocument/2006/relationships/hyperlink" Target="http://c.011-arp.0022.01.2024.gov.fes-pe.pe/" TargetMode="External"/><Relationship Id="rId2529" Type="http://schemas.openxmlformats.org/officeDocument/2006/relationships/hyperlink" Target="http://c.014-arp.0031.16.2024.gov.fes-pe.pe/" TargetMode="External"/><Relationship Id="rId2736" Type="http://schemas.openxmlformats.org/officeDocument/2006/relationships/hyperlink" Target="http://arp.0003.02.2023.gov.hra.pe/" TargetMode="External"/><Relationship Id="rId610" Type="http://schemas.openxmlformats.org/officeDocument/2006/relationships/hyperlink" Target="http://arp.0016.05.2024.gov.hgv.pe/" TargetMode="External"/><Relationship Id="rId708" Type="http://schemas.openxmlformats.org/officeDocument/2006/relationships/hyperlink" Target="http://arp.0088.08.2024.gov.huoc.pe/" TargetMode="External"/><Relationship Id="rId915" Type="http://schemas.openxmlformats.org/officeDocument/2006/relationships/hyperlink" Target="http://a.002-arp.0063.04.2024.gov.huoc.pe/" TargetMode="External"/><Relationship Id="rId1240" Type="http://schemas.openxmlformats.org/officeDocument/2006/relationships/hyperlink" Target="http://arp.0015.01.2023.gov.hemope.pe/" TargetMode="External"/><Relationship Id="rId1338" Type="http://schemas.openxmlformats.org/officeDocument/2006/relationships/hyperlink" Target="http://arp.0029.09.2023.gov.hgv.pe/" TargetMode="External"/><Relationship Id="rId1545" Type="http://schemas.openxmlformats.org/officeDocument/2006/relationships/hyperlink" Target="http://c.002-arp.0077.00.2025.gov.fes-pe.pe/" TargetMode="External"/><Relationship Id="rId1100" Type="http://schemas.openxmlformats.org/officeDocument/2006/relationships/hyperlink" Target="http://arp.0026.03.2023.gov.ham.pe/" TargetMode="External"/><Relationship Id="rId1405" Type="http://schemas.openxmlformats.org/officeDocument/2006/relationships/hyperlink" Target="http://a.001-arp.0016.08.2023.gov.huoc.pe/" TargetMode="External"/><Relationship Id="rId1752" Type="http://schemas.openxmlformats.org/officeDocument/2006/relationships/hyperlink" Target="http://arp.0017.02.2025.gov.fes-pe.pe/" TargetMode="External"/><Relationship Id="rId2803" Type="http://schemas.openxmlformats.org/officeDocument/2006/relationships/hyperlink" Target="http://c.001-arp.0005.05.2023.gov.hra.pe/" TargetMode="External"/><Relationship Id="rId44" Type="http://schemas.openxmlformats.org/officeDocument/2006/relationships/hyperlink" Target="http://arp.0080.00.2025.gov.fes-pe.pe/" TargetMode="External"/><Relationship Id="rId1612" Type="http://schemas.openxmlformats.org/officeDocument/2006/relationships/hyperlink" Target="http://arp.0036.07.2025.gov.fes-pe.pe/" TargetMode="External"/><Relationship Id="rId1917" Type="http://schemas.openxmlformats.org/officeDocument/2006/relationships/hyperlink" Target="http://c.002-arp.0028.00.2025.gov.fes-pe.pe/" TargetMode="External"/><Relationship Id="rId193" Type="http://schemas.openxmlformats.org/officeDocument/2006/relationships/hyperlink" Target="http://a.006-arp.0010.02.2025.gov.ham.pe/" TargetMode="External"/><Relationship Id="rId498" Type="http://schemas.openxmlformats.org/officeDocument/2006/relationships/hyperlink" Target="http://arp.0076.02.2024.gov.huoc.pe/" TargetMode="External"/><Relationship Id="rId2081" Type="http://schemas.openxmlformats.org/officeDocument/2006/relationships/hyperlink" Target="http://c.007-arp.0009.02.2025.gov.fes-pe.pe/" TargetMode="External"/><Relationship Id="rId2179" Type="http://schemas.openxmlformats.org/officeDocument/2006/relationships/hyperlink" Target="http://c.048-arpc.0004.00.2024.gov.sad.pe/" TargetMode="External"/><Relationship Id="rId260" Type="http://schemas.openxmlformats.org/officeDocument/2006/relationships/hyperlink" Target="http://arp.0007.00.2025.gov.hemope.pe/" TargetMode="External"/><Relationship Id="rId2386" Type="http://schemas.openxmlformats.org/officeDocument/2006/relationships/hyperlink" Target="http://arp.0066.06.2024.gov.fes-pe.pe/" TargetMode="External"/><Relationship Id="rId2593" Type="http://schemas.openxmlformats.org/officeDocument/2006/relationships/hyperlink" Target="http://c.002-arp.0038.01.2024.gov.fes-pe.pe/" TargetMode="External"/><Relationship Id="rId120" Type="http://schemas.openxmlformats.org/officeDocument/2006/relationships/hyperlink" Target="http://arp.0012.02.2025.gov.huoc.pe/" TargetMode="External"/><Relationship Id="rId358" Type="http://schemas.openxmlformats.org/officeDocument/2006/relationships/hyperlink" Target="http://arp.0013.02.2025.gov.hof.pe/" TargetMode="External"/><Relationship Id="rId565" Type="http://schemas.openxmlformats.org/officeDocument/2006/relationships/hyperlink" Target="http://a.013-arp.0011.00.2024.gov.hgv.pe/" TargetMode="External"/><Relationship Id="rId772" Type="http://schemas.openxmlformats.org/officeDocument/2006/relationships/hyperlink" Target="http://arp.0021.00.2024.gov.hemope.pe/" TargetMode="External"/><Relationship Id="rId1195" Type="http://schemas.openxmlformats.org/officeDocument/2006/relationships/hyperlink" Target="http://a.002-arp.0009.03.2023.gov.hbl.pe/" TargetMode="External"/><Relationship Id="rId2039" Type="http://schemas.openxmlformats.org/officeDocument/2006/relationships/hyperlink" Target="http://c.005-arp.0015.05.2025.gov.fes-pe.pe/" TargetMode="External"/><Relationship Id="rId2246" Type="http://schemas.openxmlformats.org/officeDocument/2006/relationships/hyperlink" Target="http://arp.0025.06.2024.gov.fes-pe.pe/" TargetMode="External"/><Relationship Id="rId2453" Type="http://schemas.openxmlformats.org/officeDocument/2006/relationships/hyperlink" Target="http://c.014-arp.0065.01.2024.gov.fes-pe.pe/" TargetMode="External"/><Relationship Id="rId2660" Type="http://schemas.openxmlformats.org/officeDocument/2006/relationships/hyperlink" Target="http://arp.0046.05.2024.gov.fes-pe.pe/" TargetMode="External"/><Relationship Id="rId218" Type="http://schemas.openxmlformats.org/officeDocument/2006/relationships/hyperlink" Target="http://arp.0031.00.2024.gov.hr.pe/" TargetMode="External"/><Relationship Id="rId425" Type="http://schemas.openxmlformats.org/officeDocument/2006/relationships/hyperlink" Target="http://a.003-arp.0020.04.2024.gov.ham.pe/" TargetMode="External"/><Relationship Id="rId632" Type="http://schemas.openxmlformats.org/officeDocument/2006/relationships/hyperlink" Target="http://arp.0068.10.2024.gov.fes-pe.pe/" TargetMode="External"/><Relationship Id="rId1055" Type="http://schemas.openxmlformats.org/officeDocument/2006/relationships/hyperlink" Target="http://a.042-arpc.0033.00.2023.gov.sad.pe/" TargetMode="External"/><Relationship Id="rId1262" Type="http://schemas.openxmlformats.org/officeDocument/2006/relationships/hyperlink" Target="http://arp.0063.00.2023.gov.procape.pe/" TargetMode="External"/><Relationship Id="rId2106" Type="http://schemas.openxmlformats.org/officeDocument/2006/relationships/hyperlink" Target="http://arp.0099.00.2024.gov.fes-pe.pe/" TargetMode="External"/><Relationship Id="rId2313" Type="http://schemas.openxmlformats.org/officeDocument/2006/relationships/hyperlink" Target="http://c.030-arpc.0018.00.2024.gov.sad.pe/" TargetMode="External"/><Relationship Id="rId2520" Type="http://schemas.openxmlformats.org/officeDocument/2006/relationships/hyperlink" Target="http://arp.0064.01.2024.gov.fes-pe.pe/" TargetMode="External"/><Relationship Id="rId2758" Type="http://schemas.openxmlformats.org/officeDocument/2006/relationships/hyperlink" Target="http://arpc.0012.00.2023.gov.sad.pe/" TargetMode="External"/><Relationship Id="rId937" Type="http://schemas.openxmlformats.org/officeDocument/2006/relationships/hyperlink" Target="http://a.002-arp.0057.03.2024.gov.huoc.pe/" TargetMode="External"/><Relationship Id="rId1122" Type="http://schemas.openxmlformats.org/officeDocument/2006/relationships/hyperlink" Target="http://arp.0002.02.2024.gov.sassepe.pe/" TargetMode="External"/><Relationship Id="rId1567" Type="http://schemas.openxmlformats.org/officeDocument/2006/relationships/hyperlink" Target="http://c.011-arp.0063.05.2024.gov.cisam.pe/" TargetMode="External"/><Relationship Id="rId1774" Type="http://schemas.openxmlformats.org/officeDocument/2006/relationships/hyperlink" Target="http://arp.0043.02.2025.gov.fes-pe.pe/" TargetMode="External"/><Relationship Id="rId1981" Type="http://schemas.openxmlformats.org/officeDocument/2006/relationships/hyperlink" Target="http://c.006-arp.0012.05.2025.gov.fes-pe.pe/" TargetMode="External"/><Relationship Id="rId2618" Type="http://schemas.openxmlformats.org/officeDocument/2006/relationships/hyperlink" Target="http://arpc.0012.00.2023.gov.sad.pe/" TargetMode="External"/><Relationship Id="rId2825" Type="http://schemas.openxmlformats.org/officeDocument/2006/relationships/hyperlink" Target="http://c.001-arp.0003.07.2023.gov.hra.pe/" TargetMode="External"/><Relationship Id="rId66" Type="http://schemas.openxmlformats.org/officeDocument/2006/relationships/hyperlink" Target="http://arp.0044.04.2025.gov.fes-pe.pe/" TargetMode="External"/><Relationship Id="rId1427" Type="http://schemas.openxmlformats.org/officeDocument/2006/relationships/hyperlink" Target="http://c.012-arp.0008.01.2025.gov.ham.pe/" TargetMode="External"/><Relationship Id="rId1634" Type="http://schemas.openxmlformats.org/officeDocument/2006/relationships/hyperlink" Target="http://arp.0021.11.2024.gov.hof.pe/" TargetMode="External"/><Relationship Id="rId1841" Type="http://schemas.openxmlformats.org/officeDocument/2006/relationships/hyperlink" Target="http://c.003-arp.0029.02.2025.gov.fes-pe.pe/" TargetMode="External"/><Relationship Id="rId1939" Type="http://schemas.openxmlformats.org/officeDocument/2006/relationships/hyperlink" Target="http://c.007-arp.0022.01.2025.gov.fes-pe.pe/" TargetMode="External"/><Relationship Id="rId1701" Type="http://schemas.openxmlformats.org/officeDocument/2006/relationships/hyperlink" Target="http://c.019-arp.0058.00.2024.gov.fes-pe.pe/" TargetMode="External"/><Relationship Id="rId282" Type="http://schemas.openxmlformats.org/officeDocument/2006/relationships/hyperlink" Target="http://arp.0009.00.2025.gov.fes-pe.pe/" TargetMode="External"/><Relationship Id="rId587" Type="http://schemas.openxmlformats.org/officeDocument/2006/relationships/hyperlink" Target="http://a.008-arp.0076.02.2024.gov.huoc.pe/" TargetMode="External"/><Relationship Id="rId2170" Type="http://schemas.openxmlformats.org/officeDocument/2006/relationships/hyperlink" Target="http://arp.0097.04.2024.gov.fes-pe.pe/" TargetMode="External"/><Relationship Id="rId2268" Type="http://schemas.openxmlformats.org/officeDocument/2006/relationships/hyperlink" Target="http://arp.0088.00.2024.gov.fes-pe.pe/" TargetMode="External"/><Relationship Id="rId8" Type="http://schemas.openxmlformats.org/officeDocument/2006/relationships/hyperlink" Target="http://arp.0010.04.2025.gov.hof.pe/" TargetMode="External"/><Relationship Id="rId142" Type="http://schemas.openxmlformats.org/officeDocument/2006/relationships/hyperlink" Target="http://arp.0017.00.2025.gov.huoc.pe/" TargetMode="External"/><Relationship Id="rId447" Type="http://schemas.openxmlformats.org/officeDocument/2006/relationships/hyperlink" Target="http://a.027-arpc.0007.01.2024.gov.sad.pe/" TargetMode="External"/><Relationship Id="rId794" Type="http://schemas.openxmlformats.org/officeDocument/2006/relationships/hyperlink" Target="http://arp.0035.00.2024.gov.hr.pe/" TargetMode="External"/><Relationship Id="rId1077" Type="http://schemas.openxmlformats.org/officeDocument/2006/relationships/hyperlink" Target="http://a.006-arp.0112.01.2023.gov.huoc.pe/" TargetMode="External"/><Relationship Id="rId2030" Type="http://schemas.openxmlformats.org/officeDocument/2006/relationships/hyperlink" Target="http://arp.0002.00.2025.gov.cisam.pe/" TargetMode="External"/><Relationship Id="rId2128" Type="http://schemas.openxmlformats.org/officeDocument/2006/relationships/hyperlink" Target="http://arp.0061.03.2024.gov.fes-pe.pe/" TargetMode="External"/><Relationship Id="rId2475" Type="http://schemas.openxmlformats.org/officeDocument/2006/relationships/hyperlink" Target="http://c.027-arp.0018.00.2024.gov.fes-pe.pe/" TargetMode="External"/><Relationship Id="rId2682" Type="http://schemas.openxmlformats.org/officeDocument/2006/relationships/hyperlink" Target="http://arpc.0008.00.2023.gov.sad.pe/" TargetMode="External"/><Relationship Id="rId654" Type="http://schemas.openxmlformats.org/officeDocument/2006/relationships/hyperlink" Target="http://arp.0084.02.2024.gov.procape.pe/" TargetMode="External"/><Relationship Id="rId861" Type="http://schemas.openxmlformats.org/officeDocument/2006/relationships/hyperlink" Target="http://a.001-arp.0002.00.2024.gov.hr.pe/" TargetMode="External"/><Relationship Id="rId959" Type="http://schemas.openxmlformats.org/officeDocument/2006/relationships/hyperlink" Target="http://a.007-arp.0004.00.2024.gov.hgv.pe/" TargetMode="External"/><Relationship Id="rId1284" Type="http://schemas.openxmlformats.org/officeDocument/2006/relationships/hyperlink" Target="http://arp.0009.02.2023.gov.hbl.pe/" TargetMode="External"/><Relationship Id="rId1491" Type="http://schemas.openxmlformats.org/officeDocument/2006/relationships/hyperlink" Target="http://c.007-arp.0015.02.2025.gov.fes-pe.pe/" TargetMode="External"/><Relationship Id="rId1589" Type="http://schemas.openxmlformats.org/officeDocument/2006/relationships/hyperlink" Target="http://c.002-arp.0084.02.2024.gov.fes-pe.pe/" TargetMode="External"/><Relationship Id="rId2335" Type="http://schemas.openxmlformats.org/officeDocument/2006/relationships/hyperlink" Target="http://c.001-arp.0001.00.2024.fes-pe.pe/" TargetMode="External"/><Relationship Id="rId2542" Type="http://schemas.openxmlformats.org/officeDocument/2006/relationships/hyperlink" Target="http://arp.0064.04.2024.gov.fes-pe.pe/" TargetMode="External"/><Relationship Id="rId307" Type="http://schemas.openxmlformats.org/officeDocument/2006/relationships/hyperlink" Target="http://a.002-arp.0069.00.2024.gov.huoc.pe/" TargetMode="External"/><Relationship Id="rId514" Type="http://schemas.openxmlformats.org/officeDocument/2006/relationships/hyperlink" Target="http://arp.0110.01.2024.gov.huoc.pe/" TargetMode="External"/><Relationship Id="rId721" Type="http://schemas.openxmlformats.org/officeDocument/2006/relationships/hyperlink" Target="http://a.014-arp.0055.06.2024.gov.cisam.pe/" TargetMode="External"/><Relationship Id="rId1144" Type="http://schemas.openxmlformats.org/officeDocument/2006/relationships/hyperlink" Target="http://arp.0064.07.2023.gov.huoc.pe/" TargetMode="External"/><Relationship Id="rId1351" Type="http://schemas.openxmlformats.org/officeDocument/2006/relationships/hyperlink" Target="http://a.007-arp.0013.01.2023.gov.dasis.pe/" TargetMode="External"/><Relationship Id="rId1449" Type="http://schemas.openxmlformats.org/officeDocument/2006/relationships/hyperlink" Target="http://c.001-arp.0101.00.2025.gov.fes-pe.pe/" TargetMode="External"/><Relationship Id="rId1796" Type="http://schemas.openxmlformats.org/officeDocument/2006/relationships/hyperlink" Target="http://arp.0036.01.2025.gov.fes-pe.pe/" TargetMode="External"/><Relationship Id="rId2402" Type="http://schemas.openxmlformats.org/officeDocument/2006/relationships/hyperlink" Target="http://arp.0052.03.2024.gov.fes-pe.pe/" TargetMode="External"/><Relationship Id="rId2847" Type="http://schemas.openxmlformats.org/officeDocument/2006/relationships/hyperlink" Target="http://c.011-arp.0049.05.2023.gov.fes-pe.pe/" TargetMode="External"/><Relationship Id="rId88" Type="http://schemas.openxmlformats.org/officeDocument/2006/relationships/hyperlink" Target="http://arp.0072.07.2025.gov.huoc.pe/" TargetMode="External"/><Relationship Id="rId819" Type="http://schemas.openxmlformats.org/officeDocument/2006/relationships/hyperlink" Target="http://a.001-arp.0021.00.2023.gov.sassepe.pe/" TargetMode="External"/><Relationship Id="rId1004" Type="http://schemas.openxmlformats.org/officeDocument/2006/relationships/hyperlink" Target="http://arp.0005.01.2024.gov.sassepe.pe/" TargetMode="External"/><Relationship Id="rId1211" Type="http://schemas.openxmlformats.org/officeDocument/2006/relationships/hyperlink" Target="http://a.001-arp.0014.05.2023.gov.hr.pe/" TargetMode="External"/><Relationship Id="rId1656" Type="http://schemas.openxmlformats.org/officeDocument/2006/relationships/hyperlink" Target="http://arp.0083.05.2024.gov.fes-pe.pe/" TargetMode="External"/><Relationship Id="rId1863" Type="http://schemas.openxmlformats.org/officeDocument/2006/relationships/hyperlink" Target="http://c.002-arp.0006.05.2025.gov.hof.pe/" TargetMode="External"/><Relationship Id="rId2707" Type="http://schemas.openxmlformats.org/officeDocument/2006/relationships/hyperlink" Target="http://c.007-arp.0003.08.2023.gov.hra.pe/"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B1249"/>
  <sheetViews>
    <sheetView tabSelected="1" topLeftCell="F1" workbookViewId="0">
      <pane ySplit="1" topLeftCell="A1093" activePane="bottomLeft" state="frozen"/>
      <selection pane="bottomLeft" activeCell="C1093" sqref="C1093"/>
    </sheetView>
  </sheetViews>
  <sheetFormatPr defaultColWidth="12.5703125" defaultRowHeight="15.75" customHeight="1" x14ac:dyDescent="0.2"/>
  <cols>
    <col min="1" max="1" width="47.28515625" style="31" bestFit="1" customWidth="1"/>
    <col min="2" max="2" width="16.7109375" style="31" bestFit="1" customWidth="1"/>
    <col min="3" max="3" width="61.42578125" style="31" customWidth="1"/>
    <col min="4" max="4" width="18.85546875" style="31" customWidth="1"/>
    <col min="5" max="5" width="38" style="31" bestFit="1" customWidth="1"/>
    <col min="6" max="6" width="158.28515625" style="31" customWidth="1"/>
    <col min="7" max="7" width="17.5703125" style="31" bestFit="1" customWidth="1"/>
    <col min="8" max="8" width="17" style="31" bestFit="1" customWidth="1"/>
    <col min="9" max="9" width="36.42578125" style="31" bestFit="1" customWidth="1"/>
    <col min="10" max="10" width="31.42578125" style="31" customWidth="1"/>
    <col min="11" max="11" width="25.42578125" style="31" customWidth="1"/>
    <col min="12" max="12" width="16.140625" style="31" customWidth="1"/>
    <col min="13" max="13" width="18" style="31" customWidth="1"/>
    <col min="14" max="14" width="22.85546875" style="31" customWidth="1"/>
    <col min="15" max="15" width="23.5703125" style="31" customWidth="1"/>
    <col min="16" max="16" width="24.42578125" style="31" customWidth="1"/>
    <col min="17" max="17" width="26.5703125" style="31" customWidth="1"/>
    <col min="18" max="16384" width="12.5703125" style="31"/>
  </cols>
  <sheetData>
    <row r="1" spans="1:17" ht="22.5" customHeight="1" x14ac:dyDescent="0.2">
      <c r="A1" s="3" t="s">
        <v>17</v>
      </c>
      <c r="B1" s="4" t="s">
        <v>18</v>
      </c>
      <c r="C1" s="3" t="s">
        <v>19</v>
      </c>
      <c r="D1" s="3" t="s">
        <v>20</v>
      </c>
      <c r="E1" s="3" t="s">
        <v>21</v>
      </c>
      <c r="F1" s="6" t="s">
        <v>22</v>
      </c>
      <c r="G1" s="3" t="s">
        <v>23</v>
      </c>
      <c r="H1" s="3" t="s">
        <v>24</v>
      </c>
      <c r="I1" s="3" t="s">
        <v>25</v>
      </c>
      <c r="J1" s="4" t="s">
        <v>26</v>
      </c>
      <c r="K1" s="4" t="s">
        <v>27</v>
      </c>
      <c r="L1" s="4" t="s">
        <v>28</v>
      </c>
      <c r="M1" s="3" t="s">
        <v>0</v>
      </c>
      <c r="N1" s="3" t="s">
        <v>29</v>
      </c>
      <c r="O1" s="3" t="s">
        <v>30</v>
      </c>
      <c r="P1" s="3" t="s">
        <v>31</v>
      </c>
      <c r="Q1" s="3" t="s">
        <v>32</v>
      </c>
    </row>
    <row r="2" spans="1:17" ht="22.5" customHeight="1" x14ac:dyDescent="0.2">
      <c r="A2" s="3" t="s">
        <v>33</v>
      </c>
      <c r="B2" s="3" t="str">
        <f ca="1">IFERROR(__xludf.DUMMYFUNCTION("REGEXEXTRACT(A2, ""\.(?:GOV|EXT)\.([A-Z0-9\-]+)"")
"),"FES-PE")</f>
        <v>FES-PE</v>
      </c>
      <c r="C2" s="3" t="s">
        <v>34</v>
      </c>
      <c r="D2" s="3" t="s">
        <v>35</v>
      </c>
      <c r="E2" s="14" t="str">
        <f ca="1">IFERROR(__xludf.DUMMYFUNCTION("REGEXEXTRACT(A2, ""-(.*)"")"),"ARP.0080.00.2025.GOV.FES-PE.PE")</f>
        <v>ARP.0080.00.2025.GOV.FES-PE.PE</v>
      </c>
      <c r="F2" s="3" t="s">
        <v>36</v>
      </c>
      <c r="G2" s="3" t="s">
        <v>3</v>
      </c>
      <c r="H2" s="9">
        <v>45933</v>
      </c>
      <c r="I2" s="3" t="s">
        <v>37</v>
      </c>
      <c r="J2" s="3" t="str">
        <f>VLOOKUP(A2,'TODOS OS PROCESSOS ATUALIZADOS '!A:I,7,0)</f>
        <v>Cancelada</v>
      </c>
      <c r="K2" s="3" t="s">
        <v>38</v>
      </c>
      <c r="L2" s="3" t="str">
        <f t="shared" ref="L2:L256" si="0">IFERROR(IF(J2=I2, "Item não atualizado", "Item atualizado"), "Item não localizado")</f>
        <v>Item não atualizado</v>
      </c>
      <c r="M2" s="3"/>
      <c r="N2" s="3" t="s">
        <v>38</v>
      </c>
      <c r="O2" s="3" t="s">
        <v>39</v>
      </c>
    </row>
    <row r="3" spans="1:17" ht="22.5" customHeight="1" x14ac:dyDescent="0.2">
      <c r="A3" s="3" t="s">
        <v>40</v>
      </c>
      <c r="B3" s="3" t="str">
        <f ca="1">IFERROR(__xludf.DUMMYFUNCTION("REGEXEXTRACT(A3, ""\.(?:GOV|EXT)\.([A-Z0-9\-]+)"")
"),"HUOC")</f>
        <v>HUOC</v>
      </c>
      <c r="C3" s="3" t="s">
        <v>34</v>
      </c>
      <c r="D3" s="3" t="s">
        <v>35</v>
      </c>
      <c r="E3" s="14" t="str">
        <f ca="1">IFERROR(__xludf.DUMMYFUNCTION("REGEXEXTRACT(A3, ""-(.*)"")"),"ARP.0001.01.2025.GOV.HUOC.PE")</f>
        <v>ARP.0001.01.2025.GOV.HUOC.PE</v>
      </c>
      <c r="F3" s="3" t="s">
        <v>41</v>
      </c>
      <c r="G3" s="3" t="s">
        <v>3</v>
      </c>
      <c r="H3" s="8">
        <v>45943</v>
      </c>
      <c r="I3" s="3" t="s">
        <v>37</v>
      </c>
      <c r="J3" s="3" t="str">
        <f>VLOOKUP(A3,'TODOS OS PROCESSOS ATUALIZADOS '!A:I,7,0)</f>
        <v>Em configuração</v>
      </c>
      <c r="K3" s="3" t="s">
        <v>42</v>
      </c>
      <c r="L3" s="3" t="str">
        <f t="shared" si="0"/>
        <v>Item atualizado</v>
      </c>
      <c r="M3" s="3"/>
      <c r="N3" s="3" t="s">
        <v>42</v>
      </c>
      <c r="O3" s="3" t="s">
        <v>39</v>
      </c>
      <c r="P3" s="3"/>
      <c r="Q3" s="3"/>
    </row>
    <row r="4" spans="1:17" ht="22.5" customHeight="1" x14ac:dyDescent="0.2">
      <c r="A4" s="3" t="s">
        <v>43</v>
      </c>
      <c r="B4" s="3" t="str">
        <f ca="1">IFERROR(__xludf.DUMMYFUNCTION("REGEXEXTRACT(A4, ""\.(?:GOV|EXT)\.([A-Z0-9\-]+)"")
"),"HUOC")</f>
        <v>HUOC</v>
      </c>
      <c r="C4" s="3" t="s">
        <v>34</v>
      </c>
      <c r="D4" s="3" t="s">
        <v>35</v>
      </c>
      <c r="E4" s="14" t="str">
        <f ca="1">IFERROR(__xludf.DUMMYFUNCTION("REGEXEXTRACT(A4, ""-(.*)"")"),"ARP.0001.01.2025.GOV.HUOC.PE")</f>
        <v>ARP.0001.01.2025.GOV.HUOC.PE</v>
      </c>
      <c r="F4" s="3" t="s">
        <v>41</v>
      </c>
      <c r="G4" s="3" t="s">
        <v>3</v>
      </c>
      <c r="H4" s="9">
        <v>45933</v>
      </c>
      <c r="I4" s="3" t="s">
        <v>44</v>
      </c>
      <c r="J4" s="3" t="str">
        <f>VLOOKUP(A4,'TODOS OS PROCESSOS ATUALIZADOS '!A:I,7,0)</f>
        <v>Autorizada Sucesso</v>
      </c>
      <c r="K4" s="3" t="s">
        <v>44</v>
      </c>
      <c r="L4" s="3" t="str">
        <f t="shared" si="0"/>
        <v>Item atualizado</v>
      </c>
      <c r="M4" s="3"/>
      <c r="N4" s="3" t="s">
        <v>45</v>
      </c>
      <c r="O4" s="3" t="s">
        <v>46</v>
      </c>
      <c r="P4" s="3" t="s">
        <v>47</v>
      </c>
      <c r="Q4" s="3"/>
    </row>
    <row r="5" spans="1:17" ht="22.5" customHeight="1" x14ac:dyDescent="0.2">
      <c r="A5" s="3" t="s">
        <v>48</v>
      </c>
      <c r="B5" s="3" t="str">
        <f ca="1">IFERROR(__xludf.DUMMYFUNCTION("REGEXEXTRACT(A5, ""\.(?:GOV|EXT)\.([A-Z0-9\-]+)"")
"),"HUOC")</f>
        <v>HUOC</v>
      </c>
      <c r="C5" s="3" t="s">
        <v>34</v>
      </c>
      <c r="D5" s="3" t="s">
        <v>35</v>
      </c>
      <c r="E5" s="14" t="str">
        <f ca="1">IFERROR(__xludf.DUMMYFUNCTION("REGEXEXTRACT(A5, ""-(.*)"")"),"ARP.0089.01.2024.GOV.HUOC.PE")</f>
        <v>ARP.0089.01.2024.GOV.HUOC.PE</v>
      </c>
      <c r="F5" s="3" t="s">
        <v>49</v>
      </c>
      <c r="G5" s="3"/>
      <c r="H5" s="9">
        <v>45912</v>
      </c>
      <c r="I5" s="3" t="s">
        <v>37</v>
      </c>
      <c r="J5" s="3" t="str">
        <f>VLOOKUP(A5,'TODOS OS PROCESSOS ATUALIZADOS '!A:I,7,0)</f>
        <v>Cancelada por fim vigencia ATA</v>
      </c>
      <c r="K5" s="3" t="s">
        <v>38</v>
      </c>
      <c r="L5" s="3" t="str">
        <f t="shared" si="0"/>
        <v>Item atualizado</v>
      </c>
      <c r="M5" s="3"/>
      <c r="N5" s="3" t="s">
        <v>38</v>
      </c>
      <c r="O5" s="3" t="s">
        <v>39</v>
      </c>
    </row>
    <row r="6" spans="1:17" ht="22.5" customHeight="1" x14ac:dyDescent="0.2">
      <c r="A6" s="3" t="s">
        <v>50</v>
      </c>
      <c r="B6" s="3" t="str">
        <f ca="1">IFERROR(__xludf.DUMMYFUNCTION("REGEXEXTRACT(A6, ""\.(?:GOV|EXT)\.([A-Z0-9\-]+)"")
"),"HUOC")</f>
        <v>HUOC</v>
      </c>
      <c r="C6" s="3" t="s">
        <v>34</v>
      </c>
      <c r="D6" s="3" t="s">
        <v>35</v>
      </c>
      <c r="E6" s="14" t="str">
        <f ca="1">IFERROR(__xludf.DUMMYFUNCTION("REGEXEXTRACT(A6, ""-(.*)"")"),"ARP.0119.01.2024.GOV.HUOC.PE")</f>
        <v>ARP.0119.01.2024.GOV.HUOC.PE</v>
      </c>
      <c r="F6" s="3" t="s">
        <v>51</v>
      </c>
      <c r="G6" s="3" t="s">
        <v>3</v>
      </c>
      <c r="H6" s="9">
        <v>45923</v>
      </c>
      <c r="I6" s="3" t="s">
        <v>44</v>
      </c>
      <c r="J6" s="3" t="str">
        <f>VLOOKUP(A6,'TODOS OS PROCESSOS ATUALIZADOS '!A:I,7,0)</f>
        <v>Autorizada Sucesso</v>
      </c>
      <c r="K6" s="3" t="s">
        <v>44</v>
      </c>
      <c r="L6" s="3" t="str">
        <f t="shared" si="0"/>
        <v>Item atualizado</v>
      </c>
      <c r="M6" s="3"/>
      <c r="N6" s="3" t="s">
        <v>44</v>
      </c>
      <c r="O6" s="3" t="s">
        <v>52</v>
      </c>
      <c r="P6" s="3" t="s">
        <v>53</v>
      </c>
    </row>
    <row r="7" spans="1:17" ht="22.5" customHeight="1" x14ac:dyDescent="0.2">
      <c r="A7" s="3" t="s">
        <v>54</v>
      </c>
      <c r="B7" s="3" t="str">
        <f ca="1">IFERROR(__xludf.DUMMYFUNCTION("REGEXEXTRACT(A7, ""\.(?:GOV|EXT)\.([A-Z0-9\-]+)"")
"),"FUNDARPE")</f>
        <v>FUNDARPE</v>
      </c>
      <c r="C7" s="3" t="s">
        <v>34</v>
      </c>
      <c r="D7" s="3" t="s">
        <v>35</v>
      </c>
      <c r="E7" s="14" t="str">
        <f ca="1">IFERROR(__xludf.DUMMYFUNCTION("REGEXEXTRACT(A7, ""-(.*)"")"),"ARP.0013.00.2025.GOV.FUNDARPE.PE")</f>
        <v>ARP.0013.00.2025.GOV.FUNDARPE.PE</v>
      </c>
      <c r="F7" s="3" t="s">
        <v>55</v>
      </c>
      <c r="G7" s="3" t="s">
        <v>2</v>
      </c>
      <c r="H7" s="8">
        <v>45943</v>
      </c>
      <c r="I7" s="3" t="s">
        <v>44</v>
      </c>
      <c r="J7" s="3" t="str">
        <f>VLOOKUP(A7,'TODOS OS PROCESSOS ATUALIZADOS '!A:I,7,0)</f>
        <v>Autorizada Sucesso</v>
      </c>
      <c r="K7" s="3" t="s">
        <v>44</v>
      </c>
      <c r="L7" s="3" t="str">
        <f t="shared" si="0"/>
        <v>Item atualizado</v>
      </c>
      <c r="M7" s="3"/>
      <c r="N7" s="3" t="s">
        <v>45</v>
      </c>
      <c r="O7" s="3" t="s">
        <v>56</v>
      </c>
      <c r="P7" s="3" t="s">
        <v>57</v>
      </c>
      <c r="Q7" s="3"/>
    </row>
    <row r="8" spans="1:17" ht="22.5" customHeight="1" x14ac:dyDescent="0.2">
      <c r="A8" s="3" t="s">
        <v>58</v>
      </c>
      <c r="B8" s="3" t="str">
        <f ca="1">IFERROR(__xludf.DUMMYFUNCTION("REGEXEXTRACT(A8, ""\.(?:GOV|EXT)\.([A-Z0-9\-]+)"")
"),"131763")</f>
        <v>131763</v>
      </c>
      <c r="C8" s="3" t="s">
        <v>34</v>
      </c>
      <c r="D8" s="3" t="s">
        <v>35</v>
      </c>
      <c r="E8" s="3" t="str">
        <f ca="1">IFERROR(__xludf.DUMMYFUNCTION("REGEXEXTRACT(A8, ""-(.*)"")"),"ARP.0017.00.2025.EXT.131763.PB")</f>
        <v>ARP.0017.00.2025.EXT.131763.PB</v>
      </c>
      <c r="F8" s="6" t="s">
        <v>59</v>
      </c>
      <c r="G8" s="3" t="s">
        <v>3</v>
      </c>
      <c r="H8" s="9">
        <v>45929</v>
      </c>
      <c r="I8" s="3" t="s">
        <v>44</v>
      </c>
      <c r="J8" s="3" t="str">
        <f>VLOOKUP(A8,'TODOS OS PROCESSOS ATUALIZADOS '!A:I,7,0)</f>
        <v>Autorizada Integrado</v>
      </c>
      <c r="K8" s="3" t="s">
        <v>44</v>
      </c>
      <c r="L8" s="3" t="str">
        <f t="shared" si="0"/>
        <v>Item atualizado</v>
      </c>
      <c r="M8" s="3" t="s">
        <v>5</v>
      </c>
      <c r="N8" s="3" t="s">
        <v>45</v>
      </c>
      <c r="O8" s="3" t="s">
        <v>60</v>
      </c>
      <c r="P8" s="3" t="s">
        <v>61</v>
      </c>
    </row>
    <row r="9" spans="1:17" ht="22.5" customHeight="1" x14ac:dyDescent="0.2">
      <c r="A9" s="3" t="s">
        <v>62</v>
      </c>
      <c r="B9" s="3" t="str">
        <f ca="1">IFERROR(__xludf.DUMMYFUNCTION("REGEXEXTRACT(A9, ""\.(?:GOV|EXT)\.([A-Z0-9\-]+)"")
"),"131763")</f>
        <v>131763</v>
      </c>
      <c r="C9" s="3" t="s">
        <v>34</v>
      </c>
      <c r="D9" s="3" t="s">
        <v>35</v>
      </c>
      <c r="E9" s="3" t="str">
        <f ca="1">IFERROR(__xludf.DUMMYFUNCTION("REGEXEXTRACT(A9, ""-(.*)"")"),"ARP.0017.00.2025.EXT.131763.PB")</f>
        <v>ARP.0017.00.2025.EXT.131763.PB</v>
      </c>
      <c r="F9" s="6" t="s">
        <v>59</v>
      </c>
      <c r="G9" s="3"/>
      <c r="H9" s="9">
        <v>45917</v>
      </c>
      <c r="I9" s="3" t="s">
        <v>44</v>
      </c>
      <c r="J9" s="3" t="str">
        <f>VLOOKUP(A9,'TODOS OS PROCESSOS ATUALIZADOS '!A:I,7,0)</f>
        <v>Autorizada Integrado</v>
      </c>
      <c r="K9" s="3" t="s">
        <v>44</v>
      </c>
      <c r="L9" s="3" t="str">
        <f t="shared" si="0"/>
        <v>Item atualizado</v>
      </c>
      <c r="M9" s="3" t="s">
        <v>5</v>
      </c>
      <c r="N9" s="3" t="s">
        <v>45</v>
      </c>
      <c r="O9" s="3" t="s">
        <v>56</v>
      </c>
      <c r="P9" s="3" t="s">
        <v>63</v>
      </c>
      <c r="Q9" s="6" t="s">
        <v>64</v>
      </c>
    </row>
    <row r="10" spans="1:17" ht="22.5" customHeight="1" x14ac:dyDescent="0.2">
      <c r="A10" s="3" t="s">
        <v>65</v>
      </c>
      <c r="B10" s="3" t="str">
        <f ca="1">IFERROR(__xludf.DUMMYFUNCTION("REGEXEXTRACT(A10, ""\.(?:GOV|EXT)\.([A-Z0-9\-]+)"")
"),"CISAM")</f>
        <v>CISAM</v>
      </c>
      <c r="C10" s="3" t="s">
        <v>34</v>
      </c>
      <c r="D10" s="3" t="s">
        <v>35</v>
      </c>
      <c r="E10" s="14" t="str">
        <f ca="1">IFERROR(__xludf.DUMMYFUNCTION("REGEXEXTRACT(A10, ""-(.*)"")"),"ARP.0084.05.2024.GOV.CISAM.PE")</f>
        <v>ARP.0084.05.2024.GOV.CISAM.PE</v>
      </c>
      <c r="F10" s="3" t="s">
        <v>66</v>
      </c>
      <c r="G10" s="3" t="s">
        <v>2</v>
      </c>
      <c r="H10" s="9">
        <v>45923</v>
      </c>
      <c r="I10" s="3" t="s">
        <v>44</v>
      </c>
      <c r="J10" s="3" t="str">
        <f>VLOOKUP(A10,'TODOS OS PROCESSOS ATUALIZADOS '!A:I,7,0)</f>
        <v>Autorizada Sucesso</v>
      </c>
      <c r="K10" s="3" t="s">
        <v>44</v>
      </c>
      <c r="L10" s="3" t="str">
        <f t="shared" si="0"/>
        <v>Item atualizado</v>
      </c>
      <c r="M10" s="3"/>
      <c r="N10" s="3" t="s">
        <v>45</v>
      </c>
      <c r="O10" s="3" t="s">
        <v>46</v>
      </c>
      <c r="P10" s="3" t="s">
        <v>67</v>
      </c>
      <c r="Q10" s="3"/>
    </row>
    <row r="11" spans="1:17" ht="22.5" customHeight="1" x14ac:dyDescent="0.2">
      <c r="A11" s="3" t="s">
        <v>68</v>
      </c>
      <c r="B11" s="3" t="str">
        <f ca="1">IFERROR(__xludf.DUMMYFUNCTION("REGEXEXTRACT(A11, ""\.(?:GOV|EXT)\.([A-Z0-9\-]+)"")
"),"HOF")</f>
        <v>HOF</v>
      </c>
      <c r="C11" s="3" t="s">
        <v>34</v>
      </c>
      <c r="D11" s="3" t="s">
        <v>35</v>
      </c>
      <c r="E11" s="14" t="str">
        <f ca="1">IFERROR(__xludf.DUMMYFUNCTION("REGEXEXTRACT(A11, ""-(.*)"")"),"ARP.0013.02.2025.GOV.HOF.PE")</f>
        <v>ARP.0013.02.2025.GOV.HOF.PE</v>
      </c>
      <c r="F11" s="3" t="s">
        <v>69</v>
      </c>
      <c r="G11" s="3" t="s">
        <v>1</v>
      </c>
      <c r="H11" s="9">
        <v>45924</v>
      </c>
      <c r="I11" s="3" t="s">
        <v>70</v>
      </c>
      <c r="J11" s="3" t="str">
        <f>VLOOKUP(A11,'TODOS OS PROCESSOS ATUALIZADOS '!A:I,7,0)</f>
        <v>Em configuração</v>
      </c>
      <c r="K11" s="3" t="s">
        <v>45</v>
      </c>
      <c r="L11" s="3" t="str">
        <f t="shared" si="0"/>
        <v>Item não atualizado</v>
      </c>
      <c r="M11" s="3" t="s">
        <v>6</v>
      </c>
      <c r="N11" s="3" t="s">
        <v>45</v>
      </c>
      <c r="O11" s="3" t="s">
        <v>39</v>
      </c>
      <c r="P11" s="3" t="s">
        <v>71</v>
      </c>
      <c r="Q11" s="3" t="s">
        <v>72</v>
      </c>
    </row>
    <row r="12" spans="1:17" ht="22.5" customHeight="1" x14ac:dyDescent="0.2">
      <c r="A12" s="3" t="s">
        <v>73</v>
      </c>
      <c r="B12" s="3" t="str">
        <f ca="1">IFERROR(__xludf.DUMMYFUNCTION("REGEXEXTRACT(A12, ""\.(?:GOV|EXT)\.([A-Z0-9\-]+)"")
"),"FES-PE")</f>
        <v>FES-PE</v>
      </c>
      <c r="C12" s="3" t="s">
        <v>34</v>
      </c>
      <c r="D12" s="3" t="s">
        <v>35</v>
      </c>
      <c r="E12" s="14" t="str">
        <f ca="1">IFERROR(__xludf.DUMMYFUNCTION("REGEXEXTRACT(A12, ""-(.*)"")"),"ARP.0009.02.2025.GOV.FES-PE.PE")</f>
        <v>ARP.0009.02.2025.GOV.FES-PE.PE</v>
      </c>
      <c r="F12" s="3" t="s">
        <v>74</v>
      </c>
      <c r="G12" s="3" t="s">
        <v>3</v>
      </c>
      <c r="H12" s="8">
        <v>45943</v>
      </c>
      <c r="I12" s="3" t="s">
        <v>44</v>
      </c>
      <c r="J12" s="3" t="str">
        <f>VLOOKUP(A12,'TODOS OS PROCESSOS ATUALIZADOS '!A:I,7,0)</f>
        <v>Autorizada Sucesso</v>
      </c>
      <c r="K12" s="3" t="s">
        <v>44</v>
      </c>
      <c r="L12" s="3" t="str">
        <f t="shared" si="0"/>
        <v>Item atualizado</v>
      </c>
      <c r="M12" s="3"/>
      <c r="N12" s="3" t="s">
        <v>44</v>
      </c>
      <c r="O12" s="3" t="s">
        <v>52</v>
      </c>
      <c r="P12" s="3" t="s">
        <v>75</v>
      </c>
      <c r="Q12" s="3"/>
    </row>
    <row r="13" spans="1:17" ht="22.5" customHeight="1" x14ac:dyDescent="0.2">
      <c r="A13" s="3" t="s">
        <v>76</v>
      </c>
      <c r="B13" s="3" t="str">
        <f ca="1">IFERROR(__xludf.DUMMYFUNCTION("REGEXEXTRACT(A13, ""\.(?:GOV|EXT)\.([A-Z0-9\-]+)"")
"),"FES-PE")</f>
        <v>FES-PE</v>
      </c>
      <c r="C13" s="3" t="s">
        <v>34</v>
      </c>
      <c r="D13" s="3" t="s">
        <v>35</v>
      </c>
      <c r="E13" s="14" t="str">
        <f ca="1">IFERROR(__xludf.DUMMYFUNCTION("REGEXEXTRACT(A13, ""-(.*)"")"),"ARP.0080.00.2025.GOV.FES-PE.PE")</f>
        <v>ARP.0080.00.2025.GOV.FES-PE.PE</v>
      </c>
      <c r="F13" s="3" t="s">
        <v>36</v>
      </c>
      <c r="G13" s="3" t="s">
        <v>3</v>
      </c>
      <c r="H13" s="9">
        <v>45933</v>
      </c>
      <c r="I13" s="3" t="s">
        <v>44</v>
      </c>
      <c r="J13" s="3" t="str">
        <f>VLOOKUP(A13,'TODOS OS PROCESSOS ATUALIZADOS '!A:I,7,0)</f>
        <v>Autorizada Sucesso</v>
      </c>
      <c r="K13" s="3" t="s">
        <v>44</v>
      </c>
      <c r="L13" s="3" t="str">
        <f t="shared" si="0"/>
        <v>Item atualizado</v>
      </c>
      <c r="M13" s="3"/>
      <c r="N13" s="3" t="s">
        <v>45</v>
      </c>
      <c r="O13" s="3" t="s">
        <v>60</v>
      </c>
      <c r="P13" s="3" t="s">
        <v>77</v>
      </c>
      <c r="Q13" s="3"/>
    </row>
    <row r="14" spans="1:17" ht="22.5" customHeight="1" x14ac:dyDescent="0.2">
      <c r="A14" s="3" t="s">
        <v>78</v>
      </c>
      <c r="B14" s="3" t="str">
        <f ca="1">IFERROR(__xludf.DUMMYFUNCTION("REGEXEXTRACT(A14, ""\.(?:GOV|EXT)\.([A-Z0-9\-]+)"")
"),"PROCAPE")</f>
        <v>PROCAPE</v>
      </c>
      <c r="C14" s="3" t="s">
        <v>34</v>
      </c>
      <c r="D14" s="3" t="s">
        <v>35</v>
      </c>
      <c r="E14" s="14" t="str">
        <f ca="1">IFERROR(__xludf.DUMMYFUNCTION("REGEXEXTRACT(A14, ""-(.*)"")"),"ARP.0051.04.2025.GOV.PROCAPE.PE")</f>
        <v>ARP.0051.04.2025.GOV.PROCAPE.PE</v>
      </c>
      <c r="F14" s="3" t="s">
        <v>79</v>
      </c>
      <c r="G14" s="3" t="s">
        <v>3</v>
      </c>
      <c r="H14" s="9">
        <v>45925</v>
      </c>
      <c r="I14" s="3" t="s">
        <v>44</v>
      </c>
      <c r="J14" s="3" t="str">
        <f>VLOOKUP(A14,'TODOS OS PROCESSOS ATUALIZADOS '!A:I,7,0)</f>
        <v>Autorizada Sucesso</v>
      </c>
      <c r="K14" s="3" t="s">
        <v>44</v>
      </c>
      <c r="L14" s="3" t="str">
        <f t="shared" si="0"/>
        <v>Item atualizado</v>
      </c>
      <c r="M14" s="3"/>
      <c r="N14" s="3" t="s">
        <v>45</v>
      </c>
      <c r="O14" s="3" t="s">
        <v>46</v>
      </c>
      <c r="P14" s="3" t="s">
        <v>80</v>
      </c>
      <c r="Q14" s="3"/>
    </row>
    <row r="15" spans="1:17" ht="22.5" customHeight="1" x14ac:dyDescent="0.2">
      <c r="A15" s="3" t="s">
        <v>81</v>
      </c>
      <c r="B15" s="3" t="str">
        <f ca="1">IFERROR(__xludf.DUMMYFUNCTION("REGEXEXTRACT(A15, ""\.(?:GOV|EXT)\.([A-Z0-9\-]+)"")
"),"HUOC")</f>
        <v>HUOC</v>
      </c>
      <c r="C15" s="3" t="s">
        <v>34</v>
      </c>
      <c r="D15" s="3" t="s">
        <v>35</v>
      </c>
      <c r="E15" s="14" t="str">
        <f ca="1">IFERROR(__xludf.DUMMYFUNCTION("REGEXEXTRACT(A15, ""-(.*)"")"),"ARP.0072.07.2025.GOV.HUOC.PE")</f>
        <v>ARP.0072.07.2025.GOV.HUOC.PE</v>
      </c>
      <c r="F15" s="3" t="s">
        <v>82</v>
      </c>
      <c r="G15" s="3" t="s">
        <v>3</v>
      </c>
      <c r="H15" s="9">
        <v>45924</v>
      </c>
      <c r="I15" s="3" t="s">
        <v>37</v>
      </c>
      <c r="J15" s="3" t="str">
        <f>VLOOKUP(A15,'TODOS OS PROCESSOS ATUALIZADOS '!A:I,7,0)</f>
        <v>Em configuração</v>
      </c>
      <c r="K15" s="3" t="s">
        <v>42</v>
      </c>
      <c r="L15" s="3" t="str">
        <f t="shared" si="0"/>
        <v>Item atualizado</v>
      </c>
      <c r="M15" s="3"/>
      <c r="N15" s="3" t="s">
        <v>42</v>
      </c>
      <c r="O15" s="3" t="s">
        <v>39</v>
      </c>
      <c r="P15" s="3" t="s">
        <v>83</v>
      </c>
    </row>
    <row r="16" spans="1:17" ht="22.5" customHeight="1" x14ac:dyDescent="0.2">
      <c r="A16" s="3" t="s">
        <v>84</v>
      </c>
      <c r="B16" s="3" t="str">
        <f ca="1">IFERROR(__xludf.DUMMYFUNCTION("REGEXEXTRACT(A16, ""\.(?:GOV|EXT)\.([A-Z0-9\-]+)"")
"),"HGV")</f>
        <v>HGV</v>
      </c>
      <c r="C16" s="3" t="s">
        <v>34</v>
      </c>
      <c r="D16" s="3" t="s">
        <v>35</v>
      </c>
      <c r="E16" s="14" t="str">
        <f ca="1">IFERROR(__xludf.DUMMYFUNCTION("REGEXEXTRACT(A16, ""-(.*)"")"),"ARP.0008.05.2025.GOV.HGV.PE")</f>
        <v>ARP.0008.05.2025.GOV.HGV.PE</v>
      </c>
      <c r="F16" s="3" t="s">
        <v>85</v>
      </c>
      <c r="G16" s="3" t="s">
        <v>4</v>
      </c>
      <c r="H16" s="8">
        <v>45946</v>
      </c>
      <c r="I16" s="3" t="s">
        <v>37</v>
      </c>
      <c r="J16" s="3" t="str">
        <f>VLOOKUP(A16,'TODOS OS PROCESSOS ATUALIZADOS '!A:I,7,0)</f>
        <v>Cancelada</v>
      </c>
      <c r="K16" s="3" t="s">
        <v>38</v>
      </c>
      <c r="L16" s="3" t="str">
        <f t="shared" si="0"/>
        <v>Item não atualizado</v>
      </c>
      <c r="M16" s="3"/>
      <c r="N16" s="3" t="s">
        <v>38</v>
      </c>
      <c r="O16" s="3" t="s">
        <v>39</v>
      </c>
      <c r="P16" s="3"/>
      <c r="Q16" s="3"/>
    </row>
    <row r="17" spans="1:17" ht="22.5" customHeight="1" x14ac:dyDescent="0.2">
      <c r="A17" s="3" t="s">
        <v>40</v>
      </c>
      <c r="B17" s="3" t="str">
        <f ca="1">IFERROR(__xludf.DUMMYFUNCTION("REGEXEXTRACT(A17, ""\.(?:GOV|EXT)\.([A-Z0-9\-]+)"")
"),"HUOC")</f>
        <v>HUOC</v>
      </c>
      <c r="C17" s="3" t="s">
        <v>34</v>
      </c>
      <c r="D17" s="3" t="s">
        <v>35</v>
      </c>
      <c r="E17" s="14" t="str">
        <f ca="1">IFERROR(__xludf.DUMMYFUNCTION("REGEXEXTRACT(A17, ""-(.*)"")"),"ARP.0001.01.2025.GOV.HUOC.PE")</f>
        <v>ARP.0001.01.2025.GOV.HUOC.PE</v>
      </c>
      <c r="F17" s="3" t="s">
        <v>86</v>
      </c>
      <c r="G17" s="3" t="s">
        <v>3</v>
      </c>
      <c r="H17" s="8">
        <v>45943</v>
      </c>
      <c r="I17" s="3" t="s">
        <v>44</v>
      </c>
      <c r="J17" s="3" t="str">
        <f>VLOOKUP(A17,'TODOS OS PROCESSOS ATUALIZADOS '!A:I,7,0)</f>
        <v>Em configuração</v>
      </c>
      <c r="K17" s="3" t="s">
        <v>44</v>
      </c>
      <c r="L17" s="3" t="str">
        <f t="shared" si="0"/>
        <v>Item atualizado</v>
      </c>
      <c r="M17" s="3"/>
      <c r="N17" s="3" t="s">
        <v>45</v>
      </c>
      <c r="O17" s="3" t="s">
        <v>87</v>
      </c>
      <c r="P17" s="3" t="s">
        <v>75</v>
      </c>
      <c r="Q17" s="3" t="s">
        <v>72</v>
      </c>
    </row>
    <row r="18" spans="1:17" ht="22.5" customHeight="1" x14ac:dyDescent="0.2">
      <c r="A18" s="3" t="s">
        <v>88</v>
      </c>
      <c r="B18" s="3" t="str">
        <f ca="1">IFERROR(__xludf.DUMMYFUNCTION("REGEXEXTRACT(A18, ""\.(?:GOV|EXT)\.([A-Z0-9\-]+)"")
"),"HUOC")</f>
        <v>HUOC</v>
      </c>
      <c r="C18" s="3" t="s">
        <v>34</v>
      </c>
      <c r="D18" s="3" t="s">
        <v>35</v>
      </c>
      <c r="E18" s="14" t="str">
        <f ca="1">IFERROR(__xludf.DUMMYFUNCTION("REGEXEXTRACT(A18, ""-(.*)"")"),"ARP.0072.07.2025.GOV.HUOC.PE")</f>
        <v>ARP.0072.07.2025.GOV.HUOC.PE</v>
      </c>
      <c r="F18" s="3" t="s">
        <v>82</v>
      </c>
      <c r="G18" s="3"/>
      <c r="H18" s="9">
        <v>45918</v>
      </c>
      <c r="I18" s="3" t="s">
        <v>44</v>
      </c>
      <c r="J18" s="3" t="str">
        <f>VLOOKUP(A18,'TODOS OS PROCESSOS ATUALIZADOS '!A:I,7,0)</f>
        <v>Autorizada Sucesso</v>
      </c>
      <c r="K18" s="3" t="s">
        <v>44</v>
      </c>
      <c r="L18" s="3" t="str">
        <f t="shared" si="0"/>
        <v>Item atualizado</v>
      </c>
      <c r="M18" s="3"/>
      <c r="N18" s="3" t="s">
        <v>45</v>
      </c>
      <c r="O18" s="3" t="s">
        <v>87</v>
      </c>
      <c r="P18" s="3" t="s">
        <v>89</v>
      </c>
    </row>
    <row r="19" spans="1:17" ht="22.5" customHeight="1" x14ac:dyDescent="0.2">
      <c r="A19" s="3" t="s">
        <v>90</v>
      </c>
      <c r="B19" s="3" t="str">
        <f ca="1">IFERROR(__xludf.DUMMYFUNCTION("REGEXEXTRACT(A19, ""\.(?:GOV|EXT)\.([A-Z0-9\-]+)"")
"),"HUOC")</f>
        <v>HUOC</v>
      </c>
      <c r="C19" s="3" t="s">
        <v>34</v>
      </c>
      <c r="D19" s="3" t="s">
        <v>35</v>
      </c>
      <c r="E19" s="14" t="str">
        <f ca="1">IFERROR(__xludf.DUMMYFUNCTION("REGEXEXTRACT(A19, ""-(.*)"")"),"ARP.0057.00.2025.GOV.HUOC.PE")</f>
        <v>ARP.0057.00.2025.GOV.HUOC.PE</v>
      </c>
      <c r="F19" s="3" t="s">
        <v>91</v>
      </c>
      <c r="G19" s="3" t="s">
        <v>3</v>
      </c>
      <c r="H19" s="9">
        <v>45925</v>
      </c>
      <c r="I19" s="3" t="s">
        <v>37</v>
      </c>
      <c r="J19" s="3" t="str">
        <f>VLOOKUP(A19,'TODOS OS PROCESSOS ATUALIZADOS '!A:I,7,0)</f>
        <v>Em configuração</v>
      </c>
      <c r="K19" s="3" t="s">
        <v>42</v>
      </c>
      <c r="L19" s="3" t="str">
        <f t="shared" si="0"/>
        <v>Item atualizado</v>
      </c>
      <c r="M19" s="3"/>
      <c r="N19" s="3" t="s">
        <v>42</v>
      </c>
      <c r="O19" s="3" t="s">
        <v>39</v>
      </c>
    </row>
    <row r="20" spans="1:17" ht="22.5" customHeight="1" x14ac:dyDescent="0.2">
      <c r="A20" s="3" t="s">
        <v>92</v>
      </c>
      <c r="B20" s="3" t="str">
        <f ca="1">IFERROR(__xludf.DUMMYFUNCTION("REGEXEXTRACT(A20, ""\.(?:GOV|EXT)\.([A-Z0-9\-]+)"")
"),"HOF")</f>
        <v>HOF</v>
      </c>
      <c r="C20" s="3" t="s">
        <v>34</v>
      </c>
      <c r="D20" s="3" t="s">
        <v>35</v>
      </c>
      <c r="E20" s="14" t="str">
        <f ca="1">IFERROR(__xludf.DUMMYFUNCTION("REGEXEXTRACT(A20, ""-(.*)"")"),"ARP.0013.06.2025.GOV.HOF.PE")</f>
        <v>ARP.0013.06.2025.GOV.HOF.PE</v>
      </c>
      <c r="F20" s="3" t="s">
        <v>69</v>
      </c>
      <c r="G20" s="3" t="s">
        <v>1</v>
      </c>
      <c r="H20" s="9">
        <v>45918</v>
      </c>
      <c r="I20" s="3" t="s">
        <v>37</v>
      </c>
      <c r="J20" s="3" t="str">
        <f>VLOOKUP(A20,'TODOS OS PROCESSOS ATUALIZADOS '!A:I,7,0)</f>
        <v>Em configuração</v>
      </c>
      <c r="K20" s="3" t="s">
        <v>42</v>
      </c>
      <c r="L20" s="3" t="str">
        <f t="shared" si="0"/>
        <v>Item atualizado</v>
      </c>
      <c r="M20" s="3"/>
      <c r="N20" s="3" t="s">
        <v>42</v>
      </c>
      <c r="O20" s="3" t="s">
        <v>39</v>
      </c>
    </row>
    <row r="21" spans="1:17" ht="22.5" customHeight="1" x14ac:dyDescent="0.2">
      <c r="A21" s="3" t="s">
        <v>93</v>
      </c>
      <c r="B21" s="3" t="str">
        <f ca="1">IFERROR(__xludf.DUMMYFUNCTION("REGEXEXTRACT(A21, ""\.(?:GOV|EXT)\.([A-Z0-9\-]+)"")
"),"HGV")</f>
        <v>HGV</v>
      </c>
      <c r="C21" s="3" t="s">
        <v>34</v>
      </c>
      <c r="D21" s="3" t="s">
        <v>35</v>
      </c>
      <c r="E21" s="14" t="str">
        <f ca="1">IFERROR(__xludf.DUMMYFUNCTION("REGEXEXTRACT(A21, ""-(.*)"")"),"ARP.0008.05.2025.GOV.HGV.PE")</f>
        <v>ARP.0008.05.2025.GOV.HGV.PE</v>
      </c>
      <c r="F21" s="3" t="s">
        <v>85</v>
      </c>
      <c r="G21" s="3" t="s">
        <v>4</v>
      </c>
      <c r="H21" s="9">
        <v>45932</v>
      </c>
      <c r="I21" s="3" t="s">
        <v>37</v>
      </c>
      <c r="J21" s="3" t="str">
        <f>VLOOKUP(A21,'TODOS OS PROCESSOS ATUALIZADOS '!A:I,7,0)</f>
        <v>Cancelada</v>
      </c>
      <c r="K21" s="3" t="s">
        <v>38</v>
      </c>
      <c r="L21" s="3" t="str">
        <f t="shared" si="0"/>
        <v>Item não atualizado</v>
      </c>
      <c r="M21" s="3"/>
      <c r="N21" s="3" t="s">
        <v>38</v>
      </c>
      <c r="O21" s="3" t="s">
        <v>39</v>
      </c>
    </row>
    <row r="22" spans="1:17" ht="22.5" customHeight="1" x14ac:dyDescent="0.2">
      <c r="A22" s="3" t="s">
        <v>94</v>
      </c>
      <c r="B22" s="3" t="str">
        <f ca="1">IFERROR(__xludf.DUMMYFUNCTION("REGEXEXTRACT(A22, ""\.(?:GOV|EXT)\.([A-Z0-9\-]+)"")
"),"FEAS")</f>
        <v>FEAS</v>
      </c>
      <c r="C22" s="3" t="s">
        <v>34</v>
      </c>
      <c r="D22" s="3" t="s">
        <v>35</v>
      </c>
      <c r="E22" s="14" t="str">
        <f ca="1">IFERROR(__xludf.DUMMYFUNCTION("REGEXEXTRACT(A22, ""-(.*)"")"),"ARP.0005.00.2025.GOV.FEAS.PE")</f>
        <v>ARP.0005.00.2025.GOV.FEAS.PE</v>
      </c>
      <c r="F22" s="3" t="s">
        <v>95</v>
      </c>
      <c r="G22" s="3" t="s">
        <v>2</v>
      </c>
      <c r="H22" s="9">
        <v>45923</v>
      </c>
      <c r="I22" s="3" t="s">
        <v>44</v>
      </c>
      <c r="J22" s="3" t="str">
        <f>VLOOKUP(A22,'TODOS OS PROCESSOS ATUALIZADOS '!A:I,7,0)</f>
        <v>Autorizada Sucesso</v>
      </c>
      <c r="K22" s="3" t="s">
        <v>44</v>
      </c>
      <c r="L22" s="3" t="str">
        <f t="shared" si="0"/>
        <v>Item atualizado</v>
      </c>
      <c r="M22" s="3"/>
      <c r="N22" s="3" t="s">
        <v>45</v>
      </c>
      <c r="O22" s="3" t="s">
        <v>46</v>
      </c>
      <c r="P22" s="3" t="s">
        <v>96</v>
      </c>
    </row>
    <row r="23" spans="1:17" ht="22.5" customHeight="1" x14ac:dyDescent="0.2">
      <c r="A23" s="3" t="s">
        <v>97</v>
      </c>
      <c r="B23" s="3" t="str">
        <f ca="1">IFERROR(__xludf.DUMMYFUNCTION("REGEXEXTRACT(A23, ""\.(?:GOV|EXT)\.([A-Z0-9\-]+)"")
"),"HR")</f>
        <v>HR</v>
      </c>
      <c r="C23" s="3" t="s">
        <v>34</v>
      </c>
      <c r="D23" s="3" t="s">
        <v>35</v>
      </c>
      <c r="E23" s="14" t="str">
        <f ca="1">IFERROR(__xludf.DUMMYFUNCTION("REGEXEXTRACT(A23, ""-(.*)"")"),"ARP.0001.00.2025.GOV.HR.PE")</f>
        <v>ARP.0001.00.2025.GOV.HR.PE</v>
      </c>
      <c r="F23" s="3" t="s">
        <v>86</v>
      </c>
      <c r="G23" s="3" t="s">
        <v>3</v>
      </c>
      <c r="H23" s="8">
        <v>45943</v>
      </c>
      <c r="I23" s="3" t="s">
        <v>44</v>
      </c>
      <c r="J23" s="3" t="str">
        <f>VLOOKUP(A23,'TODOS OS PROCESSOS ATUALIZADOS '!A:I,7,0)</f>
        <v>Autorizada Sucesso</v>
      </c>
      <c r="K23" s="3" t="s">
        <v>44</v>
      </c>
      <c r="L23" s="3" t="str">
        <f t="shared" si="0"/>
        <v>Item atualizado</v>
      </c>
      <c r="M23" s="3"/>
      <c r="N23" s="3" t="s">
        <v>45</v>
      </c>
      <c r="O23" s="3" t="s">
        <v>56</v>
      </c>
      <c r="P23" s="3" t="s">
        <v>98</v>
      </c>
      <c r="Q23" s="3"/>
    </row>
    <row r="24" spans="1:17" ht="22.5" customHeight="1" x14ac:dyDescent="0.2">
      <c r="A24" s="3" t="s">
        <v>99</v>
      </c>
      <c r="B24" s="3" t="str">
        <f ca="1">IFERROR(__xludf.DUMMYFUNCTION("REGEXEXTRACT(A24, ""\.(?:GOV|EXT)\.([A-Z0-9\-]+)"")
"),"HGV")</f>
        <v>HGV</v>
      </c>
      <c r="C24" s="3" t="s">
        <v>34</v>
      </c>
      <c r="D24" s="3" t="s">
        <v>35</v>
      </c>
      <c r="E24" s="14" t="str">
        <f ca="1">IFERROR(__xludf.DUMMYFUNCTION("REGEXEXTRACT(A24, ""-(.*)"")"),"ARP.0008.05.2025.GOV.HGV.PE")</f>
        <v>ARP.0008.05.2025.GOV.HGV.PE</v>
      </c>
      <c r="F24" s="3" t="s">
        <v>85</v>
      </c>
      <c r="G24" s="3" t="s">
        <v>4</v>
      </c>
      <c r="H24" s="9">
        <v>45925</v>
      </c>
      <c r="I24" s="3" t="s">
        <v>37</v>
      </c>
      <c r="J24" s="3" t="str">
        <f>VLOOKUP(A24,'TODOS OS PROCESSOS ATUALIZADOS '!A:I,7,0)</f>
        <v>Cancelada</v>
      </c>
      <c r="K24" s="3" t="s">
        <v>38</v>
      </c>
      <c r="L24" s="3" t="str">
        <f t="shared" si="0"/>
        <v>Item não atualizado</v>
      </c>
      <c r="M24" s="3"/>
      <c r="N24" s="3" t="s">
        <v>38</v>
      </c>
      <c r="O24" s="3" t="s">
        <v>39</v>
      </c>
    </row>
    <row r="25" spans="1:17" ht="22.5" customHeight="1" x14ac:dyDescent="0.2">
      <c r="A25" s="3" t="s">
        <v>100</v>
      </c>
      <c r="B25" s="3" t="str">
        <f ca="1">IFERROR(__xludf.DUMMYFUNCTION("REGEXEXTRACT(A25, ""\.(?:GOV|EXT)\.([A-Z0-9\-]+)"")
"),"FEAS")</f>
        <v>FEAS</v>
      </c>
      <c r="C25" s="3" t="s">
        <v>34</v>
      </c>
      <c r="D25" s="3" t="s">
        <v>35</v>
      </c>
      <c r="E25" s="14" t="str">
        <f ca="1">IFERROR(__xludf.DUMMYFUNCTION("REGEXEXTRACT(A25, ""-(.*)"")"),"ARP.0005.00.2025.GOV.FEAS.PE")</f>
        <v>ARP.0005.00.2025.GOV.FEAS.PE</v>
      </c>
      <c r="F25" s="3" t="s">
        <v>95</v>
      </c>
      <c r="G25" s="3" t="s">
        <v>2</v>
      </c>
      <c r="H25" s="9">
        <v>45917</v>
      </c>
      <c r="I25" s="3" t="s">
        <v>37</v>
      </c>
      <c r="J25" s="3" t="str">
        <f>VLOOKUP(A25,'TODOS OS PROCESSOS ATUALIZADOS '!A:I,7,0)</f>
        <v>Em configuração</v>
      </c>
      <c r="K25" s="3" t="s">
        <v>42</v>
      </c>
      <c r="L25" s="3" t="str">
        <f t="shared" si="0"/>
        <v>Item atualizado</v>
      </c>
      <c r="M25" s="3"/>
      <c r="N25" s="3" t="s">
        <v>42</v>
      </c>
      <c r="O25" s="3" t="s">
        <v>39</v>
      </c>
    </row>
    <row r="26" spans="1:17" ht="22.5" customHeight="1" x14ac:dyDescent="0.2">
      <c r="A26" s="3" t="s">
        <v>101</v>
      </c>
      <c r="B26" s="3" t="str">
        <f ca="1">IFERROR(__xludf.DUMMYFUNCTION("REGEXEXTRACT(A26, ""\.(?:GOV|EXT)\.([A-Z0-9\-]+)"")
"),"HAM")</f>
        <v>HAM</v>
      </c>
      <c r="C26" s="3" t="s">
        <v>34</v>
      </c>
      <c r="D26" s="3" t="s">
        <v>35</v>
      </c>
      <c r="E26" s="14" t="str">
        <f ca="1">IFERROR(__xludf.DUMMYFUNCTION("REGEXEXTRACT(A26, ""-(.*)"")"),"ARP.0011.00.2025.GOV.HAM.PE")</f>
        <v>ARP.0011.00.2025.GOV.HAM.PE</v>
      </c>
      <c r="F26" s="3" t="s">
        <v>102</v>
      </c>
      <c r="G26" s="3" t="s">
        <v>3</v>
      </c>
      <c r="H26" s="9">
        <v>45917</v>
      </c>
      <c r="I26" s="3" t="s">
        <v>44</v>
      </c>
      <c r="J26" s="3" t="str">
        <f>VLOOKUP(A26,'TODOS OS PROCESSOS ATUALIZADOS '!A:I,7,0)</f>
        <v>Autorizada Sucesso</v>
      </c>
      <c r="K26" s="3" t="s">
        <v>44</v>
      </c>
      <c r="L26" s="3" t="str">
        <f t="shared" si="0"/>
        <v>Item atualizado</v>
      </c>
      <c r="M26" s="3" t="s">
        <v>8</v>
      </c>
      <c r="N26" s="3" t="s">
        <v>45</v>
      </c>
      <c r="O26" s="3" t="s">
        <v>56</v>
      </c>
      <c r="P26" s="3" t="s">
        <v>103</v>
      </c>
      <c r="Q26" s="3"/>
    </row>
    <row r="27" spans="1:17" ht="22.5" customHeight="1" x14ac:dyDescent="0.2">
      <c r="A27" s="3" t="s">
        <v>104</v>
      </c>
      <c r="B27" s="3" t="str">
        <f ca="1">IFERROR(__xludf.DUMMYFUNCTION("REGEXEXTRACT(A27, ""\.(?:GOV|EXT)\.([A-Z0-9\-]+)"")
"),"HAM")</f>
        <v>HAM</v>
      </c>
      <c r="C27" s="3" t="s">
        <v>34</v>
      </c>
      <c r="D27" s="3" t="s">
        <v>35</v>
      </c>
      <c r="E27" s="14" t="str">
        <f ca="1">IFERROR(__xludf.DUMMYFUNCTION("REGEXEXTRACT(A27, ""-(.*)"")"),"ARP.0010.05.2025.GOV.HAM.PE")</f>
        <v>ARP.0010.05.2025.GOV.HAM.PE</v>
      </c>
      <c r="F27" s="3" t="s">
        <v>105</v>
      </c>
      <c r="G27" s="3" t="s">
        <v>3</v>
      </c>
      <c r="H27" s="9">
        <v>45916</v>
      </c>
      <c r="I27" s="3" t="s">
        <v>44</v>
      </c>
      <c r="J27" s="3" t="str">
        <f>VLOOKUP(A27,'TODOS OS PROCESSOS ATUALIZADOS '!A:I,7,0)</f>
        <v>Autorizada Sucesso</v>
      </c>
      <c r="K27" s="3" t="s">
        <v>44</v>
      </c>
      <c r="L27" s="3" t="str">
        <f t="shared" si="0"/>
        <v>Item atualizado</v>
      </c>
      <c r="M27" s="3" t="s">
        <v>8</v>
      </c>
      <c r="N27" s="3" t="s">
        <v>45</v>
      </c>
      <c r="O27" s="3" t="s">
        <v>56</v>
      </c>
      <c r="P27" s="3" t="s">
        <v>106</v>
      </c>
      <c r="Q27" s="3"/>
    </row>
    <row r="28" spans="1:17" ht="22.5" customHeight="1" x14ac:dyDescent="0.2">
      <c r="A28" s="3" t="s">
        <v>107</v>
      </c>
      <c r="B28" s="3" t="str">
        <f ca="1">IFERROR(__xludf.DUMMYFUNCTION("REGEXEXTRACT(A28, ""\.(?:GOV|EXT)\.([A-Z0-9\-]+)"")
"),"HGJMM")</f>
        <v>HGJMM</v>
      </c>
      <c r="C28" s="3" t="s">
        <v>34</v>
      </c>
      <c r="D28" s="3" t="s">
        <v>35</v>
      </c>
      <c r="E28" s="3" t="str">
        <f ca="1">IFERROR(__xludf.DUMMYFUNCTION("REGEXEXTRACT(A28, ""-(.*)"")"),"ARP.0501.00.2025.EXT.HGJMM.RN")</f>
        <v>ARP.0501.00.2025.EXT.HGJMM.RN</v>
      </c>
      <c r="F28" s="3" t="s">
        <v>108</v>
      </c>
      <c r="G28" s="3" t="s">
        <v>3</v>
      </c>
      <c r="H28" s="9">
        <v>45924</v>
      </c>
      <c r="I28" s="3" t="s">
        <v>37</v>
      </c>
      <c r="J28" s="3" t="str">
        <f>VLOOKUP(A28,'TODOS OS PROCESSOS ATUALIZADOS '!A:I,7,0)</f>
        <v>Cancelada por fim vigencia ATA</v>
      </c>
      <c r="K28" s="3" t="s">
        <v>38</v>
      </c>
      <c r="L28" s="3" t="str">
        <f t="shared" si="0"/>
        <v>Item atualizado</v>
      </c>
      <c r="M28" s="3"/>
      <c r="N28" s="3" t="s">
        <v>38</v>
      </c>
      <c r="O28" s="3" t="s">
        <v>39</v>
      </c>
    </row>
    <row r="29" spans="1:17" ht="22.5" customHeight="1" x14ac:dyDescent="0.2">
      <c r="A29" s="3" t="s">
        <v>109</v>
      </c>
      <c r="B29" s="3" t="str">
        <f ca="1">IFERROR(__xludf.DUMMYFUNCTION("REGEXEXTRACT(A29, ""\.(?:GOV|EXT)\.([A-Z0-9\-]+)"")
"),"HUOC")</f>
        <v>HUOC</v>
      </c>
      <c r="C29" s="3" t="s">
        <v>34</v>
      </c>
      <c r="D29" s="3" t="s">
        <v>35</v>
      </c>
      <c r="E29" s="14" t="str">
        <f ca="1">IFERROR(__xludf.DUMMYFUNCTION("REGEXEXTRACT(A29, ""-(.*)"")"),"ARP.0118.05.2024.GOV.HUOC.PE")</f>
        <v>ARP.0118.05.2024.GOV.HUOC.PE</v>
      </c>
      <c r="F29" s="3" t="s">
        <v>110</v>
      </c>
      <c r="G29" s="3"/>
      <c r="H29" s="9">
        <v>45925</v>
      </c>
      <c r="I29" s="3" t="s">
        <v>44</v>
      </c>
      <c r="J29" s="3" t="str">
        <f>VLOOKUP(A29,'TODOS OS PROCESSOS ATUALIZADOS '!A:I,7,0)</f>
        <v>Autorizada Sucesso</v>
      </c>
      <c r="K29" s="3" t="s">
        <v>44</v>
      </c>
      <c r="L29" s="3" t="str">
        <f t="shared" si="0"/>
        <v>Item atualizado</v>
      </c>
      <c r="M29" s="3"/>
      <c r="N29" s="3" t="s">
        <v>44</v>
      </c>
      <c r="O29" s="3" t="s">
        <v>52</v>
      </c>
      <c r="P29" s="3" t="s">
        <v>111</v>
      </c>
    </row>
    <row r="30" spans="1:17" ht="22.5" customHeight="1" x14ac:dyDescent="0.2">
      <c r="A30" s="3" t="s">
        <v>112</v>
      </c>
      <c r="B30" s="3" t="str">
        <f ca="1">IFERROR(__xludf.DUMMYFUNCTION("REGEXEXTRACT(A30, ""\.(?:GOV|EXT)\.([A-Z0-9\-]+)"")
"),"HUOC")</f>
        <v>HUOC</v>
      </c>
      <c r="C30" s="3" t="s">
        <v>34</v>
      </c>
      <c r="D30" s="3" t="s">
        <v>35</v>
      </c>
      <c r="E30" s="14" t="str">
        <f ca="1">IFERROR(__xludf.DUMMYFUNCTION("REGEXEXTRACT(A30, ""-(.*)"")"),"ARP.0118.01.2024.GOV.HUOC.PE")</f>
        <v>ARP.0118.01.2024.GOV.HUOC.PE</v>
      </c>
      <c r="F30" s="3" t="s">
        <v>110</v>
      </c>
      <c r="G30" s="3"/>
      <c r="H30" s="9">
        <v>45925</v>
      </c>
      <c r="I30" s="3" t="s">
        <v>44</v>
      </c>
      <c r="J30" s="3" t="str">
        <f>VLOOKUP(A30,'TODOS OS PROCESSOS ATUALIZADOS '!A:I,7,0)</f>
        <v>Autorizada Sucesso</v>
      </c>
      <c r="K30" s="3" t="s">
        <v>44</v>
      </c>
      <c r="L30" s="3" t="str">
        <f t="shared" si="0"/>
        <v>Item atualizado</v>
      </c>
      <c r="M30" s="3"/>
      <c r="N30" s="3" t="s">
        <v>44</v>
      </c>
      <c r="O30" s="3" t="s">
        <v>52</v>
      </c>
      <c r="P30" s="3" t="s">
        <v>113</v>
      </c>
    </row>
    <row r="31" spans="1:17" ht="22.5" customHeight="1" x14ac:dyDescent="0.2">
      <c r="A31" s="3" t="s">
        <v>114</v>
      </c>
      <c r="B31" s="3" t="str">
        <f ca="1">IFERROR(__xludf.DUMMYFUNCTION("REGEXEXTRACT(A31, ""\.(?:GOV|EXT)\.([A-Z0-9\-]+)"")
"),"HUOC")</f>
        <v>HUOC</v>
      </c>
      <c r="C31" s="3" t="s">
        <v>34</v>
      </c>
      <c r="D31" s="3" t="s">
        <v>35</v>
      </c>
      <c r="E31" s="14" t="str">
        <f ca="1">IFERROR(__xludf.DUMMYFUNCTION("REGEXEXTRACT(A31, ""-(.*)"")"),"ARP.0073.05.2025.GOV.HUOC.PE")</f>
        <v>ARP.0073.05.2025.GOV.HUOC.PE</v>
      </c>
      <c r="F31" s="3" t="s">
        <v>115</v>
      </c>
      <c r="G31" s="3"/>
      <c r="H31" s="9">
        <v>45916</v>
      </c>
      <c r="I31" s="3" t="s">
        <v>44</v>
      </c>
      <c r="J31" s="3" t="str">
        <f>VLOOKUP(A31,'TODOS OS PROCESSOS ATUALIZADOS '!A:I,7,0)</f>
        <v>Autorizada Sucesso</v>
      </c>
      <c r="K31" s="3" t="s">
        <v>44</v>
      </c>
      <c r="L31" s="3" t="str">
        <f t="shared" si="0"/>
        <v>Item atualizado</v>
      </c>
      <c r="M31" s="3"/>
      <c r="N31" s="3" t="s">
        <v>44</v>
      </c>
      <c r="O31" s="3" t="s">
        <v>52</v>
      </c>
      <c r="P31" s="3" t="s">
        <v>116</v>
      </c>
    </row>
    <row r="32" spans="1:17" ht="22.5" customHeight="1" x14ac:dyDescent="0.2">
      <c r="A32" s="3" t="s">
        <v>117</v>
      </c>
      <c r="B32" s="3" t="str">
        <f ca="1">IFERROR(__xludf.DUMMYFUNCTION("REGEXEXTRACT(A32, ""\.(?:GOV|EXT)\.([A-Z0-9\-]+)"")
"),"FES-PE")</f>
        <v>FES-PE</v>
      </c>
      <c r="C32" s="3" t="s">
        <v>34</v>
      </c>
      <c r="D32" s="3" t="s">
        <v>35</v>
      </c>
      <c r="E32" s="14" t="str">
        <f ca="1">IFERROR(__xludf.DUMMYFUNCTION("REGEXEXTRACT(A32, ""-(.*)"")"),"ARP.0073.00.2025.GOV.FES-PE.PE")</f>
        <v>ARP.0073.00.2025.GOV.FES-PE.PE</v>
      </c>
      <c r="F32" s="3" t="s">
        <v>118</v>
      </c>
      <c r="G32" s="3" t="s">
        <v>3</v>
      </c>
      <c r="H32" s="8">
        <v>45946</v>
      </c>
      <c r="I32" s="3" t="s">
        <v>44</v>
      </c>
      <c r="J32" s="3" t="str">
        <f>VLOOKUP(A32,'TODOS OS PROCESSOS ATUALIZADOS '!A:I,7,0)</f>
        <v>Autorizada Sucesso</v>
      </c>
      <c r="K32" s="3" t="s">
        <v>44</v>
      </c>
      <c r="L32" s="3" t="str">
        <f t="shared" si="0"/>
        <v>Item atualizado</v>
      </c>
      <c r="M32" s="3"/>
      <c r="N32" s="3" t="s">
        <v>44</v>
      </c>
      <c r="O32" s="3" t="s">
        <v>52</v>
      </c>
      <c r="P32" s="3" t="s">
        <v>119</v>
      </c>
      <c r="Q32" s="3"/>
    </row>
    <row r="33" spans="1:17" ht="22.5" customHeight="1" x14ac:dyDescent="0.2">
      <c r="A33" s="3" t="s">
        <v>120</v>
      </c>
      <c r="B33" s="3" t="str">
        <f ca="1">IFERROR(__xludf.DUMMYFUNCTION("REGEXEXTRACT(A33, ""\.(?:GOV|EXT)\.([A-Z0-9\-]+)"")
"),"FES-PE")</f>
        <v>FES-PE</v>
      </c>
      <c r="C33" s="3" t="s">
        <v>34</v>
      </c>
      <c r="D33" s="3" t="s">
        <v>35</v>
      </c>
      <c r="E33" s="14" t="str">
        <f ca="1">IFERROR(__xludf.DUMMYFUNCTION("REGEXEXTRACT(A33, ""-(.*)"")"),"ARP.0044.04.2025.GOV.FES-PE.PE")</f>
        <v>ARP.0044.04.2025.GOV.FES-PE.PE</v>
      </c>
      <c r="F33" s="3" t="s">
        <v>121</v>
      </c>
      <c r="G33" s="3"/>
      <c r="H33" s="9">
        <v>45924</v>
      </c>
      <c r="I33" s="3" t="s">
        <v>37</v>
      </c>
      <c r="J33" s="3" t="str">
        <f>VLOOKUP(A33,'TODOS OS PROCESSOS ATUALIZADOS '!A:I,7,0)</f>
        <v>Cancelada</v>
      </c>
      <c r="K33" s="3" t="s">
        <v>38</v>
      </c>
      <c r="L33" s="3" t="str">
        <f t="shared" si="0"/>
        <v>Item não atualizado</v>
      </c>
      <c r="M33" s="3"/>
      <c r="N33" s="3" t="s">
        <v>38</v>
      </c>
      <c r="O33" s="3" t="s">
        <v>39</v>
      </c>
    </row>
    <row r="34" spans="1:17" ht="22.5" customHeight="1" x14ac:dyDescent="0.2">
      <c r="A34" s="3" t="s">
        <v>122</v>
      </c>
      <c r="B34" s="3" t="str">
        <f ca="1">IFERROR(__xludf.DUMMYFUNCTION("REGEXEXTRACT(A34, ""\.(?:GOV|EXT)\.([A-Z0-9\-]+)"")
"),"HMAR")</f>
        <v>HMAR</v>
      </c>
      <c r="C34" s="3" t="s">
        <v>34</v>
      </c>
      <c r="D34" s="3" t="s">
        <v>35</v>
      </c>
      <c r="E34" s="14" t="str">
        <f ca="1">IFERROR(__xludf.DUMMYFUNCTION("REGEXEXTRACT(A34, ""-(.*)"")"),"ARP.0009.01.2025.EXT.HMAR.PE")</f>
        <v>ARP.0009.01.2025.EXT.HMAR.PE</v>
      </c>
      <c r="F34" s="3" t="s">
        <v>123</v>
      </c>
      <c r="G34" s="3"/>
      <c r="H34" s="9">
        <v>45923</v>
      </c>
      <c r="I34" s="3" t="s">
        <v>37</v>
      </c>
      <c r="J34" s="3" t="str">
        <f>VLOOKUP(A34,'TODOS OS PROCESSOS ATUALIZADOS '!A:I,7,0)</f>
        <v>Cancelada</v>
      </c>
      <c r="K34" s="3" t="s">
        <v>38</v>
      </c>
      <c r="L34" s="3" t="str">
        <f t="shared" si="0"/>
        <v>Item não atualizado</v>
      </c>
      <c r="M34" s="3"/>
      <c r="N34" s="3" t="s">
        <v>38</v>
      </c>
      <c r="O34" s="3" t="s">
        <v>39</v>
      </c>
    </row>
    <row r="35" spans="1:17" ht="22.5" customHeight="1" x14ac:dyDescent="0.2">
      <c r="A35" s="3" t="s">
        <v>124</v>
      </c>
      <c r="B35" s="3" t="str">
        <f ca="1">IFERROR(__xludf.DUMMYFUNCTION("REGEXEXTRACT(A35, ""\.(?:GOV|EXT)\.([A-Z0-9\-]+)"")
"),"HGV")</f>
        <v>HGV</v>
      </c>
      <c r="C35" s="3" t="s">
        <v>34</v>
      </c>
      <c r="D35" s="3" t="s">
        <v>35</v>
      </c>
      <c r="E35" s="14" t="str">
        <f ca="1">IFERROR(__xludf.DUMMYFUNCTION("REGEXEXTRACT(A35, ""-(.*)"")"),"ARP.0008.02.2025.GOV.HGV.PE")</f>
        <v>ARP.0008.02.2025.GOV.HGV.PE</v>
      </c>
      <c r="F35" s="3" t="s">
        <v>85</v>
      </c>
      <c r="G35" s="3"/>
      <c r="H35" s="9">
        <v>45917</v>
      </c>
      <c r="I35" s="3" t="s">
        <v>44</v>
      </c>
      <c r="J35" s="3" t="str">
        <f>VLOOKUP(A35,'TODOS OS PROCESSOS ATUALIZADOS '!A:I,7,0)</f>
        <v>Autorizada Sucesso</v>
      </c>
      <c r="K35" s="3" t="s">
        <v>44</v>
      </c>
      <c r="L35" s="3" t="str">
        <f t="shared" si="0"/>
        <v>Item atualizado</v>
      </c>
      <c r="M35" s="3"/>
      <c r="N35" s="3" t="s">
        <v>45</v>
      </c>
      <c r="O35" s="3" t="s">
        <v>87</v>
      </c>
      <c r="P35" s="3" t="s">
        <v>125</v>
      </c>
    </row>
    <row r="36" spans="1:17" ht="22.5" customHeight="1" x14ac:dyDescent="0.2">
      <c r="A36" s="3" t="s">
        <v>126</v>
      </c>
      <c r="B36" s="3" t="str">
        <f ca="1">IFERROR(__xludf.DUMMYFUNCTION("REGEXEXTRACT(A36, ""\.(?:GOV|EXT)\.([A-Z0-9\-]+)"")
"),"PROCAPE")</f>
        <v>PROCAPE</v>
      </c>
      <c r="C36" s="3" t="s">
        <v>34</v>
      </c>
      <c r="D36" s="3" t="s">
        <v>35</v>
      </c>
      <c r="E36" s="14" t="str">
        <f ca="1">IFERROR(__xludf.DUMMYFUNCTION("REGEXEXTRACT(A36, ""-(.*)"")"),"ARP.0006.03.2025.GOV.PROCAPE.PE")</f>
        <v>ARP.0006.03.2025.GOV.PROCAPE.PE</v>
      </c>
      <c r="F36" s="3" t="s">
        <v>127</v>
      </c>
      <c r="G36" s="3"/>
      <c r="H36" s="9">
        <v>45929</v>
      </c>
      <c r="I36" s="3" t="s">
        <v>44</v>
      </c>
      <c r="J36" s="3" t="str">
        <f>VLOOKUP(A36,'TODOS OS PROCESSOS ATUALIZADOS '!A:I,7,0)</f>
        <v>Autorizada Sucesso</v>
      </c>
      <c r="K36" s="3" t="s">
        <v>44</v>
      </c>
      <c r="L36" s="3" t="str">
        <f t="shared" si="0"/>
        <v>Item atualizado</v>
      </c>
      <c r="M36" s="3"/>
      <c r="N36" s="3" t="s">
        <v>44</v>
      </c>
      <c r="O36" s="3" t="s">
        <v>52</v>
      </c>
      <c r="P36" s="3" t="s">
        <v>128</v>
      </c>
    </row>
    <row r="37" spans="1:17" ht="22.5" customHeight="1" x14ac:dyDescent="0.2">
      <c r="A37" s="3" t="s">
        <v>129</v>
      </c>
      <c r="B37" s="3" t="str">
        <f ca="1">IFERROR(__xludf.DUMMYFUNCTION("REGEXEXTRACT(A37, ""\.(?:GOV|EXT)\.([A-Z0-9\-]+)"")
"),"158552")</f>
        <v>158552</v>
      </c>
      <c r="C37" s="3" t="s">
        <v>34</v>
      </c>
      <c r="D37" s="3" t="s">
        <v>35</v>
      </c>
      <c r="E37" s="3" t="str">
        <f ca="1">IFERROR(__xludf.DUMMYFUNCTION("REGEXEXTRACT(A37, ""-(.*)"")"),"ARP.1190.00.2025.EXT.158552.PB")</f>
        <v>ARP.1190.00.2025.EXT.158552.PB</v>
      </c>
      <c r="F37" s="6" t="s">
        <v>130</v>
      </c>
      <c r="G37" s="3"/>
      <c r="H37" s="9">
        <v>45917</v>
      </c>
      <c r="I37" s="3" t="s">
        <v>44</v>
      </c>
      <c r="J37" s="3" t="str">
        <f>VLOOKUP(A37,'TODOS OS PROCESSOS ATUALIZADOS '!A:I,7,0)</f>
        <v>Autorizada Integrado</v>
      </c>
      <c r="K37" s="3" t="s">
        <v>44</v>
      </c>
      <c r="L37" s="3" t="str">
        <f t="shared" si="0"/>
        <v>Item atualizado</v>
      </c>
      <c r="M37" s="3"/>
      <c r="N37" s="3" t="s">
        <v>44</v>
      </c>
      <c r="O37" s="3" t="s">
        <v>52</v>
      </c>
      <c r="P37" s="3" t="s">
        <v>131</v>
      </c>
    </row>
    <row r="38" spans="1:17" ht="22.5" customHeight="1" x14ac:dyDescent="0.2">
      <c r="A38" s="3" t="s">
        <v>132</v>
      </c>
      <c r="B38" s="3" t="str">
        <f ca="1">IFERROR(__xludf.DUMMYFUNCTION("REGEXEXTRACT(A38, ""\.(?:GOV|EXT)\.([A-Z0-9\-]+)"")
"),"HUOC")</f>
        <v>HUOC</v>
      </c>
      <c r="C38" s="3" t="s">
        <v>34</v>
      </c>
      <c r="D38" s="3" t="s">
        <v>35</v>
      </c>
      <c r="E38" s="14" t="str">
        <f ca="1">IFERROR(__xludf.DUMMYFUNCTION("REGEXEXTRACT(A38, ""-(.*)"")"),"ARP.0118.05.2024.GOV.HUOC.PE")</f>
        <v>ARP.0118.05.2024.GOV.HUOC.PE</v>
      </c>
      <c r="F38" s="3" t="s">
        <v>110</v>
      </c>
      <c r="G38" s="3"/>
      <c r="H38" s="9">
        <v>45923</v>
      </c>
      <c r="I38" s="3" t="s">
        <v>44</v>
      </c>
      <c r="J38" s="3" t="str">
        <f>VLOOKUP(A38,'TODOS OS PROCESSOS ATUALIZADOS '!A:I,7,0)</f>
        <v>Autorizada Sucesso</v>
      </c>
      <c r="K38" s="3" t="s">
        <v>44</v>
      </c>
      <c r="L38" s="3" t="str">
        <f t="shared" si="0"/>
        <v>Item atualizado</v>
      </c>
      <c r="M38" s="3"/>
      <c r="N38" s="3" t="s">
        <v>44</v>
      </c>
      <c r="O38" s="3" t="s">
        <v>52</v>
      </c>
      <c r="P38" s="3" t="s">
        <v>133</v>
      </c>
    </row>
    <row r="39" spans="1:17" ht="22.5" customHeight="1" x14ac:dyDescent="0.2">
      <c r="A39" s="3" t="s">
        <v>134</v>
      </c>
      <c r="B39" s="3" t="str">
        <f ca="1">IFERROR(__xludf.DUMMYFUNCTION("REGEXEXTRACT(A39, ""\.(?:GOV|EXT)\.([A-Z0-9\-]+)"")
"),"HUOC")</f>
        <v>HUOC</v>
      </c>
      <c r="C39" s="3" t="s">
        <v>34</v>
      </c>
      <c r="D39" s="3" t="s">
        <v>35</v>
      </c>
      <c r="E39" s="14" t="str">
        <f ca="1">IFERROR(__xludf.DUMMYFUNCTION("REGEXEXTRACT(A39, ""-(.*)"")"),"ARP.0102.01.2025.GOV.HUOC.PE")</f>
        <v>ARP.0102.01.2025.GOV.HUOC.PE</v>
      </c>
      <c r="F39" s="3" t="s">
        <v>135</v>
      </c>
      <c r="G39" s="3" t="s">
        <v>2</v>
      </c>
      <c r="H39" s="8">
        <v>45943</v>
      </c>
      <c r="I39" s="3" t="s">
        <v>44</v>
      </c>
      <c r="J39" s="3" t="str">
        <f>VLOOKUP(A39,'TODOS OS PROCESSOS ATUALIZADOS '!A:I,7,0)</f>
        <v>Autorizada Sucesso</v>
      </c>
      <c r="K39" s="3" t="s">
        <v>44</v>
      </c>
      <c r="L39" s="3" t="str">
        <f t="shared" si="0"/>
        <v>Item atualizado</v>
      </c>
      <c r="M39" s="3"/>
      <c r="N39" s="3" t="s">
        <v>45</v>
      </c>
      <c r="O39" s="3" t="s">
        <v>87</v>
      </c>
      <c r="P39" s="3" t="s">
        <v>136</v>
      </c>
      <c r="Q39" s="3"/>
    </row>
    <row r="40" spans="1:17" ht="22.5" customHeight="1" x14ac:dyDescent="0.2">
      <c r="A40" s="3" t="s">
        <v>137</v>
      </c>
      <c r="B40" s="3" t="str">
        <f ca="1">IFERROR(__xludf.DUMMYFUNCTION("REGEXEXTRACT(A40, ""\.(?:GOV|EXT)\.([A-Z0-9\-]+)"")
"),"FES-PE")</f>
        <v>FES-PE</v>
      </c>
      <c r="C40" s="3" t="s">
        <v>34</v>
      </c>
      <c r="D40" s="3" t="s">
        <v>35</v>
      </c>
      <c r="E40" s="14" t="str">
        <f ca="1">IFERROR(__xludf.DUMMYFUNCTION("REGEXEXTRACT(A40, ""-(.*)"")"),"ARP.0068.04.2025.GOV.FES-PE.PE")</f>
        <v>ARP.0068.04.2025.GOV.FES-PE.PE</v>
      </c>
      <c r="F40" s="3" t="s">
        <v>138</v>
      </c>
      <c r="G40" s="3" t="s">
        <v>3</v>
      </c>
      <c r="H40" s="9">
        <v>45918</v>
      </c>
      <c r="I40" s="3" t="s">
        <v>37</v>
      </c>
      <c r="J40" s="3" t="str">
        <f>VLOOKUP(A40,'TODOS OS PROCESSOS ATUALIZADOS '!A:I,7,0)</f>
        <v>Em configuração</v>
      </c>
      <c r="K40" s="3" t="s">
        <v>42</v>
      </c>
      <c r="L40" s="3" t="str">
        <f t="shared" si="0"/>
        <v>Item atualizado</v>
      </c>
      <c r="M40" s="3"/>
      <c r="N40" s="3" t="s">
        <v>42</v>
      </c>
      <c r="O40" s="3" t="s">
        <v>39</v>
      </c>
    </row>
    <row r="41" spans="1:17" ht="22.5" customHeight="1" x14ac:dyDescent="0.2">
      <c r="A41" s="3" t="s">
        <v>139</v>
      </c>
      <c r="B41" s="3" t="str">
        <f ca="1">IFERROR(__xludf.DUMMYFUNCTION("REGEXEXTRACT(A41, ""\.(?:GOV|EXT)\.([A-Z0-9\-]+)"")
"),"PROCAPE")</f>
        <v>PROCAPE</v>
      </c>
      <c r="C41" s="3" t="s">
        <v>34</v>
      </c>
      <c r="D41" s="3" t="s">
        <v>35</v>
      </c>
      <c r="E41" s="14" t="str">
        <f ca="1">IFERROR(__xludf.DUMMYFUNCTION("REGEXEXTRACT(A41, ""-(.*)"")"),"ARP.0045.02.2025.GOV.PROCAPE.PE")</f>
        <v>ARP.0045.02.2025.GOV.PROCAPE.PE</v>
      </c>
      <c r="F41" s="3" t="s">
        <v>79</v>
      </c>
      <c r="G41" s="3"/>
      <c r="H41" s="9">
        <v>45918</v>
      </c>
      <c r="I41" s="3" t="s">
        <v>44</v>
      </c>
      <c r="J41" s="3" t="str">
        <f>VLOOKUP(A41,'TODOS OS PROCESSOS ATUALIZADOS '!A:I,7,0)</f>
        <v>Autorizada Sucesso</v>
      </c>
      <c r="K41" s="3" t="s">
        <v>44</v>
      </c>
      <c r="L41" s="3" t="str">
        <f t="shared" si="0"/>
        <v>Item atualizado</v>
      </c>
      <c r="M41" s="3"/>
      <c r="N41" s="3" t="s">
        <v>44</v>
      </c>
      <c r="O41" s="3" t="s">
        <v>52</v>
      </c>
      <c r="P41" s="3" t="s">
        <v>140</v>
      </c>
    </row>
    <row r="42" spans="1:17" ht="22.5" customHeight="1" x14ac:dyDescent="0.2">
      <c r="A42" s="3" t="s">
        <v>141</v>
      </c>
      <c r="B42" s="3" t="str">
        <f ca="1">IFERROR(__xludf.DUMMYFUNCTION("REGEXEXTRACT(A42, ""\.(?:GOV|EXT)\.([A-Z0-9\-]+)"")
"),"FES-PE")</f>
        <v>FES-PE</v>
      </c>
      <c r="C42" s="3" t="s">
        <v>34</v>
      </c>
      <c r="D42" s="3" t="s">
        <v>35</v>
      </c>
      <c r="E42" s="14" t="str">
        <f ca="1">IFERROR(__xludf.DUMMYFUNCTION("REGEXEXTRACT(A42, ""-(.*)"")"),"ARP.0044.04.2025.GOV.FES-PE.PE")</f>
        <v>ARP.0044.04.2025.GOV.FES-PE.PE</v>
      </c>
      <c r="F42" s="3" t="s">
        <v>121</v>
      </c>
      <c r="G42" s="3" t="s">
        <v>3</v>
      </c>
      <c r="H42" s="9">
        <v>45923</v>
      </c>
      <c r="I42" s="3" t="s">
        <v>142</v>
      </c>
      <c r="J42" s="3" t="str">
        <f>VLOOKUP(A42,'TODOS OS PROCESSOS ATUALIZADOS '!A:I,7,0)</f>
        <v>Encaminhada para anuência do gestor</v>
      </c>
      <c r="K42" s="3" t="s">
        <v>45</v>
      </c>
      <c r="L42" s="3" t="str">
        <f t="shared" si="0"/>
        <v>Item não atualizado</v>
      </c>
      <c r="M42" s="3" t="s">
        <v>9</v>
      </c>
      <c r="N42" s="3" t="s">
        <v>45</v>
      </c>
      <c r="O42" s="3" t="s">
        <v>60</v>
      </c>
      <c r="P42" s="3" t="s">
        <v>143</v>
      </c>
      <c r="Q42" s="3" t="s">
        <v>72</v>
      </c>
    </row>
    <row r="43" spans="1:17" ht="22.5" customHeight="1" x14ac:dyDescent="0.2">
      <c r="A43" s="3" t="s">
        <v>144</v>
      </c>
      <c r="B43" s="3" t="str">
        <f ca="1">IFERROR(__xludf.DUMMYFUNCTION("REGEXEXTRACT(A43, ""\.(?:GOV|EXT)\.([A-Z0-9\-]+)"")
"),"HOF")</f>
        <v>HOF</v>
      </c>
      <c r="C43" s="3" t="s">
        <v>34</v>
      </c>
      <c r="D43" s="3" t="s">
        <v>35</v>
      </c>
      <c r="E43" s="14" t="str">
        <f ca="1">IFERROR(__xludf.DUMMYFUNCTION("REGEXEXTRACT(A43, ""-(.*)"")"),"ARP.0021.00.2025.GOV.HOF.PE")</f>
        <v>ARP.0021.00.2025.GOV.HOF.PE</v>
      </c>
      <c r="F43" s="3" t="s">
        <v>145</v>
      </c>
      <c r="G43" s="3" t="s">
        <v>3</v>
      </c>
      <c r="H43" s="8">
        <v>45943</v>
      </c>
      <c r="I43" s="3" t="s">
        <v>44</v>
      </c>
      <c r="J43" s="3" t="str">
        <f>VLOOKUP(A43,'TODOS OS PROCESSOS ATUALIZADOS '!A:I,7,0)</f>
        <v>Autorizada Sucesso</v>
      </c>
      <c r="K43" s="3" t="s">
        <v>44</v>
      </c>
      <c r="L43" s="3" t="str">
        <f t="shared" si="0"/>
        <v>Item atualizado</v>
      </c>
      <c r="M43" s="3"/>
      <c r="N43" s="3" t="s">
        <v>45</v>
      </c>
      <c r="O43" s="3" t="s">
        <v>46</v>
      </c>
      <c r="P43" s="3" t="s">
        <v>146</v>
      </c>
      <c r="Q43" s="3"/>
    </row>
    <row r="44" spans="1:17" ht="22.5" customHeight="1" x14ac:dyDescent="0.2">
      <c r="A44" s="3" t="s">
        <v>147</v>
      </c>
      <c r="B44" s="3" t="str">
        <f ca="1">IFERROR(__xludf.DUMMYFUNCTION("REGEXEXTRACT(A44, ""\.(?:GOV|EXT)\.([A-Z0-9\-]+)"")
"),"HGV")</f>
        <v>HGV</v>
      </c>
      <c r="C44" s="3" t="s">
        <v>34</v>
      </c>
      <c r="D44" s="3" t="s">
        <v>35</v>
      </c>
      <c r="E44" s="14" t="str">
        <f ca="1">IFERROR(__xludf.DUMMYFUNCTION("REGEXEXTRACT(A44, ""-(.*)"")"),"ARP.0009.03.2025.GOV.HGV.PE")</f>
        <v>ARP.0009.03.2025.GOV.HGV.PE</v>
      </c>
      <c r="F44" s="3" t="s">
        <v>148</v>
      </c>
      <c r="G44" s="3" t="s">
        <v>3</v>
      </c>
      <c r="H44" s="9">
        <v>45925</v>
      </c>
      <c r="I44" s="3" t="s">
        <v>44</v>
      </c>
      <c r="J44" s="3" t="str">
        <f>VLOOKUP(A44,'TODOS OS PROCESSOS ATUALIZADOS '!A:I,7,0)</f>
        <v>Autorizada Sucesso</v>
      </c>
      <c r="K44" s="3" t="s">
        <v>44</v>
      </c>
      <c r="L44" s="3" t="str">
        <f t="shared" si="0"/>
        <v>Item atualizado</v>
      </c>
      <c r="M44" s="3"/>
      <c r="N44" s="3" t="s">
        <v>45</v>
      </c>
      <c r="O44" s="3" t="s">
        <v>60</v>
      </c>
      <c r="P44" s="3" t="s">
        <v>149</v>
      </c>
      <c r="Q44" s="3"/>
    </row>
    <row r="45" spans="1:17" ht="22.5" customHeight="1" x14ac:dyDescent="0.2">
      <c r="A45" s="3" t="s">
        <v>150</v>
      </c>
      <c r="B45" s="3" t="str">
        <f ca="1">IFERROR(__xludf.DUMMYFUNCTION("REGEXEXTRACT(A45, ""\.(?:GOV|EXT)\.([A-Z0-9\-]+)"")
"),"HGV")</f>
        <v>HGV</v>
      </c>
      <c r="C45" s="3" t="s">
        <v>34</v>
      </c>
      <c r="D45" s="3" t="s">
        <v>35</v>
      </c>
      <c r="E45" s="14" t="str">
        <f ca="1">IFERROR(__xludf.DUMMYFUNCTION("REGEXEXTRACT(A45, ""-(.*)"")"),"ARP.0009.02.2025.GOV.HGV.PE")</f>
        <v>ARP.0009.02.2025.GOV.HGV.PE</v>
      </c>
      <c r="F45" s="3" t="s">
        <v>148</v>
      </c>
      <c r="G45" s="3"/>
      <c r="H45" s="9">
        <v>45917</v>
      </c>
      <c r="I45" s="3" t="s">
        <v>44</v>
      </c>
      <c r="J45" s="3" t="str">
        <f>VLOOKUP(A45,'TODOS OS PROCESSOS ATUALIZADOS '!A:I,7,0)</f>
        <v>Autorizada Sucesso</v>
      </c>
      <c r="K45" s="3" t="s">
        <v>44</v>
      </c>
      <c r="L45" s="3" t="str">
        <f t="shared" si="0"/>
        <v>Item atualizado</v>
      </c>
      <c r="M45" s="3"/>
      <c r="N45" s="3" t="s">
        <v>44</v>
      </c>
      <c r="O45" s="3" t="s">
        <v>52</v>
      </c>
      <c r="P45" s="3" t="s">
        <v>151</v>
      </c>
    </row>
    <row r="46" spans="1:17" ht="22.5" customHeight="1" x14ac:dyDescent="0.2">
      <c r="A46" s="3" t="s">
        <v>152</v>
      </c>
      <c r="B46" s="3" t="str">
        <f ca="1">IFERROR(__xludf.DUMMYFUNCTION("REGEXEXTRACT(A46, ""\.(?:GOV|EXT)\.([A-Z0-9\-]+)"")
"),"HMAR")</f>
        <v>HMAR</v>
      </c>
      <c r="C46" s="3" t="s">
        <v>34</v>
      </c>
      <c r="D46" s="3" t="s">
        <v>35</v>
      </c>
      <c r="E46" s="14" t="str">
        <f ca="1">IFERROR(__xludf.DUMMYFUNCTION("REGEXEXTRACT(A46, ""-(.*)"")"),"ARP.0009.01.2025.EXT.HMAR.PE")</f>
        <v>ARP.0009.01.2025.EXT.HMAR.PE</v>
      </c>
      <c r="F46" s="3" t="s">
        <v>123</v>
      </c>
      <c r="G46" s="3" t="s">
        <v>3</v>
      </c>
      <c r="H46" s="9">
        <v>45918</v>
      </c>
      <c r="I46" s="3" t="s">
        <v>153</v>
      </c>
      <c r="J46" s="3" t="str">
        <f>VLOOKUP(A46,'TODOS OS PROCESSOS ATUALIZADOS '!A:I,7,0)</f>
        <v>Cancelada</v>
      </c>
      <c r="K46" s="3" t="s">
        <v>45</v>
      </c>
      <c r="L46" s="3" t="str">
        <f t="shared" si="0"/>
        <v>Item atualizado</v>
      </c>
      <c r="M46" s="3" t="s">
        <v>15</v>
      </c>
      <c r="N46" s="3" t="s">
        <v>45</v>
      </c>
      <c r="O46" s="3" t="s">
        <v>60</v>
      </c>
      <c r="P46" s="3" t="s">
        <v>154</v>
      </c>
      <c r="Q46" s="3" t="s">
        <v>72</v>
      </c>
    </row>
    <row r="47" spans="1:17" ht="22.5" customHeight="1" x14ac:dyDescent="0.2">
      <c r="A47" s="3" t="s">
        <v>155</v>
      </c>
      <c r="B47" s="3" t="str">
        <f ca="1">IFERROR(__xludf.DUMMYFUNCTION("REGEXEXTRACT(A47, ""\.(?:GOV|EXT)\.([A-Z0-9\-]+)"")
"),"HUOC")</f>
        <v>HUOC</v>
      </c>
      <c r="C47" s="3" t="s">
        <v>34</v>
      </c>
      <c r="D47" s="3" t="s">
        <v>35</v>
      </c>
      <c r="E47" s="14" t="str">
        <f ca="1">IFERROR(__xludf.DUMMYFUNCTION("REGEXEXTRACT(A47, ""-(.*)"")"),"ARP.0089.06.2025.GOV.HUOC.PE")</f>
        <v>ARP.0089.06.2025.GOV.HUOC.PE</v>
      </c>
      <c r="F47" s="3" t="s">
        <v>156</v>
      </c>
      <c r="G47" s="3"/>
      <c r="H47" s="9">
        <v>45933</v>
      </c>
      <c r="I47" s="3" t="s">
        <v>44</v>
      </c>
      <c r="J47" s="3" t="str">
        <f>VLOOKUP(A47,'TODOS OS PROCESSOS ATUALIZADOS '!A:I,7,0)</f>
        <v>Autorizada Sucesso</v>
      </c>
      <c r="K47" s="3" t="s">
        <v>44</v>
      </c>
      <c r="L47" s="3" t="str">
        <f t="shared" si="0"/>
        <v>Item atualizado</v>
      </c>
      <c r="M47" s="3"/>
      <c r="N47" s="3" t="s">
        <v>45</v>
      </c>
      <c r="O47" s="3" t="s">
        <v>87</v>
      </c>
      <c r="P47" s="3" t="s">
        <v>157</v>
      </c>
    </row>
    <row r="48" spans="1:17" ht="22.5" customHeight="1" x14ac:dyDescent="0.2">
      <c r="A48" s="3" t="s">
        <v>158</v>
      </c>
      <c r="B48" s="3" t="str">
        <f ca="1">IFERROR(__xludf.DUMMYFUNCTION("REGEXEXTRACT(A48, ""\.(?:GOV|EXT)\.([A-Z0-9\-]+)"")
"),"FES-PE")</f>
        <v>FES-PE</v>
      </c>
      <c r="C48" s="3" t="s">
        <v>34</v>
      </c>
      <c r="D48" s="3" t="s">
        <v>35</v>
      </c>
      <c r="E48" s="14" t="str">
        <f ca="1">IFERROR(__xludf.DUMMYFUNCTION("REGEXEXTRACT(A48, ""-(.*)"")"),"ARP.0068.04.2025.GOV.FES-PE.PE")</f>
        <v>ARP.0068.04.2025.GOV.FES-PE.PE</v>
      </c>
      <c r="F48" s="3" t="s">
        <v>138</v>
      </c>
      <c r="G48" s="3" t="s">
        <v>3</v>
      </c>
      <c r="H48" s="9">
        <v>45918</v>
      </c>
      <c r="I48" s="3" t="s">
        <v>44</v>
      </c>
      <c r="J48" s="3" t="str">
        <f>VLOOKUP(A48,'TODOS OS PROCESSOS ATUALIZADOS '!A:I,7,0)</f>
        <v>Autorizada Sucesso</v>
      </c>
      <c r="K48" s="3" t="s">
        <v>44</v>
      </c>
      <c r="L48" s="3" t="str">
        <f t="shared" si="0"/>
        <v>Item atualizado</v>
      </c>
      <c r="M48" s="3"/>
      <c r="N48" s="3" t="s">
        <v>45</v>
      </c>
      <c r="O48" s="3" t="s">
        <v>87</v>
      </c>
      <c r="P48" s="3" t="s">
        <v>159</v>
      </c>
      <c r="Q48" s="3"/>
    </row>
    <row r="49" spans="1:17" ht="22.5" customHeight="1" x14ac:dyDescent="0.2">
      <c r="A49" s="3" t="s">
        <v>160</v>
      </c>
      <c r="B49" s="3" t="str">
        <f ca="1">IFERROR(__xludf.DUMMYFUNCTION("REGEXEXTRACT(A49, ""\.(?:GOV|EXT)\.([A-Z0-9\-]+)"")
"),"HOF")</f>
        <v>HOF</v>
      </c>
      <c r="C49" s="3" t="s">
        <v>34</v>
      </c>
      <c r="D49" s="3" t="s">
        <v>35</v>
      </c>
      <c r="E49" s="14" t="str">
        <f ca="1">IFERROR(__xludf.DUMMYFUNCTION("REGEXEXTRACT(A49, ""-(.*)"")"),"ARP.0021.00.2025.GOV.HOF.PE")</f>
        <v>ARP.0021.00.2025.GOV.HOF.PE</v>
      </c>
      <c r="F49" s="3" t="s">
        <v>145</v>
      </c>
      <c r="G49" s="3"/>
      <c r="H49" s="8">
        <v>45943</v>
      </c>
      <c r="I49" s="3" t="s">
        <v>37</v>
      </c>
      <c r="J49" s="3" t="str">
        <f>VLOOKUP(A49,'TODOS OS PROCESSOS ATUALIZADOS '!A:I,7,0)</f>
        <v>Cancelada</v>
      </c>
      <c r="K49" s="3" t="s">
        <v>38</v>
      </c>
      <c r="L49" s="3" t="str">
        <f t="shared" si="0"/>
        <v>Item não atualizado</v>
      </c>
      <c r="M49" s="3"/>
      <c r="N49" s="3" t="s">
        <v>38</v>
      </c>
      <c r="O49" s="3" t="s">
        <v>39</v>
      </c>
    </row>
    <row r="50" spans="1:17" ht="22.5" customHeight="1" x14ac:dyDescent="0.2">
      <c r="A50" s="3" t="s">
        <v>161</v>
      </c>
      <c r="B50" s="3" t="str">
        <f ca="1">IFERROR(__xludf.DUMMYFUNCTION("REGEXEXTRACT(A50, ""\.(?:GOV|EXT)\.([A-Z0-9\-]+)"")
"),"HOF")</f>
        <v>HOF</v>
      </c>
      <c r="C50" s="3" t="s">
        <v>34</v>
      </c>
      <c r="D50" s="3" t="s">
        <v>35</v>
      </c>
      <c r="E50" s="14" t="str">
        <f ca="1">IFERROR(__xludf.DUMMYFUNCTION("REGEXEXTRACT(A50, ""-(.*)"")"),"ARP.0020.00.2024.GOV.HOF.PE")</f>
        <v>ARP.0020.00.2024.GOV.HOF.PE</v>
      </c>
      <c r="F50" s="3" t="s">
        <v>162</v>
      </c>
      <c r="G50" s="3" t="s">
        <v>3</v>
      </c>
      <c r="H50" s="8">
        <v>45940</v>
      </c>
      <c r="I50" s="3" t="s">
        <v>44</v>
      </c>
      <c r="J50" s="3" t="str">
        <f>VLOOKUP(A50,'TODOS OS PROCESSOS ATUALIZADOS '!A:I,7,0)</f>
        <v>Autorizada Sucesso</v>
      </c>
      <c r="K50" s="3" t="s">
        <v>44</v>
      </c>
      <c r="L50" s="3" t="str">
        <f t="shared" si="0"/>
        <v>Item atualizado</v>
      </c>
      <c r="M50" s="3"/>
      <c r="N50" s="3" t="s">
        <v>45</v>
      </c>
      <c r="O50" s="3" t="s">
        <v>46</v>
      </c>
      <c r="P50" s="3" t="s">
        <v>163</v>
      </c>
      <c r="Q50" s="3"/>
    </row>
    <row r="51" spans="1:17" ht="22.5" customHeight="1" x14ac:dyDescent="0.2">
      <c r="A51" s="3" t="s">
        <v>164</v>
      </c>
      <c r="B51" s="3" t="str">
        <f ca="1">IFERROR(__xludf.DUMMYFUNCTION("REGEXEXTRACT(A51, ""\.(?:GOV|EXT)\.([A-Z0-9\-]+)"")
"),"HGV")</f>
        <v>HGV</v>
      </c>
      <c r="C51" s="3" t="s">
        <v>34</v>
      </c>
      <c r="D51" s="3" t="s">
        <v>35</v>
      </c>
      <c r="E51" s="14" t="str">
        <f ca="1">IFERROR(__xludf.DUMMYFUNCTION("REGEXEXTRACT(A51, ""-(.*)"")"),"ARP.0011.03.2025.GOV.HGV.PE")</f>
        <v>ARP.0011.03.2025.GOV.HGV.PE</v>
      </c>
      <c r="F51" s="3" t="s">
        <v>165</v>
      </c>
      <c r="G51" s="3" t="s">
        <v>1</v>
      </c>
      <c r="H51" s="9">
        <v>45918</v>
      </c>
      <c r="I51" s="3" t="s">
        <v>44</v>
      </c>
      <c r="J51" s="3" t="str">
        <f>VLOOKUP(A51,'TODOS OS PROCESSOS ATUALIZADOS '!A:I,7,0)</f>
        <v>Autorizada Sucesso</v>
      </c>
      <c r="K51" s="3" t="s">
        <v>44</v>
      </c>
      <c r="L51" s="3" t="str">
        <f t="shared" si="0"/>
        <v>Item atualizado</v>
      </c>
      <c r="M51" s="3" t="s">
        <v>8</v>
      </c>
      <c r="N51" s="3" t="s">
        <v>45</v>
      </c>
      <c r="O51" s="3" t="s">
        <v>87</v>
      </c>
      <c r="P51" s="3" t="s">
        <v>166</v>
      </c>
      <c r="Q51" s="3"/>
    </row>
    <row r="52" spans="1:17" ht="22.5" customHeight="1" x14ac:dyDescent="0.2">
      <c r="A52" s="3" t="s">
        <v>167</v>
      </c>
      <c r="B52" s="3" t="str">
        <f ca="1">IFERROR(__xludf.DUMMYFUNCTION("REGEXEXTRACT(A52, ""\.(?:GOV|EXT)\.([A-Z0-9\-]+)"")
"),"FES-PE")</f>
        <v>FES-PE</v>
      </c>
      <c r="C52" s="3" t="s">
        <v>34</v>
      </c>
      <c r="D52" s="3" t="s">
        <v>35</v>
      </c>
      <c r="E52" s="14" t="str">
        <f ca="1">IFERROR(__xludf.DUMMYFUNCTION("REGEXEXTRACT(A52, ""-(.*)"")"),"ARP.0073.00.2025.GOV.FES-PE.PE")</f>
        <v>ARP.0073.00.2025.GOV.FES-PE.PE</v>
      </c>
      <c r="F52" s="3" t="s">
        <v>118</v>
      </c>
      <c r="G52" s="3" t="s">
        <v>3</v>
      </c>
      <c r="H52" s="9">
        <v>45883</v>
      </c>
      <c r="I52" s="3" t="s">
        <v>37</v>
      </c>
      <c r="J52" s="3" t="str">
        <f>VLOOKUP(A52,'TODOS OS PROCESSOS ATUALIZADOS '!A:I,7,0)</f>
        <v>Cancelada</v>
      </c>
      <c r="K52" s="3" t="s">
        <v>38</v>
      </c>
      <c r="L52" s="3" t="str">
        <f t="shared" si="0"/>
        <v>Item não atualizado</v>
      </c>
      <c r="M52" s="3"/>
      <c r="N52" s="3" t="s">
        <v>38</v>
      </c>
      <c r="O52" s="3"/>
      <c r="P52" s="3"/>
      <c r="Q52" s="3"/>
    </row>
    <row r="53" spans="1:17" ht="22.5" customHeight="1" x14ac:dyDescent="0.2">
      <c r="A53" s="3" t="s">
        <v>168</v>
      </c>
      <c r="B53" s="3" t="str">
        <f ca="1">IFERROR(__xludf.DUMMYFUNCTION("REGEXEXTRACT(A53, ""\.(?:GOV|EXT)\.([A-Z0-9\-]+)"")
"),"HUOC")</f>
        <v>HUOC</v>
      </c>
      <c r="C53" s="3" t="s">
        <v>34</v>
      </c>
      <c r="D53" s="3" t="s">
        <v>35</v>
      </c>
      <c r="E53" s="14" t="str">
        <f ca="1">IFERROR(__xludf.DUMMYFUNCTION("REGEXEXTRACT(A53, ""-(.*)"")"),"ARP.0089.01.2024.GOV.HUOC.PE")</f>
        <v>ARP.0089.01.2024.GOV.HUOC.PE</v>
      </c>
      <c r="F53" s="3" t="s">
        <v>49</v>
      </c>
      <c r="G53" s="3"/>
      <c r="H53" s="9">
        <v>45911</v>
      </c>
      <c r="I53" s="3" t="s">
        <v>37</v>
      </c>
      <c r="J53" s="3" t="str">
        <f>VLOOKUP(A53,'TODOS OS PROCESSOS ATUALIZADOS '!A:I,7,0)</f>
        <v>Cancelada por fim vigencia ATA</v>
      </c>
      <c r="K53" s="3" t="s">
        <v>38</v>
      </c>
      <c r="L53" s="3" t="str">
        <f t="shared" si="0"/>
        <v>Item atualizado</v>
      </c>
      <c r="M53" s="3"/>
      <c r="N53" s="3" t="s">
        <v>38</v>
      </c>
      <c r="O53" s="3" t="s">
        <v>39</v>
      </c>
    </row>
    <row r="54" spans="1:17" ht="22.5" customHeight="1" x14ac:dyDescent="0.2">
      <c r="A54" s="3" t="s">
        <v>169</v>
      </c>
      <c r="B54" s="3" t="str">
        <f ca="1">IFERROR(__xludf.DUMMYFUNCTION("REGEXEXTRACT(A54, ""\.(?:GOV|EXT)\.([A-Z0-9\-]+)"")
"),"HUOC")</f>
        <v>HUOC</v>
      </c>
      <c r="C54" s="3" t="s">
        <v>34</v>
      </c>
      <c r="D54" s="3" t="s">
        <v>35</v>
      </c>
      <c r="E54" s="14" t="str">
        <f ca="1">IFERROR(__xludf.DUMMYFUNCTION("REGEXEXTRACT(A54, ""-(.*)"")"),"ARP.0089.01.2024.GOV.HUOC.PE")</f>
        <v>ARP.0089.01.2024.GOV.HUOC.PE</v>
      </c>
      <c r="F54" s="3" t="s">
        <v>49</v>
      </c>
      <c r="G54" s="3"/>
      <c r="H54" s="9">
        <v>45910</v>
      </c>
      <c r="I54" s="3" t="s">
        <v>37</v>
      </c>
      <c r="J54" s="3" t="str">
        <f>VLOOKUP(A54,'TODOS OS PROCESSOS ATUALIZADOS '!A:I,7,0)</f>
        <v>Cancelada por fim vigencia ATA</v>
      </c>
      <c r="K54" s="3" t="s">
        <v>38</v>
      </c>
      <c r="L54" s="3" t="str">
        <f t="shared" si="0"/>
        <v>Item atualizado</v>
      </c>
      <c r="M54" s="3"/>
      <c r="N54" s="3" t="s">
        <v>38</v>
      </c>
      <c r="O54" s="3" t="s">
        <v>39</v>
      </c>
    </row>
    <row r="55" spans="1:17" ht="22.5" customHeight="1" x14ac:dyDescent="0.2">
      <c r="A55" s="3" t="s">
        <v>170</v>
      </c>
      <c r="B55" s="3" t="str">
        <f ca="1">IFERROR(__xludf.DUMMYFUNCTION("REGEXEXTRACT(A55, ""\.(?:GOV|EXT)\.([A-Z0-9\-]+)"")
"),"FES-PE")</f>
        <v>FES-PE</v>
      </c>
      <c r="C55" s="3" t="s">
        <v>34</v>
      </c>
      <c r="D55" s="3" t="s">
        <v>35</v>
      </c>
      <c r="E55" s="14" t="str">
        <f ca="1">IFERROR(__xludf.DUMMYFUNCTION("REGEXEXTRACT(A55, ""-(.*)"")"),"ARP.0002.00.2025.GOV.FES-PE.PE")</f>
        <v>ARP.0002.00.2025.GOV.FES-PE.PE</v>
      </c>
      <c r="F55" s="3" t="s">
        <v>171</v>
      </c>
      <c r="G55" s="3"/>
      <c r="H55" s="9">
        <v>45883</v>
      </c>
      <c r="I55" s="3" t="s">
        <v>44</v>
      </c>
      <c r="J55" s="3" t="str">
        <f>VLOOKUP(A55,'TODOS OS PROCESSOS ATUALIZADOS '!A:I,7,0)</f>
        <v>Autorizada Sucesso</v>
      </c>
      <c r="K55" s="3" t="s">
        <v>44</v>
      </c>
      <c r="L55" s="3" t="str">
        <f t="shared" si="0"/>
        <v>Item atualizado</v>
      </c>
      <c r="M55" s="3"/>
      <c r="N55" s="3" t="s">
        <v>44</v>
      </c>
      <c r="O55" s="3" t="s">
        <v>52</v>
      </c>
      <c r="P55" s="3" t="s">
        <v>172</v>
      </c>
    </row>
    <row r="56" spans="1:17" ht="22.5" customHeight="1" x14ac:dyDescent="0.2">
      <c r="A56" s="3" t="s">
        <v>173</v>
      </c>
      <c r="B56" s="3" t="str">
        <f ca="1">IFERROR(__xludf.DUMMYFUNCTION("REGEXEXTRACT(A56, ""\.(?:GOV|EXT)\.([A-Z0-9\-]+)"")
"),"HUOC")</f>
        <v>HUOC</v>
      </c>
      <c r="C56" s="3" t="s">
        <v>34</v>
      </c>
      <c r="D56" s="3" t="s">
        <v>35</v>
      </c>
      <c r="E56" s="14" t="str">
        <f ca="1">IFERROR(__xludf.DUMMYFUNCTION("REGEXEXTRACT(A56, ""-(.*)"")"),"ARP.0038.03.2025.GOV.HUOC.PE")</f>
        <v>ARP.0038.03.2025.GOV.HUOC.PE</v>
      </c>
      <c r="F56" s="3" t="s">
        <v>174</v>
      </c>
      <c r="G56" s="3"/>
      <c r="H56" s="9">
        <v>45884</v>
      </c>
      <c r="I56" s="3" t="s">
        <v>44</v>
      </c>
      <c r="J56" s="3" t="str">
        <f>VLOOKUP(A56,'TODOS OS PROCESSOS ATUALIZADOS '!A:I,7,0)</f>
        <v>Autorizada Sucesso</v>
      </c>
      <c r="K56" s="3" t="s">
        <v>44</v>
      </c>
      <c r="L56" s="3" t="str">
        <f t="shared" si="0"/>
        <v>Item atualizado</v>
      </c>
      <c r="M56" s="3"/>
      <c r="N56" s="3" t="s">
        <v>44</v>
      </c>
      <c r="O56" s="3" t="s">
        <v>52</v>
      </c>
      <c r="P56" s="3" t="s">
        <v>175</v>
      </c>
    </row>
    <row r="57" spans="1:17" ht="22.5" customHeight="1" x14ac:dyDescent="0.2">
      <c r="A57" s="3" t="s">
        <v>176</v>
      </c>
      <c r="B57" s="3" t="str">
        <f ca="1">IFERROR(__xludf.DUMMYFUNCTION("REGEXEXTRACT(A57, ""\.(?:GOV|EXT)\.([A-Z0-9\-]+)"")
"),"HUOC")</f>
        <v>HUOC</v>
      </c>
      <c r="C57" s="3" t="s">
        <v>34</v>
      </c>
      <c r="D57" s="3" t="s">
        <v>35</v>
      </c>
      <c r="E57" s="14" t="str">
        <f ca="1">IFERROR(__xludf.DUMMYFUNCTION("REGEXEXTRACT(A57, ""-(.*)"")"),"ARP.0017.00.2025.GOV.HUOC.PE")</f>
        <v>ARP.0017.00.2025.GOV.HUOC.PE</v>
      </c>
      <c r="F57" s="3" t="s">
        <v>177</v>
      </c>
      <c r="G57" s="3" t="s">
        <v>4</v>
      </c>
      <c r="H57" s="9">
        <v>45904</v>
      </c>
      <c r="I57" s="3" t="s">
        <v>178</v>
      </c>
      <c r="J57" s="3" t="str">
        <f>VLOOKUP(A57,'TODOS OS PROCESSOS ATUALIZADOS '!A:I,7,0)</f>
        <v>Aguardando aprovação do gestor de ata</v>
      </c>
      <c r="K57" s="3" t="s">
        <v>45</v>
      </c>
      <c r="L57" s="3" t="str">
        <f t="shared" si="0"/>
        <v>Item atualizado</v>
      </c>
      <c r="M57" s="3" t="s">
        <v>7</v>
      </c>
      <c r="N57" s="3" t="s">
        <v>45</v>
      </c>
      <c r="O57" s="3" t="s">
        <v>56</v>
      </c>
      <c r="P57" s="3" t="s">
        <v>179</v>
      </c>
      <c r="Q57" s="3" t="s">
        <v>72</v>
      </c>
    </row>
    <row r="58" spans="1:17" ht="22.5" customHeight="1" x14ac:dyDescent="0.2">
      <c r="A58" s="3" t="s">
        <v>180</v>
      </c>
      <c r="B58" s="3" t="str">
        <f ca="1">IFERROR(__xludf.DUMMYFUNCTION("REGEXEXTRACT(A58, ""\.(?:GOV|EXT)\.([A-Z0-9\-]+)"")
"),"HUOC")</f>
        <v>HUOC</v>
      </c>
      <c r="C58" s="3" t="s">
        <v>34</v>
      </c>
      <c r="D58" s="3" t="s">
        <v>35</v>
      </c>
      <c r="E58" s="14" t="str">
        <f ca="1">IFERROR(__xludf.DUMMYFUNCTION("REGEXEXTRACT(A58, ""-(.*)"")"),"ARP.0122.00.2025.GOV.HUOC.PE")</f>
        <v>ARP.0122.00.2025.GOV.HUOC.PE</v>
      </c>
      <c r="F58" s="3" t="s">
        <v>181</v>
      </c>
      <c r="G58" s="3"/>
      <c r="H58" s="9">
        <v>45910</v>
      </c>
      <c r="I58" s="3" t="s">
        <v>44</v>
      </c>
      <c r="J58" s="3" t="str">
        <f>VLOOKUP(A58,'TODOS OS PROCESSOS ATUALIZADOS '!A:I,7,0)</f>
        <v>Autorizada Sucesso</v>
      </c>
      <c r="K58" s="3" t="s">
        <v>44</v>
      </c>
      <c r="L58" s="3" t="str">
        <f t="shared" si="0"/>
        <v>Item atualizado</v>
      </c>
      <c r="M58" s="3"/>
      <c r="N58" s="3" t="s">
        <v>44</v>
      </c>
      <c r="O58" s="3" t="s">
        <v>52</v>
      </c>
      <c r="P58" s="3" t="s">
        <v>182</v>
      </c>
    </row>
    <row r="59" spans="1:17" ht="22.5" customHeight="1" x14ac:dyDescent="0.2">
      <c r="A59" s="3" t="s">
        <v>183</v>
      </c>
      <c r="B59" s="3" t="str">
        <f ca="1">IFERROR(__xludf.DUMMYFUNCTION("REGEXEXTRACT(A59, ""\.(?:GOV|EXT)\.([A-Z0-9\-]+)"")
"),"HOF")</f>
        <v>HOF</v>
      </c>
      <c r="C59" s="3" t="s">
        <v>34</v>
      </c>
      <c r="D59" s="3" t="s">
        <v>35</v>
      </c>
      <c r="E59" s="14" t="str">
        <f ca="1">IFERROR(__xludf.DUMMYFUNCTION("REGEXEXTRACT(A59, ""-(.*)"")"),"ARP.0021.01.2024.GOV.HOF.PE")</f>
        <v>ARP.0021.01.2024.GOV.HOF.PE</v>
      </c>
      <c r="F59" s="3" t="s">
        <v>184</v>
      </c>
      <c r="G59" s="3"/>
      <c r="H59" s="9">
        <v>45897</v>
      </c>
      <c r="I59" s="3" t="s">
        <v>44</v>
      </c>
      <c r="J59" s="3" t="str">
        <f>VLOOKUP(A59,'TODOS OS PROCESSOS ATUALIZADOS '!A:I,7,0)</f>
        <v>Autorizada Sucesso</v>
      </c>
      <c r="K59" s="3" t="s">
        <v>44</v>
      </c>
      <c r="L59" s="3" t="str">
        <f t="shared" si="0"/>
        <v>Item atualizado</v>
      </c>
      <c r="M59" s="3"/>
      <c r="N59" s="3" t="s">
        <v>45</v>
      </c>
      <c r="O59" s="3" t="s">
        <v>46</v>
      </c>
      <c r="P59" s="3" t="s">
        <v>185</v>
      </c>
    </row>
    <row r="60" spans="1:17" ht="22.5" customHeight="1" x14ac:dyDescent="0.2">
      <c r="A60" s="3" t="s">
        <v>186</v>
      </c>
      <c r="B60" s="3" t="str">
        <f ca="1">IFERROR(__xludf.DUMMYFUNCTION("REGEXEXTRACT(A60, ""\.(?:GOV|EXT)\.([A-Z0-9\-]+)"")
"),"HAM")</f>
        <v>HAM</v>
      </c>
      <c r="C60" s="3" t="s">
        <v>34</v>
      </c>
      <c r="D60" s="3" t="s">
        <v>35</v>
      </c>
      <c r="E60" s="14" t="str">
        <f ca="1">IFERROR(__xludf.DUMMYFUNCTION("REGEXEXTRACT(A60, ""-(.*)"")"),"ARP.0013.00.2024.GOV.HAM.PE")</f>
        <v>ARP.0013.00.2024.GOV.HAM.PE</v>
      </c>
      <c r="F60" s="3" t="s">
        <v>187</v>
      </c>
      <c r="G60" s="3"/>
      <c r="H60" s="9">
        <v>45884</v>
      </c>
      <c r="I60" s="3" t="s">
        <v>44</v>
      </c>
      <c r="J60" s="3" t="str">
        <f>VLOOKUP(A60,'TODOS OS PROCESSOS ATUALIZADOS '!A:I,7,0)</f>
        <v>Autorizada Sucesso</v>
      </c>
      <c r="K60" s="3" t="s">
        <v>44</v>
      </c>
      <c r="L60" s="3" t="str">
        <f t="shared" si="0"/>
        <v>Item atualizado</v>
      </c>
      <c r="M60" s="3"/>
      <c r="N60" s="3" t="s">
        <v>44</v>
      </c>
      <c r="O60" s="3" t="s">
        <v>52</v>
      </c>
      <c r="P60" s="3" t="s">
        <v>188</v>
      </c>
    </row>
    <row r="61" spans="1:17" ht="22.5" customHeight="1" x14ac:dyDescent="0.2">
      <c r="A61" s="3" t="s">
        <v>189</v>
      </c>
      <c r="B61" s="3" t="str">
        <f ca="1">IFERROR(__xludf.DUMMYFUNCTION("REGEXEXTRACT(A61, ""\.(?:GOV|EXT)\.([A-Z0-9\-]+)"")
"),"HR")</f>
        <v>HR</v>
      </c>
      <c r="C61" s="3" t="s">
        <v>34</v>
      </c>
      <c r="D61" s="3" t="s">
        <v>35</v>
      </c>
      <c r="E61" s="14" t="str">
        <f ca="1">IFERROR(__xludf.DUMMYFUNCTION("REGEXEXTRACT(A61, ""-(.*)"")"),"ARP.0004.00.2025.GOV.HR.PE")</f>
        <v>ARP.0004.00.2025.GOV.HR.PE</v>
      </c>
      <c r="F61" s="3" t="s">
        <v>190</v>
      </c>
      <c r="G61" s="3"/>
      <c r="H61" s="9">
        <v>45904</v>
      </c>
      <c r="I61" s="3" t="s">
        <v>44</v>
      </c>
      <c r="J61" s="3" t="str">
        <f>VLOOKUP(A61,'TODOS OS PROCESSOS ATUALIZADOS '!A:I,7,0)</f>
        <v>Autorizada Sucesso</v>
      </c>
      <c r="K61" s="3" t="s">
        <v>44</v>
      </c>
      <c r="L61" s="3" t="str">
        <f t="shared" si="0"/>
        <v>Item atualizado</v>
      </c>
      <c r="M61" s="3"/>
      <c r="N61" s="3" t="s">
        <v>44</v>
      </c>
      <c r="O61" s="3" t="s">
        <v>52</v>
      </c>
      <c r="P61" s="3" t="s">
        <v>191</v>
      </c>
    </row>
    <row r="62" spans="1:17" ht="22.5" customHeight="1" x14ac:dyDescent="0.2">
      <c r="A62" s="3" t="s">
        <v>192</v>
      </c>
      <c r="B62" s="3" t="str">
        <f ca="1">IFERROR(__xludf.DUMMYFUNCTION("REGEXEXTRACT(A62, ""\.(?:GOV|EXT)\.([A-Z0-9\-]+)"")
"),"131763")</f>
        <v>131763</v>
      </c>
      <c r="C62" s="3" t="s">
        <v>34</v>
      </c>
      <c r="D62" s="3" t="s">
        <v>35</v>
      </c>
      <c r="E62" s="3" t="str">
        <f ca="1">IFERROR(__xludf.DUMMYFUNCTION("REGEXEXTRACT(A62, ""-(.*)"")"),"ARP.0017.00.2025.EXT.131763.PB")</f>
        <v>ARP.0017.00.2025.EXT.131763.PB</v>
      </c>
      <c r="F62" s="6" t="s">
        <v>59</v>
      </c>
      <c r="G62" s="3"/>
      <c r="H62" s="9">
        <v>45910</v>
      </c>
      <c r="I62" s="3" t="s">
        <v>44</v>
      </c>
      <c r="J62" s="3" t="str">
        <f>VLOOKUP(A62,'TODOS OS PROCESSOS ATUALIZADOS '!A:I,7,0)</f>
        <v>Autorizada Integrado</v>
      </c>
      <c r="K62" s="3" t="s">
        <v>44</v>
      </c>
      <c r="L62" s="3" t="str">
        <f t="shared" si="0"/>
        <v>Item atualizado</v>
      </c>
      <c r="M62" s="3"/>
      <c r="N62" s="3" t="s">
        <v>38</v>
      </c>
      <c r="O62" s="3" t="s">
        <v>60</v>
      </c>
      <c r="P62" s="3" t="s">
        <v>63</v>
      </c>
      <c r="Q62" s="3"/>
    </row>
    <row r="63" spans="1:17" ht="22.5" customHeight="1" x14ac:dyDescent="0.2">
      <c r="A63" s="3" t="s">
        <v>193</v>
      </c>
      <c r="B63" s="3" t="str">
        <f ca="1">IFERROR(__xludf.DUMMYFUNCTION("REGEXEXTRACT(A63, ""\.(?:GOV|EXT)\.([A-Z0-9\-]+)"")
"),"HOF")</f>
        <v>HOF</v>
      </c>
      <c r="C63" s="3" t="s">
        <v>34</v>
      </c>
      <c r="D63" s="3" t="s">
        <v>35</v>
      </c>
      <c r="E63" s="14" t="str">
        <f ca="1">IFERROR(__xludf.DUMMYFUNCTION("REGEXEXTRACT(A63, ""-(.*)"")"),"ARP.0013.02.2025.GOV.HOF.PE")</f>
        <v>ARP.0013.02.2025.GOV.HOF.PE</v>
      </c>
      <c r="F63" s="3" t="s">
        <v>69</v>
      </c>
      <c r="G63" s="3" t="s">
        <v>1</v>
      </c>
      <c r="H63" s="9">
        <v>45909</v>
      </c>
      <c r="I63" s="3" t="s">
        <v>37</v>
      </c>
      <c r="J63" s="3" t="str">
        <f>VLOOKUP(A63,'TODOS OS PROCESSOS ATUALIZADOS '!A:I,7,0)</f>
        <v>Em configuração</v>
      </c>
      <c r="K63" s="3" t="s">
        <v>42</v>
      </c>
      <c r="L63" s="3" t="str">
        <f t="shared" si="0"/>
        <v>Item atualizado</v>
      </c>
      <c r="M63" s="3"/>
      <c r="N63" s="3" t="s">
        <v>42</v>
      </c>
      <c r="O63" s="3" t="s">
        <v>39</v>
      </c>
    </row>
    <row r="64" spans="1:17" ht="22.5" customHeight="1" x14ac:dyDescent="0.2">
      <c r="A64" s="3" t="s">
        <v>194</v>
      </c>
      <c r="B64" s="3" t="str">
        <f ca="1">IFERROR(__xludf.DUMMYFUNCTION("REGEXEXTRACT(A64, ""\.(?:GOV|EXT)\.([A-Z0-9\-]+)"")
"),"HAM")</f>
        <v>HAM</v>
      </c>
      <c r="C64" s="3" t="s">
        <v>34</v>
      </c>
      <c r="D64" s="3" t="s">
        <v>35</v>
      </c>
      <c r="E64" s="14" t="str">
        <f ca="1">IFERROR(__xludf.DUMMYFUNCTION("REGEXEXTRACT(A64, ""-(.*)"")"),"ARP.0012.07.2025.GOV.HAM.PE")</f>
        <v>ARP.0012.07.2025.GOV.HAM.PE</v>
      </c>
      <c r="F64" s="3" t="s">
        <v>195</v>
      </c>
      <c r="G64" s="3" t="s">
        <v>2</v>
      </c>
      <c r="H64" s="9">
        <v>45898</v>
      </c>
      <c r="I64" s="3" t="s">
        <v>44</v>
      </c>
      <c r="J64" s="3" t="str">
        <f>VLOOKUP(A64,'TODOS OS PROCESSOS ATUALIZADOS '!A:I,7,0)</f>
        <v>Autorizada Sucesso</v>
      </c>
      <c r="K64" s="3" t="s">
        <v>44</v>
      </c>
      <c r="L64" s="3" t="str">
        <f t="shared" si="0"/>
        <v>Item atualizado</v>
      </c>
      <c r="M64" s="3" t="s">
        <v>7</v>
      </c>
      <c r="N64" s="3" t="s">
        <v>45</v>
      </c>
      <c r="O64" s="3" t="s">
        <v>46</v>
      </c>
      <c r="P64" s="3" t="s">
        <v>196</v>
      </c>
      <c r="Q64" s="3"/>
    </row>
    <row r="65" spans="1:17" ht="22.5" customHeight="1" x14ac:dyDescent="0.2">
      <c r="A65" s="3" t="s">
        <v>197</v>
      </c>
      <c r="B65" s="3" t="str">
        <f ca="1">IFERROR(__xludf.DUMMYFUNCTION("REGEXEXTRACT(A65, ""\.(?:GOV|EXT)\.([A-Z0-9\-]+)"")
"),"HUOC")</f>
        <v>HUOC</v>
      </c>
      <c r="C65" s="3" t="s">
        <v>34</v>
      </c>
      <c r="D65" s="3" t="s">
        <v>35</v>
      </c>
      <c r="E65" s="14" t="str">
        <f ca="1">IFERROR(__xludf.DUMMYFUNCTION("REGEXEXTRACT(A65, ""-(.*)"")"),"ARP.0106.00.2025.GOV.HUOC.PE")</f>
        <v>ARP.0106.00.2025.GOV.HUOC.PE</v>
      </c>
      <c r="F65" s="3" t="s">
        <v>198</v>
      </c>
      <c r="G65" s="3"/>
      <c r="H65" s="9">
        <v>45894</v>
      </c>
      <c r="I65" s="3" t="s">
        <v>44</v>
      </c>
      <c r="J65" s="3" t="str">
        <f>VLOOKUP(A65,'TODOS OS PROCESSOS ATUALIZADOS '!A:I,7,0)</f>
        <v>Autorizada Sucesso</v>
      </c>
      <c r="K65" s="3" t="s">
        <v>44</v>
      </c>
      <c r="L65" s="3" t="str">
        <f t="shared" si="0"/>
        <v>Item atualizado</v>
      </c>
      <c r="M65" s="3"/>
      <c r="N65" s="3" t="s">
        <v>45</v>
      </c>
      <c r="O65" s="3" t="s">
        <v>56</v>
      </c>
      <c r="P65" s="3" t="s">
        <v>199</v>
      </c>
    </row>
    <row r="66" spans="1:17" ht="22.5" customHeight="1" x14ac:dyDescent="0.2">
      <c r="A66" s="3" t="s">
        <v>200</v>
      </c>
      <c r="B66" s="3" t="str">
        <f ca="1">IFERROR(__xludf.DUMMYFUNCTION("REGEXEXTRACT(A66, ""\.(?:GOV|EXT)\.([A-Z0-9\-]+)"")
"),"PROCAPE")</f>
        <v>PROCAPE</v>
      </c>
      <c r="C66" s="3" t="s">
        <v>34</v>
      </c>
      <c r="D66" s="3" t="s">
        <v>35</v>
      </c>
      <c r="E66" s="14" t="str">
        <f ca="1">IFERROR(__xludf.DUMMYFUNCTION("REGEXEXTRACT(A66, ""-(.*)"")"),"ARP.0059.02.2025.GOV.PROCAPE.PE")</f>
        <v>ARP.0059.02.2025.GOV.PROCAPE.PE</v>
      </c>
      <c r="F66" s="3" t="s">
        <v>79</v>
      </c>
      <c r="G66" s="3"/>
      <c r="H66" s="9">
        <v>45896</v>
      </c>
      <c r="I66" s="3" t="s">
        <v>44</v>
      </c>
      <c r="J66" s="3" t="str">
        <f>VLOOKUP(A66,'TODOS OS PROCESSOS ATUALIZADOS '!A:I,7,0)</f>
        <v>Autorizada Sucesso</v>
      </c>
      <c r="K66" s="3" t="s">
        <v>44</v>
      </c>
      <c r="L66" s="3" t="str">
        <f t="shared" si="0"/>
        <v>Item atualizado</v>
      </c>
      <c r="M66" s="3"/>
      <c r="N66" s="3" t="s">
        <v>44</v>
      </c>
      <c r="O66" s="3" t="s">
        <v>52</v>
      </c>
      <c r="P66" s="3" t="s">
        <v>201</v>
      </c>
    </row>
    <row r="67" spans="1:17" ht="22.5" customHeight="1" x14ac:dyDescent="0.2">
      <c r="A67" s="3" t="s">
        <v>202</v>
      </c>
      <c r="B67" s="3" t="str">
        <f ca="1">IFERROR(__xludf.DUMMYFUNCTION("REGEXEXTRACT(A67, ""\.(?:GOV|EXT)\.([A-Z0-9\-]+)"")
"),"HAM")</f>
        <v>HAM</v>
      </c>
      <c r="C67" s="3" t="s">
        <v>34</v>
      </c>
      <c r="D67" s="3" t="s">
        <v>35</v>
      </c>
      <c r="E67" s="14" t="str">
        <f ca="1">IFERROR(__xludf.DUMMYFUNCTION("REGEXEXTRACT(A67, ""-(.*)"")"),"ARP.0012.07.2025.GOV.HAM.PE")</f>
        <v>ARP.0012.07.2025.GOV.HAM.PE</v>
      </c>
      <c r="F67" s="3" t="s">
        <v>195</v>
      </c>
      <c r="G67" s="3" t="s">
        <v>2</v>
      </c>
      <c r="H67" s="9">
        <v>45888</v>
      </c>
      <c r="I67" s="3" t="s">
        <v>37</v>
      </c>
      <c r="J67" s="3" t="str">
        <f>VLOOKUP(A67,'TODOS OS PROCESSOS ATUALIZADOS '!A:I,7,0)</f>
        <v>Cancelada</v>
      </c>
      <c r="K67" s="3" t="s">
        <v>38</v>
      </c>
      <c r="L67" s="3" t="str">
        <f t="shared" si="0"/>
        <v>Item não atualizado</v>
      </c>
      <c r="M67" s="3"/>
      <c r="N67" s="3" t="s">
        <v>38</v>
      </c>
      <c r="O67" s="3" t="s">
        <v>39</v>
      </c>
    </row>
    <row r="68" spans="1:17" ht="22.5" customHeight="1" x14ac:dyDescent="0.2">
      <c r="A68" s="3" t="s">
        <v>203</v>
      </c>
      <c r="B68" s="3" t="str">
        <f ca="1">IFERROR(__xludf.DUMMYFUNCTION("REGEXEXTRACT(A68, ""\.(?:GOV|EXT)\.([A-Z0-9\-]+)"")
"),"PROCAPE")</f>
        <v>PROCAPE</v>
      </c>
      <c r="C68" s="3" t="s">
        <v>34</v>
      </c>
      <c r="D68" s="3" t="s">
        <v>35</v>
      </c>
      <c r="E68" s="14" t="str">
        <f ca="1">IFERROR(__xludf.DUMMYFUNCTION("REGEXEXTRACT(A68, ""-(.*)"")"),"ARP.0028.03.2025.GOV.PROCAPE.PE")</f>
        <v>ARP.0028.03.2025.GOV.PROCAPE.PE</v>
      </c>
      <c r="F68" s="3" t="s">
        <v>127</v>
      </c>
      <c r="G68" s="3"/>
      <c r="H68" s="9">
        <v>45884</v>
      </c>
      <c r="I68" s="3" t="s">
        <v>44</v>
      </c>
      <c r="J68" s="3" t="str">
        <f>VLOOKUP(A68,'TODOS OS PROCESSOS ATUALIZADOS '!A:I,7,0)</f>
        <v>Autorizada Sucesso</v>
      </c>
      <c r="K68" s="3" t="s">
        <v>44</v>
      </c>
      <c r="L68" s="3" t="str">
        <f t="shared" si="0"/>
        <v>Item atualizado</v>
      </c>
      <c r="M68" s="3"/>
      <c r="N68" s="3" t="s">
        <v>44</v>
      </c>
      <c r="O68" s="3" t="s">
        <v>52</v>
      </c>
      <c r="P68" s="3" t="s">
        <v>204</v>
      </c>
    </row>
    <row r="69" spans="1:17" ht="22.5" customHeight="1" x14ac:dyDescent="0.2">
      <c r="A69" s="3" t="s">
        <v>205</v>
      </c>
      <c r="B69" s="3" t="str">
        <f ca="1">IFERROR(__xludf.DUMMYFUNCTION("REGEXEXTRACT(A69, ""\.(?:GOV|EXT)\.([A-Z0-9\-]+)"")
"),"HUOC")</f>
        <v>HUOC</v>
      </c>
      <c r="C69" s="3" t="s">
        <v>34</v>
      </c>
      <c r="D69" s="3" t="s">
        <v>35</v>
      </c>
      <c r="E69" s="14" t="str">
        <f ca="1">IFERROR(__xludf.DUMMYFUNCTION("REGEXEXTRACT(A69, ""-(.*)"")"),"ARP.0100.00.2024.GOV.HUOC.PE")</f>
        <v>ARP.0100.00.2024.GOV.HUOC.PE</v>
      </c>
      <c r="F69" s="3" t="s">
        <v>206</v>
      </c>
      <c r="G69" s="3"/>
      <c r="H69" s="9">
        <v>45904</v>
      </c>
      <c r="I69" s="3" t="s">
        <v>44</v>
      </c>
      <c r="J69" s="3" t="str">
        <f>VLOOKUP(A69,'TODOS OS PROCESSOS ATUALIZADOS '!A:I,7,0)</f>
        <v>Autorizada Sucesso</v>
      </c>
      <c r="K69" s="3" t="s">
        <v>44</v>
      </c>
      <c r="L69" s="3" t="str">
        <f t="shared" si="0"/>
        <v>Item atualizado</v>
      </c>
      <c r="M69" s="3"/>
      <c r="N69" s="3" t="s">
        <v>44</v>
      </c>
      <c r="O69" s="3" t="s">
        <v>52</v>
      </c>
      <c r="P69" s="3" t="s">
        <v>207</v>
      </c>
    </row>
    <row r="70" spans="1:17" ht="22.5" customHeight="1" x14ac:dyDescent="0.2">
      <c r="A70" s="3" t="s">
        <v>208</v>
      </c>
      <c r="B70" s="3" t="str">
        <f ca="1">IFERROR(__xludf.DUMMYFUNCTION("REGEXEXTRACT(A70, ""\.(?:GOV|EXT)\.([A-Z0-9\-]+)"")
"),"SASSEPE")</f>
        <v>SASSEPE</v>
      </c>
      <c r="C70" s="3" t="s">
        <v>34</v>
      </c>
      <c r="D70" s="3" t="s">
        <v>35</v>
      </c>
      <c r="E70" s="14" t="str">
        <f ca="1">IFERROR(__xludf.DUMMYFUNCTION("REGEXEXTRACT(A70, ""-(.*)"")"),"ARP.0001.00.2025.GOV.SASSEPE.PE")</f>
        <v>ARP.0001.00.2025.GOV.SASSEPE.PE</v>
      </c>
      <c r="F70" s="3" t="s">
        <v>209</v>
      </c>
      <c r="G70" s="3" t="s">
        <v>3</v>
      </c>
      <c r="H70" s="9">
        <v>45904</v>
      </c>
      <c r="I70" s="3" t="s">
        <v>44</v>
      </c>
      <c r="J70" s="3" t="str">
        <f>VLOOKUP(A70,'TODOS OS PROCESSOS ATUALIZADOS '!A:I,7,0)</f>
        <v>Autorizada Sucesso</v>
      </c>
      <c r="K70" s="3" t="s">
        <v>44</v>
      </c>
      <c r="L70" s="3" t="str">
        <f t="shared" si="0"/>
        <v>Item atualizado</v>
      </c>
      <c r="M70" s="3"/>
      <c r="N70" s="3" t="s">
        <v>45</v>
      </c>
      <c r="O70" s="3" t="s">
        <v>87</v>
      </c>
      <c r="P70" s="3" t="s">
        <v>210</v>
      </c>
      <c r="Q70" s="3"/>
    </row>
    <row r="71" spans="1:17" ht="22.5" customHeight="1" x14ac:dyDescent="0.2">
      <c r="A71" s="3" t="s">
        <v>211</v>
      </c>
      <c r="B71" s="3" t="str">
        <f ca="1">IFERROR(__xludf.DUMMYFUNCTION("REGEXEXTRACT(A71, ""\.(?:GOV|EXT)\.([A-Z0-9\-]+)"")
"),"HUOC")</f>
        <v>HUOC</v>
      </c>
      <c r="C71" s="3" t="s">
        <v>34</v>
      </c>
      <c r="D71" s="3" t="s">
        <v>35</v>
      </c>
      <c r="E71" s="14" t="str">
        <f ca="1">IFERROR(__xludf.DUMMYFUNCTION("REGEXEXTRACT(A71, ""-(.*)"")"),"ARP.0106.02.2025.GOV.HUOC.PE")</f>
        <v>ARP.0106.02.2025.GOV.HUOC.PE</v>
      </c>
      <c r="F71" s="3" t="s">
        <v>198</v>
      </c>
      <c r="G71" s="3"/>
      <c r="H71" s="9">
        <v>45882</v>
      </c>
      <c r="I71" s="3" t="s">
        <v>44</v>
      </c>
      <c r="J71" s="3" t="str">
        <f>VLOOKUP(A71,'TODOS OS PROCESSOS ATUALIZADOS '!A:I,7,0)</f>
        <v>Autorizada Sucesso</v>
      </c>
      <c r="K71" s="3" t="s">
        <v>44</v>
      </c>
      <c r="L71" s="3" t="str">
        <f t="shared" si="0"/>
        <v>Item atualizado</v>
      </c>
      <c r="M71" s="3"/>
      <c r="N71" s="3" t="s">
        <v>44</v>
      </c>
      <c r="O71" s="3" t="s">
        <v>52</v>
      </c>
      <c r="P71" s="3" t="s">
        <v>212</v>
      </c>
    </row>
    <row r="72" spans="1:17" ht="22.5" customHeight="1" x14ac:dyDescent="0.2">
      <c r="A72" s="3" t="s">
        <v>213</v>
      </c>
      <c r="B72" s="3" t="str">
        <f ca="1">IFERROR(__xludf.DUMMYFUNCTION("REGEXEXTRACT(A72, ""\.(?:GOV|EXT)\.([A-Z0-9\-]+)"")
"),"FES-PE")</f>
        <v>FES-PE</v>
      </c>
      <c r="C72" s="3" t="s">
        <v>34</v>
      </c>
      <c r="D72" s="3" t="s">
        <v>35</v>
      </c>
      <c r="E72" s="14" t="str">
        <f ca="1">IFERROR(__xludf.DUMMYFUNCTION("REGEXEXTRACT(A72, ""-(.*)"")"),"ARP.0080.00.2025.GOV.FES-PE.PE")</f>
        <v>ARP.0080.00.2025.GOV.FES-PE.PE</v>
      </c>
      <c r="F72" s="3" t="s">
        <v>36</v>
      </c>
      <c r="G72" s="3"/>
      <c r="H72" s="9">
        <v>45911</v>
      </c>
      <c r="I72" s="3" t="s">
        <v>44</v>
      </c>
      <c r="J72" s="3" t="str">
        <f>VLOOKUP(A72,'TODOS OS PROCESSOS ATUALIZADOS '!A:I,7,0)</f>
        <v>Autorizada Sucesso</v>
      </c>
      <c r="K72" s="3" t="s">
        <v>44</v>
      </c>
      <c r="L72" s="3" t="str">
        <f t="shared" si="0"/>
        <v>Item atualizado</v>
      </c>
      <c r="M72" s="3"/>
      <c r="N72" s="3" t="s">
        <v>44</v>
      </c>
      <c r="O72" s="3" t="s">
        <v>52</v>
      </c>
      <c r="P72" s="3" t="s">
        <v>214</v>
      </c>
    </row>
    <row r="73" spans="1:17" ht="22.5" customHeight="1" x14ac:dyDescent="0.2">
      <c r="A73" s="3" t="s">
        <v>215</v>
      </c>
      <c r="B73" s="3" t="str">
        <f ca="1">IFERROR(__xludf.DUMMYFUNCTION("REGEXEXTRACT(A73, ""\.(?:GOV|EXT)\.([A-Z0-9\-]+)"")
"),"HUOC")</f>
        <v>HUOC</v>
      </c>
      <c r="C73" s="3" t="s">
        <v>34</v>
      </c>
      <c r="D73" s="3" t="s">
        <v>35</v>
      </c>
      <c r="E73" s="14" t="str">
        <f ca="1">IFERROR(__xludf.DUMMYFUNCTION("REGEXEXTRACT(A73, ""-(.*)"")"),"ARP.0079.03.2025.GOV.HUOC.PE")</f>
        <v>ARP.0079.03.2025.GOV.HUOC.PE</v>
      </c>
      <c r="F73" s="3" t="s">
        <v>216</v>
      </c>
      <c r="G73" s="3"/>
      <c r="H73" s="9">
        <v>45910</v>
      </c>
      <c r="I73" s="3" t="s">
        <v>44</v>
      </c>
      <c r="J73" s="3" t="str">
        <f>VLOOKUP(A73,'TODOS OS PROCESSOS ATUALIZADOS '!A:I,7,0)</f>
        <v>Autorizada Sucesso</v>
      </c>
      <c r="K73" s="3" t="s">
        <v>44</v>
      </c>
      <c r="L73" s="3" t="str">
        <f t="shared" si="0"/>
        <v>Item atualizado</v>
      </c>
      <c r="M73" s="3"/>
      <c r="N73" s="3" t="s">
        <v>44</v>
      </c>
      <c r="O73" s="3" t="s">
        <v>52</v>
      </c>
      <c r="P73" s="3" t="s">
        <v>217</v>
      </c>
    </row>
    <row r="74" spans="1:17" ht="22.5" customHeight="1" x14ac:dyDescent="0.2">
      <c r="A74" s="3" t="s">
        <v>218</v>
      </c>
      <c r="B74" s="3" t="str">
        <f ca="1">IFERROR(__xludf.DUMMYFUNCTION("REGEXEXTRACT(A74, ""\.(?:GOV|EXT)\.([A-Z0-9\-]+)"")
"),"HUOC")</f>
        <v>HUOC</v>
      </c>
      <c r="C74" s="3" t="s">
        <v>34</v>
      </c>
      <c r="D74" s="3" t="s">
        <v>35</v>
      </c>
      <c r="E74" s="14" t="str">
        <f ca="1">IFERROR(__xludf.DUMMYFUNCTION("REGEXEXTRACT(A74, ""-(.*)"")"),"ARP.0079.00.2025.GOV.HUOC.PE")</f>
        <v>ARP.0079.00.2025.GOV.HUOC.PE</v>
      </c>
      <c r="F74" s="3" t="s">
        <v>216</v>
      </c>
      <c r="G74" s="3"/>
      <c r="H74" s="9">
        <v>45910</v>
      </c>
      <c r="I74" s="3" t="s">
        <v>44</v>
      </c>
      <c r="J74" s="3" t="str">
        <f>VLOOKUP(A74,'TODOS OS PROCESSOS ATUALIZADOS '!A:I,7,0)</f>
        <v>Autorizada Sucesso</v>
      </c>
      <c r="K74" s="3" t="s">
        <v>44</v>
      </c>
      <c r="L74" s="3" t="str">
        <f t="shared" si="0"/>
        <v>Item atualizado</v>
      </c>
      <c r="M74" s="3"/>
      <c r="N74" s="3" t="s">
        <v>44</v>
      </c>
      <c r="O74" s="3" t="s">
        <v>52</v>
      </c>
      <c r="P74" s="3" t="s">
        <v>219</v>
      </c>
    </row>
    <row r="75" spans="1:17" ht="22.5" customHeight="1" x14ac:dyDescent="0.2">
      <c r="A75" s="3" t="s">
        <v>220</v>
      </c>
      <c r="B75" s="3" t="str">
        <f ca="1">IFERROR(__xludf.DUMMYFUNCTION("REGEXEXTRACT(A75, ""\.(?:GOV|EXT)\.([A-Z0-9\-]+)"")
"),"HAM")</f>
        <v>HAM</v>
      </c>
      <c r="C75" s="3" t="s">
        <v>34</v>
      </c>
      <c r="D75" s="3" t="s">
        <v>35</v>
      </c>
      <c r="E75" s="14" t="str">
        <f ca="1">IFERROR(__xludf.DUMMYFUNCTION("REGEXEXTRACT(A75, ""-(.*)"")"),"ARP.0010.02.2025.GOV.HAM.PE")</f>
        <v>ARP.0010.02.2025.GOV.HAM.PE</v>
      </c>
      <c r="F75" s="3" t="s">
        <v>105</v>
      </c>
      <c r="G75" s="3"/>
      <c r="H75" s="9">
        <v>45877</v>
      </c>
      <c r="I75" s="3" t="s">
        <v>44</v>
      </c>
      <c r="J75" s="3" t="str">
        <f>VLOOKUP(A75,'TODOS OS PROCESSOS ATUALIZADOS '!A:I,7,0)</f>
        <v>Autorizada Sucesso</v>
      </c>
      <c r="K75" s="3" t="s">
        <v>44</v>
      </c>
      <c r="L75" s="3" t="str">
        <f t="shared" si="0"/>
        <v>Item atualizado</v>
      </c>
      <c r="M75" s="3"/>
      <c r="N75" s="3" t="s">
        <v>44</v>
      </c>
      <c r="O75" s="3" t="s">
        <v>52</v>
      </c>
      <c r="P75" s="3" t="s">
        <v>221</v>
      </c>
    </row>
    <row r="76" spans="1:17" ht="22.5" customHeight="1" x14ac:dyDescent="0.2">
      <c r="A76" s="3" t="s">
        <v>222</v>
      </c>
      <c r="B76" s="3" t="str">
        <f ca="1">IFERROR(__xludf.DUMMYFUNCTION("REGEXEXTRACT(A76, ""\.(?:GOV|EXT)\.([A-Z0-9\-]+)"")
"),"HUOC")</f>
        <v>HUOC</v>
      </c>
      <c r="C76" s="3" t="s">
        <v>34</v>
      </c>
      <c r="D76" s="3" t="s">
        <v>35</v>
      </c>
      <c r="E76" s="14" t="str">
        <f ca="1">IFERROR(__xludf.DUMMYFUNCTION("REGEXEXTRACT(A76, ""-(.*)"")"),"ARP.0082.06.2025.GOV.HUOC.PE")</f>
        <v>ARP.0082.06.2025.GOV.HUOC.PE</v>
      </c>
      <c r="F76" s="3" t="s">
        <v>223</v>
      </c>
      <c r="G76" s="3"/>
      <c r="H76" s="9">
        <v>45884</v>
      </c>
      <c r="I76" s="3" t="s">
        <v>44</v>
      </c>
      <c r="J76" s="3" t="str">
        <f>VLOOKUP(A76,'TODOS OS PROCESSOS ATUALIZADOS '!A:I,7,0)</f>
        <v>Autorizada Sucesso</v>
      </c>
      <c r="K76" s="3" t="s">
        <v>44</v>
      </c>
      <c r="L76" s="3" t="str">
        <f t="shared" si="0"/>
        <v>Item atualizado</v>
      </c>
      <c r="M76" s="3"/>
      <c r="N76" s="3" t="s">
        <v>45</v>
      </c>
      <c r="O76" s="3" t="s">
        <v>60</v>
      </c>
      <c r="P76" s="3" t="s">
        <v>224</v>
      </c>
    </row>
    <row r="77" spans="1:17" ht="22.5" customHeight="1" x14ac:dyDescent="0.2">
      <c r="A77" s="3" t="s">
        <v>225</v>
      </c>
      <c r="B77" s="3" t="str">
        <f ca="1">IFERROR(__xludf.DUMMYFUNCTION("REGEXEXTRACT(A77, ""\.(?:GOV|EXT)\.([A-Z0-9\-]+)"")
"),"HUOC")</f>
        <v>HUOC</v>
      </c>
      <c r="C77" s="3" t="s">
        <v>34</v>
      </c>
      <c r="D77" s="3" t="s">
        <v>35</v>
      </c>
      <c r="E77" s="14" t="str">
        <f ca="1">IFERROR(__xludf.DUMMYFUNCTION("REGEXEXTRACT(A77, ""-(.*)"")"),"ARP.0064.01.2025.GOV.HUOC.PE")</f>
        <v>ARP.0064.01.2025.GOV.HUOC.PE</v>
      </c>
      <c r="F77" s="3" t="s">
        <v>226</v>
      </c>
      <c r="G77" s="3" t="s">
        <v>3</v>
      </c>
      <c r="H77" s="9">
        <v>45887</v>
      </c>
      <c r="I77" s="3" t="s">
        <v>37</v>
      </c>
      <c r="J77" s="3" t="str">
        <f>VLOOKUP(A77,'TODOS OS PROCESSOS ATUALIZADOS '!A:I,7,0)</f>
        <v>Em configuração</v>
      </c>
      <c r="K77" s="3" t="s">
        <v>42</v>
      </c>
      <c r="L77" s="3" t="str">
        <f t="shared" si="0"/>
        <v>Item atualizado</v>
      </c>
      <c r="M77" s="3"/>
      <c r="N77" s="3" t="s">
        <v>42</v>
      </c>
      <c r="O77" s="3" t="s">
        <v>39</v>
      </c>
    </row>
    <row r="78" spans="1:17" ht="22.5" customHeight="1" x14ac:dyDescent="0.2">
      <c r="A78" s="3" t="s">
        <v>227</v>
      </c>
      <c r="B78" s="3" t="str">
        <f ca="1">IFERROR(__xludf.DUMMYFUNCTION("REGEXEXTRACT(A78, ""\.(?:GOV|EXT)\.([A-Z0-9\-]+)"")
"),"FES-PE")</f>
        <v>FES-PE</v>
      </c>
      <c r="C78" s="3" t="s">
        <v>34</v>
      </c>
      <c r="D78" s="3" t="s">
        <v>35</v>
      </c>
      <c r="E78" s="14" t="str">
        <f ca="1">IFERROR(__xludf.DUMMYFUNCTION("REGEXEXTRACT(A78, ""-(.*)"")"),"ARP.0059.00.2025.GOV.FES-PE.PE")</f>
        <v>ARP.0059.00.2025.GOV.FES-PE.PE</v>
      </c>
      <c r="F78" s="3" t="s">
        <v>228</v>
      </c>
      <c r="G78" s="3"/>
      <c r="H78" s="9">
        <v>45911</v>
      </c>
      <c r="I78" s="3" t="s">
        <v>37</v>
      </c>
      <c r="J78" s="3" t="str">
        <f>VLOOKUP(A78,'TODOS OS PROCESSOS ATUALIZADOS '!A:I,7,0)</f>
        <v>Cancelada</v>
      </c>
      <c r="K78" s="3" t="s">
        <v>38</v>
      </c>
      <c r="L78" s="3" t="str">
        <f t="shared" si="0"/>
        <v>Item não atualizado</v>
      </c>
      <c r="M78" s="3"/>
      <c r="N78" s="3" t="s">
        <v>38</v>
      </c>
      <c r="O78" s="3" t="s">
        <v>39</v>
      </c>
    </row>
    <row r="79" spans="1:17" ht="22.5" customHeight="1" x14ac:dyDescent="0.2">
      <c r="A79" s="3" t="s">
        <v>229</v>
      </c>
      <c r="B79" s="3" t="str">
        <f ca="1">IFERROR(__xludf.DUMMYFUNCTION("REGEXEXTRACT(A79, ""\.(?:GOV|EXT)\.([A-Z0-9\-]+)"")
"),"HUOC")</f>
        <v>HUOC</v>
      </c>
      <c r="C79" s="3" t="s">
        <v>34</v>
      </c>
      <c r="D79" s="3" t="s">
        <v>35</v>
      </c>
      <c r="E79" s="14" t="str">
        <f ca="1">IFERROR(__xludf.DUMMYFUNCTION("REGEXEXTRACT(A79, ""-(.*)"")"),"ARP.0038.02.2025.GOV.HUOC.PE")</f>
        <v>ARP.0038.02.2025.GOV.HUOC.PE</v>
      </c>
      <c r="F79" s="3" t="s">
        <v>174</v>
      </c>
      <c r="G79" s="3"/>
      <c r="H79" s="9">
        <v>45904</v>
      </c>
      <c r="I79" s="3" t="s">
        <v>44</v>
      </c>
      <c r="J79" s="3" t="str">
        <f>VLOOKUP(A79,'TODOS OS PROCESSOS ATUALIZADOS '!A:I,7,0)</f>
        <v>Autorizada Sucesso</v>
      </c>
      <c r="K79" s="3" t="s">
        <v>44</v>
      </c>
      <c r="L79" s="3" t="str">
        <f t="shared" si="0"/>
        <v>Item atualizado</v>
      </c>
      <c r="M79" s="3"/>
      <c r="N79" s="3" t="s">
        <v>45</v>
      </c>
      <c r="O79" s="3" t="s">
        <v>87</v>
      </c>
      <c r="P79" s="3" t="s">
        <v>230</v>
      </c>
    </row>
    <row r="80" spans="1:17" ht="22.5" customHeight="1" x14ac:dyDescent="0.2">
      <c r="A80" s="3" t="s">
        <v>231</v>
      </c>
      <c r="B80" s="3" t="str">
        <f ca="1">IFERROR(__xludf.DUMMYFUNCTION("REGEXEXTRACT(A80, ""\.(?:GOV|EXT)\.([A-Z0-9\-]+)"")
"),"HUOC")</f>
        <v>HUOC</v>
      </c>
      <c r="C80" s="3" t="s">
        <v>34</v>
      </c>
      <c r="D80" s="3" t="s">
        <v>35</v>
      </c>
      <c r="E80" s="14" t="str">
        <f ca="1">IFERROR(__xludf.DUMMYFUNCTION("REGEXEXTRACT(A80, ""-(.*)"")"),"ARP.0012.02.2025.GOV.HUOC.PE")</f>
        <v>ARP.0012.02.2025.GOV.HUOC.PE</v>
      </c>
      <c r="F80" s="3" t="s">
        <v>232</v>
      </c>
      <c r="G80" s="3"/>
      <c r="H80" s="9">
        <v>45911</v>
      </c>
      <c r="I80" s="3" t="s">
        <v>44</v>
      </c>
      <c r="J80" s="3" t="str">
        <f>VLOOKUP(A80,'TODOS OS PROCESSOS ATUALIZADOS '!A:I,7,0)</f>
        <v>Autorizada Sucesso</v>
      </c>
      <c r="K80" s="3" t="s">
        <v>44</v>
      </c>
      <c r="L80" s="3" t="str">
        <f t="shared" si="0"/>
        <v>Item atualizado</v>
      </c>
      <c r="M80" s="3"/>
      <c r="N80" s="3" t="s">
        <v>44</v>
      </c>
      <c r="O80" s="3" t="s">
        <v>52</v>
      </c>
      <c r="P80" s="3" t="s">
        <v>233</v>
      </c>
    </row>
    <row r="81" spans="1:17" ht="22.5" customHeight="1" x14ac:dyDescent="0.2">
      <c r="A81" s="3" t="s">
        <v>234</v>
      </c>
      <c r="B81" s="3" t="str">
        <f ca="1">IFERROR(__xludf.DUMMYFUNCTION("REGEXEXTRACT(A81, ""\.(?:GOV|EXT)\.([A-Z0-9\-]+)"")
"),"HUOC")</f>
        <v>HUOC</v>
      </c>
      <c r="C81" s="3" t="s">
        <v>34</v>
      </c>
      <c r="D81" s="3" t="s">
        <v>35</v>
      </c>
      <c r="E81" s="14" t="str">
        <f ca="1">IFERROR(__xludf.DUMMYFUNCTION("REGEXEXTRACT(A81, ""-(.*)"")"),"ARP.0090.04.2025.GOV.HUOC.PE")</f>
        <v>ARP.0090.04.2025.GOV.HUOC.PE</v>
      </c>
      <c r="F81" s="3" t="s">
        <v>235</v>
      </c>
      <c r="G81" s="3"/>
      <c r="H81" s="9">
        <v>45884</v>
      </c>
      <c r="I81" s="3" t="s">
        <v>44</v>
      </c>
      <c r="J81" s="3" t="str">
        <f>VLOOKUP(A81,'TODOS OS PROCESSOS ATUALIZADOS '!A:I,7,0)</f>
        <v>Autorizada Sucesso</v>
      </c>
      <c r="K81" s="3" t="s">
        <v>44</v>
      </c>
      <c r="L81" s="3" t="str">
        <f t="shared" si="0"/>
        <v>Item atualizado</v>
      </c>
      <c r="M81" s="3"/>
      <c r="N81" s="3" t="s">
        <v>44</v>
      </c>
      <c r="O81" s="3" t="s">
        <v>52</v>
      </c>
      <c r="P81" s="3" t="s">
        <v>236</v>
      </c>
    </row>
    <row r="82" spans="1:17" ht="22.5" customHeight="1" x14ac:dyDescent="0.2">
      <c r="A82" s="3" t="s">
        <v>237</v>
      </c>
      <c r="B82" s="3" t="str">
        <f ca="1">IFERROR(__xludf.DUMMYFUNCTION("REGEXEXTRACT(A82, ""\.(?:GOV|EXT)\.([A-Z0-9\-]+)"")
"),"FES-PE")</f>
        <v>FES-PE</v>
      </c>
      <c r="C82" s="3" t="s">
        <v>34</v>
      </c>
      <c r="D82" s="3" t="s">
        <v>35</v>
      </c>
      <c r="E82" s="14" t="str">
        <f ca="1">IFERROR(__xludf.DUMMYFUNCTION("REGEXEXTRACT(A82, ""-(.*)"")"),"ARP.0059.00.2025.GOV.FES-PE.PE")</f>
        <v>ARP.0059.00.2025.GOV.FES-PE.PE</v>
      </c>
      <c r="F82" s="3" t="s">
        <v>228</v>
      </c>
      <c r="G82" s="3"/>
      <c r="H82" s="9">
        <v>45911</v>
      </c>
      <c r="I82" s="3" t="s">
        <v>37</v>
      </c>
      <c r="J82" s="3" t="str">
        <f>VLOOKUP(A82,'TODOS OS PROCESSOS ATUALIZADOS '!A:I,7,0)</f>
        <v>Cancelada</v>
      </c>
      <c r="K82" s="3" t="s">
        <v>38</v>
      </c>
      <c r="L82" s="3" t="str">
        <f t="shared" si="0"/>
        <v>Item não atualizado</v>
      </c>
      <c r="M82" s="3"/>
      <c r="N82" s="3" t="s">
        <v>38</v>
      </c>
      <c r="O82" s="3" t="s">
        <v>39</v>
      </c>
    </row>
    <row r="83" spans="1:17" ht="22.5" customHeight="1" x14ac:dyDescent="0.2">
      <c r="A83" s="3" t="s">
        <v>238</v>
      </c>
      <c r="B83" s="3" t="str">
        <f ca="1">IFERROR(__xludf.DUMMYFUNCTION("REGEXEXTRACT(A83, ""\.(?:GOV|EXT)\.([A-Z0-9\-]+)"")
"),"HR")</f>
        <v>HR</v>
      </c>
      <c r="C83" s="3" t="s">
        <v>34</v>
      </c>
      <c r="D83" s="3" t="s">
        <v>35</v>
      </c>
      <c r="E83" s="14" t="str">
        <f ca="1">IFERROR(__xludf.DUMMYFUNCTION("REGEXEXTRACT(A83, ""-(.*)"")"),"ARP.0045.00.2024.GOV.HR.PE")</f>
        <v>ARP.0045.00.2024.GOV.HR.PE</v>
      </c>
      <c r="F83" s="3" t="s">
        <v>239</v>
      </c>
      <c r="G83" s="3"/>
      <c r="H83" s="9">
        <v>45896</v>
      </c>
      <c r="I83" s="3" t="s">
        <v>44</v>
      </c>
      <c r="J83" s="3" t="str">
        <f>VLOOKUP(A83,'TODOS OS PROCESSOS ATUALIZADOS '!A:I,7,0)</f>
        <v>Autorizada Sucesso</v>
      </c>
      <c r="K83" s="3" t="s">
        <v>44</v>
      </c>
      <c r="L83" s="3" t="str">
        <f t="shared" si="0"/>
        <v>Item atualizado</v>
      </c>
      <c r="M83" s="3"/>
      <c r="N83" s="3" t="s">
        <v>45</v>
      </c>
      <c r="O83" s="3" t="s">
        <v>60</v>
      </c>
      <c r="P83" s="3" t="s">
        <v>240</v>
      </c>
    </row>
    <row r="84" spans="1:17" ht="22.5" customHeight="1" x14ac:dyDescent="0.2">
      <c r="A84" s="3" t="s">
        <v>241</v>
      </c>
      <c r="B84" s="3" t="str">
        <f ca="1">IFERROR(__xludf.DUMMYFUNCTION("REGEXEXTRACT(A84, ""\.(?:GOV|EXT)\.([A-Z0-9\-]+)"")
"),"FES-PE")</f>
        <v>FES-PE</v>
      </c>
      <c r="C84" s="3" t="s">
        <v>34</v>
      </c>
      <c r="D84" s="3" t="s">
        <v>35</v>
      </c>
      <c r="E84" s="14" t="str">
        <f ca="1">IFERROR(__xludf.DUMMYFUNCTION("REGEXEXTRACT(A84, ""-(.*)"")"),"ARP.0044.06.2025.GOV.FES-PE.PE")</f>
        <v>ARP.0044.06.2025.GOV.FES-PE.PE</v>
      </c>
      <c r="F84" s="3" t="s">
        <v>121</v>
      </c>
      <c r="G84" s="3" t="s">
        <v>3</v>
      </c>
      <c r="H84" s="9">
        <v>45888</v>
      </c>
      <c r="I84" s="3" t="s">
        <v>37</v>
      </c>
      <c r="J84" s="3" t="str">
        <f>VLOOKUP(A84,'TODOS OS PROCESSOS ATUALIZADOS '!A:I,7,0)</f>
        <v>Em revisão</v>
      </c>
      <c r="K84" s="3" t="s">
        <v>42</v>
      </c>
      <c r="L84" s="3" t="str">
        <f t="shared" si="0"/>
        <v>Item atualizado</v>
      </c>
      <c r="M84" s="3"/>
      <c r="N84" s="3" t="s">
        <v>42</v>
      </c>
      <c r="O84" s="3"/>
      <c r="P84" s="3" t="s">
        <v>242</v>
      </c>
      <c r="Q84" s="3" t="s">
        <v>243</v>
      </c>
    </row>
    <row r="85" spans="1:17" ht="22.5" customHeight="1" x14ac:dyDescent="0.2">
      <c r="A85" s="3" t="s">
        <v>244</v>
      </c>
      <c r="B85" s="3" t="str">
        <f ca="1">IFERROR(__xludf.DUMMYFUNCTION("REGEXEXTRACT(A85, ""\.(?:GOV|EXT)\.([A-Z0-9\-]+)"")
"),"HEMOPE")</f>
        <v>HEMOPE</v>
      </c>
      <c r="C85" s="3" t="s">
        <v>34</v>
      </c>
      <c r="D85" s="3" t="s">
        <v>35</v>
      </c>
      <c r="E85" s="14" t="str">
        <f ca="1">IFERROR(__xludf.DUMMYFUNCTION("REGEXEXTRACT(A85, ""-(.*)"")"),"ARP.0012.01.2025.GOV.HEMOPE.PE")</f>
        <v>ARP.0012.01.2025.GOV.HEMOPE.PE</v>
      </c>
      <c r="F85" s="3" t="s">
        <v>245</v>
      </c>
      <c r="G85" s="3"/>
      <c r="H85" s="9">
        <v>45896</v>
      </c>
      <c r="I85" s="3" t="s">
        <v>44</v>
      </c>
      <c r="J85" s="3" t="str">
        <f>VLOOKUP(A85,'TODOS OS PROCESSOS ATUALIZADOS '!A:I,7,0)</f>
        <v>Autorizada Sucesso</v>
      </c>
      <c r="K85" s="3" t="s">
        <v>44</v>
      </c>
      <c r="L85" s="3" t="str">
        <f t="shared" si="0"/>
        <v>Item atualizado</v>
      </c>
      <c r="M85" s="3"/>
      <c r="N85" s="3" t="s">
        <v>44</v>
      </c>
      <c r="O85" s="3" t="s">
        <v>52</v>
      </c>
      <c r="P85" s="3" t="s">
        <v>246</v>
      </c>
    </row>
    <row r="86" spans="1:17" ht="22.5" customHeight="1" x14ac:dyDescent="0.2">
      <c r="A86" s="3" t="s">
        <v>247</v>
      </c>
      <c r="B86" s="3" t="str">
        <f ca="1">IFERROR(__xludf.DUMMYFUNCTION("REGEXEXTRACT(A86, ""\.(?:GOV|EXT)\.([A-Z0-9\-]+)"")
"),"HR")</f>
        <v>HR</v>
      </c>
      <c r="C86" s="3" t="s">
        <v>34</v>
      </c>
      <c r="D86" s="3" t="s">
        <v>35</v>
      </c>
      <c r="E86" s="14" t="str">
        <f ca="1">IFERROR(__xludf.DUMMYFUNCTION("REGEXEXTRACT(A86, ""-(.*)"")"),"ARP.0010.00.2025.GOV.HR.PE")</f>
        <v>ARP.0010.00.2025.GOV.HR.PE</v>
      </c>
      <c r="F86" s="3" t="s">
        <v>248</v>
      </c>
      <c r="G86" s="3" t="s">
        <v>2</v>
      </c>
      <c r="H86" s="9">
        <v>45887</v>
      </c>
      <c r="I86" s="3" t="s">
        <v>44</v>
      </c>
      <c r="J86" s="3" t="str">
        <f>VLOOKUP(A86,'TODOS OS PROCESSOS ATUALIZADOS '!A:I,7,0)</f>
        <v>Autorizada Sucesso</v>
      </c>
      <c r="K86" s="3" t="s">
        <v>44</v>
      </c>
      <c r="L86" s="3" t="str">
        <f t="shared" si="0"/>
        <v>Item atualizado</v>
      </c>
      <c r="M86" s="3"/>
      <c r="N86" s="3" t="s">
        <v>44</v>
      </c>
      <c r="O86" s="3" t="s">
        <v>52</v>
      </c>
      <c r="P86" s="3" t="s">
        <v>249</v>
      </c>
      <c r="Q86" s="3"/>
    </row>
    <row r="87" spans="1:17" ht="22.5" customHeight="1" x14ac:dyDescent="0.2">
      <c r="A87" s="3" t="s">
        <v>250</v>
      </c>
      <c r="B87" s="3" t="str">
        <f ca="1">IFERROR(__xludf.DUMMYFUNCTION("REGEXEXTRACT(A87, ""\.(?:GOV|EXT)\.([A-Z0-9\-]+)"")
"),"131763")</f>
        <v>131763</v>
      </c>
      <c r="C87" s="3" t="s">
        <v>34</v>
      </c>
      <c r="D87" s="3" t="s">
        <v>35</v>
      </c>
      <c r="E87" s="3" t="str">
        <f ca="1">IFERROR(__xludf.DUMMYFUNCTION("REGEXEXTRACT(A87, ""-(.*)"")"),"ARP.0328.01.2025.EXT.131763.PB")</f>
        <v>ARP.0328.01.2025.EXT.131763.PB</v>
      </c>
      <c r="F87" s="6" t="s">
        <v>251</v>
      </c>
      <c r="G87" s="3"/>
      <c r="H87" s="9">
        <v>45896</v>
      </c>
      <c r="I87" s="3" t="s">
        <v>44</v>
      </c>
      <c r="J87" s="3" t="str">
        <f>VLOOKUP(A87,'TODOS OS PROCESSOS ATUALIZADOS '!A:I,7,0)</f>
        <v>Autorizada Integrado</v>
      </c>
      <c r="K87" s="3" t="s">
        <v>44</v>
      </c>
      <c r="L87" s="3" t="str">
        <f t="shared" si="0"/>
        <v>Item atualizado</v>
      </c>
      <c r="M87" s="3"/>
      <c r="N87" s="3" t="s">
        <v>44</v>
      </c>
      <c r="O87" s="3" t="s">
        <v>52</v>
      </c>
      <c r="P87" s="3" t="s">
        <v>252</v>
      </c>
    </row>
    <row r="88" spans="1:17" ht="22.5" customHeight="1" x14ac:dyDescent="0.2">
      <c r="A88" s="3" t="s">
        <v>253</v>
      </c>
      <c r="B88" s="3" t="str">
        <f ca="1">IFERROR(__xludf.DUMMYFUNCTION("REGEXEXTRACT(A88, ""\.(?:GOV|EXT)\.([A-Z0-9\-]+)"")
"),"CISAM")</f>
        <v>CISAM</v>
      </c>
      <c r="C88" s="3" t="s">
        <v>34</v>
      </c>
      <c r="D88" s="3" t="s">
        <v>35</v>
      </c>
      <c r="E88" s="14" t="str">
        <f ca="1">IFERROR(__xludf.DUMMYFUNCTION("REGEXEXTRACT(A88, ""-(.*)"")"),"ARP.0093.00.2024.GOV.CISAM.PE")</f>
        <v>ARP.0093.00.2024.GOV.CISAM.PE</v>
      </c>
      <c r="F88" s="3" t="s">
        <v>254</v>
      </c>
      <c r="G88" s="3"/>
      <c r="H88" s="9">
        <v>45884</v>
      </c>
      <c r="I88" s="3" t="s">
        <v>44</v>
      </c>
      <c r="J88" s="3" t="str">
        <f>VLOOKUP(A88,'TODOS OS PROCESSOS ATUALIZADOS '!A:I,7,0)</f>
        <v>Autorizada Sucesso</v>
      </c>
      <c r="K88" s="3" t="s">
        <v>44</v>
      </c>
      <c r="L88" s="3" t="str">
        <f t="shared" si="0"/>
        <v>Item atualizado</v>
      </c>
      <c r="M88" s="3"/>
      <c r="N88" s="3" t="s">
        <v>44</v>
      </c>
      <c r="O88" s="3" t="s">
        <v>52</v>
      </c>
      <c r="P88" s="3" t="s">
        <v>255</v>
      </c>
    </row>
    <row r="89" spans="1:17" ht="22.5" customHeight="1" x14ac:dyDescent="0.2">
      <c r="A89" s="3" t="s">
        <v>256</v>
      </c>
      <c r="B89" s="3" t="str">
        <f ca="1">IFERROR(__xludf.DUMMYFUNCTION("REGEXEXTRACT(A89, ""\.(?:GOV|EXT)\.([A-Z0-9\-]+)"")
"),"FES-PE")</f>
        <v>FES-PE</v>
      </c>
      <c r="C89" s="3" t="s">
        <v>34</v>
      </c>
      <c r="D89" s="3" t="s">
        <v>35</v>
      </c>
      <c r="E89" s="14" t="str">
        <f ca="1">IFERROR(__xludf.DUMMYFUNCTION("REGEXEXTRACT(A89, ""-(.*)"")"),"ARP.0059.00.2025.GOV.FES-PE.PE")</f>
        <v>ARP.0059.00.2025.GOV.FES-PE.PE</v>
      </c>
      <c r="F89" s="3" t="s">
        <v>228</v>
      </c>
      <c r="G89" s="3"/>
      <c r="H89" s="9">
        <v>45911</v>
      </c>
      <c r="I89" s="3" t="s">
        <v>37</v>
      </c>
      <c r="J89" s="3" t="str">
        <f>VLOOKUP(A89,'TODOS OS PROCESSOS ATUALIZADOS '!A:I,7,0)</f>
        <v>Cancelada</v>
      </c>
      <c r="K89" s="3" t="s">
        <v>38</v>
      </c>
      <c r="L89" s="3" t="str">
        <f t="shared" si="0"/>
        <v>Item não atualizado</v>
      </c>
      <c r="M89" s="3"/>
      <c r="N89" s="3" t="s">
        <v>38</v>
      </c>
      <c r="O89" s="3" t="s">
        <v>39</v>
      </c>
    </row>
    <row r="90" spans="1:17" ht="22.5" customHeight="1" x14ac:dyDescent="0.2">
      <c r="A90" s="3" t="s">
        <v>257</v>
      </c>
      <c r="B90" s="3" t="str">
        <f ca="1">IFERROR(__xludf.DUMMYFUNCTION("REGEXEXTRACT(A90, ""\.(?:GOV|EXT)\.([A-Z0-9\-]+)"")
"),"HR")</f>
        <v>HR</v>
      </c>
      <c r="C90" s="3" t="s">
        <v>34</v>
      </c>
      <c r="D90" s="3" t="s">
        <v>35</v>
      </c>
      <c r="E90" s="14" t="str">
        <f ca="1">IFERROR(__xludf.DUMMYFUNCTION("REGEXEXTRACT(A90, ""-(.*)"")"),"ARP.0014.00.2025.GOV.HR.PE")</f>
        <v>ARP.0014.00.2025.GOV.HR.PE</v>
      </c>
      <c r="F90" s="3" t="s">
        <v>258</v>
      </c>
      <c r="G90" s="3"/>
      <c r="H90" s="9">
        <v>45877</v>
      </c>
      <c r="I90" s="3" t="s">
        <v>44</v>
      </c>
      <c r="J90" s="3" t="str">
        <f>VLOOKUP(A90,'TODOS OS PROCESSOS ATUALIZADOS '!A:I,7,0)</f>
        <v>Autorizada Sucesso</v>
      </c>
      <c r="K90" s="3" t="s">
        <v>44</v>
      </c>
      <c r="L90" s="3" t="str">
        <f t="shared" si="0"/>
        <v>Item atualizado</v>
      </c>
      <c r="M90" s="3"/>
      <c r="N90" s="3" t="s">
        <v>45</v>
      </c>
      <c r="O90" s="3" t="s">
        <v>46</v>
      </c>
      <c r="P90" s="3" t="s">
        <v>259</v>
      </c>
    </row>
    <row r="91" spans="1:17" ht="22.5" customHeight="1" x14ac:dyDescent="0.2">
      <c r="A91" s="3" t="s">
        <v>260</v>
      </c>
      <c r="B91" s="3" t="str">
        <f ca="1">IFERROR(__xludf.DUMMYFUNCTION("REGEXEXTRACT(A91, ""\.(?:GOV|EXT)\.([A-Z0-9\-]+)"")
"),"HAM")</f>
        <v>HAM</v>
      </c>
      <c r="C91" s="3" t="s">
        <v>34</v>
      </c>
      <c r="D91" s="3" t="s">
        <v>35</v>
      </c>
      <c r="E91" s="14" t="str">
        <f ca="1">IFERROR(__xludf.DUMMYFUNCTION("REGEXEXTRACT(A91, ""-(.*)"")"),"ARP.0010.05.2025.GOV.HAM.PE")</f>
        <v>ARP.0010.05.2025.GOV.HAM.PE</v>
      </c>
      <c r="F91" s="3" t="s">
        <v>105</v>
      </c>
      <c r="G91" s="3"/>
      <c r="H91" s="9">
        <v>45911</v>
      </c>
      <c r="I91" s="3" t="s">
        <v>37</v>
      </c>
      <c r="J91" s="3" t="str">
        <f>VLOOKUP(A91,'TODOS OS PROCESSOS ATUALIZADOS '!A:I,7,0)</f>
        <v>Cancelada</v>
      </c>
      <c r="K91" s="3" t="s">
        <v>38</v>
      </c>
      <c r="L91" s="3" t="str">
        <f t="shared" si="0"/>
        <v>Item não atualizado</v>
      </c>
      <c r="M91" s="3"/>
      <c r="N91" s="3" t="s">
        <v>38</v>
      </c>
      <c r="O91" s="3" t="s">
        <v>39</v>
      </c>
    </row>
    <row r="92" spans="1:17" ht="22.5" customHeight="1" x14ac:dyDescent="0.2">
      <c r="A92" s="3" t="s">
        <v>261</v>
      </c>
      <c r="B92" s="3" t="str">
        <f ca="1">IFERROR(__xludf.DUMMYFUNCTION("REGEXEXTRACT(A92, ""\.(?:GOV|EXT)\.([A-Z0-9\-]+)"")
"),"136144")</f>
        <v>136144</v>
      </c>
      <c r="C92" s="3" t="s">
        <v>34</v>
      </c>
      <c r="D92" s="3" t="s">
        <v>35</v>
      </c>
      <c r="E92" s="14" t="str">
        <f ca="1">IFERROR(__xludf.DUMMYFUNCTION("REGEXEXTRACT(A92, ""-(.*)"")"),"ARP.0005.00.2025.EXT.136144.ES")</f>
        <v>ARP.0005.00.2025.EXT.136144.ES</v>
      </c>
      <c r="F92" s="3" t="s">
        <v>262</v>
      </c>
      <c r="G92" s="3"/>
      <c r="H92" s="9">
        <v>45898</v>
      </c>
      <c r="I92" s="3" t="s">
        <v>44</v>
      </c>
      <c r="J92" s="3" t="str">
        <f>VLOOKUP(A92,'TODOS OS PROCESSOS ATUALIZADOS '!A:I,7,0)</f>
        <v>Autorizada Integrado</v>
      </c>
      <c r="K92" s="3" t="s">
        <v>44</v>
      </c>
      <c r="L92" s="3" t="str">
        <f t="shared" si="0"/>
        <v>Item atualizado</v>
      </c>
      <c r="M92" s="3"/>
      <c r="N92" s="3" t="s">
        <v>44</v>
      </c>
      <c r="O92" s="3" t="s">
        <v>52</v>
      </c>
      <c r="P92" s="3" t="s">
        <v>263</v>
      </c>
      <c r="Q92" s="3"/>
    </row>
    <row r="93" spans="1:17" ht="22.5" customHeight="1" x14ac:dyDescent="0.2">
      <c r="A93" s="3" t="s">
        <v>264</v>
      </c>
      <c r="B93" s="3" t="str">
        <f ca="1">IFERROR(__xludf.DUMMYFUNCTION("REGEXEXTRACT(A93, ""\.(?:GOV|EXT)\.([A-Z0-9\-]+)"")
"),"FES-PE")</f>
        <v>FES-PE</v>
      </c>
      <c r="C93" s="3" t="s">
        <v>34</v>
      </c>
      <c r="D93" s="3" t="s">
        <v>35</v>
      </c>
      <c r="E93" s="14" t="str">
        <f ca="1">IFERROR(__xludf.DUMMYFUNCTION("REGEXEXTRACT(A93, ""-(.*)"")"),"ARP.0059.00.2025.GOV.FES-PE.PE")</f>
        <v>ARP.0059.00.2025.GOV.FES-PE.PE</v>
      </c>
      <c r="F93" s="3" t="s">
        <v>228</v>
      </c>
      <c r="G93" s="3" t="s">
        <v>3</v>
      </c>
      <c r="H93" s="9">
        <v>45884</v>
      </c>
      <c r="I93" s="3" t="s">
        <v>44</v>
      </c>
      <c r="J93" s="3" t="str">
        <f>VLOOKUP(A93,'TODOS OS PROCESSOS ATUALIZADOS '!A:I,7,0)</f>
        <v>Autorizada Sucesso</v>
      </c>
      <c r="K93" s="3" t="s">
        <v>44</v>
      </c>
      <c r="L93" s="3" t="str">
        <f t="shared" si="0"/>
        <v>Item atualizado</v>
      </c>
      <c r="M93" s="3"/>
      <c r="N93" s="3" t="s">
        <v>45</v>
      </c>
      <c r="O93" s="3" t="s">
        <v>56</v>
      </c>
      <c r="P93" s="3" t="s">
        <v>265</v>
      </c>
      <c r="Q93" s="3"/>
    </row>
    <row r="94" spans="1:17" ht="22.5" customHeight="1" x14ac:dyDescent="0.2">
      <c r="A94" s="3" t="s">
        <v>266</v>
      </c>
      <c r="B94" s="3" t="str">
        <f ca="1">IFERROR(__xludf.DUMMYFUNCTION("REGEXEXTRACT(A94, ""\.(?:GOV|EXT)\.([A-Z0-9\-]+)"")
"),"131763")</f>
        <v>131763</v>
      </c>
      <c r="C94" s="3" t="s">
        <v>34</v>
      </c>
      <c r="D94" s="3" t="s">
        <v>35</v>
      </c>
      <c r="E94" s="3" t="str">
        <f ca="1">IFERROR(__xludf.DUMMYFUNCTION("REGEXEXTRACT(A94, ""-(.*)"")"),"ARP.0019.00.2025.EXT.131763.PB")</f>
        <v>ARP.0019.00.2025.EXT.131763.PB</v>
      </c>
      <c r="F94" s="3" t="s">
        <v>267</v>
      </c>
      <c r="G94" s="3"/>
      <c r="H94" s="9">
        <v>45888</v>
      </c>
      <c r="I94" s="3" t="s">
        <v>44</v>
      </c>
      <c r="J94" s="3" t="str">
        <f>VLOOKUP(A94,'TODOS OS PROCESSOS ATUALIZADOS '!A:I,7,0)</f>
        <v>Autorizada Integrado</v>
      </c>
      <c r="K94" s="3" t="s">
        <v>44</v>
      </c>
      <c r="L94" s="3" t="str">
        <f t="shared" si="0"/>
        <v>Item atualizado</v>
      </c>
      <c r="M94" s="3"/>
      <c r="N94" s="3" t="s">
        <v>45</v>
      </c>
      <c r="O94" s="3" t="s">
        <v>60</v>
      </c>
      <c r="P94" s="3" t="s">
        <v>268</v>
      </c>
      <c r="Q94" s="3"/>
    </row>
    <row r="95" spans="1:17" ht="22.5" customHeight="1" x14ac:dyDescent="0.2">
      <c r="A95" s="3" t="s">
        <v>269</v>
      </c>
      <c r="B95" s="3" t="str">
        <f ca="1">IFERROR(__xludf.DUMMYFUNCTION("REGEXEXTRACT(A95, ""\.(?:GOV|EXT)\.([A-Z0-9\-]+)"")
"),"HEMOPE")</f>
        <v>HEMOPE</v>
      </c>
      <c r="C95" s="3" t="s">
        <v>34</v>
      </c>
      <c r="D95" s="3" t="s">
        <v>35</v>
      </c>
      <c r="E95" s="14" t="str">
        <f ca="1">IFERROR(__xludf.DUMMYFUNCTION("REGEXEXTRACT(A95, ""-(.*)"")"),"ARP.0011.02.2025.GOV.HEMOPE.PE")</f>
        <v>ARP.0011.02.2025.GOV.HEMOPE.PE</v>
      </c>
      <c r="F95" s="3" t="s">
        <v>270</v>
      </c>
      <c r="G95" s="3"/>
      <c r="H95" s="9">
        <v>45896</v>
      </c>
      <c r="I95" s="3" t="s">
        <v>44</v>
      </c>
      <c r="J95" s="3" t="str">
        <f>VLOOKUP(A95,'TODOS OS PROCESSOS ATUALIZADOS '!A:I,7,0)</f>
        <v>Autorizada Sucesso</v>
      </c>
      <c r="K95" s="3" t="s">
        <v>44</v>
      </c>
      <c r="L95" s="3" t="str">
        <f t="shared" si="0"/>
        <v>Item atualizado</v>
      </c>
      <c r="M95" s="3"/>
      <c r="N95" s="3" t="s">
        <v>44</v>
      </c>
      <c r="O95" s="3" t="s">
        <v>52</v>
      </c>
      <c r="P95" s="3" t="s">
        <v>271</v>
      </c>
    </row>
    <row r="96" spans="1:17" ht="22.5" customHeight="1" x14ac:dyDescent="0.2">
      <c r="A96" s="3" t="s">
        <v>272</v>
      </c>
      <c r="B96" s="3" t="str">
        <f ca="1">IFERROR(__xludf.DUMMYFUNCTION("REGEXEXTRACT(A96, ""\.(?:GOV|EXT)\.([A-Z0-9\-]+)"")
"),"HOF")</f>
        <v>HOF</v>
      </c>
      <c r="C96" s="3" t="s">
        <v>34</v>
      </c>
      <c r="D96" s="3" t="s">
        <v>35</v>
      </c>
      <c r="E96" s="14" t="str">
        <f ca="1">IFERROR(__xludf.DUMMYFUNCTION("REGEXEXTRACT(A96, ""-(.*)"")"),"ARP.0010.02.2025.GOV.HOF.PE")</f>
        <v>ARP.0010.02.2025.GOV.HOF.PE</v>
      </c>
      <c r="F96" s="3" t="s">
        <v>273</v>
      </c>
      <c r="G96" s="3"/>
      <c r="H96" s="9">
        <v>45905</v>
      </c>
      <c r="I96" s="3" t="s">
        <v>44</v>
      </c>
      <c r="J96" s="3" t="str">
        <f>VLOOKUP(A96,'TODOS OS PROCESSOS ATUALIZADOS '!A:I,7,0)</f>
        <v>Autorizada Sucesso</v>
      </c>
      <c r="K96" s="3" t="s">
        <v>44</v>
      </c>
      <c r="L96" s="3" t="str">
        <f t="shared" si="0"/>
        <v>Item atualizado</v>
      </c>
      <c r="M96" s="3"/>
      <c r="N96" s="3" t="s">
        <v>45</v>
      </c>
      <c r="O96" s="3" t="s">
        <v>56</v>
      </c>
      <c r="P96" s="3" t="s">
        <v>274</v>
      </c>
    </row>
    <row r="97" spans="1:17" ht="22.5" customHeight="1" x14ac:dyDescent="0.2">
      <c r="A97" s="3" t="s">
        <v>275</v>
      </c>
      <c r="B97" s="3" t="str">
        <f ca="1">IFERROR(__xludf.DUMMYFUNCTION("REGEXEXTRACT(A97, ""\.(?:GOV|EXT)\.([A-Z0-9\-]+)"")
"),"HMAR")</f>
        <v>HMAR</v>
      </c>
      <c r="C97" s="3" t="s">
        <v>34</v>
      </c>
      <c r="D97" s="3" t="s">
        <v>35</v>
      </c>
      <c r="E97" s="14" t="str">
        <f ca="1">IFERROR(__xludf.DUMMYFUNCTION("REGEXEXTRACT(A97, ""-(.*)"")"),"ARP.0010.02.2025.EXT.HMAR.PE")</f>
        <v>ARP.0010.02.2025.EXT.HMAR.PE</v>
      </c>
      <c r="F97" s="6" t="s">
        <v>276</v>
      </c>
      <c r="G97" s="3"/>
      <c r="H97" s="9">
        <v>45882</v>
      </c>
      <c r="I97" s="3" t="s">
        <v>44</v>
      </c>
      <c r="J97" s="3" t="str">
        <f>VLOOKUP(A97,'TODOS OS PROCESSOS ATUALIZADOS '!A:I,7,0)</f>
        <v>Autorizada Integrado</v>
      </c>
      <c r="K97" s="3" t="s">
        <v>44</v>
      </c>
      <c r="L97" s="3" t="str">
        <f t="shared" si="0"/>
        <v>Item atualizado</v>
      </c>
      <c r="M97" s="3"/>
      <c r="N97" s="3" t="s">
        <v>44</v>
      </c>
      <c r="O97" s="3" t="s">
        <v>52</v>
      </c>
      <c r="P97" s="3" t="s">
        <v>277</v>
      </c>
    </row>
    <row r="98" spans="1:17" ht="22.5" customHeight="1" x14ac:dyDescent="0.2">
      <c r="A98" s="3" t="s">
        <v>278</v>
      </c>
      <c r="B98" s="3" t="str">
        <f ca="1">IFERROR(__xludf.DUMMYFUNCTION("REGEXEXTRACT(A98, ""\.(?:GOV|EXT)\.([A-Z0-9\-]+)"")
"),"CDE")</f>
        <v>CDE</v>
      </c>
      <c r="C98" s="3" t="s">
        <v>34</v>
      </c>
      <c r="D98" s="3" t="s">
        <v>35</v>
      </c>
      <c r="E98" s="3" t="str">
        <f ca="1">IFERROR(__xludf.DUMMYFUNCTION("REGEXEXTRACT(A98, ""-(.*)"")"),"ARP.0001.01.2025.EXT.CDE.RN")</f>
        <v>ARP.0001.01.2025.EXT.CDE.RN</v>
      </c>
      <c r="F98" s="6" t="s">
        <v>279</v>
      </c>
      <c r="G98" s="3"/>
      <c r="H98" s="9">
        <v>45889</v>
      </c>
      <c r="I98" s="3" t="s">
        <v>44</v>
      </c>
      <c r="J98" s="3" t="str">
        <f>VLOOKUP(A98,'TODOS OS PROCESSOS ATUALIZADOS '!A:I,7,0)</f>
        <v>Autorizada Integrado</v>
      </c>
      <c r="K98" s="3" t="s">
        <v>44</v>
      </c>
      <c r="L98" s="3" t="str">
        <f t="shared" si="0"/>
        <v>Item atualizado</v>
      </c>
      <c r="M98" s="3"/>
      <c r="N98" s="3" t="s">
        <v>44</v>
      </c>
      <c r="O98" s="3" t="s">
        <v>52</v>
      </c>
      <c r="P98" s="3" t="s">
        <v>280</v>
      </c>
    </row>
    <row r="99" spans="1:17" ht="22.5" customHeight="1" x14ac:dyDescent="0.2">
      <c r="A99" s="3" t="s">
        <v>281</v>
      </c>
      <c r="B99" s="3" t="str">
        <f ca="1">IFERROR(__xludf.DUMMYFUNCTION("REGEXEXTRACT(A99, ""\.(?:GOV|EXT)\.([A-Z0-9\-]+)"")
"),"HGJMM")</f>
        <v>HGJMM</v>
      </c>
      <c r="C99" s="3" t="s">
        <v>34</v>
      </c>
      <c r="D99" s="3" t="s">
        <v>35</v>
      </c>
      <c r="E99" s="3" t="str">
        <f ca="1">IFERROR(__xludf.DUMMYFUNCTION("REGEXEXTRACT(A99, ""-(.*)"")"),"ARP.0501.00.2025.EXT.HGJMM.RN")</f>
        <v>ARP.0501.00.2025.EXT.HGJMM.RN</v>
      </c>
      <c r="F99" s="6" t="s">
        <v>108</v>
      </c>
      <c r="G99" s="3"/>
      <c r="H99" s="9">
        <v>45897</v>
      </c>
      <c r="I99" s="3" t="s">
        <v>44</v>
      </c>
      <c r="J99" s="3" t="str">
        <f>VLOOKUP(A99,'TODOS OS PROCESSOS ATUALIZADOS '!A:I,7,0)</f>
        <v>Autorizada Integrado</v>
      </c>
      <c r="K99" s="3" t="s">
        <v>44</v>
      </c>
      <c r="L99" s="3" t="str">
        <f t="shared" si="0"/>
        <v>Item atualizado</v>
      </c>
      <c r="M99" s="3"/>
      <c r="N99" s="3" t="s">
        <v>44</v>
      </c>
      <c r="O99" s="3" t="s">
        <v>52</v>
      </c>
      <c r="P99" s="3" t="s">
        <v>282</v>
      </c>
    </row>
    <row r="100" spans="1:17" ht="22.5" customHeight="1" x14ac:dyDescent="0.2">
      <c r="A100" s="3" t="s">
        <v>283</v>
      </c>
      <c r="B100" s="3" t="str">
        <f ca="1">IFERROR(__xludf.DUMMYFUNCTION("REGEXEXTRACT(A100, ""\.(?:GOV|EXT)\.([A-Z0-9\-]+)"")
"),"FES-PE")</f>
        <v>FES-PE</v>
      </c>
      <c r="C100" s="3" t="s">
        <v>34</v>
      </c>
      <c r="D100" s="3" t="s">
        <v>35</v>
      </c>
      <c r="E100" s="14" t="str">
        <f ca="1">IFERROR(__xludf.DUMMYFUNCTION("REGEXEXTRACT(A100, ""-(.*)"")"),"ARP.0068.00.2025.GOV.FES-PE.PE")</f>
        <v>ARP.0068.00.2025.GOV.FES-PE.PE</v>
      </c>
      <c r="F100" s="3" t="s">
        <v>138</v>
      </c>
      <c r="G100" s="3" t="s">
        <v>3</v>
      </c>
      <c r="H100" s="9">
        <v>45898</v>
      </c>
      <c r="I100" s="3" t="s">
        <v>44</v>
      </c>
      <c r="J100" s="3" t="str">
        <f>VLOOKUP(A100,'TODOS OS PROCESSOS ATUALIZADOS '!A:I,7,0)</f>
        <v>Autorizada Sucesso</v>
      </c>
      <c r="K100" s="3" t="s">
        <v>44</v>
      </c>
      <c r="L100" s="3" t="str">
        <f t="shared" si="0"/>
        <v>Item atualizado</v>
      </c>
      <c r="M100" s="3"/>
      <c r="N100" s="3" t="s">
        <v>45</v>
      </c>
      <c r="O100" s="3" t="s">
        <v>56</v>
      </c>
      <c r="P100" s="3" t="s">
        <v>284</v>
      </c>
      <c r="Q100" s="3"/>
    </row>
    <row r="101" spans="1:17" ht="22.5" customHeight="1" x14ac:dyDescent="0.2">
      <c r="A101" s="3" t="s">
        <v>285</v>
      </c>
      <c r="B101" s="3" t="str">
        <f ca="1">IFERROR(__xludf.DUMMYFUNCTION("REGEXEXTRACT(A101, ""\.(?:GOV|EXT)\.([A-Z0-9\-]+)"")
"),"151289")</f>
        <v>151289</v>
      </c>
      <c r="C101" s="3" t="s">
        <v>34</v>
      </c>
      <c r="D101" s="3" t="s">
        <v>35</v>
      </c>
      <c r="E101" s="3" t="str">
        <f ca="1">IFERROR(__xludf.DUMMYFUNCTION("REGEXEXTRACT(A101, ""-(.*)"")"),"ARP.0015.00.2025.EXT.151289.RN")</f>
        <v>ARP.0015.00.2025.EXT.151289.RN</v>
      </c>
      <c r="F101" s="6" t="s">
        <v>286</v>
      </c>
      <c r="G101" s="3"/>
      <c r="H101" s="9">
        <v>45890</v>
      </c>
      <c r="I101" s="3" t="s">
        <v>44</v>
      </c>
      <c r="J101" s="3" t="str">
        <f>VLOOKUP(A101,'TODOS OS PROCESSOS ATUALIZADOS '!A:I,7,0)</f>
        <v>Autorizada Integrado</v>
      </c>
      <c r="K101" s="3" t="s">
        <v>44</v>
      </c>
      <c r="L101" s="3" t="str">
        <f t="shared" si="0"/>
        <v>Item atualizado</v>
      </c>
      <c r="M101" s="3"/>
      <c r="N101" s="3" t="s">
        <v>44</v>
      </c>
      <c r="O101" s="3" t="s">
        <v>52</v>
      </c>
      <c r="P101" s="3" t="s">
        <v>287</v>
      </c>
    </row>
    <row r="102" spans="1:17" ht="22.5" customHeight="1" x14ac:dyDescent="0.2">
      <c r="A102" s="3" t="s">
        <v>288</v>
      </c>
      <c r="B102" s="3" t="str">
        <f ca="1">IFERROR(__xludf.DUMMYFUNCTION("REGEXEXTRACT(A102, ""\.(?:GOV|EXT)\.([A-Z0-9\-]+)"")
"),"HR")</f>
        <v>HR</v>
      </c>
      <c r="C102" s="3" t="s">
        <v>34</v>
      </c>
      <c r="D102" s="3" t="s">
        <v>35</v>
      </c>
      <c r="E102" s="14" t="str">
        <f ca="1">IFERROR(__xludf.DUMMYFUNCTION("REGEXEXTRACT(A102, ""-(.*)"")"),"ARP.0041.00.2024.GOV.HR.PE")</f>
        <v>ARP.0041.00.2024.GOV.HR.PE</v>
      </c>
      <c r="F102" s="3" t="s">
        <v>289</v>
      </c>
      <c r="G102" s="3"/>
      <c r="H102" s="9">
        <v>45854</v>
      </c>
      <c r="I102" s="3" t="s">
        <v>44</v>
      </c>
      <c r="J102" s="3" t="str">
        <f>VLOOKUP(A102,'TODOS OS PROCESSOS ATUALIZADOS '!A:I,7,0)</f>
        <v>Autorizada Sucesso</v>
      </c>
      <c r="K102" s="3" t="s">
        <v>44</v>
      </c>
      <c r="L102" s="3" t="str">
        <f t="shared" si="0"/>
        <v>Item atualizado</v>
      </c>
      <c r="M102" s="3"/>
      <c r="N102" s="3" t="s">
        <v>44</v>
      </c>
      <c r="O102" s="3" t="s">
        <v>52</v>
      </c>
      <c r="P102" s="3" t="s">
        <v>290</v>
      </c>
    </row>
    <row r="103" spans="1:17" ht="22.5" customHeight="1" x14ac:dyDescent="0.2">
      <c r="A103" s="3" t="s">
        <v>291</v>
      </c>
      <c r="B103" s="3" t="str">
        <f ca="1">IFERROR(__xludf.DUMMYFUNCTION("REGEXEXTRACT(A103, ""\.(?:GOV|EXT)\.([A-Z0-9\-]+)"")
"),"HR")</f>
        <v>HR</v>
      </c>
      <c r="C103" s="3" t="s">
        <v>34</v>
      </c>
      <c r="D103" s="3" t="s">
        <v>35</v>
      </c>
      <c r="E103" s="14" t="str">
        <f ca="1">IFERROR(__xludf.DUMMYFUNCTION("REGEXEXTRACT(A103, ""-(.*)"")"),"ARP.0041.00.2024.GOV.HR.PE")</f>
        <v>ARP.0041.00.2024.GOV.HR.PE</v>
      </c>
      <c r="F103" s="3" t="s">
        <v>289</v>
      </c>
      <c r="G103" s="3" t="s">
        <v>3</v>
      </c>
      <c r="H103" s="9">
        <v>45847</v>
      </c>
      <c r="I103" s="3" t="s">
        <v>44</v>
      </c>
      <c r="J103" s="3" t="str">
        <f>VLOOKUP(A103,'TODOS OS PROCESSOS ATUALIZADOS '!A:I,7,0)</f>
        <v>Autorizada Sucesso</v>
      </c>
      <c r="K103" s="3" t="s">
        <v>44</v>
      </c>
      <c r="L103" s="3" t="str">
        <f t="shared" si="0"/>
        <v>Item atualizado</v>
      </c>
      <c r="M103" s="3"/>
      <c r="N103" s="3" t="s">
        <v>44</v>
      </c>
      <c r="O103" s="3" t="s">
        <v>52</v>
      </c>
      <c r="P103" s="3" t="s">
        <v>292</v>
      </c>
    </row>
    <row r="104" spans="1:17" ht="22.5" customHeight="1" x14ac:dyDescent="0.2">
      <c r="A104" s="3" t="s">
        <v>293</v>
      </c>
      <c r="B104" s="3" t="str">
        <f ca="1">IFERROR(__xludf.DUMMYFUNCTION("REGEXEXTRACT(A104, ""\.(?:GOV|EXT)\.([A-Z0-9\-]+)"")
"),"HR")</f>
        <v>HR</v>
      </c>
      <c r="C104" s="3" t="s">
        <v>34</v>
      </c>
      <c r="D104" s="3" t="s">
        <v>35</v>
      </c>
      <c r="E104" s="14" t="str">
        <f ca="1">IFERROR(__xludf.DUMMYFUNCTION("REGEXEXTRACT(A104, ""-(.*)"")"),"ARP.0041.00.2024.GOV.HR.PE")</f>
        <v>ARP.0041.00.2024.GOV.HR.PE</v>
      </c>
      <c r="F104" s="3" t="s">
        <v>289</v>
      </c>
      <c r="G104" s="3"/>
      <c r="H104" s="9">
        <v>45840</v>
      </c>
      <c r="I104" s="3" t="s">
        <v>44</v>
      </c>
      <c r="J104" s="3" t="str">
        <f>VLOOKUP(A104,'TODOS OS PROCESSOS ATUALIZADOS '!A:I,7,0)</f>
        <v>Autorizada Sucesso</v>
      </c>
      <c r="K104" s="3" t="s">
        <v>44</v>
      </c>
      <c r="L104" s="3" t="str">
        <f t="shared" si="0"/>
        <v>Item atualizado</v>
      </c>
      <c r="M104" s="3"/>
      <c r="N104" s="3" t="s">
        <v>44</v>
      </c>
      <c r="O104" s="3" t="s">
        <v>52</v>
      </c>
      <c r="P104" s="3" t="s">
        <v>294</v>
      </c>
    </row>
    <row r="105" spans="1:17" ht="22.5" customHeight="1" x14ac:dyDescent="0.2">
      <c r="A105" s="3" t="s">
        <v>295</v>
      </c>
      <c r="B105" s="3" t="str">
        <f ca="1">IFERROR(__xludf.DUMMYFUNCTION("REGEXEXTRACT(A105, ""\.(?:GOV|EXT)\.([A-Z0-9\-]+)"")
"),"HR")</f>
        <v>HR</v>
      </c>
      <c r="C105" s="3" t="s">
        <v>34</v>
      </c>
      <c r="D105" s="3" t="s">
        <v>35</v>
      </c>
      <c r="E105" s="14" t="str">
        <f ca="1">IFERROR(__xludf.DUMMYFUNCTION("REGEXEXTRACT(A105, ""-(.*)"")"),"ARP.0031.00.2024.GOV.HR.PE")</f>
        <v>ARP.0031.00.2024.GOV.HR.PE</v>
      </c>
      <c r="F105" s="3" t="s">
        <v>296</v>
      </c>
      <c r="G105" s="3"/>
      <c r="H105" s="9">
        <v>45868</v>
      </c>
      <c r="I105" s="3" t="s">
        <v>37</v>
      </c>
      <c r="J105" s="3" t="str">
        <f>VLOOKUP(A105,'TODOS OS PROCESSOS ATUALIZADOS '!A:I,7,0)</f>
        <v>Cancelada por fim vigencia ATA</v>
      </c>
      <c r="K105" s="3" t="s">
        <v>38</v>
      </c>
      <c r="L105" s="3" t="str">
        <f t="shared" si="0"/>
        <v>Item atualizado</v>
      </c>
      <c r="M105" s="3"/>
      <c r="N105" s="3" t="s">
        <v>38</v>
      </c>
      <c r="O105" s="3" t="s">
        <v>39</v>
      </c>
    </row>
    <row r="106" spans="1:17" ht="22.5" customHeight="1" x14ac:dyDescent="0.2">
      <c r="A106" s="3" t="s">
        <v>297</v>
      </c>
      <c r="B106" s="3" t="str">
        <f ca="1">IFERROR(__xludf.DUMMYFUNCTION("REGEXEXTRACT(A106, ""\.(?:GOV|EXT)\.([A-Z0-9\-]+)"")
"),"HR")</f>
        <v>HR</v>
      </c>
      <c r="C106" s="3" t="s">
        <v>34</v>
      </c>
      <c r="D106" s="3" t="s">
        <v>35</v>
      </c>
      <c r="E106" s="14" t="str">
        <f ca="1">IFERROR(__xludf.DUMMYFUNCTION("REGEXEXTRACT(A106, ""-(.*)"")"),"ARP.0031.00.2024.GOV.HR.PE")</f>
        <v>ARP.0031.00.2024.GOV.HR.PE</v>
      </c>
      <c r="F106" s="3" t="s">
        <v>296</v>
      </c>
      <c r="G106" s="3"/>
      <c r="H106" s="9">
        <v>45868</v>
      </c>
      <c r="I106" s="3" t="s">
        <v>44</v>
      </c>
      <c r="J106" s="3" t="str">
        <f>VLOOKUP(A106,'TODOS OS PROCESSOS ATUALIZADOS '!A:I,7,0)</f>
        <v>Autorizada Sucesso</v>
      </c>
      <c r="K106" s="3" t="s">
        <v>44</v>
      </c>
      <c r="L106" s="3" t="str">
        <f t="shared" si="0"/>
        <v>Item atualizado</v>
      </c>
      <c r="M106" s="3"/>
      <c r="N106" s="3" t="s">
        <v>45</v>
      </c>
      <c r="O106" s="3" t="s">
        <v>60</v>
      </c>
      <c r="P106" s="3" t="s">
        <v>298</v>
      </c>
    </row>
    <row r="107" spans="1:17" ht="22.5" customHeight="1" x14ac:dyDescent="0.2">
      <c r="A107" s="3" t="s">
        <v>299</v>
      </c>
      <c r="B107" s="3" t="str">
        <f ca="1">IFERROR(__xludf.DUMMYFUNCTION("REGEXEXTRACT(A107, ""\.(?:GOV|EXT)\.([A-Z0-9\-]+)"")
"),"HR")</f>
        <v>HR</v>
      </c>
      <c r="C107" s="3" t="s">
        <v>34</v>
      </c>
      <c r="D107" s="3" t="s">
        <v>35</v>
      </c>
      <c r="E107" s="14" t="str">
        <f ca="1">IFERROR(__xludf.DUMMYFUNCTION("REGEXEXTRACT(A107, ""-(.*)"")"),"ARP.0031.00.2024.GOV.HR.PE")</f>
        <v>ARP.0031.00.2024.GOV.HR.PE</v>
      </c>
      <c r="F107" s="3" t="s">
        <v>296</v>
      </c>
      <c r="G107" s="3"/>
      <c r="H107" s="9">
        <v>45861</v>
      </c>
      <c r="I107" s="3" t="s">
        <v>37</v>
      </c>
      <c r="J107" s="3" t="str">
        <f>VLOOKUP(A107,'TODOS OS PROCESSOS ATUALIZADOS '!A:I,7,0)</f>
        <v>Cancelada</v>
      </c>
      <c r="K107" s="3" t="s">
        <v>38</v>
      </c>
      <c r="L107" s="3" t="str">
        <f t="shared" si="0"/>
        <v>Item não atualizado</v>
      </c>
      <c r="M107" s="3"/>
      <c r="N107" s="3" t="s">
        <v>38</v>
      </c>
      <c r="O107" s="3" t="s">
        <v>39</v>
      </c>
    </row>
    <row r="108" spans="1:17" ht="22.5" customHeight="1" x14ac:dyDescent="0.2">
      <c r="A108" s="3" t="s">
        <v>300</v>
      </c>
      <c r="B108" s="3" t="str">
        <f ca="1">IFERROR(__xludf.DUMMYFUNCTION("REGEXEXTRACT(A108, ""\.(?:GOV|EXT)\.([A-Z0-9\-]+)"")
"),"PROCAPE")</f>
        <v>PROCAPE</v>
      </c>
      <c r="C108" s="3" t="s">
        <v>34</v>
      </c>
      <c r="D108" s="3" t="s">
        <v>35</v>
      </c>
      <c r="E108" s="14" t="str">
        <f ca="1">IFERROR(__xludf.DUMMYFUNCTION("REGEXEXTRACT(A108, ""-(.*)"")"),"ARP.0103.06.2024.GOV.PROCAPE.PE")</f>
        <v>ARP.0103.06.2024.GOV.PROCAPE.PE</v>
      </c>
      <c r="F108" s="3" t="s">
        <v>127</v>
      </c>
      <c r="G108" s="3"/>
      <c r="H108" s="9">
        <v>45876</v>
      </c>
      <c r="I108" s="3" t="s">
        <v>44</v>
      </c>
      <c r="J108" s="3" t="str">
        <f>VLOOKUP(A108,'TODOS OS PROCESSOS ATUALIZADOS '!A:I,7,0)</f>
        <v>Autorizada Sucesso</v>
      </c>
      <c r="K108" s="3" t="s">
        <v>44</v>
      </c>
      <c r="L108" s="3" t="str">
        <f t="shared" si="0"/>
        <v>Item atualizado</v>
      </c>
      <c r="M108" s="3"/>
      <c r="N108" s="3" t="s">
        <v>44</v>
      </c>
      <c r="O108" s="3" t="s">
        <v>52</v>
      </c>
      <c r="P108" s="3" t="s">
        <v>301</v>
      </c>
    </row>
    <row r="109" spans="1:17" ht="22.5" customHeight="1" x14ac:dyDescent="0.2">
      <c r="A109" s="3" t="s">
        <v>302</v>
      </c>
      <c r="B109" s="3" t="str">
        <f ca="1">IFERROR(__xludf.DUMMYFUNCTION("REGEXEXTRACT(A109, ""\.(?:GOV|EXT)\.([A-Z0-9\-]+)"")
"),"PROCAPE")</f>
        <v>PROCAPE</v>
      </c>
      <c r="C109" s="3" t="s">
        <v>34</v>
      </c>
      <c r="D109" s="3" t="s">
        <v>35</v>
      </c>
      <c r="E109" s="14" t="str">
        <f ca="1">IFERROR(__xludf.DUMMYFUNCTION("REGEXEXTRACT(A109, ""-(.*)"")"),"ARP.0103.06.2024.GOV.PROCAPE.PE")</f>
        <v>ARP.0103.06.2024.GOV.PROCAPE.PE</v>
      </c>
      <c r="F109" s="3" t="s">
        <v>127</v>
      </c>
      <c r="G109" s="3"/>
      <c r="H109" s="9">
        <v>45876</v>
      </c>
      <c r="I109" s="3" t="s">
        <v>37</v>
      </c>
      <c r="J109" s="3" t="str">
        <f>VLOOKUP(A109,'TODOS OS PROCESSOS ATUALIZADOS '!A:I,7,0)</f>
        <v>Cancelada</v>
      </c>
      <c r="K109" s="3" t="s">
        <v>38</v>
      </c>
      <c r="L109" s="3" t="str">
        <f t="shared" si="0"/>
        <v>Item não atualizado</v>
      </c>
      <c r="M109" s="3"/>
      <c r="N109" s="3" t="s">
        <v>38</v>
      </c>
      <c r="O109" s="3" t="s">
        <v>39</v>
      </c>
    </row>
    <row r="110" spans="1:17" ht="22.5" customHeight="1" x14ac:dyDescent="0.2">
      <c r="A110" s="3" t="s">
        <v>303</v>
      </c>
      <c r="B110" s="3" t="str">
        <f ca="1">IFERROR(__xludf.DUMMYFUNCTION("REGEXEXTRACT(A110, ""\.(?:GOV|EXT)\.([A-Z0-9\-]+)"")
"),"HUOC")</f>
        <v>HUOC</v>
      </c>
      <c r="C110" s="3" t="s">
        <v>34</v>
      </c>
      <c r="D110" s="3" t="s">
        <v>35</v>
      </c>
      <c r="E110" s="14" t="str">
        <f ca="1">IFERROR(__xludf.DUMMYFUNCTION("REGEXEXTRACT(A110, ""-(.*)"")"),"ARP.0038.01.2025.GOV.HUOC.PE")</f>
        <v>ARP.0038.01.2025.GOV.HUOC.PE</v>
      </c>
      <c r="F110" s="3" t="s">
        <v>174</v>
      </c>
      <c r="G110" s="3"/>
      <c r="H110" s="9">
        <v>45863</v>
      </c>
      <c r="I110" s="3" t="s">
        <v>44</v>
      </c>
      <c r="J110" s="3" t="str">
        <f>VLOOKUP(A110,'TODOS OS PROCESSOS ATUALIZADOS '!A:I,7,0)</f>
        <v>Autorizada Sucesso</v>
      </c>
      <c r="K110" s="3" t="s">
        <v>44</v>
      </c>
      <c r="L110" s="3" t="str">
        <f t="shared" si="0"/>
        <v>Item atualizado</v>
      </c>
      <c r="M110" s="3"/>
      <c r="N110" s="3" t="s">
        <v>44</v>
      </c>
      <c r="O110" s="3" t="s">
        <v>52</v>
      </c>
      <c r="P110" s="3" t="s">
        <v>304</v>
      </c>
    </row>
    <row r="111" spans="1:17" ht="22.5" customHeight="1" x14ac:dyDescent="0.2">
      <c r="A111" s="3" t="s">
        <v>305</v>
      </c>
      <c r="B111" s="3" t="str">
        <f ca="1">IFERROR(__xludf.DUMMYFUNCTION("REGEXEXTRACT(A111, ""\.(?:GOV|EXT)\.([A-Z0-9\-]+)"")
"),"HUOC")</f>
        <v>HUOC</v>
      </c>
      <c r="C111" s="3" t="s">
        <v>34</v>
      </c>
      <c r="D111" s="3" t="s">
        <v>35</v>
      </c>
      <c r="E111" s="14" t="str">
        <f ca="1">IFERROR(__xludf.DUMMYFUNCTION("REGEXEXTRACT(A111, ""-(.*)"")"),"ARP.0001.08.2025.GOV.HUOC.PE")</f>
        <v>ARP.0001.08.2025.GOV.HUOC.PE</v>
      </c>
      <c r="F111" s="3" t="s">
        <v>41</v>
      </c>
      <c r="G111" s="3"/>
      <c r="H111" s="9">
        <v>45833</v>
      </c>
      <c r="I111" s="3" t="s">
        <v>44</v>
      </c>
      <c r="J111" s="3" t="str">
        <f>VLOOKUP(A111,'TODOS OS PROCESSOS ATUALIZADOS '!A:I,7,0)</f>
        <v>Autorizada Sucesso</v>
      </c>
      <c r="K111" s="3" t="s">
        <v>44</v>
      </c>
      <c r="L111" s="3" t="str">
        <f t="shared" si="0"/>
        <v>Item atualizado</v>
      </c>
      <c r="M111" s="3"/>
      <c r="N111" s="3" t="s">
        <v>45</v>
      </c>
      <c r="O111" s="3" t="s">
        <v>60</v>
      </c>
      <c r="P111" s="3" t="s">
        <v>306</v>
      </c>
    </row>
    <row r="112" spans="1:17" ht="22.5" customHeight="1" x14ac:dyDescent="0.2">
      <c r="A112" s="3" t="s">
        <v>307</v>
      </c>
      <c r="B112" s="3" t="str">
        <f ca="1">IFERROR(__xludf.DUMMYFUNCTION("REGEXEXTRACT(A112, ""\.(?:GOV|EXT)\.([A-Z0-9\-]+)"")
"),"HEMOPE")</f>
        <v>HEMOPE</v>
      </c>
      <c r="C112" s="3" t="s">
        <v>34</v>
      </c>
      <c r="D112" s="3" t="s">
        <v>35</v>
      </c>
      <c r="E112" s="14" t="str">
        <f ca="1">IFERROR(__xludf.DUMMYFUNCTION("REGEXEXTRACT(A112, ""-(.*)"")"),"ARP.0005.12.2025.GOV.HEMOPE.PE")</f>
        <v>ARP.0005.12.2025.GOV.HEMOPE.PE</v>
      </c>
      <c r="F112" s="3" t="s">
        <v>308</v>
      </c>
      <c r="G112" s="3"/>
      <c r="H112" s="9">
        <v>45854</v>
      </c>
      <c r="I112" s="3" t="s">
        <v>44</v>
      </c>
      <c r="J112" s="3" t="str">
        <f>VLOOKUP(A112,'TODOS OS PROCESSOS ATUALIZADOS '!A:I,7,0)</f>
        <v>Autorizada Sucesso</v>
      </c>
      <c r="K112" s="3" t="s">
        <v>44</v>
      </c>
      <c r="L112" s="3" t="str">
        <f t="shared" si="0"/>
        <v>Item atualizado</v>
      </c>
      <c r="M112" s="3"/>
      <c r="N112" s="3" t="s">
        <v>44</v>
      </c>
      <c r="O112" s="3" t="s">
        <v>52</v>
      </c>
      <c r="P112" s="3" t="s">
        <v>309</v>
      </c>
    </row>
    <row r="113" spans="1:17" ht="22.5" customHeight="1" x14ac:dyDescent="0.2">
      <c r="A113" s="3" t="s">
        <v>310</v>
      </c>
      <c r="B113" s="3" t="str">
        <f ca="1">IFERROR(__xludf.DUMMYFUNCTION("REGEXEXTRACT(A113, ""\.(?:GOV|EXT)\.([A-Z0-9\-]+)"")
"),"CISAM")</f>
        <v>CISAM</v>
      </c>
      <c r="C113" s="3" t="s">
        <v>34</v>
      </c>
      <c r="D113" s="3" t="s">
        <v>35</v>
      </c>
      <c r="E113" s="14" t="str">
        <f ca="1">IFERROR(__xludf.DUMMYFUNCTION("REGEXEXTRACT(A113, ""-(.*)"")"),"ARP.0065.02.2024.GOV.CISAM.PE")</f>
        <v>ARP.0065.02.2024.GOV.CISAM.PE</v>
      </c>
      <c r="F113" s="3" t="s">
        <v>311</v>
      </c>
      <c r="G113" s="3"/>
      <c r="H113" s="9">
        <v>45842</v>
      </c>
      <c r="I113" s="3" t="s">
        <v>37</v>
      </c>
      <c r="J113" s="3" t="str">
        <f>VLOOKUP(A113,'TODOS OS PROCESSOS ATUALIZADOS '!A:I,7,0)</f>
        <v>Cancelada por fim vigencia ATA</v>
      </c>
      <c r="K113" s="3" t="s">
        <v>38</v>
      </c>
      <c r="L113" s="3" t="str">
        <f t="shared" si="0"/>
        <v>Item atualizado</v>
      </c>
      <c r="M113" s="3"/>
      <c r="N113" s="3" t="s">
        <v>38</v>
      </c>
      <c r="O113" s="3" t="s">
        <v>39</v>
      </c>
    </row>
    <row r="114" spans="1:17" ht="22.5" customHeight="1" x14ac:dyDescent="0.2">
      <c r="A114" s="3" t="s">
        <v>312</v>
      </c>
      <c r="B114" s="3" t="str">
        <f ca="1">IFERROR(__xludf.DUMMYFUNCTION("REGEXEXTRACT(A114, ""\.(?:GOV|EXT)\.([A-Z0-9\-]+)"")
"),"HUOC")</f>
        <v>HUOC</v>
      </c>
      <c r="C114" s="3" t="s">
        <v>34</v>
      </c>
      <c r="D114" s="3" t="s">
        <v>35</v>
      </c>
      <c r="E114" s="14" t="str">
        <f ca="1">IFERROR(__xludf.DUMMYFUNCTION("REGEXEXTRACT(A114, ""-(.*)"")"),"ARP.0088.04.2024.GOV.HUOC.PE")</f>
        <v>ARP.0088.04.2024.GOV.HUOC.PE</v>
      </c>
      <c r="F114" s="3" t="s">
        <v>313</v>
      </c>
      <c r="G114" s="3"/>
      <c r="H114" s="9">
        <v>45867</v>
      </c>
      <c r="I114" s="3" t="s">
        <v>44</v>
      </c>
      <c r="J114" s="3" t="str">
        <f>VLOOKUP(A114,'TODOS OS PROCESSOS ATUALIZADOS '!A:I,7,0)</f>
        <v>Autorizada Sucesso</v>
      </c>
      <c r="K114" s="3" t="s">
        <v>44</v>
      </c>
      <c r="L114" s="3" t="str">
        <f t="shared" si="0"/>
        <v>Item atualizado</v>
      </c>
      <c r="M114" s="3"/>
      <c r="N114" s="3" t="s">
        <v>44</v>
      </c>
      <c r="O114" s="3" t="s">
        <v>52</v>
      </c>
      <c r="P114" s="3" t="s">
        <v>314</v>
      </c>
    </row>
    <row r="115" spans="1:17" ht="22.5" customHeight="1" x14ac:dyDescent="0.2">
      <c r="A115" s="3" t="s">
        <v>315</v>
      </c>
      <c r="B115" s="3" t="str">
        <f ca="1">IFERROR(__xludf.DUMMYFUNCTION("REGEXEXTRACT(A115, ""\.(?:GOV|EXT)\.([A-Z0-9\-]+)"")
"),"HUOC")</f>
        <v>HUOC</v>
      </c>
      <c r="C115" s="3" t="s">
        <v>34</v>
      </c>
      <c r="D115" s="3" t="s">
        <v>35</v>
      </c>
      <c r="E115" s="14" t="str">
        <f ca="1">IFERROR(__xludf.DUMMYFUNCTION("REGEXEXTRACT(A115, ""-(.*)"")"),"ARP.0001.04.2025.GOV.HUOC.PE")</f>
        <v>ARP.0001.04.2025.GOV.HUOC.PE</v>
      </c>
      <c r="F115" s="3" t="s">
        <v>41</v>
      </c>
      <c r="G115" s="3"/>
      <c r="H115" s="9">
        <v>45876</v>
      </c>
      <c r="I115" s="3" t="s">
        <v>37</v>
      </c>
      <c r="J115" s="3" t="str">
        <f>VLOOKUP(A115,'TODOS OS PROCESSOS ATUALIZADOS '!A:I,7,0)</f>
        <v>Cancelada</v>
      </c>
      <c r="K115" s="3" t="s">
        <v>38</v>
      </c>
      <c r="L115" s="3" t="str">
        <f t="shared" si="0"/>
        <v>Item não atualizado</v>
      </c>
      <c r="M115" s="3"/>
      <c r="N115" s="3" t="s">
        <v>38</v>
      </c>
      <c r="O115" s="3" t="s">
        <v>39</v>
      </c>
    </row>
    <row r="116" spans="1:17" ht="22.5" customHeight="1" x14ac:dyDescent="0.2">
      <c r="A116" s="3" t="s">
        <v>316</v>
      </c>
      <c r="B116" s="3" t="str">
        <f ca="1">IFERROR(__xludf.DUMMYFUNCTION("REGEXEXTRACT(A116, ""\.(?:GOV|EXT)\.([A-Z0-9\-]+)"")
"),"HUOC")</f>
        <v>HUOC</v>
      </c>
      <c r="C116" s="3" t="s">
        <v>34</v>
      </c>
      <c r="D116" s="3" t="s">
        <v>35</v>
      </c>
      <c r="E116" s="14" t="str">
        <f ca="1">IFERROR(__xludf.DUMMYFUNCTION("REGEXEXTRACT(A116, ""-(.*)"")"),"ARP.0119.04.2024.GOV.HUOC.PE")</f>
        <v>ARP.0119.04.2024.GOV.HUOC.PE</v>
      </c>
      <c r="F116" s="3" t="s">
        <v>51</v>
      </c>
      <c r="G116" s="3"/>
      <c r="H116" s="9">
        <v>45861</v>
      </c>
      <c r="I116" s="3" t="s">
        <v>44</v>
      </c>
      <c r="J116" s="3" t="str">
        <f>VLOOKUP(A116,'TODOS OS PROCESSOS ATUALIZADOS '!A:I,7,0)</f>
        <v>Autorizada Sucesso</v>
      </c>
      <c r="K116" s="3" t="s">
        <v>44</v>
      </c>
      <c r="L116" s="3" t="str">
        <f t="shared" si="0"/>
        <v>Item atualizado</v>
      </c>
      <c r="M116" s="3"/>
      <c r="N116" s="3" t="s">
        <v>44</v>
      </c>
      <c r="O116" s="3" t="s">
        <v>52</v>
      </c>
      <c r="P116" s="3" t="s">
        <v>317</v>
      </c>
    </row>
    <row r="117" spans="1:17" ht="22.5" customHeight="1" x14ac:dyDescent="0.2">
      <c r="A117" s="3" t="s">
        <v>318</v>
      </c>
      <c r="B117" s="3" t="str">
        <f ca="1">IFERROR(__xludf.DUMMYFUNCTION("REGEXEXTRACT(A117, ""\.(?:GOV|EXT)\.([A-Z0-9\-]+)"")
"),"CISAM")</f>
        <v>CISAM</v>
      </c>
      <c r="C117" s="3" t="s">
        <v>34</v>
      </c>
      <c r="D117" s="3" t="s">
        <v>35</v>
      </c>
      <c r="E117" s="14" t="str">
        <f ca="1">IFERROR(__xludf.DUMMYFUNCTION("REGEXEXTRACT(A117, ""-(.*)"")"),"ARP.0012.00.2025.GOV.CISAM.PE")</f>
        <v>ARP.0012.00.2025.GOV.CISAM.PE</v>
      </c>
      <c r="F117" s="3" t="s">
        <v>319</v>
      </c>
      <c r="G117" s="3" t="s">
        <v>3</v>
      </c>
      <c r="H117" s="9">
        <v>45852</v>
      </c>
      <c r="I117" s="3" t="s">
        <v>44</v>
      </c>
      <c r="J117" s="3" t="str">
        <f>VLOOKUP(A117,'TODOS OS PROCESSOS ATUALIZADOS '!A:I,7,0)</f>
        <v>Autorizada Sucesso</v>
      </c>
      <c r="K117" s="3" t="s">
        <v>44</v>
      </c>
      <c r="L117" s="3" t="str">
        <f t="shared" si="0"/>
        <v>Item atualizado</v>
      </c>
      <c r="M117" s="3"/>
      <c r="N117" s="3" t="s">
        <v>44</v>
      </c>
      <c r="O117" s="3" t="s">
        <v>52</v>
      </c>
      <c r="P117" s="3" t="s">
        <v>320</v>
      </c>
    </row>
    <row r="118" spans="1:17" ht="22.5" customHeight="1" x14ac:dyDescent="0.2">
      <c r="A118" s="3" t="s">
        <v>321</v>
      </c>
      <c r="B118" s="3" t="str">
        <f ca="1">IFERROR(__xludf.DUMMYFUNCTION("REGEXEXTRACT(A118, ""\.(?:GOV|EXT)\.([A-Z0-9\-]+)"")
"),"CISAM")</f>
        <v>CISAM</v>
      </c>
      <c r="C118" s="3" t="s">
        <v>34</v>
      </c>
      <c r="D118" s="3" t="s">
        <v>35</v>
      </c>
      <c r="E118" s="14" t="str">
        <f ca="1">IFERROR(__xludf.DUMMYFUNCTION("REGEXEXTRACT(A118, ""-(.*)"")"),"ARP.0012.00.2025.GOV.CISAM.PE")</f>
        <v>ARP.0012.00.2025.GOV.CISAM.PE</v>
      </c>
      <c r="F118" s="3" t="s">
        <v>319</v>
      </c>
      <c r="G118" s="3" t="s">
        <v>3</v>
      </c>
      <c r="H118" s="9">
        <v>45847</v>
      </c>
      <c r="I118" s="3" t="s">
        <v>37</v>
      </c>
      <c r="J118" s="3" t="str">
        <f>VLOOKUP(A118,'TODOS OS PROCESSOS ATUALIZADOS '!A:I,7,0)</f>
        <v>Em configuração</v>
      </c>
      <c r="K118" s="3" t="s">
        <v>42</v>
      </c>
      <c r="L118" s="3" t="str">
        <f t="shared" si="0"/>
        <v>Item atualizado</v>
      </c>
      <c r="M118" s="3"/>
      <c r="N118" s="3" t="s">
        <v>42</v>
      </c>
      <c r="O118" s="3" t="s">
        <v>39</v>
      </c>
      <c r="P118" s="3"/>
      <c r="Q118" s="3"/>
    </row>
    <row r="119" spans="1:17" ht="22.5" customHeight="1" x14ac:dyDescent="0.2">
      <c r="A119" s="3" t="s">
        <v>322</v>
      </c>
      <c r="B119" s="3" t="str">
        <f ca="1">IFERROR(__xludf.DUMMYFUNCTION("REGEXEXTRACT(A119, ""\.(?:GOV|EXT)\.([A-Z0-9\-]+)"")
"),"FES-PE")</f>
        <v>FES-PE</v>
      </c>
      <c r="C119" s="3" t="s">
        <v>34</v>
      </c>
      <c r="D119" s="3" t="s">
        <v>35</v>
      </c>
      <c r="E119" s="14" t="str">
        <f ca="1">IFERROR(__xludf.DUMMYFUNCTION("REGEXEXTRACT(A119, ""-(.*)"")"),"ARP.0011.00.2025.GOV.FES-PE.PE")</f>
        <v>ARP.0011.00.2025.GOV.FES-PE.PE</v>
      </c>
      <c r="F119" s="3" t="s">
        <v>323</v>
      </c>
      <c r="G119" s="3"/>
      <c r="H119" s="9">
        <v>45868</v>
      </c>
      <c r="I119" s="3" t="s">
        <v>44</v>
      </c>
      <c r="J119" s="3" t="str">
        <f>VLOOKUP(A119,'TODOS OS PROCESSOS ATUALIZADOS '!A:I,7,0)</f>
        <v>Autorizada Sucesso</v>
      </c>
      <c r="K119" s="3" t="s">
        <v>44</v>
      </c>
      <c r="L119" s="3" t="str">
        <f t="shared" si="0"/>
        <v>Item atualizado</v>
      </c>
      <c r="M119" s="3"/>
      <c r="N119" s="3" t="s">
        <v>44</v>
      </c>
      <c r="O119" s="3" t="s">
        <v>52</v>
      </c>
      <c r="P119" s="3" t="s">
        <v>324</v>
      </c>
    </row>
    <row r="120" spans="1:17" ht="22.5" customHeight="1" x14ac:dyDescent="0.2">
      <c r="A120" s="3" t="s">
        <v>325</v>
      </c>
      <c r="B120" s="3" t="str">
        <f ca="1">IFERROR(__xludf.DUMMYFUNCTION("REGEXEXTRACT(A120, ""\.(?:GOV|EXT)\.([A-Z0-9\-]+)"")
"),"HUOC")</f>
        <v>HUOC</v>
      </c>
      <c r="C120" s="3" t="s">
        <v>34</v>
      </c>
      <c r="D120" s="3" t="s">
        <v>35</v>
      </c>
      <c r="E120" s="14" t="str">
        <f ca="1">IFERROR(__xludf.DUMMYFUNCTION("REGEXEXTRACT(A120, ""-(.*)"")"),"ARP.0038.05.2025.GOV.HUOC.PE")</f>
        <v>ARP.0038.05.2025.GOV.HUOC.PE</v>
      </c>
      <c r="F120" s="3" t="s">
        <v>174</v>
      </c>
      <c r="G120" s="3"/>
      <c r="H120" s="9">
        <v>45838</v>
      </c>
      <c r="I120" s="3" t="s">
        <v>44</v>
      </c>
      <c r="J120" s="3" t="str">
        <f>VLOOKUP(A120,'TODOS OS PROCESSOS ATUALIZADOS '!A:I,7,0)</f>
        <v>Autorizada Sucesso</v>
      </c>
      <c r="K120" s="3" t="s">
        <v>44</v>
      </c>
      <c r="L120" s="3" t="str">
        <f t="shared" si="0"/>
        <v>Item atualizado</v>
      </c>
      <c r="M120" s="3"/>
      <c r="N120" s="3" t="s">
        <v>45</v>
      </c>
      <c r="O120" s="3" t="s">
        <v>56</v>
      </c>
      <c r="P120" s="3" t="s">
        <v>326</v>
      </c>
    </row>
    <row r="121" spans="1:17" ht="22.5" customHeight="1" x14ac:dyDescent="0.2">
      <c r="A121" s="3" t="s">
        <v>327</v>
      </c>
      <c r="B121" s="3" t="str">
        <f ca="1">IFERROR(__xludf.DUMMYFUNCTION("REGEXEXTRACT(A121, ""\.(?:GOV|EXT)\.([A-Z0-9\-]+)"")
"),"PROCAPE")</f>
        <v>PROCAPE</v>
      </c>
      <c r="C121" s="3" t="s">
        <v>34</v>
      </c>
      <c r="D121" s="3" t="s">
        <v>35</v>
      </c>
      <c r="E121" s="14" t="str">
        <f ca="1">IFERROR(__xludf.DUMMYFUNCTION("REGEXEXTRACT(A121, ""-(.*)"")"),"ARP.0028.03.2025.GOV.PROCAPE.PE")</f>
        <v>ARP.0028.03.2025.GOV.PROCAPE.PE</v>
      </c>
      <c r="F121" s="3" t="s">
        <v>127</v>
      </c>
      <c r="G121" s="3"/>
      <c r="H121" s="9">
        <v>45876</v>
      </c>
      <c r="I121" s="3" t="s">
        <v>37</v>
      </c>
      <c r="J121" s="3" t="str">
        <f>VLOOKUP(A121,'TODOS OS PROCESSOS ATUALIZADOS '!A:I,7,0)</f>
        <v>Cancelada</v>
      </c>
      <c r="K121" s="3" t="s">
        <v>38</v>
      </c>
      <c r="L121" s="3" t="str">
        <f t="shared" si="0"/>
        <v>Item não atualizado</v>
      </c>
      <c r="M121" s="3"/>
      <c r="N121" s="3" t="s">
        <v>38</v>
      </c>
      <c r="O121" s="3" t="s">
        <v>39</v>
      </c>
    </row>
    <row r="122" spans="1:17" ht="22.5" customHeight="1" x14ac:dyDescent="0.2">
      <c r="A122" s="3" t="s">
        <v>328</v>
      </c>
      <c r="B122" s="3" t="str">
        <f ca="1">IFERROR(__xludf.DUMMYFUNCTION("REGEXEXTRACT(A122, ""\.(?:GOV|EXT)\.([A-Z0-9\-]+)"")
"),"PROCAPE")</f>
        <v>PROCAPE</v>
      </c>
      <c r="C122" s="3" t="s">
        <v>34</v>
      </c>
      <c r="D122" s="3" t="s">
        <v>35</v>
      </c>
      <c r="E122" s="14" t="str">
        <f ca="1">IFERROR(__xludf.DUMMYFUNCTION("REGEXEXTRACT(A122, ""-(.*)"")"),"ARP.0005.09.2025.GOV.PROCAPE.PE")</f>
        <v>ARP.0005.09.2025.GOV.PROCAPE.PE</v>
      </c>
      <c r="F122" s="3" t="s">
        <v>79</v>
      </c>
      <c r="G122" s="3"/>
      <c r="H122" s="9">
        <v>45834</v>
      </c>
      <c r="I122" s="3" t="s">
        <v>37</v>
      </c>
      <c r="J122" s="3" t="str">
        <f>VLOOKUP(A122,'TODOS OS PROCESSOS ATUALIZADOS '!A:I,7,0)</f>
        <v>Cancelada</v>
      </c>
      <c r="K122" s="3" t="s">
        <v>38</v>
      </c>
      <c r="L122" s="3" t="str">
        <f t="shared" si="0"/>
        <v>Item não atualizado</v>
      </c>
      <c r="M122" s="3"/>
      <c r="N122" s="3" t="s">
        <v>38</v>
      </c>
      <c r="O122" s="3" t="s">
        <v>39</v>
      </c>
    </row>
    <row r="123" spans="1:17" ht="22.5" customHeight="1" x14ac:dyDescent="0.2">
      <c r="A123" s="3" t="s">
        <v>329</v>
      </c>
      <c r="B123" s="3" t="str">
        <f ca="1">IFERROR(__xludf.DUMMYFUNCTION("REGEXEXTRACT(A123, ""\.(?:GOV|EXT)\.([A-Z0-9\-]+)"")
"),"HR")</f>
        <v>HR</v>
      </c>
      <c r="C123" s="3" t="s">
        <v>34</v>
      </c>
      <c r="D123" s="3" t="s">
        <v>35</v>
      </c>
      <c r="E123" s="14" t="str">
        <f ca="1">IFERROR(__xludf.DUMMYFUNCTION("REGEXEXTRACT(A123, ""-(.*)"")"),"ARP.0004.00.2025.GOV.HR.PE")</f>
        <v>ARP.0004.00.2025.GOV.HR.PE</v>
      </c>
      <c r="F123" s="3" t="s">
        <v>190</v>
      </c>
      <c r="G123" s="3"/>
      <c r="H123" s="9">
        <v>45834</v>
      </c>
      <c r="I123" s="3" t="s">
        <v>44</v>
      </c>
      <c r="J123" s="3" t="str">
        <f>VLOOKUP(A123,'TODOS OS PROCESSOS ATUALIZADOS '!A:I,7,0)</f>
        <v>Autorizada Sucesso</v>
      </c>
      <c r="K123" s="3" t="s">
        <v>44</v>
      </c>
      <c r="L123" s="3" t="str">
        <f t="shared" si="0"/>
        <v>Item atualizado</v>
      </c>
      <c r="M123" s="3"/>
      <c r="N123" s="3" t="s">
        <v>44</v>
      </c>
      <c r="O123" s="3" t="s">
        <v>52</v>
      </c>
      <c r="P123" s="3" t="s">
        <v>330</v>
      </c>
    </row>
    <row r="124" spans="1:17" ht="22.5" customHeight="1" x14ac:dyDescent="0.2">
      <c r="A124" s="3" t="s">
        <v>331</v>
      </c>
      <c r="B124" s="3" t="str">
        <f ca="1">IFERROR(__xludf.DUMMYFUNCTION("REGEXEXTRACT(A124, ""\.(?:GOV|EXT)\.([A-Z0-9\-]+)"")
"),"PROCAPE")</f>
        <v>PROCAPE</v>
      </c>
      <c r="C124" s="3" t="s">
        <v>34</v>
      </c>
      <c r="D124" s="3" t="s">
        <v>35</v>
      </c>
      <c r="E124" s="14" t="str">
        <f ca="1">IFERROR(__xludf.DUMMYFUNCTION("REGEXEXTRACT(A124, ""-(.*)"")"),"ARP.0090.01.2024.GOV.PROCAPE.PE")</f>
        <v>ARP.0090.01.2024.GOV.PROCAPE.PE</v>
      </c>
      <c r="F124" s="3" t="s">
        <v>127</v>
      </c>
      <c r="G124" s="3"/>
      <c r="H124" s="9">
        <v>45849</v>
      </c>
      <c r="I124" s="3" t="s">
        <v>44</v>
      </c>
      <c r="J124" s="3" t="str">
        <f>VLOOKUP(A124,'TODOS OS PROCESSOS ATUALIZADOS '!A:I,7,0)</f>
        <v>Autorizada Sucesso</v>
      </c>
      <c r="K124" s="3" t="s">
        <v>44</v>
      </c>
      <c r="L124" s="3" t="str">
        <f t="shared" si="0"/>
        <v>Item atualizado</v>
      </c>
      <c r="M124" s="3"/>
      <c r="N124" s="3" t="s">
        <v>44</v>
      </c>
      <c r="O124" s="3" t="s">
        <v>52</v>
      </c>
      <c r="P124" s="3" t="s">
        <v>332</v>
      </c>
    </row>
    <row r="125" spans="1:17" ht="22.5" customHeight="1" x14ac:dyDescent="0.2">
      <c r="A125" s="3" t="s">
        <v>333</v>
      </c>
      <c r="B125" s="3" t="str">
        <f ca="1">IFERROR(__xludf.DUMMYFUNCTION("REGEXEXTRACT(A125, ""\.(?:GOV|EXT)\.([A-Z0-9\-]+)"")
"),"CISAM")</f>
        <v>CISAM</v>
      </c>
      <c r="C125" s="3" t="s">
        <v>34</v>
      </c>
      <c r="D125" s="3" t="s">
        <v>35</v>
      </c>
      <c r="E125" s="14" t="str">
        <f ca="1">IFERROR(__xludf.DUMMYFUNCTION("REGEXEXTRACT(A125, ""-(.*)"")"),"ARP.0080.02.2024.GOV.CISAM.PE")</f>
        <v>ARP.0080.02.2024.GOV.CISAM.PE</v>
      </c>
      <c r="F125" s="3" t="s">
        <v>319</v>
      </c>
      <c r="G125" s="3"/>
      <c r="H125" s="9">
        <v>45848</v>
      </c>
      <c r="I125" s="3" t="s">
        <v>44</v>
      </c>
      <c r="J125" s="3" t="str">
        <f>VLOOKUP(A125,'TODOS OS PROCESSOS ATUALIZADOS '!A:I,7,0)</f>
        <v>Autorizada Sucesso</v>
      </c>
      <c r="K125" s="3" t="s">
        <v>44</v>
      </c>
      <c r="L125" s="3" t="str">
        <f t="shared" si="0"/>
        <v>Item atualizado</v>
      </c>
      <c r="M125" s="3"/>
      <c r="N125" s="3" t="s">
        <v>44</v>
      </c>
      <c r="O125" s="3" t="s">
        <v>52</v>
      </c>
      <c r="P125" s="3" t="s">
        <v>334</v>
      </c>
    </row>
    <row r="126" spans="1:17" ht="22.5" customHeight="1" x14ac:dyDescent="0.2">
      <c r="A126" s="3" t="s">
        <v>335</v>
      </c>
      <c r="B126" s="3" t="str">
        <f ca="1">IFERROR(__xludf.DUMMYFUNCTION("REGEXEXTRACT(A126, ""\.(?:GOV|EXT)\.([A-Z0-9\-]+)"")
"),"RN")</f>
        <v>RN</v>
      </c>
      <c r="C126" s="3" t="s">
        <v>34</v>
      </c>
      <c r="D126" s="3" t="s">
        <v>35</v>
      </c>
      <c r="E126" s="3" t="str">
        <f ca="1">IFERROR(__xludf.DUMMYFUNCTION("REGEXEXTRACT(A126, ""-(.*)"")"),"ARP.0007.00.2024.EXT.RN")</f>
        <v>ARP.0007.00.2024.EXT.RN</v>
      </c>
      <c r="F126" s="6" t="s">
        <v>286</v>
      </c>
      <c r="G126" s="3"/>
      <c r="H126" s="9">
        <v>45859</v>
      </c>
      <c r="I126" s="3" t="s">
        <v>44</v>
      </c>
      <c r="J126" s="3" t="str">
        <f>VLOOKUP(A126,'TODOS OS PROCESSOS ATUALIZADOS '!A:I,7,0)</f>
        <v>Autorizada Integrado</v>
      </c>
      <c r="K126" s="3" t="s">
        <v>44</v>
      </c>
      <c r="L126" s="3" t="str">
        <f t="shared" si="0"/>
        <v>Item atualizado</v>
      </c>
      <c r="M126" s="3"/>
      <c r="N126" s="3" t="s">
        <v>38</v>
      </c>
      <c r="O126" s="3" t="s">
        <v>56</v>
      </c>
      <c r="P126" s="3" t="s">
        <v>336</v>
      </c>
      <c r="Q126" s="3" t="s">
        <v>337</v>
      </c>
    </row>
    <row r="127" spans="1:17" ht="22.5" customHeight="1" x14ac:dyDescent="0.2">
      <c r="A127" s="3" t="s">
        <v>338</v>
      </c>
      <c r="B127" s="3" t="str">
        <f ca="1">IFERROR(__xludf.DUMMYFUNCTION("REGEXEXTRACT(A127, ""\.(?:GOV|EXT)\.([A-Z0-9\-]+)"")
"),"PROCAPE")</f>
        <v>PROCAPE</v>
      </c>
      <c r="C127" s="3" t="s">
        <v>34</v>
      </c>
      <c r="D127" s="3" t="s">
        <v>35</v>
      </c>
      <c r="E127" s="14" t="str">
        <f ca="1">IFERROR(__xludf.DUMMYFUNCTION("REGEXEXTRACT(A127, ""-(.*)"")"),"ARP.0005.09.2025.GOV.PROCAPE.PE")</f>
        <v>ARP.0005.09.2025.GOV.PROCAPE.PE</v>
      </c>
      <c r="F127" s="3" t="s">
        <v>79</v>
      </c>
      <c r="G127" s="3"/>
      <c r="H127" s="9">
        <v>45833</v>
      </c>
      <c r="I127" s="3" t="s">
        <v>44</v>
      </c>
      <c r="J127" s="3" t="str">
        <f>VLOOKUP(A127,'TODOS OS PROCESSOS ATUALIZADOS '!A:I,7,0)</f>
        <v>Autorizada Sucesso</v>
      </c>
      <c r="K127" s="3" t="s">
        <v>44</v>
      </c>
      <c r="L127" s="3" t="str">
        <f t="shared" si="0"/>
        <v>Item atualizado</v>
      </c>
      <c r="M127" s="3"/>
      <c r="N127" s="3" t="s">
        <v>44</v>
      </c>
      <c r="O127" s="3" t="s">
        <v>52</v>
      </c>
      <c r="P127" s="3" t="s">
        <v>339</v>
      </c>
    </row>
    <row r="128" spans="1:17" ht="22.5" customHeight="1" x14ac:dyDescent="0.2">
      <c r="A128" s="3" t="s">
        <v>340</v>
      </c>
      <c r="B128" s="3" t="str">
        <f ca="1">IFERROR(__xludf.DUMMYFUNCTION("REGEXEXTRACT(A128, ""\.(?:GOV|EXT)\.([A-Z0-9\-]+)"")
"),"131763")</f>
        <v>131763</v>
      </c>
      <c r="C128" s="3" t="s">
        <v>34</v>
      </c>
      <c r="D128" s="3" t="s">
        <v>35</v>
      </c>
      <c r="E128" s="3" t="str">
        <f ca="1">IFERROR(__xludf.DUMMYFUNCTION("REGEXEXTRACT(A128, ""-(.*)"")"),"ARP.0017.00.2025.EXT.131763.PB")</f>
        <v>ARP.0017.00.2025.EXT.131763.PB</v>
      </c>
      <c r="F128" s="6" t="s">
        <v>59</v>
      </c>
      <c r="G128" s="3"/>
      <c r="H128" s="9">
        <v>45867</v>
      </c>
      <c r="I128" s="3" t="s">
        <v>44</v>
      </c>
      <c r="J128" s="3" t="str">
        <f>VLOOKUP(A128,'TODOS OS PROCESSOS ATUALIZADOS '!A:I,7,0)</f>
        <v>Autorizada Integrado</v>
      </c>
      <c r="K128" s="3" t="s">
        <v>44</v>
      </c>
      <c r="L128" s="3" t="str">
        <f t="shared" si="0"/>
        <v>Item atualizado</v>
      </c>
      <c r="M128" s="3"/>
      <c r="N128" s="3" t="s">
        <v>44</v>
      </c>
      <c r="O128" s="3" t="s">
        <v>52</v>
      </c>
      <c r="P128" s="3" t="s">
        <v>341</v>
      </c>
    </row>
    <row r="129" spans="1:17" ht="22.5" customHeight="1" x14ac:dyDescent="0.2">
      <c r="A129" s="3" t="s">
        <v>342</v>
      </c>
      <c r="B129" s="3" t="str">
        <f ca="1">IFERROR(__xludf.DUMMYFUNCTION("REGEXEXTRACT(A129, ""\.(?:GOV|EXT)\.([A-Z0-9\-]+)"")
"),"HUOC")</f>
        <v>HUOC</v>
      </c>
      <c r="C129" s="3" t="s">
        <v>34</v>
      </c>
      <c r="D129" s="3" t="s">
        <v>35</v>
      </c>
      <c r="E129" s="14" t="str">
        <f ca="1">IFERROR(__xludf.DUMMYFUNCTION("REGEXEXTRACT(A129, ""-(.*)"")"),"ARP.0077.00.2024.GOV.HUOC.PE")</f>
        <v>ARP.0077.00.2024.GOV.HUOC.PE</v>
      </c>
      <c r="F129" s="3" t="s">
        <v>343</v>
      </c>
      <c r="G129" s="3"/>
      <c r="H129" s="9">
        <v>45845</v>
      </c>
      <c r="I129" s="3" t="s">
        <v>44</v>
      </c>
      <c r="J129" s="3" t="str">
        <f>VLOOKUP(A129,'TODOS OS PROCESSOS ATUALIZADOS '!A:I,7,0)</f>
        <v>Autorizada Sucesso</v>
      </c>
      <c r="K129" s="3" t="s">
        <v>44</v>
      </c>
      <c r="L129" s="3" t="str">
        <f t="shared" si="0"/>
        <v>Item atualizado</v>
      </c>
      <c r="M129" s="3"/>
      <c r="N129" s="3" t="s">
        <v>45</v>
      </c>
      <c r="O129" s="3" t="s">
        <v>56</v>
      </c>
      <c r="P129" s="3" t="s">
        <v>344</v>
      </c>
    </row>
    <row r="130" spans="1:17" ht="22.5" customHeight="1" x14ac:dyDescent="0.2">
      <c r="A130" s="3" t="s">
        <v>345</v>
      </c>
      <c r="B130" s="3" t="str">
        <f ca="1">IFERROR(__xludf.DUMMYFUNCTION("REGEXEXTRACT(A130, ""\.(?:GOV|EXT)\.([A-Z0-9\-]+)"")
"),"131763")</f>
        <v>131763</v>
      </c>
      <c r="C130" s="3" t="s">
        <v>34</v>
      </c>
      <c r="D130" s="3" t="s">
        <v>35</v>
      </c>
      <c r="E130" s="3" t="str">
        <f ca="1">IFERROR(__xludf.DUMMYFUNCTION("REGEXEXTRACT(A130, ""-(.*)"")"),"ARP.0017.00.2025.EXT.131763.PB")</f>
        <v>ARP.0017.00.2025.EXT.131763.PB</v>
      </c>
      <c r="F130" s="6" t="s">
        <v>59</v>
      </c>
      <c r="G130" s="3"/>
      <c r="H130" s="9">
        <v>45867</v>
      </c>
      <c r="I130" s="3" t="s">
        <v>44</v>
      </c>
      <c r="J130" s="3" t="str">
        <f>VLOOKUP(A130,'TODOS OS PROCESSOS ATUALIZADOS '!A:I,7,0)</f>
        <v>Autorizada Integrado</v>
      </c>
      <c r="K130" s="3" t="s">
        <v>44</v>
      </c>
      <c r="L130" s="3" t="str">
        <f t="shared" si="0"/>
        <v>Item atualizado</v>
      </c>
      <c r="M130" s="3"/>
      <c r="N130" s="3" t="s">
        <v>44</v>
      </c>
      <c r="O130" s="3" t="s">
        <v>52</v>
      </c>
      <c r="P130" s="3" t="s">
        <v>346</v>
      </c>
    </row>
    <row r="131" spans="1:17" ht="22.5" customHeight="1" x14ac:dyDescent="0.2">
      <c r="A131" s="3" t="s">
        <v>347</v>
      </c>
      <c r="B131" s="3" t="str">
        <f ca="1">IFERROR(__xludf.DUMMYFUNCTION("REGEXEXTRACT(A131, ""\.(?:GOV|EXT)\.([A-Z0-9\-]+)"")
"),"CISAM")</f>
        <v>CISAM</v>
      </c>
      <c r="C131" s="3" t="s">
        <v>34</v>
      </c>
      <c r="D131" s="3" t="s">
        <v>35</v>
      </c>
      <c r="E131" s="14" t="str">
        <f ca="1">IFERROR(__xludf.DUMMYFUNCTION("REGEXEXTRACT(A131, ""-(.*)"")"),"ARP.0010.00.2025.GOV.CISAM.PE")</f>
        <v>ARP.0010.00.2025.GOV.CISAM.PE</v>
      </c>
      <c r="F131" s="3" t="s">
        <v>348</v>
      </c>
      <c r="G131" s="3"/>
      <c r="H131" s="9">
        <v>45848</v>
      </c>
      <c r="I131" s="3" t="s">
        <v>44</v>
      </c>
      <c r="J131" s="3" t="str">
        <f>VLOOKUP(A131,'TODOS OS PROCESSOS ATUALIZADOS '!A:I,7,0)</f>
        <v>Autorizada Sucesso</v>
      </c>
      <c r="K131" s="3" t="s">
        <v>44</v>
      </c>
      <c r="L131" s="3" t="str">
        <f t="shared" si="0"/>
        <v>Item atualizado</v>
      </c>
      <c r="M131" s="3"/>
      <c r="N131" s="3" t="s">
        <v>44</v>
      </c>
      <c r="O131" s="3" t="s">
        <v>52</v>
      </c>
      <c r="P131" s="3" t="s">
        <v>349</v>
      </c>
    </row>
    <row r="132" spans="1:17" ht="22.5" customHeight="1" x14ac:dyDescent="0.2">
      <c r="A132" s="3" t="s">
        <v>350</v>
      </c>
      <c r="B132" s="3" t="str">
        <f ca="1">IFERROR(__xludf.DUMMYFUNCTION("REGEXEXTRACT(A132, ""\.(?:GOV|EXT)\.([A-Z0-9\-]+)"")
"),"HUOC")</f>
        <v>HUOC</v>
      </c>
      <c r="C132" s="3" t="s">
        <v>34</v>
      </c>
      <c r="D132" s="3" t="s">
        <v>35</v>
      </c>
      <c r="E132" s="14" t="str">
        <f ca="1">IFERROR(__xludf.DUMMYFUNCTION("REGEXEXTRACT(A132, ""-(.*)"")"),"ARP.0110.02.2024.GOV.HUOC.PE")</f>
        <v>ARP.0110.02.2024.GOV.HUOC.PE</v>
      </c>
      <c r="F132" s="3" t="s">
        <v>351</v>
      </c>
      <c r="G132" s="3"/>
      <c r="H132" s="9">
        <v>45861</v>
      </c>
      <c r="I132" s="3" t="s">
        <v>44</v>
      </c>
      <c r="J132" s="3" t="str">
        <f>VLOOKUP(A132,'TODOS OS PROCESSOS ATUALIZADOS '!A:I,7,0)</f>
        <v>Autorizada Sucesso</v>
      </c>
      <c r="K132" s="3" t="s">
        <v>44</v>
      </c>
      <c r="L132" s="3" t="str">
        <f t="shared" si="0"/>
        <v>Item atualizado</v>
      </c>
      <c r="M132" s="3"/>
      <c r="N132" s="3" t="s">
        <v>45</v>
      </c>
      <c r="O132" s="3" t="s">
        <v>56</v>
      </c>
      <c r="P132" s="3" t="s">
        <v>352</v>
      </c>
    </row>
    <row r="133" spans="1:17" ht="22.5" customHeight="1" x14ac:dyDescent="0.2">
      <c r="A133" s="3" t="s">
        <v>353</v>
      </c>
      <c r="B133" s="3" t="str">
        <f ca="1">IFERROR(__xludf.DUMMYFUNCTION("REGEXEXTRACT(A133, ""\.(?:GOV|EXT)\.([A-Z0-9\-]+)"")
"),"HUOC")</f>
        <v>HUOC</v>
      </c>
      <c r="C133" s="3" t="s">
        <v>34</v>
      </c>
      <c r="D133" s="3" t="s">
        <v>35</v>
      </c>
      <c r="E133" s="14" t="str">
        <f ca="1">IFERROR(__xludf.DUMMYFUNCTION("REGEXEXTRACT(A133, ""-(.*)"")"),"ARP.0077.00.2024.GOV.HUOC.PE")</f>
        <v>ARP.0077.00.2024.GOV.HUOC.PE</v>
      </c>
      <c r="F133" s="3" t="s">
        <v>343</v>
      </c>
      <c r="G133" s="3"/>
      <c r="H133" s="9">
        <v>45834</v>
      </c>
      <c r="I133" s="3" t="s">
        <v>37</v>
      </c>
      <c r="J133" s="3" t="str">
        <f>VLOOKUP(A133,'TODOS OS PROCESSOS ATUALIZADOS '!A:I,7,0)</f>
        <v>Cancelada</v>
      </c>
      <c r="K133" s="3" t="s">
        <v>38</v>
      </c>
      <c r="L133" s="3" t="str">
        <f t="shared" si="0"/>
        <v>Item não atualizado</v>
      </c>
      <c r="M133" s="3"/>
      <c r="N133" s="3" t="s">
        <v>38</v>
      </c>
      <c r="O133" s="3" t="s">
        <v>39</v>
      </c>
    </row>
    <row r="134" spans="1:17" ht="22.5" customHeight="1" x14ac:dyDescent="0.2">
      <c r="A134" s="3" t="s">
        <v>354</v>
      </c>
      <c r="B134" s="3" t="str">
        <f ca="1">IFERROR(__xludf.DUMMYFUNCTION("REGEXEXTRACT(A134, ""\.(?:GOV|EXT)\.([A-Z0-9\-]+)"")
"),"131763")</f>
        <v>131763</v>
      </c>
      <c r="C134" s="3" t="s">
        <v>34</v>
      </c>
      <c r="D134" s="3" t="s">
        <v>35</v>
      </c>
      <c r="E134" s="3" t="str">
        <f ca="1">IFERROR(__xludf.DUMMYFUNCTION("REGEXEXTRACT(A134, ""-(.*)"")"),"ARP.0017.00.2025.EXT.131763.PB")</f>
        <v>ARP.0017.00.2025.EXT.131763.PB</v>
      </c>
      <c r="F134" s="3" t="s">
        <v>59</v>
      </c>
      <c r="G134" s="3"/>
      <c r="H134" s="9">
        <v>45867</v>
      </c>
      <c r="I134" s="3" t="s">
        <v>44</v>
      </c>
      <c r="J134" s="3" t="str">
        <f>VLOOKUP(A134,'TODOS OS PROCESSOS ATUALIZADOS '!A:I,7,0)</f>
        <v>Autorizada Integrado</v>
      </c>
      <c r="K134" s="3" t="s">
        <v>44</v>
      </c>
      <c r="L134" s="3" t="str">
        <f t="shared" si="0"/>
        <v>Item atualizado</v>
      </c>
      <c r="M134" s="3"/>
      <c r="N134" s="3" t="s">
        <v>44</v>
      </c>
      <c r="O134" s="3" t="s">
        <v>52</v>
      </c>
      <c r="P134" s="3" t="s">
        <v>355</v>
      </c>
      <c r="Q134" s="3"/>
    </row>
    <row r="135" spans="1:17" ht="22.5" customHeight="1" x14ac:dyDescent="0.2">
      <c r="A135" s="3" t="s">
        <v>356</v>
      </c>
      <c r="B135" s="3" t="str">
        <f ca="1">IFERROR(__xludf.DUMMYFUNCTION("REGEXEXTRACT(A135, ""\.(?:GOV|EXT)\.([A-Z0-9\-]+)"")
"),"131763")</f>
        <v>131763</v>
      </c>
      <c r="C135" s="3" t="s">
        <v>34</v>
      </c>
      <c r="D135" s="3" t="s">
        <v>35</v>
      </c>
      <c r="E135" s="3" t="str">
        <f ca="1">IFERROR(__xludf.DUMMYFUNCTION("REGEXEXTRACT(A135, ""-(.*)"")"),"ARP.0012.00.2025.EXT.131763.PB")</f>
        <v>ARP.0012.00.2025.EXT.131763.PB</v>
      </c>
      <c r="F135" s="6" t="s">
        <v>357</v>
      </c>
      <c r="G135" s="3"/>
      <c r="H135" s="9">
        <v>45874</v>
      </c>
      <c r="I135" s="3" t="s">
        <v>44</v>
      </c>
      <c r="J135" s="3" t="str">
        <f>VLOOKUP(A135,'TODOS OS PROCESSOS ATUALIZADOS '!A:I,7,0)</f>
        <v>Autorizada Integrado</v>
      </c>
      <c r="K135" s="3" t="s">
        <v>44</v>
      </c>
      <c r="L135" s="3" t="str">
        <f t="shared" si="0"/>
        <v>Item atualizado</v>
      </c>
      <c r="M135" s="3" t="s">
        <v>9</v>
      </c>
      <c r="N135" s="3" t="s">
        <v>45</v>
      </c>
      <c r="O135" s="3" t="s">
        <v>60</v>
      </c>
      <c r="P135" s="3" t="s">
        <v>358</v>
      </c>
    </row>
    <row r="136" spans="1:17" ht="22.5" customHeight="1" x14ac:dyDescent="0.2">
      <c r="A136" s="3" t="s">
        <v>359</v>
      </c>
      <c r="B136" s="3" t="str">
        <f ca="1">IFERROR(__xludf.DUMMYFUNCTION("REGEXEXTRACT(A136, ""\.(?:GOV|EXT)\.([A-Z0-9\-]+)"")
"),"FES-PE")</f>
        <v>FES-PE</v>
      </c>
      <c r="C136" s="3" t="s">
        <v>34</v>
      </c>
      <c r="D136" s="3" t="s">
        <v>35</v>
      </c>
      <c r="E136" s="14" t="str">
        <f ca="1">IFERROR(__xludf.DUMMYFUNCTION("REGEXEXTRACT(A136, ""-(.*)"")"),"ARP.0009.00.2025.GOV.FES-PE.PE")</f>
        <v>ARP.0009.00.2025.GOV.FES-PE.PE</v>
      </c>
      <c r="F136" s="3" t="s">
        <v>74</v>
      </c>
      <c r="G136" s="3" t="s">
        <v>3</v>
      </c>
      <c r="H136" s="9">
        <v>45842</v>
      </c>
      <c r="I136" s="3" t="s">
        <v>37</v>
      </c>
      <c r="J136" s="3" t="str">
        <f>VLOOKUP(A136,'TODOS OS PROCESSOS ATUALIZADOS '!A:I,7,0)</f>
        <v>Em configuração</v>
      </c>
      <c r="K136" s="3" t="s">
        <v>42</v>
      </c>
      <c r="L136" s="3" t="str">
        <f t="shared" si="0"/>
        <v>Item atualizado</v>
      </c>
      <c r="M136" s="3"/>
      <c r="N136" s="3" t="s">
        <v>42</v>
      </c>
      <c r="O136" s="3" t="s">
        <v>39</v>
      </c>
    </row>
    <row r="137" spans="1:17" ht="22.5" customHeight="1" x14ac:dyDescent="0.2">
      <c r="A137" s="3" t="s">
        <v>360</v>
      </c>
      <c r="B137" s="3" t="str">
        <f ca="1">IFERROR(__xludf.DUMMYFUNCTION("REGEXEXTRACT(A137, ""\.(?:GOV|EXT)\.([A-Z0-9\-]+)"")
"),"PROCAPE")</f>
        <v>PROCAPE</v>
      </c>
      <c r="C137" s="3" t="s">
        <v>34</v>
      </c>
      <c r="D137" s="3" t="s">
        <v>35</v>
      </c>
      <c r="E137" s="14" t="str">
        <f ca="1">IFERROR(__xludf.DUMMYFUNCTION("REGEXEXTRACT(A137, ""-(.*)"")"),"ARP.0076.04.2024.GOV.PROCAPE.PE")</f>
        <v>ARP.0076.04.2024.GOV.PROCAPE.PE</v>
      </c>
      <c r="F137" s="3" t="s">
        <v>361</v>
      </c>
      <c r="G137" s="3"/>
      <c r="H137" s="9">
        <v>45849</v>
      </c>
      <c r="I137" s="3" t="s">
        <v>37</v>
      </c>
      <c r="J137" s="3" t="s">
        <v>362</v>
      </c>
      <c r="K137" s="3" t="s">
        <v>38</v>
      </c>
      <c r="L137" s="3" t="str">
        <f t="shared" si="0"/>
        <v>Item atualizado</v>
      </c>
      <c r="M137" s="3" t="s">
        <v>10</v>
      </c>
      <c r="N137" s="3" t="s">
        <v>38</v>
      </c>
      <c r="O137" s="3" t="s">
        <v>56</v>
      </c>
      <c r="Q137" s="3" t="s">
        <v>363</v>
      </c>
    </row>
    <row r="138" spans="1:17" ht="22.5" customHeight="1" x14ac:dyDescent="0.2">
      <c r="A138" s="3" t="s">
        <v>364</v>
      </c>
      <c r="B138" s="3" t="str">
        <f ca="1">IFERROR(__xludf.DUMMYFUNCTION("REGEXEXTRACT(A138, ""\.(?:GOV|EXT)\.([A-Z0-9\-]+)"")
"),"FES-PE")</f>
        <v>FES-PE</v>
      </c>
      <c r="C138" s="3" t="s">
        <v>34</v>
      </c>
      <c r="D138" s="3" t="s">
        <v>35</v>
      </c>
      <c r="E138" s="14" t="str">
        <f ca="1">IFERROR(__xludf.DUMMYFUNCTION("REGEXEXTRACT(A138, ""-(.*)"")"),"ARP.0074.00.2024.GOV.FES-PE.PE")</f>
        <v>ARP.0074.00.2024.GOV.FES-PE.PE</v>
      </c>
      <c r="F138" s="3" t="s">
        <v>365</v>
      </c>
      <c r="G138" s="3"/>
      <c r="H138" s="9">
        <v>45856</v>
      </c>
      <c r="I138" s="3" t="s">
        <v>44</v>
      </c>
      <c r="J138" s="3" t="str">
        <f>VLOOKUP(A138,'TODOS OS PROCESSOS ATUALIZADOS '!A:I,7,0)</f>
        <v>Autorizada Sucesso</v>
      </c>
      <c r="K138" s="3" t="s">
        <v>44</v>
      </c>
      <c r="L138" s="3" t="str">
        <f t="shared" si="0"/>
        <v>Item atualizado</v>
      </c>
      <c r="M138" s="3"/>
      <c r="N138" s="3" t="s">
        <v>44</v>
      </c>
      <c r="O138" s="3" t="s">
        <v>52</v>
      </c>
      <c r="P138" s="3" t="s">
        <v>366</v>
      </c>
    </row>
    <row r="139" spans="1:17" ht="22.5" customHeight="1" x14ac:dyDescent="0.2">
      <c r="A139" s="3" t="s">
        <v>367</v>
      </c>
      <c r="B139" s="3" t="str">
        <f ca="1">IFERROR(__xludf.DUMMYFUNCTION("REGEXEXTRACT(A139, ""\.(?:GOV|EXT)\.([A-Z0-9\-]+)"")
"),"HUOC")</f>
        <v>HUOC</v>
      </c>
      <c r="C139" s="3" t="s">
        <v>34</v>
      </c>
      <c r="D139" s="3" t="s">
        <v>35</v>
      </c>
      <c r="E139" s="14" t="str">
        <f ca="1">IFERROR(__xludf.DUMMYFUNCTION("REGEXEXTRACT(A139, ""-(.*)"")"),"ARP.0064.01.2025.GOV.HUOC.PE")</f>
        <v>ARP.0064.01.2025.GOV.HUOC.PE</v>
      </c>
      <c r="F139" s="3" t="s">
        <v>226</v>
      </c>
      <c r="G139" s="3" t="s">
        <v>3</v>
      </c>
      <c r="H139" s="9">
        <v>45849</v>
      </c>
      <c r="I139" s="3" t="s">
        <v>37</v>
      </c>
      <c r="J139" s="3" t="str">
        <f>VLOOKUP(A139,'TODOS OS PROCESSOS ATUALIZADOS '!A:I,7,0)</f>
        <v>Em configuração</v>
      </c>
      <c r="K139" s="3" t="s">
        <v>42</v>
      </c>
      <c r="L139" s="3" t="str">
        <f t="shared" si="0"/>
        <v>Item atualizado</v>
      </c>
      <c r="M139" s="3"/>
      <c r="N139" s="3" t="s">
        <v>42</v>
      </c>
      <c r="O139" s="3" t="s">
        <v>39</v>
      </c>
    </row>
    <row r="140" spans="1:17" ht="22.5" customHeight="1" x14ac:dyDescent="0.2">
      <c r="A140" s="3" t="s">
        <v>368</v>
      </c>
      <c r="B140" s="3" t="str">
        <f ca="1">IFERROR(__xludf.DUMMYFUNCTION("REGEXEXTRACT(A140, ""\.(?:GOV|EXT)\.([A-Z0-9\-]+)"")
"),"HGV")</f>
        <v>HGV</v>
      </c>
      <c r="C140" s="3" t="s">
        <v>34</v>
      </c>
      <c r="D140" s="3" t="s">
        <v>35</v>
      </c>
      <c r="E140" s="14" t="str">
        <f ca="1">IFERROR(__xludf.DUMMYFUNCTION("REGEXEXTRACT(A140, ""-(.*)"")"),"ARP.0011.01.2025.GOV.HGV.PE")</f>
        <v>ARP.0011.01.2025.GOV.HGV.PE</v>
      </c>
      <c r="F140" s="3" t="s">
        <v>165</v>
      </c>
      <c r="G140" s="3" t="s">
        <v>1</v>
      </c>
      <c r="H140" s="9">
        <v>45860</v>
      </c>
      <c r="I140" s="3" t="s">
        <v>44</v>
      </c>
      <c r="J140" s="3" t="str">
        <f>VLOOKUP(A140,'TODOS OS PROCESSOS ATUALIZADOS '!A:I,7,0)</f>
        <v>Autorizada Sucesso</v>
      </c>
      <c r="K140" s="3" t="s">
        <v>44</v>
      </c>
      <c r="L140" s="3" t="str">
        <f t="shared" si="0"/>
        <v>Item atualizado</v>
      </c>
      <c r="M140" s="3"/>
      <c r="N140" s="3" t="s">
        <v>44</v>
      </c>
      <c r="O140" s="3" t="s">
        <v>52</v>
      </c>
      <c r="P140" s="3" t="s">
        <v>369</v>
      </c>
    </row>
    <row r="141" spans="1:17" ht="22.5" customHeight="1" x14ac:dyDescent="0.2">
      <c r="A141" s="3" t="s">
        <v>370</v>
      </c>
      <c r="B141" s="3" t="str">
        <f ca="1">IFERROR(__xludf.DUMMYFUNCTION("REGEXEXTRACT(A141, ""\.(?:GOV|EXT)\.([A-Z0-9\-]+)"")
"),"HR")</f>
        <v>HR</v>
      </c>
      <c r="C141" s="3" t="s">
        <v>34</v>
      </c>
      <c r="D141" s="3" t="s">
        <v>35</v>
      </c>
      <c r="E141" s="14" t="str">
        <f ca="1">IFERROR(__xludf.DUMMYFUNCTION("REGEXEXTRACT(A141, ""-(.*)"")"),"ARP.0010.00.2025.GOV.HR.PE")</f>
        <v>ARP.0010.00.2025.GOV.HR.PE</v>
      </c>
      <c r="F141" s="3" t="s">
        <v>248</v>
      </c>
      <c r="G141" s="3"/>
      <c r="H141" s="9">
        <v>45875</v>
      </c>
      <c r="I141" s="3" t="s">
        <v>44</v>
      </c>
      <c r="J141" s="3" t="str">
        <f>VLOOKUP(A141,'TODOS OS PROCESSOS ATUALIZADOS '!A:I,7,0)</f>
        <v>Autorizada Sucesso</v>
      </c>
      <c r="K141" s="3" t="s">
        <v>44</v>
      </c>
      <c r="L141" s="3" t="str">
        <f t="shared" si="0"/>
        <v>Item atualizado</v>
      </c>
      <c r="M141" s="3"/>
      <c r="N141" s="3" t="s">
        <v>44</v>
      </c>
      <c r="O141" s="3" t="s">
        <v>52</v>
      </c>
      <c r="P141" s="3" t="s">
        <v>371</v>
      </c>
    </row>
    <row r="142" spans="1:17" ht="22.5" customHeight="1" x14ac:dyDescent="0.2">
      <c r="A142" s="3" t="s">
        <v>372</v>
      </c>
      <c r="B142" s="3" t="str">
        <f ca="1">IFERROR(__xludf.DUMMYFUNCTION("REGEXEXTRACT(A142, ""\.(?:GOV|EXT)\.([A-Z0-9\-]+)"")
"),"HMAR")</f>
        <v>HMAR</v>
      </c>
      <c r="C142" s="3" t="s">
        <v>34</v>
      </c>
      <c r="D142" s="3" t="s">
        <v>35</v>
      </c>
      <c r="E142" s="14" t="str">
        <f ca="1">IFERROR(__xludf.DUMMYFUNCTION("REGEXEXTRACT(A142, ""-(.*)"")"),"ARP.0004.00.2025.EXT.HMAR.PE")</f>
        <v>ARP.0004.00.2025.EXT.HMAR.PE</v>
      </c>
      <c r="F142" s="3" t="s">
        <v>373</v>
      </c>
      <c r="G142" s="3" t="s">
        <v>3</v>
      </c>
      <c r="H142" s="9">
        <v>45874</v>
      </c>
      <c r="I142" s="3" t="s">
        <v>37</v>
      </c>
      <c r="J142" s="3" t="str">
        <f>VLOOKUP(A142,'TODOS OS PROCESSOS ATUALIZADOS '!A:I,7,0)</f>
        <v>Em configuração</v>
      </c>
      <c r="K142" s="3" t="s">
        <v>42</v>
      </c>
      <c r="L142" s="3" t="str">
        <f t="shared" si="0"/>
        <v>Item atualizado</v>
      </c>
      <c r="M142" s="3"/>
      <c r="N142" s="3" t="s">
        <v>42</v>
      </c>
      <c r="O142" s="3" t="s">
        <v>39</v>
      </c>
    </row>
    <row r="143" spans="1:17" ht="22.5" customHeight="1" x14ac:dyDescent="0.2">
      <c r="A143" s="3" t="s">
        <v>374</v>
      </c>
      <c r="B143" s="3" t="str">
        <f ca="1">IFERROR(__xludf.DUMMYFUNCTION("REGEXEXTRACT(A143, ""\.(?:GOV|EXT)\.([A-Z0-9\-]+)"")
"),"HUOC")</f>
        <v>HUOC</v>
      </c>
      <c r="C143" s="3" t="s">
        <v>34</v>
      </c>
      <c r="D143" s="3" t="s">
        <v>35</v>
      </c>
      <c r="E143" s="14" t="str">
        <f ca="1">IFERROR(__xludf.DUMMYFUNCTION("REGEXEXTRACT(A143, ""-(.*)"")"),"ARP.0064.01.2025.GOV.HUOC.PE")</f>
        <v>ARP.0064.01.2025.GOV.HUOC.PE</v>
      </c>
      <c r="F143" s="3" t="s">
        <v>226</v>
      </c>
      <c r="G143" s="3"/>
      <c r="H143" s="9">
        <v>45846</v>
      </c>
      <c r="I143" s="3" t="s">
        <v>44</v>
      </c>
      <c r="J143" s="3" t="str">
        <f>VLOOKUP(A143,'TODOS OS PROCESSOS ATUALIZADOS '!A:I,7,0)</f>
        <v>Autorizada Sucesso</v>
      </c>
      <c r="K143" s="3" t="s">
        <v>44</v>
      </c>
      <c r="L143" s="3" t="str">
        <f t="shared" si="0"/>
        <v>Item atualizado</v>
      </c>
      <c r="M143" s="3"/>
      <c r="N143" s="3" t="s">
        <v>44</v>
      </c>
      <c r="O143" s="3" t="s">
        <v>52</v>
      </c>
      <c r="P143" s="3" t="s">
        <v>375</v>
      </c>
    </row>
    <row r="144" spans="1:17" ht="22.5" customHeight="1" x14ac:dyDescent="0.2">
      <c r="A144" s="3" t="s">
        <v>376</v>
      </c>
      <c r="B144" s="3" t="str">
        <f ca="1">IFERROR(__xludf.DUMMYFUNCTION("REGEXEXTRACT(A144, ""\.(?:GOV|EXT)\.([A-Z0-9\-]+)"")
"),"131763")</f>
        <v>131763</v>
      </c>
      <c r="C144" s="3" t="s">
        <v>34</v>
      </c>
      <c r="D144" s="3" t="s">
        <v>35</v>
      </c>
      <c r="E144" s="3" t="str">
        <f ca="1">IFERROR(__xludf.DUMMYFUNCTION("REGEXEXTRACT(A144, ""-(.*)"")"),"ARP.0009.00.2025.EXT.131763.PB")</f>
        <v>ARP.0009.00.2025.EXT.131763.PB</v>
      </c>
      <c r="F144" s="3" t="s">
        <v>377</v>
      </c>
      <c r="G144" s="3" t="s">
        <v>3</v>
      </c>
      <c r="H144" s="9">
        <v>45870</v>
      </c>
      <c r="I144" s="3" t="s">
        <v>44</v>
      </c>
      <c r="J144" s="3" t="str">
        <f>VLOOKUP(A144,'TODOS OS PROCESSOS ATUALIZADOS '!A:I,7,0)</f>
        <v>Autorizada Integrado</v>
      </c>
      <c r="K144" s="3" t="s">
        <v>44</v>
      </c>
      <c r="L144" s="3" t="str">
        <f t="shared" si="0"/>
        <v>Item atualizado</v>
      </c>
      <c r="M144" s="3"/>
      <c r="N144" s="3" t="s">
        <v>44</v>
      </c>
      <c r="O144" s="3" t="s">
        <v>52</v>
      </c>
      <c r="P144" s="3" t="s">
        <v>378</v>
      </c>
      <c r="Q144" s="3"/>
    </row>
    <row r="145" spans="1:17" ht="22.5" customHeight="1" x14ac:dyDescent="0.2">
      <c r="A145" s="3" t="s">
        <v>379</v>
      </c>
      <c r="B145" s="3" t="str">
        <f ca="1">IFERROR(__xludf.DUMMYFUNCTION("REGEXEXTRACT(A145, ""\.(?:GOV|EXT)\.([A-Z0-9\-]+)"")
"),"HEMOPE")</f>
        <v>HEMOPE</v>
      </c>
      <c r="C145" s="3" t="s">
        <v>34</v>
      </c>
      <c r="D145" s="3" t="s">
        <v>35</v>
      </c>
      <c r="E145" s="14" t="str">
        <f ca="1">IFERROR(__xludf.DUMMYFUNCTION("REGEXEXTRACT(A145, ""-(.*)"")"),"ARP.0007.00.2025.GOV.HEMOPE.PE")</f>
        <v>ARP.0007.00.2025.GOV.HEMOPE.PE</v>
      </c>
      <c r="F145" s="3" t="s">
        <v>380</v>
      </c>
      <c r="G145" s="3"/>
      <c r="H145" s="9">
        <v>45841</v>
      </c>
      <c r="I145" s="3" t="s">
        <v>44</v>
      </c>
      <c r="J145" s="3" t="str">
        <f>VLOOKUP(A145,'TODOS OS PROCESSOS ATUALIZADOS '!A:I,7,0)</f>
        <v>Autorizada Sucesso</v>
      </c>
      <c r="K145" s="3" t="s">
        <v>44</v>
      </c>
      <c r="L145" s="3" t="str">
        <f t="shared" si="0"/>
        <v>Item atualizado</v>
      </c>
      <c r="M145" s="3"/>
      <c r="N145" s="3" t="s">
        <v>44</v>
      </c>
      <c r="O145" s="3" t="s">
        <v>52</v>
      </c>
      <c r="P145" s="3" t="s">
        <v>381</v>
      </c>
    </row>
    <row r="146" spans="1:17" ht="22.5" customHeight="1" x14ac:dyDescent="0.2">
      <c r="A146" s="3" t="s">
        <v>382</v>
      </c>
      <c r="B146" s="3" t="str">
        <f ca="1">IFERROR(__xludf.DUMMYFUNCTION("REGEXEXTRACT(A146, ""\.(?:GOV|EXT)\.([A-Z0-9\-]+)"")
"),"131763")</f>
        <v>131763</v>
      </c>
      <c r="C146" s="3" t="s">
        <v>34</v>
      </c>
      <c r="D146" s="3" t="s">
        <v>35</v>
      </c>
      <c r="E146" s="3" t="str">
        <f ca="1">IFERROR(__xludf.DUMMYFUNCTION("REGEXEXTRACT(A146, ""-(.*)"")"),"ARP.0005.00.2025.EXT.131763.PB")</f>
        <v>ARP.0005.00.2025.EXT.131763.PB</v>
      </c>
      <c r="F146" s="6" t="s">
        <v>383</v>
      </c>
      <c r="G146" s="3"/>
      <c r="H146" s="9">
        <v>45875</v>
      </c>
      <c r="I146" s="3" t="s">
        <v>44</v>
      </c>
      <c r="J146" s="3" t="str">
        <f>VLOOKUP(A146,'TODOS OS PROCESSOS ATUALIZADOS '!A:I,7,0)</f>
        <v>Autorizada Integrado</v>
      </c>
      <c r="K146" s="3" t="s">
        <v>44</v>
      </c>
      <c r="L146" s="3" t="str">
        <f t="shared" si="0"/>
        <v>Item atualizado</v>
      </c>
      <c r="M146" s="3" t="s">
        <v>12</v>
      </c>
      <c r="N146" s="3" t="s">
        <v>45</v>
      </c>
      <c r="O146" s="3" t="s">
        <v>60</v>
      </c>
      <c r="P146" s="3" t="s">
        <v>384</v>
      </c>
    </row>
    <row r="147" spans="1:17" ht="22.5" customHeight="1" x14ac:dyDescent="0.2">
      <c r="A147" s="3" t="s">
        <v>385</v>
      </c>
      <c r="B147" s="3" t="str">
        <f ca="1">IFERROR(__xludf.DUMMYFUNCTION("REGEXEXTRACT(A147, ""\.(?:GOV|EXT)\.([A-Z0-9\-]+)"")
"),"HGV")</f>
        <v>HGV</v>
      </c>
      <c r="C147" s="3" t="s">
        <v>34</v>
      </c>
      <c r="D147" s="3" t="s">
        <v>35</v>
      </c>
      <c r="E147" s="14" t="str">
        <f ca="1">IFERROR(__xludf.DUMMYFUNCTION("REGEXEXTRACT(A147, ""-(.*)"")"),"ARP.0003.00.2025.GOV.HGV.PE")</f>
        <v>ARP.0003.00.2025.GOV.HGV.PE</v>
      </c>
      <c r="F147" s="3" t="s">
        <v>386</v>
      </c>
      <c r="G147" s="3"/>
      <c r="H147" s="9">
        <v>45848</v>
      </c>
      <c r="I147" s="3" t="s">
        <v>44</v>
      </c>
      <c r="J147" s="3" t="str">
        <f>VLOOKUP(A147,'TODOS OS PROCESSOS ATUALIZADOS '!A:I,7,0)</f>
        <v>Autorizada Sucesso</v>
      </c>
      <c r="K147" s="3" t="s">
        <v>44</v>
      </c>
      <c r="L147" s="3" t="str">
        <f t="shared" si="0"/>
        <v>Item atualizado</v>
      </c>
      <c r="M147" s="3"/>
      <c r="N147" s="3" t="s">
        <v>44</v>
      </c>
      <c r="O147" s="3" t="s">
        <v>52</v>
      </c>
      <c r="P147" s="3" t="s">
        <v>387</v>
      </c>
    </row>
    <row r="148" spans="1:17" ht="22.5" customHeight="1" x14ac:dyDescent="0.2">
      <c r="A148" s="3" t="s">
        <v>388</v>
      </c>
      <c r="B148" s="3" t="str">
        <f ca="1">IFERROR(__xludf.DUMMYFUNCTION("REGEXEXTRACT(A148, ""\.(?:GOV|EXT)\.([A-Z0-9\-]+)"")
"),"FES-PE")</f>
        <v>FES-PE</v>
      </c>
      <c r="C148" s="3" t="s">
        <v>34</v>
      </c>
      <c r="D148" s="3" t="s">
        <v>35</v>
      </c>
      <c r="E148" s="14" t="str">
        <f ca="1">IFERROR(__xludf.DUMMYFUNCTION("REGEXEXTRACT(A148, ""-(.*)"")"),"ARP.0059.02.2025.GOV.FES-PE.PE")</f>
        <v>ARP.0059.02.2025.GOV.FES-PE.PE</v>
      </c>
      <c r="F148" s="3" t="s">
        <v>228</v>
      </c>
      <c r="G148" s="3"/>
      <c r="H148" s="9">
        <v>45834</v>
      </c>
      <c r="I148" s="3" t="s">
        <v>44</v>
      </c>
      <c r="J148" s="3" t="str">
        <f>VLOOKUP(A148,'TODOS OS PROCESSOS ATUALIZADOS '!A:I,7,0)</f>
        <v>Autorizada Sucesso</v>
      </c>
      <c r="K148" s="3" t="s">
        <v>44</v>
      </c>
      <c r="L148" s="3" t="str">
        <f t="shared" si="0"/>
        <v>Item atualizado</v>
      </c>
      <c r="M148" s="3"/>
      <c r="N148" s="3" t="s">
        <v>45</v>
      </c>
      <c r="O148" s="3" t="s">
        <v>56</v>
      </c>
      <c r="P148" s="3" t="s">
        <v>389</v>
      </c>
    </row>
    <row r="149" spans="1:17" ht="22.5" customHeight="1" x14ac:dyDescent="0.2">
      <c r="A149" s="3" t="s">
        <v>390</v>
      </c>
      <c r="B149" s="3" t="str">
        <f ca="1">IFERROR(__xludf.DUMMYFUNCTION("REGEXEXTRACT(A149, ""\.(?:GOV|EXT)\.([A-Z0-9\-]+)"")
"),"FES-PE")</f>
        <v>FES-PE</v>
      </c>
      <c r="C149" s="3" t="s">
        <v>34</v>
      </c>
      <c r="D149" s="3" t="s">
        <v>35</v>
      </c>
      <c r="E149" s="14" t="str">
        <f ca="1">IFERROR(__xludf.DUMMYFUNCTION("REGEXEXTRACT(A149, ""-(.*)"")"),"ARP.0010.02.2025.GOV.FES-PE.PE")</f>
        <v>ARP.0010.02.2025.GOV.FES-PE.PE</v>
      </c>
      <c r="F149" s="3" t="s">
        <v>391</v>
      </c>
      <c r="G149" s="3"/>
      <c r="H149" s="9">
        <v>45834</v>
      </c>
      <c r="I149" s="3" t="s">
        <v>44</v>
      </c>
      <c r="J149" s="3" t="str">
        <f>VLOOKUP(A149,'TODOS OS PROCESSOS ATUALIZADOS '!A:I,7,0)</f>
        <v>Autorizada Sucesso</v>
      </c>
      <c r="K149" s="3" t="s">
        <v>44</v>
      </c>
      <c r="L149" s="3" t="str">
        <f t="shared" si="0"/>
        <v>Item atualizado</v>
      </c>
      <c r="M149" s="3"/>
      <c r="N149" s="3" t="s">
        <v>44</v>
      </c>
      <c r="O149" s="3" t="s">
        <v>52</v>
      </c>
      <c r="P149" s="3" t="s">
        <v>392</v>
      </c>
    </row>
    <row r="150" spans="1:17" ht="22.5" customHeight="1" x14ac:dyDescent="0.2">
      <c r="A150" s="3" t="s">
        <v>393</v>
      </c>
      <c r="B150" s="3" t="str">
        <f ca="1">IFERROR(__xludf.DUMMYFUNCTION("REGEXEXTRACT(A150, ""\.(?:GOV|EXT)\.([A-Z0-9\-]+)"")
"),"HEMOPE")</f>
        <v>HEMOPE</v>
      </c>
      <c r="C150" s="3" t="s">
        <v>34</v>
      </c>
      <c r="D150" s="3" t="s">
        <v>35</v>
      </c>
      <c r="E150" s="14" t="str">
        <f ca="1">IFERROR(__xludf.DUMMYFUNCTION("REGEXEXTRACT(A150, ""-(.*)"")"),"ARP.0005.01.2025.GOV.HEMOPE.PE")</f>
        <v>ARP.0005.01.2025.GOV.HEMOPE.PE</v>
      </c>
      <c r="F150" s="3" t="s">
        <v>308</v>
      </c>
      <c r="G150" s="3"/>
      <c r="H150" s="9">
        <v>45856</v>
      </c>
      <c r="I150" s="3" t="s">
        <v>44</v>
      </c>
      <c r="J150" s="3" t="str">
        <f>VLOOKUP(A150,'TODOS OS PROCESSOS ATUALIZADOS '!A:I,7,0)</f>
        <v>Autorizada Sucesso</v>
      </c>
      <c r="K150" s="3" t="s">
        <v>42</v>
      </c>
      <c r="L150" s="3" t="str">
        <f t="shared" si="0"/>
        <v>Item atualizado</v>
      </c>
      <c r="M150" s="3"/>
      <c r="N150" s="3" t="s">
        <v>42</v>
      </c>
      <c r="O150" s="3" t="s">
        <v>87</v>
      </c>
      <c r="P150" s="3" t="s">
        <v>394</v>
      </c>
    </row>
    <row r="151" spans="1:17" ht="22.5" customHeight="1" x14ac:dyDescent="0.2">
      <c r="A151" s="3" t="s">
        <v>395</v>
      </c>
      <c r="B151" s="3" t="str">
        <f ca="1">IFERROR(__xludf.DUMMYFUNCTION("REGEXEXTRACT(A151, ""\.(?:GOV|EXT)\.([A-Z0-9\-]+)"")
"),"DASIS")</f>
        <v>DASIS</v>
      </c>
      <c r="C151" s="3" t="s">
        <v>34</v>
      </c>
      <c r="D151" s="3" t="s">
        <v>35</v>
      </c>
      <c r="E151" s="14" t="str">
        <f ca="1">IFERROR(__xludf.DUMMYFUNCTION("REGEXEXTRACT(A151, ""-(.*)"")"),"ARP.0001.02.2025.GOV.DASIS.PE")</f>
        <v>ARP.0001.02.2025.GOV.DASIS.PE</v>
      </c>
      <c r="F151" s="3" t="s">
        <v>396</v>
      </c>
      <c r="G151" s="3"/>
      <c r="H151" s="9">
        <v>45840</v>
      </c>
      <c r="I151" s="3" t="s">
        <v>44</v>
      </c>
      <c r="J151" s="3" t="str">
        <f>VLOOKUP(A151,'TODOS OS PROCESSOS ATUALIZADOS '!A:I,7,0)</f>
        <v>Autorizada Sucesso</v>
      </c>
      <c r="K151" s="3" t="s">
        <v>44</v>
      </c>
      <c r="L151" s="3" t="str">
        <f t="shared" si="0"/>
        <v>Item atualizado</v>
      </c>
      <c r="M151" s="3"/>
      <c r="N151" s="3" t="s">
        <v>45</v>
      </c>
      <c r="O151" s="3" t="s">
        <v>60</v>
      </c>
      <c r="P151" s="3" t="s">
        <v>397</v>
      </c>
    </row>
    <row r="152" spans="1:17" ht="22.5" customHeight="1" x14ac:dyDescent="0.2">
      <c r="A152" s="3" t="s">
        <v>398</v>
      </c>
      <c r="B152" s="3" t="str">
        <f ca="1">IFERROR(__xludf.DUMMYFUNCTION("REGEXEXTRACT(A152, ""\.(?:GOV|EXT)\.([A-Z0-9\-]+)"")
"),"HR")</f>
        <v>HR</v>
      </c>
      <c r="C152" s="3" t="s">
        <v>34</v>
      </c>
      <c r="D152" s="3" t="s">
        <v>35</v>
      </c>
      <c r="E152" s="14" t="str">
        <f ca="1">IFERROR(__xludf.DUMMYFUNCTION("REGEXEXTRACT(A152, ""-(.*)"")"),"ARP.0041.00.2024.GOV.HR.PE")</f>
        <v>ARP.0041.00.2024.GOV.HR.PE</v>
      </c>
      <c r="F152" s="3" t="s">
        <v>289</v>
      </c>
      <c r="G152" s="3"/>
      <c r="H152" s="9">
        <v>45825</v>
      </c>
      <c r="I152" s="3" t="s">
        <v>44</v>
      </c>
      <c r="J152" s="3" t="str">
        <f>VLOOKUP(A152,'TODOS OS PROCESSOS ATUALIZADOS '!A:I,7,0)</f>
        <v>Autorizada Sucesso</v>
      </c>
      <c r="K152" s="3" t="s">
        <v>44</v>
      </c>
      <c r="L152" s="3" t="str">
        <f t="shared" si="0"/>
        <v>Item atualizado</v>
      </c>
      <c r="M152" s="3"/>
      <c r="N152" s="3" t="s">
        <v>44</v>
      </c>
      <c r="O152" s="3" t="s">
        <v>52</v>
      </c>
      <c r="P152" s="3" t="s">
        <v>399</v>
      </c>
    </row>
    <row r="153" spans="1:17" ht="22.5" customHeight="1" x14ac:dyDescent="0.2">
      <c r="A153" s="3" t="s">
        <v>400</v>
      </c>
      <c r="B153" s="3" t="str">
        <f ca="1">IFERROR(__xludf.DUMMYFUNCTION("REGEXEXTRACT(A153, ""\.(?:GOV|EXT)\.([A-Z0-9\-]+)"")
"),"HR")</f>
        <v>HR</v>
      </c>
      <c r="C153" s="3" t="s">
        <v>34</v>
      </c>
      <c r="D153" s="3" t="s">
        <v>35</v>
      </c>
      <c r="E153" s="14" t="str">
        <f ca="1">IFERROR(__xludf.DUMMYFUNCTION("REGEXEXTRACT(A153, ""-(.*)"")"),"ARP.0041.00.2024.GOV.HR.PE")</f>
        <v>ARP.0041.00.2024.GOV.HR.PE</v>
      </c>
      <c r="F153" s="3" t="s">
        <v>289</v>
      </c>
      <c r="G153" s="3"/>
      <c r="H153" s="9">
        <v>45825</v>
      </c>
      <c r="I153" s="3" t="s">
        <v>37</v>
      </c>
      <c r="J153" s="3" t="str">
        <f>VLOOKUP(A153,'TODOS OS PROCESSOS ATUALIZADOS '!A:I,7,0)</f>
        <v>Cancelada</v>
      </c>
      <c r="K153" s="3" t="s">
        <v>38</v>
      </c>
      <c r="L153" s="3" t="str">
        <f t="shared" si="0"/>
        <v>Item não atualizado</v>
      </c>
      <c r="M153" s="3"/>
      <c r="N153" s="3" t="s">
        <v>38</v>
      </c>
      <c r="O153" s="3" t="s">
        <v>39</v>
      </c>
    </row>
    <row r="154" spans="1:17" ht="22.5" customHeight="1" x14ac:dyDescent="0.2">
      <c r="A154" s="3" t="s">
        <v>401</v>
      </c>
      <c r="B154" s="3" t="str">
        <f ca="1">IFERROR(__xludf.DUMMYFUNCTION("REGEXEXTRACT(A154, ""\.(?:GOV|EXT)\.([A-Z0-9\-]+)"")
"),"HR")</f>
        <v>HR</v>
      </c>
      <c r="C154" s="3" t="s">
        <v>34</v>
      </c>
      <c r="D154" s="3" t="s">
        <v>35</v>
      </c>
      <c r="E154" s="14" t="str">
        <f ca="1">IFERROR(__xludf.DUMMYFUNCTION("REGEXEXTRACT(A154, ""-(.*)"")"),"ARP.0041.00.2024.GOV.HR.PE")</f>
        <v>ARP.0041.00.2024.GOV.HR.PE</v>
      </c>
      <c r="F154" s="3" t="s">
        <v>289</v>
      </c>
      <c r="G154" s="3" t="s">
        <v>3</v>
      </c>
      <c r="H154" s="9">
        <v>45817</v>
      </c>
      <c r="I154" s="3" t="s">
        <v>37</v>
      </c>
      <c r="J154" s="3" t="str">
        <f>VLOOKUP(A154,'TODOS OS PROCESSOS ATUALIZADOS '!A:I,7,0)</f>
        <v>Cancelada por fim vigencia ATA</v>
      </c>
      <c r="K154" s="3" t="s">
        <v>38</v>
      </c>
      <c r="L154" s="3" t="str">
        <f t="shared" si="0"/>
        <v>Item atualizado</v>
      </c>
      <c r="M154" s="3"/>
      <c r="N154" s="3" t="s">
        <v>38</v>
      </c>
      <c r="O154" s="3"/>
      <c r="P154" s="3"/>
      <c r="Q154" s="3"/>
    </row>
    <row r="155" spans="1:17" ht="22.5" customHeight="1" x14ac:dyDescent="0.2">
      <c r="A155" s="3" t="s">
        <v>402</v>
      </c>
      <c r="B155" s="3" t="str">
        <f ca="1">IFERROR(__xludf.DUMMYFUNCTION("REGEXEXTRACT(A155, ""\.(?:GOV|EXT)\.([A-Z0-9\-]+)"")
"),"HR")</f>
        <v>HR</v>
      </c>
      <c r="C155" s="3" t="s">
        <v>34</v>
      </c>
      <c r="D155" s="3" t="s">
        <v>35</v>
      </c>
      <c r="E155" s="14" t="str">
        <f ca="1">IFERROR(__xludf.DUMMYFUNCTION("REGEXEXTRACT(A155, ""-(.*)"")"),"ARP.0041.00.2024.GOV.HR.PE")</f>
        <v>ARP.0041.00.2024.GOV.HR.PE</v>
      </c>
      <c r="F155" s="3" t="s">
        <v>289</v>
      </c>
      <c r="G155" s="3" t="s">
        <v>3</v>
      </c>
      <c r="H155" s="9">
        <v>45797</v>
      </c>
      <c r="I155" s="3" t="s">
        <v>37</v>
      </c>
      <c r="J155" s="3" t="str">
        <f>VLOOKUP(A155,'TODOS OS PROCESSOS ATUALIZADOS '!A:I,7,0)</f>
        <v>Cancelada por fim vigencia ATA</v>
      </c>
      <c r="K155" s="3" t="s">
        <v>38</v>
      </c>
      <c r="L155" s="3" t="str">
        <f t="shared" si="0"/>
        <v>Item atualizado</v>
      </c>
      <c r="M155" s="3"/>
      <c r="N155" s="3" t="s">
        <v>38</v>
      </c>
      <c r="O155" s="3" t="s">
        <v>39</v>
      </c>
    </row>
    <row r="156" spans="1:17" ht="22.5" customHeight="1" x14ac:dyDescent="0.2">
      <c r="A156" s="3" t="s">
        <v>403</v>
      </c>
      <c r="B156" s="3" t="str">
        <f ca="1">IFERROR(__xludf.DUMMYFUNCTION("REGEXEXTRACT(A156, ""\.(?:GOV|EXT)\.([A-Z0-9\-]+)"")
"),"HR")</f>
        <v>HR</v>
      </c>
      <c r="C156" s="3" t="s">
        <v>34</v>
      </c>
      <c r="D156" s="3" t="s">
        <v>35</v>
      </c>
      <c r="E156" s="14" t="str">
        <f ca="1">IFERROR(__xludf.DUMMYFUNCTION("REGEXEXTRACT(A156, ""-(.*)"")"),"ARP.0041.00.2024.GOV.HR.PE")</f>
        <v>ARP.0041.00.2024.GOV.HR.PE</v>
      </c>
      <c r="F156" s="3" t="s">
        <v>289</v>
      </c>
      <c r="G156" s="3" t="s">
        <v>3</v>
      </c>
      <c r="H156" s="9">
        <v>45797</v>
      </c>
      <c r="I156" s="3" t="s">
        <v>37</v>
      </c>
      <c r="J156" s="3" t="str">
        <f>VLOOKUP(A156,'TODOS OS PROCESSOS ATUALIZADOS '!A:I,7,0)</f>
        <v>Cancelada por fim vigencia ATA</v>
      </c>
      <c r="K156" s="3" t="s">
        <v>38</v>
      </c>
      <c r="L156" s="3" t="str">
        <f t="shared" si="0"/>
        <v>Item atualizado</v>
      </c>
      <c r="M156" s="3"/>
      <c r="N156" s="3" t="s">
        <v>38</v>
      </c>
      <c r="O156" s="3" t="s">
        <v>39</v>
      </c>
    </row>
    <row r="157" spans="1:17" ht="22.5" customHeight="1" x14ac:dyDescent="0.2">
      <c r="A157" s="3" t="s">
        <v>404</v>
      </c>
      <c r="B157" s="3" t="str">
        <f ca="1">IFERROR(__xludf.DUMMYFUNCTION("REGEXEXTRACT(A157, ""\.(?:GOV|EXT)\.([A-Z0-9\-]+)"")
"),"PROCAPE")</f>
        <v>PROCAPE</v>
      </c>
      <c r="C157" s="3" t="s">
        <v>34</v>
      </c>
      <c r="D157" s="3" t="s">
        <v>35</v>
      </c>
      <c r="E157" s="14" t="str">
        <f ca="1">IFERROR(__xludf.DUMMYFUNCTION("REGEXEXTRACT(A157, ""-(.*)"")"),"ARP.0084.05.2024.GOV.PROCAPE.PE")</f>
        <v>ARP.0084.05.2024.GOV.PROCAPE.PE</v>
      </c>
      <c r="F157" s="3" t="s">
        <v>127</v>
      </c>
      <c r="G157" s="3"/>
      <c r="H157" s="9">
        <v>45826</v>
      </c>
      <c r="I157" s="3" t="s">
        <v>44</v>
      </c>
      <c r="J157" s="3" t="str">
        <f>VLOOKUP(A157,'TODOS OS PROCESSOS ATUALIZADOS '!A:I,7,0)</f>
        <v>Autorizada Sucesso</v>
      </c>
      <c r="K157" s="3" t="s">
        <v>44</v>
      </c>
      <c r="L157" s="3" t="str">
        <f t="shared" si="0"/>
        <v>Item atualizado</v>
      </c>
      <c r="M157" s="3"/>
      <c r="N157" s="3" t="s">
        <v>44</v>
      </c>
      <c r="O157" s="3" t="s">
        <v>52</v>
      </c>
      <c r="P157" s="3" t="s">
        <v>405</v>
      </c>
    </row>
    <row r="158" spans="1:17" ht="22.5" customHeight="1" x14ac:dyDescent="0.2">
      <c r="A158" s="3" t="s">
        <v>406</v>
      </c>
      <c r="B158" s="3" t="str">
        <f ca="1">IFERROR(__xludf.DUMMYFUNCTION("REGEXEXTRACT(A158, ""\.(?:GOV|EXT)\.([A-Z0-9\-]+)"")
"),"HR")</f>
        <v>HR</v>
      </c>
      <c r="C158" s="3" t="s">
        <v>34</v>
      </c>
      <c r="D158" s="3" t="s">
        <v>35</v>
      </c>
      <c r="E158" s="14" t="str">
        <f ca="1">IFERROR(__xludf.DUMMYFUNCTION("REGEXEXTRACT(A158, ""-(.*)"")"),"ARP.0041.00.2024.GOV.HR.PE")</f>
        <v>ARP.0041.00.2024.GOV.HR.PE</v>
      </c>
      <c r="F158" s="3" t="s">
        <v>289</v>
      </c>
      <c r="G158" s="3" t="s">
        <v>3</v>
      </c>
      <c r="H158" s="9">
        <v>45797</v>
      </c>
      <c r="I158" s="3" t="s">
        <v>37</v>
      </c>
      <c r="J158" s="3" t="str">
        <f>VLOOKUP(A158,'TODOS OS PROCESSOS ATUALIZADOS '!A:I,7,0)</f>
        <v>Cancelada por fim vigencia ATA</v>
      </c>
      <c r="K158" s="3" t="s">
        <v>38</v>
      </c>
      <c r="L158" s="3" t="str">
        <f t="shared" si="0"/>
        <v>Item atualizado</v>
      </c>
      <c r="M158" s="3"/>
      <c r="N158" s="3" t="s">
        <v>38</v>
      </c>
      <c r="O158" s="3" t="s">
        <v>39</v>
      </c>
    </row>
    <row r="159" spans="1:17" ht="22.5" customHeight="1" x14ac:dyDescent="0.2">
      <c r="A159" s="3" t="s">
        <v>407</v>
      </c>
      <c r="B159" s="3" t="str">
        <f ca="1">IFERROR(__xludf.DUMMYFUNCTION("REGEXEXTRACT(A159, ""\.(?:GOV|EXT)\.([A-Z0-9\-]+)"")
"),"PROCAPE")</f>
        <v>PROCAPE</v>
      </c>
      <c r="C159" s="3" t="s">
        <v>34</v>
      </c>
      <c r="D159" s="3" t="s">
        <v>35</v>
      </c>
      <c r="E159" s="14" t="str">
        <f ca="1">IFERROR(__xludf.DUMMYFUNCTION("REGEXEXTRACT(A159, ""-(.*)"")"),"ARP.0084.05.2024.GOV.PROCAPE.PE")</f>
        <v>ARP.0084.05.2024.GOV.PROCAPE.PE</v>
      </c>
      <c r="F159" s="3" t="s">
        <v>127</v>
      </c>
      <c r="G159" s="3"/>
      <c r="H159" s="9">
        <v>45826</v>
      </c>
      <c r="I159" s="3" t="s">
        <v>37</v>
      </c>
      <c r="J159" s="3" t="str">
        <f>VLOOKUP(A159,'TODOS OS PROCESSOS ATUALIZADOS '!A:I,7,0)</f>
        <v>Cancelada por fim vigencia ATA</v>
      </c>
      <c r="K159" s="3" t="s">
        <v>38</v>
      </c>
      <c r="L159" s="3" t="str">
        <f t="shared" si="0"/>
        <v>Item atualizado</v>
      </c>
      <c r="M159" s="3"/>
      <c r="N159" s="3" t="s">
        <v>38</v>
      </c>
      <c r="O159" s="3" t="s">
        <v>39</v>
      </c>
    </row>
    <row r="160" spans="1:17" ht="22.5" customHeight="1" x14ac:dyDescent="0.2">
      <c r="A160" s="3" t="s">
        <v>408</v>
      </c>
      <c r="B160" s="3" t="str">
        <f ca="1">IFERROR(__xludf.DUMMYFUNCTION("REGEXEXTRACT(A160, ""\.(?:GOV|EXT)\.([A-Z0-9\-]+)"")
"),"HR")</f>
        <v>HR</v>
      </c>
      <c r="C160" s="3" t="s">
        <v>34</v>
      </c>
      <c r="D160" s="3" t="s">
        <v>35</v>
      </c>
      <c r="E160" s="14" t="str">
        <f ca="1">IFERROR(__xludf.DUMMYFUNCTION("REGEXEXTRACT(A160, ""-(.*)"")"),"ARP.0041.00.2024.GOV.HR.PE")</f>
        <v>ARP.0041.00.2024.GOV.HR.PE</v>
      </c>
      <c r="F160" s="3" t="s">
        <v>289</v>
      </c>
      <c r="G160" s="3" t="s">
        <v>3</v>
      </c>
      <c r="H160" s="9">
        <v>45797</v>
      </c>
      <c r="I160" s="3" t="s">
        <v>37</v>
      </c>
      <c r="J160" s="3" t="str">
        <f>VLOOKUP(A160,'TODOS OS PROCESSOS ATUALIZADOS '!A:I,7,0)</f>
        <v>Cancelada por fim vigencia ATA</v>
      </c>
      <c r="K160" s="3" t="s">
        <v>38</v>
      </c>
      <c r="L160" s="3" t="str">
        <f t="shared" si="0"/>
        <v>Item atualizado</v>
      </c>
      <c r="M160" s="3"/>
      <c r="N160" s="3" t="s">
        <v>38</v>
      </c>
      <c r="O160" s="3" t="s">
        <v>39</v>
      </c>
    </row>
    <row r="161" spans="1:16" ht="22.5" customHeight="1" x14ac:dyDescent="0.2">
      <c r="A161" s="3" t="s">
        <v>409</v>
      </c>
      <c r="B161" s="3" t="str">
        <f ca="1">IFERROR(__xludf.DUMMYFUNCTION("REGEXEXTRACT(A161, ""\.(?:GOV|EXT)\.([A-Z0-9\-]+)"")
"),"HR")</f>
        <v>HR</v>
      </c>
      <c r="C161" s="3" t="s">
        <v>34</v>
      </c>
      <c r="D161" s="3" t="s">
        <v>35</v>
      </c>
      <c r="E161" s="14" t="str">
        <f ca="1">IFERROR(__xludf.DUMMYFUNCTION("REGEXEXTRACT(A161, ""-(.*)"")"),"ARP.0031.00.2024.GOV.HR.PE")</f>
        <v>ARP.0031.00.2024.GOV.HR.PE</v>
      </c>
      <c r="F161" s="3" t="s">
        <v>296</v>
      </c>
      <c r="G161" s="3"/>
      <c r="H161" s="9">
        <v>45797</v>
      </c>
      <c r="I161" s="3" t="s">
        <v>37</v>
      </c>
      <c r="J161" s="3" t="str">
        <f>VLOOKUP(A161,'TODOS OS PROCESSOS ATUALIZADOS '!A:I,7,0)</f>
        <v>Cancelada</v>
      </c>
      <c r="K161" s="3" t="s">
        <v>38</v>
      </c>
      <c r="L161" s="3" t="str">
        <f t="shared" si="0"/>
        <v>Item não atualizado</v>
      </c>
      <c r="M161" s="3"/>
      <c r="N161" s="3" t="s">
        <v>38</v>
      </c>
      <c r="O161" s="3" t="s">
        <v>39</v>
      </c>
    </row>
    <row r="162" spans="1:16" ht="22.5" customHeight="1" x14ac:dyDescent="0.2">
      <c r="A162" s="3" t="s">
        <v>410</v>
      </c>
      <c r="B162" s="3" t="str">
        <f ca="1">IFERROR(__xludf.DUMMYFUNCTION("REGEXEXTRACT(A162, ""\.(?:GOV|EXT)\.([A-Z0-9\-]+)"")
"),"HR")</f>
        <v>HR</v>
      </c>
      <c r="C162" s="3" t="s">
        <v>34</v>
      </c>
      <c r="D162" s="3" t="s">
        <v>35</v>
      </c>
      <c r="E162" s="14" t="str">
        <f ca="1">IFERROR(__xludf.DUMMYFUNCTION("REGEXEXTRACT(A162, ""-(.*)"")"),"ARP.0031.00.2024.GOV.HR.PE")</f>
        <v>ARP.0031.00.2024.GOV.HR.PE</v>
      </c>
      <c r="F162" s="3" t="s">
        <v>296</v>
      </c>
      <c r="G162" s="3"/>
      <c r="H162" s="9">
        <v>45797</v>
      </c>
      <c r="I162" s="3" t="s">
        <v>37</v>
      </c>
      <c r="J162" s="3" t="str">
        <f>VLOOKUP(A162,'TODOS OS PROCESSOS ATUALIZADOS '!A:I,7,0)</f>
        <v>Cancelada por fim vigencia ATA</v>
      </c>
      <c r="K162" s="3" t="s">
        <v>38</v>
      </c>
      <c r="L162" s="3" t="str">
        <f t="shared" si="0"/>
        <v>Item atualizado</v>
      </c>
      <c r="M162" s="3"/>
      <c r="N162" s="3" t="s">
        <v>38</v>
      </c>
      <c r="O162" s="3" t="s">
        <v>39</v>
      </c>
    </row>
    <row r="163" spans="1:16" ht="22.5" customHeight="1" x14ac:dyDescent="0.2">
      <c r="A163" s="3" t="s">
        <v>411</v>
      </c>
      <c r="B163" s="3" t="str">
        <f ca="1">IFERROR(__xludf.DUMMYFUNCTION("REGEXEXTRACT(A163, ""\.(?:GOV|EXT)\.([A-Z0-9\-]+)"")
"),"HOF")</f>
        <v>HOF</v>
      </c>
      <c r="C163" s="3" t="s">
        <v>34</v>
      </c>
      <c r="D163" s="3" t="s">
        <v>35</v>
      </c>
      <c r="E163" s="14" t="str">
        <f ca="1">IFERROR(__xludf.DUMMYFUNCTION("REGEXEXTRACT(A163, ""-(.*)"")"),"ARP.0017.00.2025.GOV.HOF.PE")</f>
        <v>ARP.0017.00.2025.GOV.HOF.PE</v>
      </c>
      <c r="F163" s="3" t="s">
        <v>412</v>
      </c>
      <c r="G163" s="3"/>
      <c r="H163" s="9">
        <v>45811</v>
      </c>
      <c r="I163" s="3" t="s">
        <v>44</v>
      </c>
      <c r="J163" s="3" t="str">
        <f>VLOOKUP(A163,'TODOS OS PROCESSOS ATUALIZADOS '!A:I,7,0)</f>
        <v>Autorizada Sucesso</v>
      </c>
      <c r="K163" s="3" t="s">
        <v>44</v>
      </c>
      <c r="L163" s="3" t="str">
        <f t="shared" si="0"/>
        <v>Item atualizado</v>
      </c>
      <c r="M163" s="3"/>
      <c r="N163" s="3" t="s">
        <v>44</v>
      </c>
      <c r="O163" s="3" t="s">
        <v>52</v>
      </c>
      <c r="P163" s="3" t="s">
        <v>413</v>
      </c>
    </row>
    <row r="164" spans="1:16" ht="22.5" customHeight="1" x14ac:dyDescent="0.2">
      <c r="A164" s="3" t="s">
        <v>414</v>
      </c>
      <c r="B164" s="3" t="str">
        <f ca="1">IFERROR(__xludf.DUMMYFUNCTION("REGEXEXTRACT(A164, ""\.(?:GOV|EXT)\.([A-Z0-9\-]+)"")
"),"HR")</f>
        <v>HR</v>
      </c>
      <c r="C164" s="3" t="s">
        <v>34</v>
      </c>
      <c r="D164" s="3" t="s">
        <v>35</v>
      </c>
      <c r="E164" s="14" t="str">
        <f ca="1">IFERROR(__xludf.DUMMYFUNCTION("REGEXEXTRACT(A164, ""-(.*)"")"),"ARP.0006.00.2025.GOV.HR.PE")</f>
        <v>ARP.0006.00.2025.GOV.HR.PE</v>
      </c>
      <c r="F164" s="3" t="s">
        <v>415</v>
      </c>
      <c r="G164" s="3"/>
      <c r="H164" s="9">
        <v>45811</v>
      </c>
      <c r="I164" s="3" t="s">
        <v>44</v>
      </c>
      <c r="J164" s="3" t="str">
        <f>VLOOKUP(A164,'TODOS OS PROCESSOS ATUALIZADOS '!A:I,7,0)</f>
        <v>Autorizada Sucesso</v>
      </c>
      <c r="K164" s="3" t="s">
        <v>44</v>
      </c>
      <c r="L164" s="3" t="str">
        <f t="shared" si="0"/>
        <v>Item atualizado</v>
      </c>
      <c r="M164" s="3"/>
      <c r="N164" s="3" t="s">
        <v>44</v>
      </c>
      <c r="O164" s="3" t="s">
        <v>52</v>
      </c>
      <c r="P164" s="3" t="s">
        <v>416</v>
      </c>
    </row>
    <row r="165" spans="1:16" ht="22.5" customHeight="1" x14ac:dyDescent="0.2">
      <c r="A165" s="3" t="s">
        <v>417</v>
      </c>
      <c r="B165" s="3" t="str">
        <f ca="1">IFERROR(__xludf.DUMMYFUNCTION("REGEXEXTRACT(A165, ""\.(?:GOV|EXT)\.([A-Z0-9\-]+)"")
"),"HR")</f>
        <v>HR</v>
      </c>
      <c r="C165" s="3" t="s">
        <v>34</v>
      </c>
      <c r="D165" s="3" t="s">
        <v>35</v>
      </c>
      <c r="E165" s="14" t="str">
        <f ca="1">IFERROR(__xludf.DUMMYFUNCTION("REGEXEXTRACT(A165, ""-(.*)"")"),"ARP.0006.00.2025.GOV.HR.PE")</f>
        <v>ARP.0006.00.2025.GOV.HR.PE</v>
      </c>
      <c r="F165" s="3" t="s">
        <v>415</v>
      </c>
      <c r="G165" s="3"/>
      <c r="H165" s="9">
        <v>45798</v>
      </c>
      <c r="I165" s="3" t="s">
        <v>44</v>
      </c>
      <c r="J165" s="3" t="str">
        <f>VLOOKUP(A165,'TODOS OS PROCESSOS ATUALIZADOS '!A:I,7,0)</f>
        <v>Autorizada Sucesso</v>
      </c>
      <c r="K165" s="3" t="s">
        <v>44</v>
      </c>
      <c r="L165" s="3" t="str">
        <f t="shared" si="0"/>
        <v>Item atualizado</v>
      </c>
      <c r="M165" s="3"/>
      <c r="N165" s="3" t="s">
        <v>44</v>
      </c>
      <c r="O165" s="3" t="s">
        <v>52</v>
      </c>
      <c r="P165" s="3" t="s">
        <v>418</v>
      </c>
    </row>
    <row r="166" spans="1:16" ht="22.5" customHeight="1" x14ac:dyDescent="0.2">
      <c r="A166" s="3" t="s">
        <v>419</v>
      </c>
      <c r="B166" s="3" t="str">
        <f ca="1">IFERROR(__xludf.DUMMYFUNCTION("REGEXEXTRACT(A166, ""\.(?:GOV|EXT)\.([A-Z0-9\-]+)"")
"),"HUOC")</f>
        <v>HUOC</v>
      </c>
      <c r="C166" s="3" t="s">
        <v>34</v>
      </c>
      <c r="D166" s="3" t="s">
        <v>35</v>
      </c>
      <c r="E166" s="14" t="str">
        <f ca="1">IFERROR(__xludf.DUMMYFUNCTION("REGEXEXTRACT(A166, ""-(.*)"")"),"ARP.0078.02.2024.GOV.HUOC.PE")</f>
        <v>ARP.0078.02.2024.GOV.HUOC.PE</v>
      </c>
      <c r="F166" s="3" t="s">
        <v>420</v>
      </c>
      <c r="G166" s="3"/>
      <c r="H166" s="9">
        <v>45812</v>
      </c>
      <c r="I166" s="3" t="s">
        <v>44</v>
      </c>
      <c r="J166" s="3" t="str">
        <f>VLOOKUP(A166,'TODOS OS PROCESSOS ATUALIZADOS '!A:I,7,0)</f>
        <v>Autorizada Sucesso</v>
      </c>
      <c r="K166" s="3" t="s">
        <v>44</v>
      </c>
      <c r="L166" s="3" t="str">
        <f t="shared" si="0"/>
        <v>Item atualizado</v>
      </c>
      <c r="M166" s="3"/>
      <c r="N166" s="3" t="s">
        <v>44</v>
      </c>
      <c r="O166" s="3" t="s">
        <v>52</v>
      </c>
      <c r="P166" s="3" t="s">
        <v>421</v>
      </c>
    </row>
    <row r="167" spans="1:16" ht="22.5" customHeight="1" x14ac:dyDescent="0.2">
      <c r="A167" s="3" t="s">
        <v>422</v>
      </c>
      <c r="B167" s="3" t="str">
        <f ca="1">IFERROR(__xludf.DUMMYFUNCTION("REGEXEXTRACT(A167, ""\.(?:GOV|EXT)\.([A-Z0-9\-]+)"")
"),"PROCAPE")</f>
        <v>PROCAPE</v>
      </c>
      <c r="C167" s="3" t="s">
        <v>34</v>
      </c>
      <c r="D167" s="3" t="s">
        <v>35</v>
      </c>
      <c r="E167" s="14" t="str">
        <f ca="1">IFERROR(__xludf.DUMMYFUNCTION("REGEXEXTRACT(A167, ""-(.*)"")"),"ARP.0076.01.2024.GOV.PROCAPE.PE")</f>
        <v>ARP.0076.01.2024.GOV.PROCAPE.PE</v>
      </c>
      <c r="F167" s="3" t="s">
        <v>361</v>
      </c>
      <c r="G167" s="3"/>
      <c r="H167" s="9">
        <v>45828</v>
      </c>
      <c r="I167" s="3" t="s">
        <v>44</v>
      </c>
      <c r="J167" s="3" t="str">
        <f>VLOOKUP(A167,'TODOS OS PROCESSOS ATUALIZADOS '!A:I,7,0)</f>
        <v>Autorizada Sucesso</v>
      </c>
      <c r="K167" s="3" t="s">
        <v>44</v>
      </c>
      <c r="L167" s="3" t="str">
        <f t="shared" si="0"/>
        <v>Item atualizado</v>
      </c>
      <c r="M167" s="3"/>
      <c r="N167" s="3" t="s">
        <v>44</v>
      </c>
      <c r="O167" s="3" t="s">
        <v>52</v>
      </c>
      <c r="P167" s="3" t="s">
        <v>423</v>
      </c>
    </row>
    <row r="168" spans="1:16" ht="22.5" customHeight="1" x14ac:dyDescent="0.2">
      <c r="A168" s="3" t="s">
        <v>424</v>
      </c>
      <c r="B168" s="3" t="str">
        <f ca="1">IFERROR(__xludf.DUMMYFUNCTION("REGEXEXTRACT(A168, ""\.(?:GOV|EXT)\.([A-Z0-9\-]+)"")
"),"HR")</f>
        <v>HR</v>
      </c>
      <c r="C168" s="3" t="s">
        <v>34</v>
      </c>
      <c r="D168" s="3" t="s">
        <v>35</v>
      </c>
      <c r="E168" s="14" t="str">
        <f ca="1">IFERROR(__xludf.DUMMYFUNCTION("REGEXEXTRACT(A168, ""-(.*)"")"),"ARP.0006.00.2025.GOV.HR.PE")</f>
        <v>ARP.0006.00.2025.GOV.HR.PE</v>
      </c>
      <c r="F168" s="3" t="s">
        <v>415</v>
      </c>
      <c r="G168" s="3"/>
      <c r="H168" s="9">
        <v>45796</v>
      </c>
      <c r="I168" s="3" t="s">
        <v>44</v>
      </c>
      <c r="J168" s="3" t="str">
        <f>VLOOKUP(A168,'TODOS OS PROCESSOS ATUALIZADOS '!A:I,7,0)</f>
        <v>Autorizada Sucesso</v>
      </c>
      <c r="K168" s="3" t="s">
        <v>44</v>
      </c>
      <c r="L168" s="3" t="str">
        <f t="shared" si="0"/>
        <v>Item atualizado</v>
      </c>
      <c r="M168" s="3"/>
      <c r="N168" s="3" t="s">
        <v>44</v>
      </c>
      <c r="O168" s="3" t="s">
        <v>52</v>
      </c>
      <c r="P168" s="3" t="s">
        <v>425</v>
      </c>
    </row>
    <row r="169" spans="1:16" ht="22.5" customHeight="1" x14ac:dyDescent="0.2">
      <c r="A169" s="3" t="s">
        <v>426</v>
      </c>
      <c r="B169" s="3" t="str">
        <f ca="1">IFERROR(__xludf.DUMMYFUNCTION("REGEXEXTRACT(A169, ""\.(?:GOV|EXT)\.([A-Z0-9\-]+)"")
"),"PROCAPE")</f>
        <v>PROCAPE</v>
      </c>
      <c r="C169" s="3" t="s">
        <v>34</v>
      </c>
      <c r="D169" s="3" t="s">
        <v>35</v>
      </c>
      <c r="E169" s="14" t="str">
        <f ca="1">IFERROR(__xludf.DUMMYFUNCTION("REGEXEXTRACT(A169, ""-(.*)"")"),"ARP.0076.01.2024.GOV.PROCAPE.PE")</f>
        <v>ARP.0076.01.2024.GOV.PROCAPE.PE</v>
      </c>
      <c r="F169" s="3" t="s">
        <v>361</v>
      </c>
      <c r="G169" s="3"/>
      <c r="H169" s="9">
        <v>45824</v>
      </c>
      <c r="I169" s="3" t="s">
        <v>37</v>
      </c>
      <c r="J169" s="3" t="str">
        <f>VLOOKUP(A169,'TODOS OS PROCESSOS ATUALIZADOS '!A:I,7,0)</f>
        <v>Cancelada</v>
      </c>
      <c r="K169" s="3" t="s">
        <v>38</v>
      </c>
      <c r="L169" s="3" t="str">
        <f t="shared" si="0"/>
        <v>Item não atualizado</v>
      </c>
      <c r="M169" s="3"/>
      <c r="N169" s="3" t="s">
        <v>38</v>
      </c>
      <c r="O169" s="3" t="s">
        <v>39</v>
      </c>
    </row>
    <row r="170" spans="1:16" ht="22.5" customHeight="1" x14ac:dyDescent="0.2">
      <c r="A170" s="3" t="s">
        <v>427</v>
      </c>
      <c r="B170" s="3" t="str">
        <f ca="1">IFERROR(__xludf.DUMMYFUNCTION("REGEXEXTRACT(A170, ""\.(?:GOV|EXT)\.([A-Z0-9\-]+)"")
"),"HR")</f>
        <v>HR</v>
      </c>
      <c r="C170" s="3" t="s">
        <v>34</v>
      </c>
      <c r="D170" s="3" t="s">
        <v>35</v>
      </c>
      <c r="E170" s="14" t="str">
        <f ca="1">IFERROR(__xludf.DUMMYFUNCTION("REGEXEXTRACT(A170, ""-(.*)"")"),"ARP.0011.00.2025.GOV.HR.PE")</f>
        <v>ARP.0011.00.2025.GOV.HR.PE</v>
      </c>
      <c r="F170" s="3" t="s">
        <v>428</v>
      </c>
      <c r="G170" s="3"/>
      <c r="H170" s="9">
        <v>45828</v>
      </c>
      <c r="I170" s="3" t="s">
        <v>44</v>
      </c>
      <c r="J170" s="3" t="str">
        <f>VLOOKUP(A170,'TODOS OS PROCESSOS ATUALIZADOS '!A:I,7,0)</f>
        <v>Autorizada Sucesso</v>
      </c>
      <c r="K170" s="3" t="s">
        <v>44</v>
      </c>
      <c r="L170" s="3" t="str">
        <f t="shared" si="0"/>
        <v>Item atualizado</v>
      </c>
      <c r="M170" s="3"/>
      <c r="N170" s="3" t="s">
        <v>44</v>
      </c>
      <c r="O170" s="3" t="s">
        <v>52</v>
      </c>
      <c r="P170" s="3" t="s">
        <v>429</v>
      </c>
    </row>
    <row r="171" spans="1:16" ht="22.5" customHeight="1" x14ac:dyDescent="0.2">
      <c r="A171" s="3" t="s">
        <v>430</v>
      </c>
      <c r="B171" s="3" t="str">
        <f ca="1">IFERROR(__xludf.DUMMYFUNCTION("REGEXEXTRACT(A171, ""\.(?:GOV|EXT)\.([A-Z0-9\-]+)"")
"),"PROCAPE")</f>
        <v>PROCAPE</v>
      </c>
      <c r="C171" s="3" t="s">
        <v>34</v>
      </c>
      <c r="D171" s="3" t="s">
        <v>35</v>
      </c>
      <c r="E171" s="14" t="str">
        <f ca="1">IFERROR(__xludf.DUMMYFUNCTION("REGEXEXTRACT(A171, ""-(.*)"")"),"ARP.0076.01.2024.GOV.PROCAPE.PE")</f>
        <v>ARP.0076.01.2024.GOV.PROCAPE.PE</v>
      </c>
      <c r="F171" s="3" t="s">
        <v>361</v>
      </c>
      <c r="G171" s="3"/>
      <c r="H171" s="9">
        <v>45824</v>
      </c>
      <c r="I171" s="3" t="s">
        <v>37</v>
      </c>
      <c r="J171" s="3" t="str">
        <f>VLOOKUP(A171,'TODOS OS PROCESSOS ATUALIZADOS '!A:I,7,0)</f>
        <v>Cancelada</v>
      </c>
      <c r="K171" s="3" t="s">
        <v>38</v>
      </c>
      <c r="L171" s="3" t="str">
        <f t="shared" si="0"/>
        <v>Item não atualizado</v>
      </c>
      <c r="M171" s="3"/>
      <c r="N171" s="3" t="s">
        <v>38</v>
      </c>
      <c r="O171" s="3" t="s">
        <v>39</v>
      </c>
    </row>
    <row r="172" spans="1:16" ht="22.5" customHeight="1" x14ac:dyDescent="0.2">
      <c r="A172" s="3" t="s">
        <v>431</v>
      </c>
      <c r="B172" s="3" t="str">
        <f ca="1">IFERROR(__xludf.DUMMYFUNCTION("REGEXEXTRACT(A172, ""\.(?:GOV|EXT)\.([A-Z0-9\-]+)"")
"),"PROCAPE")</f>
        <v>PROCAPE</v>
      </c>
      <c r="C172" s="3" t="s">
        <v>34</v>
      </c>
      <c r="D172" s="3" t="s">
        <v>35</v>
      </c>
      <c r="E172" s="14" t="str">
        <f ca="1">IFERROR(__xludf.DUMMYFUNCTION("REGEXEXTRACT(A172, ""-(.*)"")"),"ARP.0004.00.2025.GOV.PROCAPE.PE")</f>
        <v>ARP.0004.00.2025.GOV.PROCAPE.PE</v>
      </c>
      <c r="F172" s="3" t="s">
        <v>79</v>
      </c>
      <c r="G172" s="3"/>
      <c r="H172" s="9">
        <v>45820</v>
      </c>
      <c r="I172" s="3" t="s">
        <v>44</v>
      </c>
      <c r="J172" s="3" t="str">
        <f>VLOOKUP(A172,'TODOS OS PROCESSOS ATUALIZADOS '!A:I,7,0)</f>
        <v>Autorizada Sucesso</v>
      </c>
      <c r="K172" s="3" t="s">
        <v>44</v>
      </c>
      <c r="L172" s="3" t="str">
        <f t="shared" si="0"/>
        <v>Item atualizado</v>
      </c>
      <c r="M172" s="3"/>
      <c r="N172" s="3" t="s">
        <v>44</v>
      </c>
      <c r="O172" s="3" t="s">
        <v>52</v>
      </c>
      <c r="P172" s="3" t="s">
        <v>432</v>
      </c>
    </row>
    <row r="173" spans="1:16" ht="22.5" customHeight="1" x14ac:dyDescent="0.2">
      <c r="A173" s="3" t="s">
        <v>433</v>
      </c>
      <c r="B173" s="3" t="str">
        <f ca="1">IFERROR(__xludf.DUMMYFUNCTION("REGEXEXTRACT(A173, ""\.(?:GOV|EXT)\.([A-Z0-9\-]+)"")
"),"CISAM")</f>
        <v>CISAM</v>
      </c>
      <c r="C173" s="3" t="s">
        <v>34</v>
      </c>
      <c r="D173" s="3" t="s">
        <v>35</v>
      </c>
      <c r="E173" s="14" t="str">
        <f ca="1">IFERROR(__xludf.DUMMYFUNCTION("REGEXEXTRACT(A173, ""-(.*)"")"),"ARP.0050.00.2024.GOV.CISAM.PE")</f>
        <v>ARP.0050.00.2024.GOV.CISAM.PE</v>
      </c>
      <c r="F173" s="3" t="s">
        <v>434</v>
      </c>
      <c r="G173" s="3"/>
      <c r="H173" s="9">
        <v>45799</v>
      </c>
      <c r="I173" s="3" t="s">
        <v>37</v>
      </c>
      <c r="J173" s="3" t="str">
        <f>VLOOKUP(A173,'TODOS OS PROCESSOS ATUALIZADOS '!A:I,7,0)</f>
        <v>Cancelada por fim vigencia ATA</v>
      </c>
      <c r="K173" s="3" t="s">
        <v>38</v>
      </c>
      <c r="L173" s="3" t="str">
        <f t="shared" si="0"/>
        <v>Item atualizado</v>
      </c>
      <c r="M173" s="3"/>
      <c r="N173" s="3" t="s">
        <v>38</v>
      </c>
      <c r="O173" s="3" t="s">
        <v>39</v>
      </c>
    </row>
    <row r="174" spans="1:16" ht="22.5" customHeight="1" x14ac:dyDescent="0.2">
      <c r="A174" s="3" t="s">
        <v>435</v>
      </c>
      <c r="B174" s="3" t="str">
        <f ca="1">IFERROR(__xludf.DUMMYFUNCTION("REGEXEXTRACT(A174, ""\.(?:GOV|EXT)\.([A-Z0-9\-]+)"")
"),"HUOC")</f>
        <v>HUOC</v>
      </c>
      <c r="C174" s="3" t="s">
        <v>34</v>
      </c>
      <c r="D174" s="3" t="s">
        <v>35</v>
      </c>
      <c r="E174" s="14" t="str">
        <f ca="1">IFERROR(__xludf.DUMMYFUNCTION("REGEXEXTRACT(A174, ""-(.*)"")"),"ARP.0108.01.2024.GOV.HUOC.PE")</f>
        <v>ARP.0108.01.2024.GOV.HUOC.PE</v>
      </c>
      <c r="F174" s="3" t="s">
        <v>436</v>
      </c>
      <c r="G174" s="3"/>
      <c r="H174" s="9">
        <v>45828</v>
      </c>
      <c r="I174" s="3" t="s">
        <v>44</v>
      </c>
      <c r="J174" s="3" t="str">
        <f>VLOOKUP(A174,'TODOS OS PROCESSOS ATUALIZADOS '!A:I,7,0)</f>
        <v>Autorizada Sucesso</v>
      </c>
      <c r="K174" s="3" t="s">
        <v>44</v>
      </c>
      <c r="L174" s="3" t="str">
        <f t="shared" si="0"/>
        <v>Item atualizado</v>
      </c>
      <c r="M174" s="3"/>
      <c r="N174" s="3" t="s">
        <v>44</v>
      </c>
      <c r="O174" s="3" t="s">
        <v>52</v>
      </c>
      <c r="P174" s="3" t="s">
        <v>437</v>
      </c>
    </row>
    <row r="175" spans="1:16" ht="22.5" customHeight="1" x14ac:dyDescent="0.2">
      <c r="A175" s="3" t="s">
        <v>438</v>
      </c>
      <c r="B175" s="3" t="str">
        <f ca="1">IFERROR(__xludf.DUMMYFUNCTION("REGEXEXTRACT(A175, ""\.(?:GOV|EXT)\.([A-Z0-9\-]+)"")
"),"PROCAPE")</f>
        <v>PROCAPE</v>
      </c>
      <c r="C175" s="3" t="s">
        <v>34</v>
      </c>
      <c r="D175" s="3" t="s">
        <v>35</v>
      </c>
      <c r="E175" s="14" t="str">
        <f ca="1">IFERROR(__xludf.DUMMYFUNCTION("REGEXEXTRACT(A175, ""-(.*)"")"),"ARP.0004.00.2025.GOV.PROCAPE.PE")</f>
        <v>ARP.0004.00.2025.GOV.PROCAPE.PE</v>
      </c>
      <c r="F175" s="3" t="s">
        <v>79</v>
      </c>
      <c r="G175" s="3" t="s">
        <v>1</v>
      </c>
      <c r="H175" s="9">
        <v>45805</v>
      </c>
      <c r="I175" s="3" t="s">
        <v>37</v>
      </c>
      <c r="J175" s="3" t="str">
        <f>VLOOKUP(A175,'TODOS OS PROCESSOS ATUALIZADOS '!A:I,7,0)</f>
        <v>Em configuração</v>
      </c>
      <c r="K175" s="3" t="s">
        <v>42</v>
      </c>
      <c r="L175" s="3" t="str">
        <f t="shared" si="0"/>
        <v>Item atualizado</v>
      </c>
      <c r="M175" s="3"/>
      <c r="N175" s="3" t="s">
        <v>42</v>
      </c>
      <c r="O175" s="3" t="s">
        <v>39</v>
      </c>
    </row>
    <row r="176" spans="1:16" ht="22.5" customHeight="1" x14ac:dyDescent="0.2">
      <c r="A176" s="3" t="s">
        <v>439</v>
      </c>
      <c r="B176" s="3" t="str">
        <f ca="1">IFERROR(__xludf.DUMMYFUNCTION("REGEXEXTRACT(A176, ""\.(?:GOV|EXT)\.([A-Z0-9\-]+)"")
"),"HR")</f>
        <v>HR</v>
      </c>
      <c r="C176" s="3" t="s">
        <v>34</v>
      </c>
      <c r="D176" s="3" t="s">
        <v>35</v>
      </c>
      <c r="E176" s="14" t="str">
        <f ca="1">IFERROR(__xludf.DUMMYFUNCTION("REGEXEXTRACT(A176, ""-(.*)"")"),"ARP.0044.00.2024.GOV.HR.PE")</f>
        <v>ARP.0044.00.2024.GOV.HR.PE</v>
      </c>
      <c r="F176" s="3" t="s">
        <v>440</v>
      </c>
      <c r="G176" s="3"/>
      <c r="H176" s="9">
        <v>45806</v>
      </c>
      <c r="I176" s="3" t="s">
        <v>44</v>
      </c>
      <c r="J176" s="3" t="str">
        <f>VLOOKUP(A176,'TODOS OS PROCESSOS ATUALIZADOS '!A:I,7,0)</f>
        <v>Autorizada Sucesso</v>
      </c>
      <c r="K176" s="3" t="s">
        <v>44</v>
      </c>
      <c r="L176" s="3" t="str">
        <f t="shared" si="0"/>
        <v>Item atualizado</v>
      </c>
      <c r="M176" s="3"/>
      <c r="N176" s="3" t="s">
        <v>44</v>
      </c>
      <c r="O176" s="3" t="s">
        <v>52</v>
      </c>
      <c r="P176" s="3" t="s">
        <v>441</v>
      </c>
    </row>
    <row r="177" spans="1:16" ht="22.5" customHeight="1" x14ac:dyDescent="0.2">
      <c r="A177" s="3" t="s">
        <v>442</v>
      </c>
      <c r="B177" s="3" t="str">
        <f ca="1">IFERROR(__xludf.DUMMYFUNCTION("REGEXEXTRACT(A177, ""\.(?:GOV|EXT)\.([A-Z0-9\-]+)"")
"),"HOF")</f>
        <v>HOF</v>
      </c>
      <c r="C177" s="3" t="s">
        <v>34</v>
      </c>
      <c r="D177" s="3" t="s">
        <v>35</v>
      </c>
      <c r="E177" s="14" t="str">
        <f ca="1">IFERROR(__xludf.DUMMYFUNCTION("REGEXEXTRACT(A177, ""-(.*)"")"),"ARP.0013.02.2025.GOV.HOF.PE")</f>
        <v>ARP.0013.02.2025.GOV.HOF.PE</v>
      </c>
      <c r="F177" s="3" t="s">
        <v>69</v>
      </c>
      <c r="G177" s="3"/>
      <c r="H177" s="9">
        <v>45799</v>
      </c>
      <c r="I177" s="3" t="s">
        <v>37</v>
      </c>
      <c r="J177" s="3" t="str">
        <f>VLOOKUP(A177,'TODOS OS PROCESSOS ATUALIZADOS '!A:I,7,0)</f>
        <v>Cancelada Sucesso</v>
      </c>
      <c r="K177" s="3" t="s">
        <v>38</v>
      </c>
      <c r="L177" s="3" t="str">
        <f t="shared" si="0"/>
        <v>Item atualizado</v>
      </c>
      <c r="M177" s="3"/>
      <c r="N177" s="3" t="s">
        <v>38</v>
      </c>
      <c r="O177" s="3" t="s">
        <v>39</v>
      </c>
    </row>
    <row r="178" spans="1:16" ht="22.5" customHeight="1" x14ac:dyDescent="0.2">
      <c r="A178" s="3" t="s">
        <v>443</v>
      </c>
      <c r="B178" s="3" t="str">
        <f ca="1">IFERROR(__xludf.DUMMYFUNCTION("REGEXEXTRACT(A178, ""\.(?:GOV|EXT)\.([A-Z0-9\-]+)"")
"),"PROCAPE")</f>
        <v>PROCAPE</v>
      </c>
      <c r="C178" s="3" t="s">
        <v>34</v>
      </c>
      <c r="D178" s="3" t="s">
        <v>35</v>
      </c>
      <c r="E178" s="14" t="str">
        <f ca="1">IFERROR(__xludf.DUMMYFUNCTION("REGEXEXTRACT(A178, ""-(.*)"")"),"ARP.0005.09.2025.GOV.PROCAPE.PE")</f>
        <v>ARP.0005.09.2025.GOV.PROCAPE.PE</v>
      </c>
      <c r="F178" s="3" t="s">
        <v>79</v>
      </c>
      <c r="G178" s="3" t="s">
        <v>1</v>
      </c>
      <c r="H178" s="9">
        <v>45828</v>
      </c>
      <c r="I178" s="3" t="s">
        <v>37</v>
      </c>
      <c r="J178" s="3" t="str">
        <f>VLOOKUP(A178,'TODOS OS PROCESSOS ATUALIZADOS '!A:I,7,0)</f>
        <v>Em configuração</v>
      </c>
      <c r="K178" s="3" t="s">
        <v>42</v>
      </c>
      <c r="L178" s="3" t="str">
        <f t="shared" si="0"/>
        <v>Item atualizado</v>
      </c>
      <c r="M178" s="3"/>
      <c r="N178" s="3" t="s">
        <v>42</v>
      </c>
      <c r="O178" s="3" t="s">
        <v>39</v>
      </c>
    </row>
    <row r="179" spans="1:16" ht="22.5" customHeight="1" x14ac:dyDescent="0.2">
      <c r="A179" s="3" t="s">
        <v>444</v>
      </c>
      <c r="B179" s="3" t="str">
        <f ca="1">IFERROR(__xludf.DUMMYFUNCTION("REGEXEXTRACT(A179, ""\.(?:GOV|EXT)\.([A-Z0-9\-]+)"")
"),"HR")</f>
        <v>HR</v>
      </c>
      <c r="C179" s="3" t="s">
        <v>34</v>
      </c>
      <c r="D179" s="3" t="s">
        <v>35</v>
      </c>
      <c r="E179" s="14" t="str">
        <f ca="1">IFERROR(__xludf.DUMMYFUNCTION("REGEXEXTRACT(A179, ""-(.*)"")"),"ARP.0004.00.2025.GOV.HR.PE")</f>
        <v>ARP.0004.00.2025.GOV.HR.PE</v>
      </c>
      <c r="F179" s="3" t="s">
        <v>190</v>
      </c>
      <c r="G179" s="3" t="s">
        <v>1</v>
      </c>
      <c r="H179" s="9">
        <v>45811</v>
      </c>
      <c r="I179" s="3" t="s">
        <v>44</v>
      </c>
      <c r="J179" s="3" t="str">
        <f>VLOOKUP(A179,'TODOS OS PROCESSOS ATUALIZADOS '!A:I,7,0)</f>
        <v>Autorizada Sucesso</v>
      </c>
      <c r="K179" s="3" t="s">
        <v>44</v>
      </c>
      <c r="L179" s="3" t="str">
        <f t="shared" si="0"/>
        <v>Item atualizado</v>
      </c>
      <c r="M179" s="3"/>
      <c r="N179" s="3" t="s">
        <v>45</v>
      </c>
      <c r="O179" s="3" t="s">
        <v>56</v>
      </c>
      <c r="P179" s="3" t="s">
        <v>445</v>
      </c>
    </row>
    <row r="180" spans="1:16" ht="22.5" customHeight="1" x14ac:dyDescent="0.2">
      <c r="A180" s="3" t="s">
        <v>446</v>
      </c>
      <c r="B180" s="3" t="str">
        <f ca="1">IFERROR(__xludf.DUMMYFUNCTION("REGEXEXTRACT(A180, ""\.(?:GOV|EXT)\.([A-Z0-9\-]+)"")
"),"HUOC")</f>
        <v>HUOC</v>
      </c>
      <c r="C180" s="3" t="s">
        <v>34</v>
      </c>
      <c r="D180" s="3" t="s">
        <v>35</v>
      </c>
      <c r="E180" s="14" t="str">
        <f ca="1">IFERROR(__xludf.DUMMYFUNCTION("REGEXEXTRACT(A180, ""-(.*)"")"),"ARP.0070.00.2024.GOV.HUOC.PE")</f>
        <v>ARP.0070.00.2024.GOV.HUOC.PE</v>
      </c>
      <c r="F180" s="3" t="s">
        <v>447</v>
      </c>
      <c r="G180" s="3"/>
      <c r="H180" s="9">
        <v>45805</v>
      </c>
      <c r="I180" s="3" t="s">
        <v>44</v>
      </c>
      <c r="J180" s="3" t="str">
        <f>VLOOKUP(A180,'TODOS OS PROCESSOS ATUALIZADOS '!A:I,7,0)</f>
        <v>Autorizada Sucesso</v>
      </c>
      <c r="K180" s="3" t="s">
        <v>42</v>
      </c>
      <c r="L180" s="3" t="str">
        <f t="shared" si="0"/>
        <v>Item atualizado</v>
      </c>
      <c r="M180" s="3"/>
      <c r="N180" s="3" t="s">
        <v>42</v>
      </c>
      <c r="O180" s="3" t="s">
        <v>448</v>
      </c>
      <c r="P180" s="3" t="s">
        <v>449</v>
      </c>
    </row>
    <row r="181" spans="1:16" ht="22.5" customHeight="1" x14ac:dyDescent="0.2">
      <c r="A181" s="3" t="s">
        <v>450</v>
      </c>
      <c r="B181" s="3" t="str">
        <f ca="1">IFERROR(__xludf.DUMMYFUNCTION("REGEXEXTRACT(A181, ""\.(?:GOV|EXT)\.([A-Z0-9\-]+)"")
"),"HEMOPE")</f>
        <v>HEMOPE</v>
      </c>
      <c r="C181" s="3" t="s">
        <v>34</v>
      </c>
      <c r="D181" s="3" t="s">
        <v>35</v>
      </c>
      <c r="E181" s="14" t="str">
        <f ca="1">IFERROR(__xludf.DUMMYFUNCTION("REGEXEXTRACT(A181, ""-(.*)"")"),"ARP.0028.06.2024.GOV.HEMOPE.PE")</f>
        <v>ARP.0028.06.2024.GOV.HEMOPE.PE</v>
      </c>
      <c r="F181" s="3" t="s">
        <v>451</v>
      </c>
      <c r="G181" s="3"/>
      <c r="H181" s="9">
        <v>45803</v>
      </c>
      <c r="I181" s="3" t="s">
        <v>44</v>
      </c>
      <c r="J181" s="3" t="str">
        <f>VLOOKUP(A181,'TODOS OS PROCESSOS ATUALIZADOS '!A:I,7,0)</f>
        <v>Autorizada Sucesso</v>
      </c>
      <c r="K181" s="3" t="s">
        <v>44</v>
      </c>
      <c r="L181" s="3" t="str">
        <f t="shared" si="0"/>
        <v>Item atualizado</v>
      </c>
      <c r="M181" s="3"/>
      <c r="N181" s="3" t="s">
        <v>44</v>
      </c>
      <c r="O181" s="3" t="s">
        <v>52</v>
      </c>
      <c r="P181" s="3" t="s">
        <v>452</v>
      </c>
    </row>
    <row r="182" spans="1:16" ht="22.5" customHeight="1" x14ac:dyDescent="0.2">
      <c r="A182" s="3" t="s">
        <v>453</v>
      </c>
      <c r="B182" s="3" t="str">
        <f ca="1">IFERROR(__xludf.DUMMYFUNCTION("REGEXEXTRACT(A182, ""\.(?:GOV|EXT)\.([A-Z0-9\-]+)"")
"),"PROCAPE")</f>
        <v>PROCAPE</v>
      </c>
      <c r="C182" s="3" t="s">
        <v>34</v>
      </c>
      <c r="D182" s="3" t="s">
        <v>35</v>
      </c>
      <c r="E182" s="14" t="str">
        <f ca="1">IFERROR(__xludf.DUMMYFUNCTION("REGEXEXTRACT(A182, ""-(.*)"")"),"ARP.0005.09.2025.GOV.PROCAPE.PE")</f>
        <v>ARP.0005.09.2025.GOV.PROCAPE.PE</v>
      </c>
      <c r="F182" s="3" t="s">
        <v>79</v>
      </c>
      <c r="G182" s="3"/>
      <c r="H182" s="9">
        <v>45828</v>
      </c>
      <c r="I182" s="3" t="s">
        <v>37</v>
      </c>
      <c r="J182" s="3" t="str">
        <f>VLOOKUP(A182,'TODOS OS PROCESSOS ATUALIZADOS '!A:I,7,0)</f>
        <v>Cancelada</v>
      </c>
      <c r="K182" s="3" t="s">
        <v>38</v>
      </c>
      <c r="L182" s="3" t="str">
        <f t="shared" si="0"/>
        <v>Item não atualizado</v>
      </c>
      <c r="M182" s="3"/>
      <c r="N182" s="3" t="s">
        <v>38</v>
      </c>
      <c r="O182" s="3" t="s">
        <v>39</v>
      </c>
    </row>
    <row r="183" spans="1:16" ht="22.5" customHeight="1" x14ac:dyDescent="0.2">
      <c r="A183" s="3" t="s">
        <v>454</v>
      </c>
      <c r="B183" s="3" t="str">
        <f ca="1">IFERROR(__xludf.DUMMYFUNCTION("REGEXEXTRACT(A183, ""\.(?:GOV|EXT)\.([A-Z0-9\-]+)"")
"),"PROCAPE")</f>
        <v>PROCAPE</v>
      </c>
      <c r="C183" s="3" t="s">
        <v>34</v>
      </c>
      <c r="D183" s="3" t="s">
        <v>35</v>
      </c>
      <c r="E183" s="14" t="str">
        <f ca="1">IFERROR(__xludf.DUMMYFUNCTION("REGEXEXTRACT(A183, ""-(.*)"")"),"ARP.0103.00.2024.GOV.PROCAPE.PE")</f>
        <v>ARP.0103.00.2024.GOV.PROCAPE.PE</v>
      </c>
      <c r="F183" s="3" t="s">
        <v>127</v>
      </c>
      <c r="G183" s="3"/>
      <c r="H183" s="9">
        <v>45811</v>
      </c>
      <c r="I183" s="3" t="s">
        <v>44</v>
      </c>
      <c r="J183" s="3" t="str">
        <f>VLOOKUP(A183,'TODOS OS PROCESSOS ATUALIZADOS '!A:I,7,0)</f>
        <v>Autorizada Sucesso</v>
      </c>
      <c r="K183" s="3" t="s">
        <v>44</v>
      </c>
      <c r="L183" s="3" t="str">
        <f t="shared" si="0"/>
        <v>Item atualizado</v>
      </c>
      <c r="M183" s="3"/>
      <c r="N183" s="3" t="s">
        <v>44</v>
      </c>
      <c r="O183" s="3" t="s">
        <v>52</v>
      </c>
      <c r="P183" s="3" t="s">
        <v>455</v>
      </c>
    </row>
    <row r="184" spans="1:16" ht="22.5" customHeight="1" x14ac:dyDescent="0.2">
      <c r="A184" s="3" t="s">
        <v>456</v>
      </c>
      <c r="B184" s="3" t="str">
        <f ca="1">IFERROR(__xludf.DUMMYFUNCTION("REGEXEXTRACT(A184, ""\.(?:GOV|EXT)\.([A-Z0-9\-]+)"")
"),"PROCAPE")</f>
        <v>PROCAPE</v>
      </c>
      <c r="C184" s="3" t="s">
        <v>34</v>
      </c>
      <c r="D184" s="3" t="s">
        <v>35</v>
      </c>
      <c r="E184" s="14" t="str">
        <f ca="1">IFERROR(__xludf.DUMMYFUNCTION("REGEXEXTRACT(A184, ""-(.*)"")"),"ARP.0029.06.2025.GOV.PROCAPE.PE")</f>
        <v>ARP.0029.06.2025.GOV.PROCAPE.PE</v>
      </c>
      <c r="F184" s="3" t="s">
        <v>79</v>
      </c>
      <c r="G184" s="3"/>
      <c r="H184" s="9">
        <v>45824</v>
      </c>
      <c r="I184" s="3" t="s">
        <v>44</v>
      </c>
      <c r="J184" s="3" t="str">
        <f>VLOOKUP(A184,'TODOS OS PROCESSOS ATUALIZADOS '!A:I,7,0)</f>
        <v>Autorizada Sucesso</v>
      </c>
      <c r="K184" s="3" t="s">
        <v>44</v>
      </c>
      <c r="L184" s="3" t="str">
        <f t="shared" si="0"/>
        <v>Item atualizado</v>
      </c>
      <c r="M184" s="3"/>
      <c r="N184" s="3" t="s">
        <v>44</v>
      </c>
      <c r="O184" s="3" t="s">
        <v>52</v>
      </c>
      <c r="P184" s="3" t="s">
        <v>457</v>
      </c>
    </row>
    <row r="185" spans="1:16" ht="22.5" customHeight="1" x14ac:dyDescent="0.2">
      <c r="A185" s="3" t="s">
        <v>458</v>
      </c>
      <c r="B185" s="3" t="str">
        <f ca="1">IFERROR(__xludf.DUMMYFUNCTION("REGEXEXTRACT(A185, ""\.(?:GOV|EXT)\.([A-Z0-9\-]+)"")
"),"HOF")</f>
        <v>HOF</v>
      </c>
      <c r="C185" s="3" t="s">
        <v>34</v>
      </c>
      <c r="D185" s="3" t="s">
        <v>35</v>
      </c>
      <c r="E185" s="14" t="str">
        <f ca="1">IFERROR(__xludf.DUMMYFUNCTION("REGEXEXTRACT(A185, ""-(.*)"")"),"ARP.0013.06.2025.GOV.HOF.PE")</f>
        <v>ARP.0013.06.2025.GOV.HOF.PE</v>
      </c>
      <c r="F185" s="3" t="s">
        <v>69</v>
      </c>
      <c r="G185" s="3"/>
      <c r="H185" s="9">
        <v>45811</v>
      </c>
      <c r="I185" s="3" t="s">
        <v>44</v>
      </c>
      <c r="J185" s="3" t="str">
        <f>VLOOKUP(A185,'TODOS OS PROCESSOS ATUALIZADOS '!A:I,7,0)</f>
        <v>Autorizada Sucesso</v>
      </c>
      <c r="K185" s="3" t="s">
        <v>44</v>
      </c>
      <c r="L185" s="3" t="str">
        <f t="shared" si="0"/>
        <v>Item atualizado</v>
      </c>
      <c r="M185" s="3"/>
      <c r="N185" s="3" t="s">
        <v>44</v>
      </c>
      <c r="O185" s="3" t="s">
        <v>52</v>
      </c>
      <c r="P185" s="3" t="s">
        <v>459</v>
      </c>
    </row>
    <row r="186" spans="1:16" ht="22.5" customHeight="1" x14ac:dyDescent="0.2">
      <c r="A186" s="3" t="s">
        <v>460</v>
      </c>
      <c r="B186" s="3" t="str">
        <f ca="1">IFERROR(__xludf.DUMMYFUNCTION("REGEXEXTRACT(A186, ""\.(?:GOV|EXT)\.([A-Z0-9\-]+)"")
"),"HUOC")</f>
        <v>HUOC</v>
      </c>
      <c r="C186" s="3" t="s">
        <v>34</v>
      </c>
      <c r="D186" s="3" t="s">
        <v>35</v>
      </c>
      <c r="E186" s="14" t="str">
        <f ca="1">IFERROR(__xludf.DUMMYFUNCTION("REGEXEXTRACT(A186, ""-(.*)"")"),"ARP.0012.02.2025.GOV.HUOC.PE")</f>
        <v>ARP.0012.02.2025.GOV.HUOC.PE</v>
      </c>
      <c r="F186" s="3" t="s">
        <v>232</v>
      </c>
      <c r="G186" s="3"/>
      <c r="H186" s="9">
        <v>45812</v>
      </c>
      <c r="I186" s="3" t="s">
        <v>37</v>
      </c>
      <c r="J186" s="3" t="str">
        <f>VLOOKUP(A186,'TODOS OS PROCESSOS ATUALIZADOS '!A:I,7,0)</f>
        <v>Cancelada Sucesso</v>
      </c>
      <c r="K186" s="3" t="s">
        <v>38</v>
      </c>
      <c r="L186" s="3" t="str">
        <f t="shared" si="0"/>
        <v>Item atualizado</v>
      </c>
      <c r="M186" s="3"/>
      <c r="N186" s="3" t="s">
        <v>38</v>
      </c>
      <c r="O186" s="3" t="s">
        <v>39</v>
      </c>
    </row>
    <row r="187" spans="1:16" ht="22.5" customHeight="1" x14ac:dyDescent="0.2">
      <c r="A187" s="3" t="s">
        <v>461</v>
      </c>
      <c r="B187" s="3" t="str">
        <f ca="1">IFERROR(__xludf.DUMMYFUNCTION("REGEXEXTRACT(A187, ""\.(?:GOV|EXT)\.([A-Z0-9\-]+)"")
"),"HGV")</f>
        <v>HGV</v>
      </c>
      <c r="C187" s="3" t="s">
        <v>34</v>
      </c>
      <c r="D187" s="3" t="s">
        <v>35</v>
      </c>
      <c r="E187" s="14" t="str">
        <f ca="1">IFERROR(__xludf.DUMMYFUNCTION("REGEXEXTRACT(A187, ""-(.*)"")"),"ARP.0010.01.2025.GOV.HGV.PE")</f>
        <v>ARP.0010.01.2025.GOV.HGV.PE</v>
      </c>
      <c r="F187" s="3" t="s">
        <v>462</v>
      </c>
      <c r="G187" s="3"/>
      <c r="H187" s="9">
        <v>45825</v>
      </c>
      <c r="I187" s="3" t="s">
        <v>44</v>
      </c>
      <c r="J187" s="3" t="str">
        <f>VLOOKUP(A187,'TODOS OS PROCESSOS ATUALIZADOS '!A:I,7,0)</f>
        <v>Autorizada Sucesso</v>
      </c>
      <c r="K187" s="3" t="s">
        <v>44</v>
      </c>
      <c r="L187" s="3" t="str">
        <f t="shared" si="0"/>
        <v>Item atualizado</v>
      </c>
      <c r="M187" s="3"/>
      <c r="N187" s="3" t="s">
        <v>44</v>
      </c>
      <c r="O187" s="3" t="s">
        <v>52</v>
      </c>
      <c r="P187" s="3" t="s">
        <v>463</v>
      </c>
    </row>
    <row r="188" spans="1:16" ht="22.5" customHeight="1" x14ac:dyDescent="0.2">
      <c r="A188" s="3" t="s">
        <v>464</v>
      </c>
      <c r="B188" s="3" t="str">
        <f ca="1">IFERROR(__xludf.DUMMYFUNCTION("REGEXEXTRACT(A188, ""\.(?:GOV|EXT)\.([A-Z0-9\-]+)"")
"),"FES-PE")</f>
        <v>FES-PE</v>
      </c>
      <c r="C188" s="3" t="s">
        <v>34</v>
      </c>
      <c r="D188" s="3" t="s">
        <v>35</v>
      </c>
      <c r="E188" s="14" t="str">
        <f ca="1">IFERROR(__xludf.DUMMYFUNCTION("REGEXEXTRACT(A188, ""-(.*)"")"),"ARP.0009.00.2025.GOV.FES-PE.PE")</f>
        <v>ARP.0009.00.2025.GOV.FES-PE.PE</v>
      </c>
      <c r="F188" s="3" t="s">
        <v>74</v>
      </c>
      <c r="G188" s="3"/>
      <c r="H188" s="9">
        <v>45828</v>
      </c>
      <c r="I188" s="3" t="s">
        <v>44</v>
      </c>
      <c r="J188" s="3" t="str">
        <f>VLOOKUP(A188,'TODOS OS PROCESSOS ATUALIZADOS '!A:I,7,0)</f>
        <v>Autorizada Sucesso</v>
      </c>
      <c r="K188" s="3" t="s">
        <v>44</v>
      </c>
      <c r="L188" s="3" t="str">
        <f t="shared" si="0"/>
        <v>Item atualizado</v>
      </c>
      <c r="M188" s="3"/>
      <c r="N188" s="3" t="s">
        <v>45</v>
      </c>
      <c r="O188" s="3" t="s">
        <v>56</v>
      </c>
      <c r="P188" s="3" t="s">
        <v>465</v>
      </c>
    </row>
    <row r="189" spans="1:16" ht="22.5" customHeight="1" x14ac:dyDescent="0.2">
      <c r="A189" s="3" t="s">
        <v>466</v>
      </c>
      <c r="B189" s="3" t="str">
        <f ca="1">IFERROR(__xludf.DUMMYFUNCTION("REGEXEXTRACT(A189, ""\.(?:GOV|EXT)\.([A-Z0-9\-]+)"")
"),"HGV")</f>
        <v>HGV</v>
      </c>
      <c r="C189" s="3" t="s">
        <v>34</v>
      </c>
      <c r="D189" s="3" t="s">
        <v>35</v>
      </c>
      <c r="E189" s="14" t="str">
        <f ca="1">IFERROR(__xludf.DUMMYFUNCTION("REGEXEXTRACT(A189, ""-(.*)"")"),"ARP.0008.05.2025.GOV.HGV.PE")</f>
        <v>ARP.0008.05.2025.GOV.HGV.PE</v>
      </c>
      <c r="F189" s="3" t="s">
        <v>85</v>
      </c>
      <c r="G189" s="3" t="s">
        <v>4</v>
      </c>
      <c r="H189" s="9">
        <v>45813</v>
      </c>
      <c r="I189" s="3" t="s">
        <v>37</v>
      </c>
      <c r="J189" s="3" t="str">
        <f>VLOOKUP(A189,'TODOS OS PROCESSOS ATUALIZADOS '!A:I,7,0)</f>
        <v>Cancelada</v>
      </c>
      <c r="K189" s="3" t="s">
        <v>38</v>
      </c>
      <c r="L189" s="3" t="str">
        <f t="shared" si="0"/>
        <v>Item não atualizado</v>
      </c>
      <c r="M189" s="3"/>
      <c r="N189" s="3" t="s">
        <v>38</v>
      </c>
      <c r="O189" s="3" t="s">
        <v>39</v>
      </c>
    </row>
    <row r="190" spans="1:16" ht="22.5" customHeight="1" x14ac:dyDescent="0.2">
      <c r="A190" s="3" t="s">
        <v>467</v>
      </c>
      <c r="B190" s="3" t="str">
        <f ca="1">IFERROR(__xludf.DUMMYFUNCTION("REGEXEXTRACT(A190, ""\.(?:GOV|EXT)\.([A-Z0-9\-]+)"")
"),"161458")</f>
        <v>161458</v>
      </c>
      <c r="C190" s="3" t="s">
        <v>34</v>
      </c>
      <c r="D190" s="3" t="s">
        <v>35</v>
      </c>
      <c r="E190" s="14" t="str">
        <f ca="1">IFERROR(__xludf.DUMMYFUNCTION("REGEXEXTRACT(A190, ""-(.*)"")"),"ARP.0004.00.2025.EXT.161458.BA")</f>
        <v>ARP.0004.00.2025.EXT.161458.BA</v>
      </c>
      <c r="F190" s="6" t="s">
        <v>468</v>
      </c>
      <c r="G190" s="3"/>
      <c r="H190" s="9">
        <v>45821</v>
      </c>
      <c r="I190" s="3" t="s">
        <v>44</v>
      </c>
      <c r="J190" s="3" t="str">
        <f>VLOOKUP(A190,'TODOS OS PROCESSOS ATUALIZADOS '!A:I,7,0)</f>
        <v>Autorizada Integrado</v>
      </c>
      <c r="K190" s="3" t="s">
        <v>44</v>
      </c>
      <c r="L190" s="3" t="str">
        <f t="shared" si="0"/>
        <v>Item atualizado</v>
      </c>
      <c r="M190" s="3" t="s">
        <v>9</v>
      </c>
      <c r="N190" s="3" t="s">
        <v>45</v>
      </c>
      <c r="O190" s="3" t="s">
        <v>60</v>
      </c>
      <c r="P190" s="3" t="s">
        <v>469</v>
      </c>
    </row>
    <row r="191" spans="1:16" ht="22.5" customHeight="1" x14ac:dyDescent="0.2">
      <c r="A191" s="3" t="s">
        <v>470</v>
      </c>
      <c r="B191" s="3" t="str">
        <f ca="1">IFERROR(__xludf.DUMMYFUNCTION("REGEXEXTRACT(A191, ""\.(?:GOV|EXT)\.([A-Z0-9\-]+)"")
"),"FES-PE")</f>
        <v>FES-PE</v>
      </c>
      <c r="C191" s="3" t="s">
        <v>34</v>
      </c>
      <c r="D191" s="3" t="s">
        <v>35</v>
      </c>
      <c r="E191" s="14" t="str">
        <f ca="1">IFERROR(__xludf.DUMMYFUNCTION("REGEXEXTRACT(A191, ""-(.*)"")"),"ARP.0084.02.2024.GOV.FES-PE.PE")</f>
        <v>ARP.0084.02.2024.GOV.FES-PE.PE</v>
      </c>
      <c r="F191" s="3" t="s">
        <v>471</v>
      </c>
      <c r="G191" s="3"/>
      <c r="H191" s="9">
        <v>45818</v>
      </c>
      <c r="I191" s="3" t="s">
        <v>44</v>
      </c>
      <c r="J191" s="3" t="str">
        <f>VLOOKUP(A191,'TODOS OS PROCESSOS ATUALIZADOS '!A:I,7,0)</f>
        <v>Autorizada Sucesso</v>
      </c>
      <c r="K191" s="3" t="s">
        <v>44</v>
      </c>
      <c r="L191" s="3" t="str">
        <f t="shared" si="0"/>
        <v>Item atualizado</v>
      </c>
      <c r="M191" s="3"/>
      <c r="N191" s="3" t="s">
        <v>44</v>
      </c>
      <c r="O191" s="3" t="s">
        <v>52</v>
      </c>
      <c r="P191" s="3" t="s">
        <v>472</v>
      </c>
    </row>
    <row r="192" spans="1:16" ht="22.5" customHeight="1" x14ac:dyDescent="0.2">
      <c r="A192" s="3" t="s">
        <v>473</v>
      </c>
      <c r="B192" s="3" t="str">
        <f ca="1">IFERROR(__xludf.DUMMYFUNCTION("REGEXEXTRACT(A192, ""\.(?:GOV|EXT)\.([A-Z0-9\-]+)"")
"),"HUOC")</f>
        <v>HUOC</v>
      </c>
      <c r="C192" s="3" t="s">
        <v>34</v>
      </c>
      <c r="D192" s="3" t="s">
        <v>35</v>
      </c>
      <c r="E192" s="14" t="str">
        <f ca="1">IFERROR(__xludf.DUMMYFUNCTION("REGEXEXTRACT(A192, ""-(.*)"")"),"ARP.0069.00.2024.GOV.HUOC.PE")</f>
        <v>ARP.0069.00.2024.GOV.HUOC.PE</v>
      </c>
      <c r="F192" s="3" t="s">
        <v>474</v>
      </c>
      <c r="G192" s="3"/>
      <c r="H192" s="9">
        <v>45825</v>
      </c>
      <c r="I192" s="3" t="s">
        <v>37</v>
      </c>
      <c r="J192" s="3" t="str">
        <f>VLOOKUP(A192,'TODOS OS PROCESSOS ATUALIZADOS '!A:I,7,0)</f>
        <v>Cancelada</v>
      </c>
      <c r="K192" s="3" t="s">
        <v>38</v>
      </c>
      <c r="L192" s="3" t="str">
        <f t="shared" si="0"/>
        <v>Item não atualizado</v>
      </c>
      <c r="M192" s="3"/>
      <c r="N192" s="3" t="s">
        <v>38</v>
      </c>
      <c r="O192" s="3" t="s">
        <v>39</v>
      </c>
    </row>
    <row r="193" spans="1:17" ht="22.5" customHeight="1" x14ac:dyDescent="0.2">
      <c r="A193" s="3" t="s">
        <v>475</v>
      </c>
      <c r="B193" s="3" t="str">
        <f ca="1">IFERROR(__xludf.DUMMYFUNCTION("REGEXEXTRACT(A193, ""\.(?:GOV|EXT)\.([A-Z0-9\-]+)"")
"),"PROCAPE")</f>
        <v>PROCAPE</v>
      </c>
      <c r="C193" s="3" t="s">
        <v>34</v>
      </c>
      <c r="D193" s="3" t="s">
        <v>35</v>
      </c>
      <c r="E193" s="14" t="str">
        <f ca="1">IFERROR(__xludf.DUMMYFUNCTION("REGEXEXTRACT(A193, ""-(.*)"")"),"ARP.0051.00.2025.GOV.PROCAPE.PE")</f>
        <v>ARP.0051.00.2025.GOV.PROCAPE.PE</v>
      </c>
      <c r="F193" s="3" t="s">
        <v>79</v>
      </c>
      <c r="G193" s="3"/>
      <c r="H193" s="9">
        <v>45817</v>
      </c>
      <c r="I193" s="3" t="s">
        <v>44</v>
      </c>
      <c r="J193" s="3" t="str">
        <f>VLOOKUP(A193,'TODOS OS PROCESSOS ATUALIZADOS '!A:I,7,0)</f>
        <v>Autorizada Sucesso</v>
      </c>
      <c r="K193" s="3" t="s">
        <v>44</v>
      </c>
      <c r="L193" s="3" t="str">
        <f t="shared" si="0"/>
        <v>Item atualizado</v>
      </c>
      <c r="M193" s="3"/>
      <c r="N193" s="3" t="s">
        <v>44</v>
      </c>
      <c r="O193" s="3" t="s">
        <v>52</v>
      </c>
      <c r="P193" s="3" t="s">
        <v>476</v>
      </c>
    </row>
    <row r="194" spans="1:17" ht="22.5" customHeight="1" x14ac:dyDescent="0.2">
      <c r="A194" s="3" t="s">
        <v>477</v>
      </c>
      <c r="B194" s="3" t="str">
        <f ca="1">IFERROR(__xludf.DUMMYFUNCTION("REGEXEXTRACT(A194, ""\.(?:GOV|EXT)\.([A-Z0-9\-]+)"")
"),"HUOC")</f>
        <v>HUOC</v>
      </c>
      <c r="C194" s="3" t="s">
        <v>34</v>
      </c>
      <c r="D194" s="3" t="s">
        <v>35</v>
      </c>
      <c r="E194" s="14" t="str">
        <f ca="1">IFERROR(__xludf.DUMMYFUNCTION("REGEXEXTRACT(A194, ""-(.*)"")"),"ARP.0034.00.2025.GOV.HUOC.PE")</f>
        <v>ARP.0034.00.2025.GOV.HUOC.PE</v>
      </c>
      <c r="F194" s="3" t="s">
        <v>478</v>
      </c>
      <c r="G194" s="3"/>
      <c r="H194" s="9">
        <v>45817</v>
      </c>
      <c r="I194" s="3" t="s">
        <v>44</v>
      </c>
      <c r="J194" s="3" t="str">
        <f>VLOOKUP(A194,'TODOS OS PROCESSOS ATUALIZADOS '!A:I,7,0)</f>
        <v>Autorizada Sucesso</v>
      </c>
      <c r="K194" s="3" t="s">
        <v>44</v>
      </c>
      <c r="L194" s="3" t="str">
        <f t="shared" si="0"/>
        <v>Item atualizado</v>
      </c>
      <c r="M194" s="3"/>
      <c r="N194" s="3" t="s">
        <v>44</v>
      </c>
      <c r="O194" s="3" t="s">
        <v>52</v>
      </c>
      <c r="P194" s="3" t="s">
        <v>479</v>
      </c>
    </row>
    <row r="195" spans="1:17" ht="22.5" customHeight="1" x14ac:dyDescent="0.2">
      <c r="A195" s="3" t="s">
        <v>480</v>
      </c>
      <c r="B195" s="3" t="str">
        <f ca="1">IFERROR(__xludf.DUMMYFUNCTION("REGEXEXTRACT(A195, ""\.(?:GOV|EXT)\.([A-Z0-9\-]+)"")
"),"HGV")</f>
        <v>HGV</v>
      </c>
      <c r="C195" s="3" t="s">
        <v>34</v>
      </c>
      <c r="D195" s="3" t="s">
        <v>35</v>
      </c>
      <c r="E195" s="14" t="str">
        <f ca="1">IFERROR(__xludf.DUMMYFUNCTION("REGEXEXTRACT(A195, ""-(.*)"")"),"ARP.0021.00.2024.GOV.HGV.PE")</f>
        <v>ARP.0021.00.2024.GOV.HGV.PE</v>
      </c>
      <c r="F195" s="3" t="s">
        <v>481</v>
      </c>
      <c r="G195" s="3" t="s">
        <v>3</v>
      </c>
      <c r="H195" s="9">
        <v>45796</v>
      </c>
      <c r="I195" s="3" t="s">
        <v>37</v>
      </c>
      <c r="J195" s="3" t="str">
        <f>VLOOKUP(A195,'TODOS OS PROCESSOS ATUALIZADOS '!A:I,7,0)</f>
        <v>Cancelada por fim vigencia ATA</v>
      </c>
      <c r="K195" s="3" t="s">
        <v>38</v>
      </c>
      <c r="L195" s="3" t="str">
        <f t="shared" si="0"/>
        <v>Item atualizado</v>
      </c>
      <c r="M195" s="3"/>
      <c r="N195" s="3" t="s">
        <v>38</v>
      </c>
      <c r="O195" s="3" t="s">
        <v>39</v>
      </c>
    </row>
    <row r="196" spans="1:17" ht="22.5" customHeight="1" x14ac:dyDescent="0.2">
      <c r="A196" s="3" t="s">
        <v>482</v>
      </c>
      <c r="B196" s="3" t="str">
        <f ca="1">IFERROR(__xludf.DUMMYFUNCTION("REGEXEXTRACT(A196, ""\.(?:GOV|EXT)\.([A-Z0-9\-]+)"")
"),"HR")</f>
        <v>HR</v>
      </c>
      <c r="C196" s="3" t="s">
        <v>34</v>
      </c>
      <c r="D196" s="3" t="s">
        <v>35</v>
      </c>
      <c r="E196" s="14" t="str">
        <f ca="1">IFERROR(__xludf.DUMMYFUNCTION("REGEXEXTRACT(A196, ""-(.*)"")"),"ARP.0010.00.2025.GOV.HR.PE")</f>
        <v>ARP.0010.00.2025.GOV.HR.PE</v>
      </c>
      <c r="F196" s="3" t="s">
        <v>248</v>
      </c>
      <c r="G196" s="3"/>
      <c r="H196" s="9">
        <v>45826</v>
      </c>
      <c r="I196" s="3" t="s">
        <v>44</v>
      </c>
      <c r="J196" s="3" t="str">
        <f>VLOOKUP(A196,'TODOS OS PROCESSOS ATUALIZADOS '!A:I,7,0)</f>
        <v>Autorizada Sucesso</v>
      </c>
      <c r="K196" s="3" t="s">
        <v>44</v>
      </c>
      <c r="L196" s="3" t="str">
        <f t="shared" si="0"/>
        <v>Item atualizado</v>
      </c>
      <c r="M196" s="3"/>
      <c r="N196" s="3" t="s">
        <v>44</v>
      </c>
      <c r="O196" s="3" t="s">
        <v>52</v>
      </c>
      <c r="P196" s="3" t="s">
        <v>483</v>
      </c>
    </row>
    <row r="197" spans="1:17" ht="22.5" customHeight="1" x14ac:dyDescent="0.2">
      <c r="A197" s="3" t="s">
        <v>484</v>
      </c>
      <c r="B197" s="3" t="str">
        <f ca="1">IFERROR(__xludf.DUMMYFUNCTION("REGEXEXTRACT(A197, ""\.(?:GOV|EXT)\.([A-Z0-9\-]+)"")
"),"HGV")</f>
        <v>HGV</v>
      </c>
      <c r="C197" s="3" t="s">
        <v>34</v>
      </c>
      <c r="D197" s="3" t="s">
        <v>35</v>
      </c>
      <c r="E197" s="14" t="str">
        <f ca="1">IFERROR(__xludf.DUMMYFUNCTION("REGEXEXTRACT(A197, ""-(.*)"")"),"ARP.0008.05.2025.GOV.HGV.PE")</f>
        <v>ARP.0008.05.2025.GOV.HGV.PE</v>
      </c>
      <c r="F197" s="3" t="s">
        <v>85</v>
      </c>
      <c r="G197" s="3"/>
      <c r="H197" s="9">
        <v>45813</v>
      </c>
      <c r="I197" s="3" t="s">
        <v>44</v>
      </c>
      <c r="J197" s="3" t="str">
        <f>VLOOKUP(A197,'TODOS OS PROCESSOS ATUALIZADOS '!A:I,7,0)</f>
        <v>Autorizada Sucesso</v>
      </c>
      <c r="K197" s="3" t="s">
        <v>44</v>
      </c>
      <c r="L197" s="3" t="str">
        <f t="shared" si="0"/>
        <v>Item atualizado</v>
      </c>
      <c r="M197" s="3"/>
      <c r="N197" s="3" t="s">
        <v>45</v>
      </c>
      <c r="O197" s="3" t="s">
        <v>60</v>
      </c>
      <c r="P197" s="3" t="s">
        <v>485</v>
      </c>
    </row>
    <row r="198" spans="1:17" ht="22.5" customHeight="1" x14ac:dyDescent="0.2">
      <c r="A198" s="3" t="s">
        <v>486</v>
      </c>
      <c r="B198" s="3" t="str">
        <f ca="1">IFERROR(__xludf.DUMMYFUNCTION("REGEXEXTRACT(A198, ""\.(?:GOV|EXT)\.([A-Z0-9\-]+)"")
"),"PROCAPE")</f>
        <v>PROCAPE</v>
      </c>
      <c r="C198" s="3" t="s">
        <v>34</v>
      </c>
      <c r="D198" s="3" t="s">
        <v>35</v>
      </c>
      <c r="E198" s="14" t="str">
        <f ca="1">IFERROR(__xludf.DUMMYFUNCTION("REGEXEXTRACT(A198, ""-(.*)"")"),"ARP.0006.03.2025.GOV.PROCAPE.PE")</f>
        <v>ARP.0006.03.2025.GOV.PROCAPE.PE</v>
      </c>
      <c r="F198" s="3" t="s">
        <v>127</v>
      </c>
      <c r="G198" s="3"/>
      <c r="H198" s="9">
        <v>45825</v>
      </c>
      <c r="I198" s="3" t="s">
        <v>37</v>
      </c>
      <c r="J198" s="3" t="str">
        <f>VLOOKUP(A198,'TODOS OS PROCESSOS ATUALIZADOS '!A:I,7,0)</f>
        <v>Cancelada Sucesso</v>
      </c>
      <c r="K198" s="3" t="s">
        <v>38</v>
      </c>
      <c r="L198" s="3" t="str">
        <f t="shared" si="0"/>
        <v>Item atualizado</v>
      </c>
      <c r="M198" s="3"/>
      <c r="N198" s="3" t="s">
        <v>38</v>
      </c>
      <c r="O198" s="3" t="s">
        <v>39</v>
      </c>
    </row>
    <row r="199" spans="1:17" ht="22.5" customHeight="1" x14ac:dyDescent="0.2">
      <c r="A199" s="3" t="s">
        <v>487</v>
      </c>
      <c r="B199" s="3" t="str">
        <f ca="1">IFERROR(__xludf.DUMMYFUNCTION("REGEXEXTRACT(A199, ""\.(?:GOV|EXT)\.([A-Z0-9\-]+)"")
"),"PROCAPE")</f>
        <v>PROCAPE</v>
      </c>
      <c r="C199" s="3" t="s">
        <v>34</v>
      </c>
      <c r="D199" s="3" t="s">
        <v>35</v>
      </c>
      <c r="E199" s="14" t="str">
        <f ca="1">IFERROR(__xludf.DUMMYFUNCTION("REGEXEXTRACT(A199, ""-(.*)"")"),"ARP.0045.02.2025.GOV.PROCAPE.PE")</f>
        <v>ARP.0045.02.2025.GOV.PROCAPE.PE</v>
      </c>
      <c r="F199" s="3" t="s">
        <v>79</v>
      </c>
      <c r="G199" s="3"/>
      <c r="H199" s="9">
        <v>45820</v>
      </c>
      <c r="I199" s="3" t="s">
        <v>37</v>
      </c>
      <c r="J199" s="3" t="str">
        <f>VLOOKUP(A199,'TODOS OS PROCESSOS ATUALIZADOS '!A:I,7,0)</f>
        <v>Cancelada Sucesso</v>
      </c>
      <c r="K199" s="3" t="s">
        <v>38</v>
      </c>
      <c r="L199" s="3" t="str">
        <f t="shared" si="0"/>
        <v>Item atualizado</v>
      </c>
      <c r="M199" s="3"/>
      <c r="N199" s="3" t="s">
        <v>38</v>
      </c>
      <c r="O199" s="3" t="s">
        <v>39</v>
      </c>
    </row>
    <row r="200" spans="1:17" ht="22.5" customHeight="1" x14ac:dyDescent="0.2">
      <c r="A200" s="3" t="s">
        <v>488</v>
      </c>
      <c r="B200" s="3" t="str">
        <f ca="1">IFERROR(__xludf.DUMMYFUNCTION("REGEXEXTRACT(A200, ""\.(?:GOV|EXT)\.([A-Z0-9\-]+)"")
"),"PROCAPE")</f>
        <v>PROCAPE</v>
      </c>
      <c r="C200" s="3" t="s">
        <v>34</v>
      </c>
      <c r="D200" s="3" t="s">
        <v>35</v>
      </c>
      <c r="E200" s="14" t="str">
        <f ca="1">IFERROR(__xludf.DUMMYFUNCTION("REGEXEXTRACT(A200, ""-(.*)"")"),"ARP.0006.06.2025.GOV.PROCAPE.PE")</f>
        <v>ARP.0006.06.2025.GOV.PROCAPE.PE</v>
      </c>
      <c r="F200" s="3" t="s">
        <v>127</v>
      </c>
      <c r="G200" s="3"/>
      <c r="H200" s="9">
        <v>45811</v>
      </c>
      <c r="I200" s="3" t="s">
        <v>44</v>
      </c>
      <c r="J200" s="3" t="str">
        <f>VLOOKUP(A200,'TODOS OS PROCESSOS ATUALIZADOS '!A:I,7,0)</f>
        <v>Autorizada Sucesso</v>
      </c>
      <c r="K200" s="3" t="s">
        <v>44</v>
      </c>
      <c r="L200" s="3" t="str">
        <f t="shared" si="0"/>
        <v>Item atualizado</v>
      </c>
      <c r="M200" s="3"/>
      <c r="N200" s="3" t="s">
        <v>44</v>
      </c>
      <c r="O200" s="3" t="s">
        <v>52</v>
      </c>
      <c r="P200" s="3" t="s">
        <v>489</v>
      </c>
    </row>
    <row r="201" spans="1:17" ht="22.5" customHeight="1" x14ac:dyDescent="0.2">
      <c r="A201" s="3" t="s">
        <v>490</v>
      </c>
      <c r="B201" s="3" t="str">
        <f ca="1">IFERROR(__xludf.DUMMYFUNCTION("REGEXEXTRACT(A201, ""\.(?:GOV|EXT)\.([A-Z0-9\-]+)"")
"),"HEMOPE")</f>
        <v>HEMOPE</v>
      </c>
      <c r="C201" s="3" t="s">
        <v>34</v>
      </c>
      <c r="D201" s="3" t="s">
        <v>35</v>
      </c>
      <c r="E201" s="14" t="str">
        <f ca="1">IFERROR(__xludf.DUMMYFUNCTION("REGEXEXTRACT(A201, ""-(.*)"")"),"ARP.0002.02.2025.GOV.HEMOPE.PE")</f>
        <v>ARP.0002.02.2025.GOV.HEMOPE.PE</v>
      </c>
      <c r="F201" s="3" t="s">
        <v>491</v>
      </c>
      <c r="G201" s="3"/>
      <c r="H201" s="9">
        <v>45796</v>
      </c>
      <c r="I201" s="3" t="s">
        <v>44</v>
      </c>
      <c r="J201" s="3" t="str">
        <f>VLOOKUP(A201,'TODOS OS PROCESSOS ATUALIZADOS '!A:I,7,0)</f>
        <v>Autorizada Sucesso</v>
      </c>
      <c r="K201" s="3" t="s">
        <v>44</v>
      </c>
      <c r="L201" s="3" t="str">
        <f t="shared" si="0"/>
        <v>Item atualizado</v>
      </c>
      <c r="M201" s="3"/>
      <c r="N201" s="3" t="s">
        <v>44</v>
      </c>
      <c r="O201" s="3" t="s">
        <v>52</v>
      </c>
      <c r="P201" s="3" t="s">
        <v>492</v>
      </c>
    </row>
    <row r="202" spans="1:17" ht="22.5" customHeight="1" x14ac:dyDescent="0.2">
      <c r="A202" s="3" t="s">
        <v>493</v>
      </c>
      <c r="B202" s="3" t="str">
        <f ca="1">IFERROR(__xludf.DUMMYFUNCTION("REGEXEXTRACT(A202, ""\.(?:GOV|EXT)\.([A-Z0-9\-]+)"")
"),"SAD")</f>
        <v>SAD</v>
      </c>
      <c r="C202" s="3" t="s">
        <v>34</v>
      </c>
      <c r="D202" s="3" t="s">
        <v>35</v>
      </c>
      <c r="E202" s="14" t="str">
        <f ca="1">IFERROR(__xludf.DUMMYFUNCTION("REGEXEXTRACT(A202, ""-(.*)"")"),"ARPC.0007.01.2024.GOV.SAD.PE")</f>
        <v>ARPC.0007.01.2024.GOV.SAD.PE</v>
      </c>
      <c r="F202" s="3" t="s">
        <v>494</v>
      </c>
      <c r="G202" s="3"/>
      <c r="H202" s="9">
        <v>45749</v>
      </c>
      <c r="I202" s="3" t="s">
        <v>44</v>
      </c>
      <c r="J202" s="3" t="str">
        <f>VLOOKUP(A202,'TODOS OS PROCESSOS ATUALIZADOS '!A:I,7,0)</f>
        <v>Autorizada Sucesso</v>
      </c>
      <c r="K202" s="3" t="s">
        <v>44</v>
      </c>
      <c r="L202" s="3" t="str">
        <f t="shared" si="0"/>
        <v>Item atualizado</v>
      </c>
      <c r="M202" s="3"/>
      <c r="N202" s="3" t="s">
        <v>44</v>
      </c>
      <c r="O202" s="3" t="s">
        <v>52</v>
      </c>
      <c r="P202" s="3" t="s">
        <v>495</v>
      </c>
    </row>
    <row r="203" spans="1:17" ht="22.5" customHeight="1" x14ac:dyDescent="0.2">
      <c r="A203" s="3" t="s">
        <v>496</v>
      </c>
      <c r="B203" s="3" t="str">
        <f ca="1">IFERROR(__xludf.DUMMYFUNCTION("REGEXEXTRACT(A203, ""\.(?:GOV|EXT)\.([A-Z0-9\-]+)"")
"),"HR")</f>
        <v>HR</v>
      </c>
      <c r="C203" s="3" t="s">
        <v>34</v>
      </c>
      <c r="D203" s="3" t="s">
        <v>35</v>
      </c>
      <c r="E203" s="14" t="str">
        <f ca="1">IFERROR(__xludf.DUMMYFUNCTION("REGEXEXTRACT(A203, ""-(.*)"")"),"ARP.0041.00.2024.GOV.HR.PE")</f>
        <v>ARP.0041.00.2024.GOV.HR.PE</v>
      </c>
      <c r="F203" s="3" t="s">
        <v>289</v>
      </c>
      <c r="G203" s="3"/>
      <c r="H203" s="9">
        <v>45735</v>
      </c>
      <c r="I203" s="3" t="s">
        <v>44</v>
      </c>
      <c r="J203" s="3" t="str">
        <f>VLOOKUP(A203,'TODOS OS PROCESSOS ATUALIZADOS '!A:I,7,0)</f>
        <v>Autorizada Sucesso</v>
      </c>
      <c r="K203" s="3" t="s">
        <v>44</v>
      </c>
      <c r="L203" s="3" t="str">
        <f t="shared" si="0"/>
        <v>Item atualizado</v>
      </c>
      <c r="M203" s="3"/>
      <c r="N203" s="3" t="s">
        <v>44</v>
      </c>
      <c r="O203" s="3" t="s">
        <v>52</v>
      </c>
      <c r="P203" s="3" t="s">
        <v>497</v>
      </c>
    </row>
    <row r="204" spans="1:17" ht="22.5" customHeight="1" x14ac:dyDescent="0.2">
      <c r="A204" s="3" t="s">
        <v>498</v>
      </c>
      <c r="B204" s="3" t="str">
        <f ca="1">IFERROR(__xludf.DUMMYFUNCTION("REGEXEXTRACT(A204, ""\.(?:GOV|EXT)\.([A-Z0-9\-]+)"")
"),"HR")</f>
        <v>HR</v>
      </c>
      <c r="C204" s="3" t="s">
        <v>34</v>
      </c>
      <c r="D204" s="3" t="s">
        <v>35</v>
      </c>
      <c r="E204" s="14" t="str">
        <f ca="1">IFERROR(__xludf.DUMMYFUNCTION("REGEXEXTRACT(A204, ""-(.*)"")"),"ARP.0028.00.2024.GOV.HR.PE")</f>
        <v>ARP.0028.00.2024.GOV.HR.PE</v>
      </c>
      <c r="F204" s="3" t="s">
        <v>499</v>
      </c>
      <c r="G204" s="3"/>
      <c r="H204" s="9">
        <v>45777</v>
      </c>
      <c r="I204" s="3" t="s">
        <v>37</v>
      </c>
      <c r="J204" s="3" t="str">
        <f>VLOOKUP(A204,'TODOS OS PROCESSOS ATUALIZADOS '!A:I,7,0)</f>
        <v>Autorizada Sucesso</v>
      </c>
      <c r="K204" s="3" t="s">
        <v>38</v>
      </c>
      <c r="L204" s="3" t="str">
        <f t="shared" si="0"/>
        <v>Item atualizado</v>
      </c>
      <c r="M204" s="3" t="s">
        <v>10</v>
      </c>
      <c r="N204" s="3" t="s">
        <v>38</v>
      </c>
      <c r="O204" s="3" t="s">
        <v>56</v>
      </c>
      <c r="P204" s="3" t="s">
        <v>500</v>
      </c>
      <c r="Q204" s="3" t="s">
        <v>363</v>
      </c>
    </row>
    <row r="205" spans="1:17" ht="22.5" customHeight="1" x14ac:dyDescent="0.2">
      <c r="A205" s="3" t="s">
        <v>501</v>
      </c>
      <c r="B205" s="3" t="str">
        <f ca="1">IFERROR(__xludf.DUMMYFUNCTION("REGEXEXTRACT(A205, ""\.(?:GOV|EXT)\.([A-Z0-9\-]+)"")
"),"HOF")</f>
        <v>HOF</v>
      </c>
      <c r="C205" s="3" t="s">
        <v>34</v>
      </c>
      <c r="D205" s="3" t="s">
        <v>35</v>
      </c>
      <c r="E205" s="14" t="str">
        <f ca="1">IFERROR(__xludf.DUMMYFUNCTION("REGEXEXTRACT(A205, ""-(.*)"")"),"ARP.0010.00.2024.GOV.HOF.PE")</f>
        <v>ARP.0010.00.2024.GOV.HOF.PE</v>
      </c>
      <c r="F205" s="3" t="s">
        <v>502</v>
      </c>
      <c r="G205" s="3"/>
      <c r="H205" s="9">
        <v>45782</v>
      </c>
      <c r="I205" s="3" t="s">
        <v>37</v>
      </c>
      <c r="J205" s="3" t="str">
        <f>VLOOKUP(A205,'TODOS OS PROCESSOS ATUALIZADOS '!A:I,7,0)</f>
        <v>Cancelada</v>
      </c>
      <c r="K205" s="3" t="s">
        <v>38</v>
      </c>
      <c r="L205" s="3" t="str">
        <f t="shared" si="0"/>
        <v>Item não atualizado</v>
      </c>
      <c r="M205" s="3"/>
      <c r="N205" s="3" t="s">
        <v>38</v>
      </c>
      <c r="O205" s="3" t="s">
        <v>39</v>
      </c>
    </row>
    <row r="206" spans="1:17" ht="22.5" customHeight="1" x14ac:dyDescent="0.2">
      <c r="A206" s="3" t="s">
        <v>503</v>
      </c>
      <c r="B206" s="3" t="str">
        <f ca="1">IFERROR(__xludf.DUMMYFUNCTION("REGEXEXTRACT(A206, ""\.(?:GOV|EXT)\.([A-Z0-9\-]+)"")
"),"HGV")</f>
        <v>HGV</v>
      </c>
      <c r="C206" s="3" t="s">
        <v>34</v>
      </c>
      <c r="D206" s="3" t="s">
        <v>35</v>
      </c>
      <c r="E206" s="14" t="str">
        <f ca="1">IFERROR(__xludf.DUMMYFUNCTION("REGEXEXTRACT(A206, ""-(.*)"")"),"ARP.0011.00.2024.GOV.HGV.PE")</f>
        <v>ARP.0011.00.2024.GOV.HGV.PE</v>
      </c>
      <c r="F206" s="3" t="s">
        <v>504</v>
      </c>
      <c r="G206" s="3"/>
      <c r="H206" s="9">
        <v>45736</v>
      </c>
      <c r="I206" s="3" t="s">
        <v>37</v>
      </c>
      <c r="J206" s="3" t="str">
        <f>VLOOKUP(A206,'TODOS OS PROCESSOS ATUALIZADOS '!A:I,7,0)</f>
        <v>Autorizada Sucesso</v>
      </c>
      <c r="K206" s="3" t="s">
        <v>38</v>
      </c>
      <c r="L206" s="3" t="str">
        <f t="shared" si="0"/>
        <v>Item atualizado</v>
      </c>
      <c r="M206" s="3" t="s">
        <v>10</v>
      </c>
      <c r="N206" s="3" t="s">
        <v>38</v>
      </c>
      <c r="O206" s="3" t="s">
        <v>448</v>
      </c>
      <c r="P206" s="3" t="s">
        <v>505</v>
      </c>
      <c r="Q206" s="3" t="s">
        <v>363</v>
      </c>
    </row>
    <row r="207" spans="1:17" ht="22.5" customHeight="1" x14ac:dyDescent="0.2">
      <c r="A207" s="3" t="s">
        <v>506</v>
      </c>
      <c r="B207" s="3" t="str">
        <f ca="1">IFERROR(__xludf.DUMMYFUNCTION("REGEXEXTRACT(A207, ""\.(?:GOV|EXT)\.([A-Z0-9\-]+)"")
"),"HOF")</f>
        <v>HOF</v>
      </c>
      <c r="C207" s="3" t="s">
        <v>34</v>
      </c>
      <c r="D207" s="3" t="s">
        <v>35</v>
      </c>
      <c r="E207" s="14" t="str">
        <f ca="1">IFERROR(__xludf.DUMMYFUNCTION("REGEXEXTRACT(A207, ""-(.*)"")"),"ARP.0010.00.2024.GOV.HOF.PE")</f>
        <v>ARP.0010.00.2024.GOV.HOF.PE</v>
      </c>
      <c r="F207" s="3" t="s">
        <v>502</v>
      </c>
      <c r="G207" s="3"/>
      <c r="H207" s="9">
        <v>45776</v>
      </c>
      <c r="I207" s="3" t="s">
        <v>37</v>
      </c>
      <c r="J207" s="3" t="str">
        <f>VLOOKUP(A207,'TODOS OS PROCESSOS ATUALIZADOS '!A:I,7,0)</f>
        <v>Cancelada por fim vigencia ATA</v>
      </c>
      <c r="K207" s="3" t="s">
        <v>38</v>
      </c>
      <c r="L207" s="3" t="str">
        <f t="shared" si="0"/>
        <v>Item atualizado</v>
      </c>
      <c r="M207" s="3"/>
      <c r="N207" s="3" t="s">
        <v>38</v>
      </c>
      <c r="O207" s="3" t="s">
        <v>39</v>
      </c>
    </row>
    <row r="208" spans="1:17" ht="22.5" customHeight="1" x14ac:dyDescent="0.2">
      <c r="A208" s="3" t="s">
        <v>507</v>
      </c>
      <c r="B208" s="3" t="str">
        <f ca="1">IFERROR(__xludf.DUMMYFUNCTION("REGEXEXTRACT(A208, ""\.(?:GOV|EXT)\.([A-Z0-9\-]+)"")
"),"HUOC")</f>
        <v>HUOC</v>
      </c>
      <c r="C208" s="3" t="s">
        <v>34</v>
      </c>
      <c r="D208" s="3" t="s">
        <v>35</v>
      </c>
      <c r="E208" s="14" t="str">
        <f ca="1">IFERROR(__xludf.DUMMYFUNCTION("REGEXEXTRACT(A208, ""-(.*)"")"),"ARP.0110.08.2024.GOV.HUOC.PE")</f>
        <v>ARP.0110.08.2024.GOV.HUOC.PE</v>
      </c>
      <c r="F208" s="3" t="s">
        <v>351</v>
      </c>
      <c r="G208" s="3"/>
      <c r="H208" s="9">
        <v>45740</v>
      </c>
      <c r="I208" s="3" t="s">
        <v>44</v>
      </c>
      <c r="J208" s="3" t="str">
        <f>VLOOKUP(A208,'TODOS OS PROCESSOS ATUALIZADOS '!A:I,7,0)</f>
        <v>Autorizada Sucesso</v>
      </c>
      <c r="K208" s="3" t="s">
        <v>44</v>
      </c>
      <c r="L208" s="3" t="str">
        <f t="shared" si="0"/>
        <v>Item atualizado</v>
      </c>
      <c r="M208" s="3"/>
      <c r="N208" s="3" t="s">
        <v>44</v>
      </c>
      <c r="O208" s="3" t="s">
        <v>52</v>
      </c>
      <c r="P208" s="3" t="s">
        <v>508</v>
      </c>
    </row>
    <row r="209" spans="1:17" ht="22.5" customHeight="1" x14ac:dyDescent="0.2">
      <c r="A209" s="3" t="s">
        <v>509</v>
      </c>
      <c r="B209" s="3" t="str">
        <f ca="1">IFERROR(__xludf.DUMMYFUNCTION("REGEXEXTRACT(A209, ""\.(?:GOV|EXT)\.([A-Z0-9\-]+)"")
"),"HUOC")</f>
        <v>HUOC</v>
      </c>
      <c r="C209" s="3" t="s">
        <v>34</v>
      </c>
      <c r="D209" s="3" t="s">
        <v>35</v>
      </c>
      <c r="E209" s="14" t="str">
        <f ca="1">IFERROR(__xludf.DUMMYFUNCTION("REGEXEXTRACT(A209, ""-(.*)"")"),"ARP.0089.01.2024.GOV.HUOC.PE")</f>
        <v>ARP.0089.01.2024.GOV.HUOC.PE</v>
      </c>
      <c r="F209" s="3" t="s">
        <v>49</v>
      </c>
      <c r="G209" s="3"/>
      <c r="H209" s="9">
        <v>45777</v>
      </c>
      <c r="I209" s="3" t="s">
        <v>37</v>
      </c>
      <c r="J209" s="3" t="str">
        <f>VLOOKUP(A209,'TODOS OS PROCESSOS ATUALIZADOS '!A:I,7,0)</f>
        <v>Cancelada Sucesso</v>
      </c>
      <c r="K209" s="3" t="s">
        <v>38</v>
      </c>
      <c r="L209" s="3" t="str">
        <f t="shared" si="0"/>
        <v>Item atualizado</v>
      </c>
      <c r="M209" s="3"/>
      <c r="N209" s="3" t="s">
        <v>38</v>
      </c>
      <c r="O209" s="3" t="s">
        <v>39</v>
      </c>
    </row>
    <row r="210" spans="1:17" ht="22.5" customHeight="1" x14ac:dyDescent="0.2">
      <c r="A210" s="3" t="s">
        <v>510</v>
      </c>
      <c r="B210" s="3" t="str">
        <f ca="1">IFERROR(__xludf.DUMMYFUNCTION("REGEXEXTRACT(A210, ""\.(?:GOV|EXT)\.([A-Z0-9\-]+)"")
"),"HR")</f>
        <v>HR</v>
      </c>
      <c r="C210" s="3" t="s">
        <v>34</v>
      </c>
      <c r="D210" s="3" t="s">
        <v>35</v>
      </c>
      <c r="E210" s="14" t="str">
        <f ca="1">IFERROR(__xludf.DUMMYFUNCTION("REGEXEXTRACT(A210, ""-(.*)"")"),"ARP.0033.00.2024.GOV.HR.PE")</f>
        <v>ARP.0033.00.2024.GOV.HR.PE</v>
      </c>
      <c r="F210" s="3" t="s">
        <v>511</v>
      </c>
      <c r="G210" s="3"/>
      <c r="H210" s="9">
        <v>45748</v>
      </c>
      <c r="I210" s="3" t="s">
        <v>44</v>
      </c>
      <c r="J210" s="3" t="str">
        <f>VLOOKUP(A210,'TODOS OS PROCESSOS ATUALIZADOS '!A:I,7,0)</f>
        <v>Autorizada Sucesso</v>
      </c>
      <c r="K210" s="3" t="s">
        <v>44</v>
      </c>
      <c r="L210" s="3" t="str">
        <f t="shared" si="0"/>
        <v>Item atualizado</v>
      </c>
      <c r="M210" s="3"/>
      <c r="N210" s="3" t="s">
        <v>44</v>
      </c>
      <c r="O210" s="3" t="s">
        <v>52</v>
      </c>
      <c r="P210" s="3" t="s">
        <v>512</v>
      </c>
    </row>
    <row r="211" spans="1:17" ht="22.5" customHeight="1" x14ac:dyDescent="0.2">
      <c r="A211" s="3" t="s">
        <v>513</v>
      </c>
      <c r="B211" s="3" t="str">
        <f ca="1">IFERROR(__xludf.DUMMYFUNCTION("REGEXEXTRACT(A211, ""\.(?:GOV|EXT)\.([A-Z0-9\-]+)"")
"),"HOF")</f>
        <v>HOF</v>
      </c>
      <c r="C211" s="3" t="s">
        <v>34</v>
      </c>
      <c r="D211" s="3" t="s">
        <v>35</v>
      </c>
      <c r="E211" s="14" t="str">
        <f ca="1">IFERROR(__xludf.DUMMYFUNCTION("REGEXEXTRACT(A211, ""-(.*)"")"),"ARP.0010.00.2024.GOV.HOF.PE")</f>
        <v>ARP.0010.00.2024.GOV.HOF.PE</v>
      </c>
      <c r="F211" s="3" t="s">
        <v>502</v>
      </c>
      <c r="G211" s="3"/>
      <c r="H211" s="9">
        <v>45776</v>
      </c>
      <c r="I211" s="3" t="s">
        <v>37</v>
      </c>
      <c r="J211" s="3" t="str">
        <f>VLOOKUP(A211,'TODOS OS PROCESSOS ATUALIZADOS '!A:I,7,0)</f>
        <v>Cancelada</v>
      </c>
      <c r="K211" s="3" t="s">
        <v>38</v>
      </c>
      <c r="L211" s="3" t="str">
        <f t="shared" si="0"/>
        <v>Item não atualizado</v>
      </c>
      <c r="M211" s="3"/>
      <c r="N211" s="3" t="s">
        <v>38</v>
      </c>
      <c r="O211" s="3" t="s">
        <v>39</v>
      </c>
    </row>
    <row r="212" spans="1:17" ht="22.5" customHeight="1" x14ac:dyDescent="0.2">
      <c r="A212" s="3" t="s">
        <v>514</v>
      </c>
      <c r="B212" s="3" t="str">
        <f ca="1">IFERROR(__xludf.DUMMYFUNCTION("REGEXEXTRACT(A212, ""\.(?:GOV|EXT)\.([A-Z0-9\-]+)"")
"),"HUOC")</f>
        <v>HUOC</v>
      </c>
      <c r="C212" s="3" t="s">
        <v>34</v>
      </c>
      <c r="D212" s="3" t="s">
        <v>35</v>
      </c>
      <c r="E212" s="14" t="str">
        <f ca="1">IFERROR(__xludf.DUMMYFUNCTION("REGEXEXTRACT(A212, ""-(.*)"")"),"ARP.0089.01.2024.GOV.HUOC.PE")</f>
        <v>ARP.0089.01.2024.GOV.HUOC.PE</v>
      </c>
      <c r="F212" s="3" t="s">
        <v>49</v>
      </c>
      <c r="G212" s="3"/>
      <c r="H212" s="9">
        <v>45769</v>
      </c>
      <c r="I212" s="3" t="s">
        <v>37</v>
      </c>
      <c r="J212" s="3" t="str">
        <f>VLOOKUP(A212,'TODOS OS PROCESSOS ATUALIZADOS '!A:I,7,0)</f>
        <v>Cancelada por fim vigencia ATA</v>
      </c>
      <c r="K212" s="3" t="s">
        <v>38</v>
      </c>
      <c r="L212" s="3" t="str">
        <f t="shared" si="0"/>
        <v>Item atualizado</v>
      </c>
      <c r="M212" s="3"/>
      <c r="N212" s="3" t="s">
        <v>38</v>
      </c>
      <c r="O212" s="3" t="s">
        <v>39</v>
      </c>
    </row>
    <row r="213" spans="1:17" ht="22.5" customHeight="1" x14ac:dyDescent="0.2">
      <c r="A213" s="3" t="s">
        <v>515</v>
      </c>
      <c r="B213" s="3" t="str">
        <f ca="1">IFERROR(__xludf.DUMMYFUNCTION("REGEXEXTRACT(A213, ""\.(?:GOV|EXT)\.([A-Z0-9\-]+)"")
"),"HOF")</f>
        <v>HOF</v>
      </c>
      <c r="C213" s="3" t="s">
        <v>34</v>
      </c>
      <c r="D213" s="3" t="s">
        <v>35</v>
      </c>
      <c r="E213" s="14" t="str">
        <f ca="1">IFERROR(__xludf.DUMMYFUNCTION("REGEXEXTRACT(A213, ""-(.*)"")"),"ARP.0010.00.2024.GOV.HOF.PE")</f>
        <v>ARP.0010.00.2024.GOV.HOF.PE</v>
      </c>
      <c r="F213" s="3" t="s">
        <v>502</v>
      </c>
      <c r="G213" s="3"/>
      <c r="H213" s="9">
        <v>45769</v>
      </c>
      <c r="I213" s="3" t="s">
        <v>37</v>
      </c>
      <c r="J213" s="3" t="str">
        <f>VLOOKUP(A213,'TODOS OS PROCESSOS ATUALIZADOS '!A:I,7,0)</f>
        <v>Cancelada por fim vigencia ATA</v>
      </c>
      <c r="K213" s="3" t="s">
        <v>38</v>
      </c>
      <c r="L213" s="3" t="str">
        <f t="shared" si="0"/>
        <v>Item atualizado</v>
      </c>
      <c r="M213" s="3"/>
      <c r="N213" s="3" t="s">
        <v>38</v>
      </c>
      <c r="O213" s="3" t="s">
        <v>39</v>
      </c>
    </row>
    <row r="214" spans="1:17" ht="22.5" customHeight="1" x14ac:dyDescent="0.2">
      <c r="A214" s="3" t="s">
        <v>516</v>
      </c>
      <c r="B214" s="3" t="str">
        <f ca="1">IFERROR(__xludf.DUMMYFUNCTION("REGEXEXTRACT(A214, ""\.(?:GOV|EXT)\.([A-Z0-9\-]+)"")
"),"HUOC")</f>
        <v>HUOC</v>
      </c>
      <c r="C214" s="3" t="s">
        <v>34</v>
      </c>
      <c r="D214" s="3" t="s">
        <v>35</v>
      </c>
      <c r="E214" s="14" t="str">
        <f ca="1">IFERROR(__xludf.DUMMYFUNCTION("REGEXEXTRACT(A214, ""-(.*)"")"),"ARP.0104.00.2024.GOV.HUOC.PE")</f>
        <v>ARP.0104.00.2024.GOV.HUOC.PE</v>
      </c>
      <c r="F214" s="3" t="s">
        <v>517</v>
      </c>
      <c r="G214" s="3"/>
      <c r="H214" s="9">
        <v>45771</v>
      </c>
      <c r="I214" s="3" t="s">
        <v>44</v>
      </c>
      <c r="J214" s="3" t="str">
        <f>VLOOKUP(A214,'TODOS OS PROCESSOS ATUALIZADOS '!A:I,7,0)</f>
        <v>Autorizada Sucesso</v>
      </c>
      <c r="K214" s="3" t="s">
        <v>44</v>
      </c>
      <c r="L214" s="3" t="str">
        <f t="shared" si="0"/>
        <v>Item atualizado</v>
      </c>
      <c r="M214" s="3"/>
      <c r="N214" s="3" t="s">
        <v>44</v>
      </c>
      <c r="O214" s="3" t="s">
        <v>52</v>
      </c>
      <c r="P214" s="3" t="s">
        <v>518</v>
      </c>
    </row>
    <row r="215" spans="1:17" ht="22.5" customHeight="1" x14ac:dyDescent="0.2">
      <c r="A215" s="3" t="s">
        <v>519</v>
      </c>
      <c r="B215" s="3" t="str">
        <f ca="1">IFERROR(__xludf.DUMMYFUNCTION("REGEXEXTRACT(A215, ""\.(?:GOV|EXT)\.([A-Z0-9\-]+)"")
"),"HOF")</f>
        <v>HOF</v>
      </c>
      <c r="C215" s="3" t="s">
        <v>34</v>
      </c>
      <c r="D215" s="3" t="s">
        <v>35</v>
      </c>
      <c r="E215" s="14" t="str">
        <f ca="1">IFERROR(__xludf.DUMMYFUNCTION("REGEXEXTRACT(A215, ""-(.*)"")"),"ARP.0010.00.2024.GOV.HOF.PE")</f>
        <v>ARP.0010.00.2024.GOV.HOF.PE</v>
      </c>
      <c r="F215" s="3" t="s">
        <v>502</v>
      </c>
      <c r="G215" s="3"/>
      <c r="H215" s="9">
        <v>45761</v>
      </c>
      <c r="I215" s="3" t="s">
        <v>37</v>
      </c>
      <c r="J215" s="3" t="str">
        <f>VLOOKUP(A215,'TODOS OS PROCESSOS ATUALIZADOS '!A:I,7,0)</f>
        <v>Cancelada por fim vigencia ATA</v>
      </c>
      <c r="K215" s="3" t="s">
        <v>38</v>
      </c>
      <c r="L215" s="3" t="str">
        <f t="shared" si="0"/>
        <v>Item atualizado</v>
      </c>
      <c r="M215" s="3"/>
      <c r="N215" s="3" t="s">
        <v>38</v>
      </c>
      <c r="O215" s="3" t="s">
        <v>39</v>
      </c>
    </row>
    <row r="216" spans="1:17" ht="22.5" customHeight="1" x14ac:dyDescent="0.2">
      <c r="A216" s="3" t="s">
        <v>520</v>
      </c>
      <c r="B216" s="3" t="str">
        <f ca="1">IFERROR(__xludf.DUMMYFUNCTION("REGEXEXTRACT(A216, ""\.(?:GOV|EXT)\.([A-Z0-9\-]+)"")
"),"HOF")</f>
        <v>HOF</v>
      </c>
      <c r="C216" s="3" t="s">
        <v>34</v>
      </c>
      <c r="D216" s="3" t="s">
        <v>35</v>
      </c>
      <c r="E216" s="14" t="str">
        <f ca="1">IFERROR(__xludf.DUMMYFUNCTION("REGEXEXTRACT(A216, ""-(.*)"")"),"ARP.0010.00.2024.GOV.HOF.PE")</f>
        <v>ARP.0010.00.2024.GOV.HOF.PE</v>
      </c>
      <c r="F216" s="3" t="s">
        <v>502</v>
      </c>
      <c r="G216" s="3"/>
      <c r="H216" s="9">
        <v>45756</v>
      </c>
      <c r="I216" s="3" t="s">
        <v>37</v>
      </c>
      <c r="J216" s="3" t="str">
        <f>VLOOKUP(A216,'TODOS OS PROCESSOS ATUALIZADOS '!A:I,7,0)</f>
        <v>Cancelada</v>
      </c>
      <c r="K216" s="3" t="s">
        <v>38</v>
      </c>
      <c r="L216" s="3" t="str">
        <f t="shared" si="0"/>
        <v>Item não atualizado</v>
      </c>
      <c r="M216" s="3"/>
      <c r="N216" s="3" t="s">
        <v>38</v>
      </c>
      <c r="O216" s="3" t="s">
        <v>39</v>
      </c>
    </row>
    <row r="217" spans="1:17" ht="22.5" customHeight="1" x14ac:dyDescent="0.2">
      <c r="A217" s="3" t="s">
        <v>521</v>
      </c>
      <c r="B217" s="3" t="str">
        <f ca="1">IFERROR(__xludf.DUMMYFUNCTION("REGEXEXTRACT(A217, ""\.(?:GOV|EXT)\.([A-Z0-9\-]+)"")
"),"FES-PE")</f>
        <v>FES-PE</v>
      </c>
      <c r="C217" s="3" t="s">
        <v>34</v>
      </c>
      <c r="D217" s="3" t="s">
        <v>35</v>
      </c>
      <c r="E217" s="14" t="str">
        <f ca="1">IFERROR(__xludf.DUMMYFUNCTION("REGEXEXTRACT(A217, ""-(.*)"")"),"ARP.0066.02.2024.GOV.FES-PE.PE")</f>
        <v>ARP.0066.02.2024.GOV.FES-PE.PE</v>
      </c>
      <c r="F217" s="3" t="s">
        <v>522</v>
      </c>
      <c r="G217" s="3"/>
      <c r="H217" s="9">
        <v>45748</v>
      </c>
      <c r="I217" s="3" t="s">
        <v>44</v>
      </c>
      <c r="J217" s="3" t="str">
        <f>VLOOKUP(A217,'TODOS OS PROCESSOS ATUALIZADOS '!A:I,7,0)</f>
        <v>Autorizada Sucesso</v>
      </c>
      <c r="K217" s="3" t="s">
        <v>44</v>
      </c>
      <c r="L217" s="3" t="str">
        <f t="shared" si="0"/>
        <v>Item atualizado</v>
      </c>
      <c r="M217" s="3"/>
      <c r="N217" s="3" t="s">
        <v>44</v>
      </c>
      <c r="O217" s="3" t="s">
        <v>52</v>
      </c>
      <c r="P217" s="3" t="s">
        <v>523</v>
      </c>
    </row>
    <row r="218" spans="1:17" ht="22.5" customHeight="1" x14ac:dyDescent="0.2">
      <c r="A218" s="3" t="s">
        <v>524</v>
      </c>
      <c r="B218" s="3" t="str">
        <f ca="1">IFERROR(__xludf.DUMMYFUNCTION("REGEXEXTRACT(A218, ""\.(?:GOV|EXT)\.([A-Z0-9\-]+)"")
"),"HR")</f>
        <v>HR</v>
      </c>
      <c r="C218" s="3" t="s">
        <v>34</v>
      </c>
      <c r="D218" s="3" t="s">
        <v>35</v>
      </c>
      <c r="E218" s="14" t="str">
        <f ca="1">IFERROR(__xludf.DUMMYFUNCTION("REGEXEXTRACT(A218, ""-(.*)"")"),"ARP.0022.00.2024.GOV.HR.PE")</f>
        <v>ARP.0022.00.2024.GOV.HR.PE</v>
      </c>
      <c r="F218" s="3" t="s">
        <v>525</v>
      </c>
      <c r="G218" s="3"/>
      <c r="H218" s="9">
        <v>45782</v>
      </c>
      <c r="I218" s="3" t="s">
        <v>37</v>
      </c>
      <c r="J218" s="3" t="str">
        <f>VLOOKUP(A218,'TODOS OS PROCESSOS ATUALIZADOS '!A:I,7,0)</f>
        <v>Cancelada</v>
      </c>
      <c r="K218" s="3" t="s">
        <v>38</v>
      </c>
      <c r="L218" s="3" t="str">
        <f t="shared" si="0"/>
        <v>Item não atualizado</v>
      </c>
      <c r="M218" s="3"/>
      <c r="N218" s="3" t="s">
        <v>38</v>
      </c>
      <c r="O218" s="3" t="s">
        <v>39</v>
      </c>
    </row>
    <row r="219" spans="1:17" ht="22.5" customHeight="1" x14ac:dyDescent="0.2">
      <c r="A219" s="3" t="s">
        <v>526</v>
      </c>
      <c r="B219" s="3" t="str">
        <f ca="1">IFERROR(__xludf.DUMMYFUNCTION("REGEXEXTRACT(A219, ""\.(?:GOV|EXT)\.([A-Z0-9\-]+)"")
"),"SAD")</f>
        <v>SAD</v>
      </c>
      <c r="C219" s="3" t="s">
        <v>34</v>
      </c>
      <c r="D219" s="3" t="s">
        <v>35</v>
      </c>
      <c r="E219" s="14" t="str">
        <f ca="1">IFERROR(__xludf.DUMMYFUNCTION("REGEXEXTRACT(A219, ""-(.*)"")"),"ARPC.0026.00.2024.GOV.SAD.PE")</f>
        <v>ARPC.0026.00.2024.GOV.SAD.PE</v>
      </c>
      <c r="F219" s="3" t="s">
        <v>527</v>
      </c>
      <c r="G219" s="3"/>
      <c r="H219" s="9">
        <v>45757</v>
      </c>
      <c r="I219" s="3" t="s">
        <v>37</v>
      </c>
      <c r="J219" s="3" t="str">
        <f>VLOOKUP(A219,'TODOS OS PROCESSOS ATUALIZADOS '!A:I,7,0)</f>
        <v>Autorizada Sucesso</v>
      </c>
      <c r="K219" s="3" t="s">
        <v>38</v>
      </c>
      <c r="L219" s="3" t="str">
        <f t="shared" si="0"/>
        <v>Item atualizado</v>
      </c>
      <c r="M219" s="3" t="s">
        <v>10</v>
      </c>
      <c r="N219" s="3" t="s">
        <v>38</v>
      </c>
      <c r="O219" s="3" t="s">
        <v>448</v>
      </c>
      <c r="P219" s="3" t="s">
        <v>528</v>
      </c>
      <c r="Q219" s="3" t="s">
        <v>363</v>
      </c>
    </row>
    <row r="220" spans="1:17" ht="22.5" customHeight="1" x14ac:dyDescent="0.2">
      <c r="A220" s="3" t="s">
        <v>529</v>
      </c>
      <c r="B220" s="3" t="str">
        <f ca="1">IFERROR(__xludf.DUMMYFUNCTION("REGEXEXTRACT(A220, ""\.(?:GOV|EXT)\.([A-Z0-9\-]+)"")
"),"HUOC")</f>
        <v>HUOC</v>
      </c>
      <c r="C220" s="3" t="s">
        <v>34</v>
      </c>
      <c r="D220" s="3" t="s">
        <v>35</v>
      </c>
      <c r="E220" s="14" t="str">
        <f ca="1">IFERROR(__xludf.DUMMYFUNCTION("REGEXEXTRACT(A220, ""-(.*)"")"),"ARP.0104.01.2024.GOV.HUOC.PE")</f>
        <v>ARP.0104.01.2024.GOV.HUOC.PE</v>
      </c>
      <c r="F220" s="3" t="s">
        <v>517</v>
      </c>
      <c r="G220" s="3"/>
      <c r="H220" s="9">
        <v>45782</v>
      </c>
      <c r="I220" s="3" t="s">
        <v>44</v>
      </c>
      <c r="J220" s="3" t="str">
        <f>VLOOKUP(A220,'TODOS OS PROCESSOS ATUALIZADOS '!A:I,7,0)</f>
        <v>Autorizada Sucesso</v>
      </c>
      <c r="K220" s="3" t="s">
        <v>44</v>
      </c>
      <c r="L220" s="3" t="str">
        <f t="shared" si="0"/>
        <v>Item atualizado</v>
      </c>
      <c r="M220" s="3"/>
      <c r="N220" s="3" t="s">
        <v>44</v>
      </c>
      <c r="O220" s="3" t="s">
        <v>52</v>
      </c>
      <c r="P220" s="3" t="s">
        <v>530</v>
      </c>
    </row>
    <row r="221" spans="1:17" ht="22.5" customHeight="1" x14ac:dyDescent="0.2">
      <c r="A221" s="3" t="s">
        <v>531</v>
      </c>
      <c r="B221" s="3" t="str">
        <f ca="1">IFERROR(__xludf.DUMMYFUNCTION("REGEXEXTRACT(A221, ""\.(?:GOV|EXT)\.([A-Z0-9\-]+)"")
"),"PROCAPE")</f>
        <v>PROCAPE</v>
      </c>
      <c r="C221" s="3" t="s">
        <v>34</v>
      </c>
      <c r="D221" s="3" t="s">
        <v>35</v>
      </c>
      <c r="E221" s="14" t="str">
        <f ca="1">IFERROR(__xludf.DUMMYFUNCTION("REGEXEXTRACT(A221, ""-(.*)"")"),"ARP.0091.06.2024.GOV.PROCAPE.PE")</f>
        <v>ARP.0091.06.2024.GOV.PROCAPE.PE</v>
      </c>
      <c r="F221" s="3" t="s">
        <v>127</v>
      </c>
      <c r="G221" s="3"/>
      <c r="H221" s="9">
        <v>45743</v>
      </c>
      <c r="I221" s="3" t="s">
        <v>44</v>
      </c>
      <c r="J221" s="3" t="str">
        <f>VLOOKUP(A221,'TODOS OS PROCESSOS ATUALIZADOS '!A:I,7,0)</f>
        <v>Autorizada Sucesso</v>
      </c>
      <c r="K221" s="3" t="s">
        <v>44</v>
      </c>
      <c r="L221" s="3" t="str">
        <f t="shared" si="0"/>
        <v>Item atualizado</v>
      </c>
      <c r="M221" s="3"/>
      <c r="N221" s="3" t="s">
        <v>44</v>
      </c>
      <c r="O221" s="3" t="s">
        <v>52</v>
      </c>
      <c r="P221" s="3" t="s">
        <v>532</v>
      </c>
    </row>
    <row r="222" spans="1:17" ht="22.5" customHeight="1" x14ac:dyDescent="0.2">
      <c r="A222" s="3" t="s">
        <v>533</v>
      </c>
      <c r="B222" s="3" t="str">
        <f ca="1">IFERROR(__xludf.DUMMYFUNCTION("REGEXEXTRACT(A222, ""\.(?:GOV|EXT)\.([A-Z0-9\-]+)"")
"),"FES-PE")</f>
        <v>FES-PE</v>
      </c>
      <c r="C222" s="3" t="s">
        <v>34</v>
      </c>
      <c r="D222" s="3" t="s">
        <v>35</v>
      </c>
      <c r="E222" s="14" t="str">
        <f ca="1">IFERROR(__xludf.DUMMYFUNCTION("REGEXEXTRACT(A222, ""-(.*)"")"),"ARP.0066.02.2024.GOV.FES-PE.PE")</f>
        <v>ARP.0066.02.2024.GOV.FES-PE.PE</v>
      </c>
      <c r="F222" s="3" t="s">
        <v>522</v>
      </c>
      <c r="G222" s="3"/>
      <c r="H222" s="9">
        <v>45748</v>
      </c>
      <c r="I222" s="3" t="s">
        <v>37</v>
      </c>
      <c r="J222" s="3" t="str">
        <f>VLOOKUP(A222,'TODOS OS PROCESSOS ATUALIZADOS '!A:I,7,0)</f>
        <v>Cancelada por fim vigencia ATA</v>
      </c>
      <c r="K222" s="3" t="s">
        <v>38</v>
      </c>
      <c r="L222" s="3" t="str">
        <f t="shared" si="0"/>
        <v>Item atualizado</v>
      </c>
      <c r="M222" s="3"/>
      <c r="N222" s="3" t="s">
        <v>38</v>
      </c>
      <c r="O222" s="3" t="s">
        <v>39</v>
      </c>
    </row>
    <row r="223" spans="1:17" ht="22.5" customHeight="1" x14ac:dyDescent="0.2">
      <c r="A223" s="3" t="s">
        <v>534</v>
      </c>
      <c r="B223" s="3" t="str">
        <f ca="1">IFERROR(__xludf.DUMMYFUNCTION("REGEXEXTRACT(A223, ""\.(?:GOV|EXT)\.([A-Z0-9\-]+)"")
"),"CISAM")</f>
        <v>CISAM</v>
      </c>
      <c r="C223" s="3" t="s">
        <v>34</v>
      </c>
      <c r="D223" s="3" t="s">
        <v>35</v>
      </c>
      <c r="E223" s="14" t="str">
        <f ca="1">IFERROR(__xludf.DUMMYFUNCTION("REGEXEXTRACT(A223, ""-(.*)"")"),"ARP.0059.00.2024.GOV.CISAM.PE")</f>
        <v>ARP.0059.00.2024.GOV.CISAM.PE</v>
      </c>
      <c r="F223" s="3" t="s">
        <v>535</v>
      </c>
      <c r="G223" s="3"/>
      <c r="H223" s="9">
        <v>45758</v>
      </c>
      <c r="I223" s="3" t="s">
        <v>44</v>
      </c>
      <c r="J223" s="3" t="str">
        <f>VLOOKUP(A223,'TODOS OS PROCESSOS ATUALIZADOS '!A:I,7,0)</f>
        <v>Autorizada Sucesso</v>
      </c>
      <c r="K223" s="3" t="s">
        <v>44</v>
      </c>
      <c r="L223" s="3" t="str">
        <f t="shared" si="0"/>
        <v>Item atualizado</v>
      </c>
      <c r="M223" s="3"/>
      <c r="N223" s="3" t="s">
        <v>44</v>
      </c>
      <c r="O223" s="3" t="s">
        <v>52</v>
      </c>
      <c r="P223" s="3" t="s">
        <v>536</v>
      </c>
    </row>
    <row r="224" spans="1:17" ht="22.5" customHeight="1" x14ac:dyDescent="0.2">
      <c r="A224" s="3" t="s">
        <v>537</v>
      </c>
      <c r="B224" s="3" t="str">
        <f ca="1">IFERROR(__xludf.DUMMYFUNCTION("REGEXEXTRACT(A224, ""\.(?:GOV|EXT)\.([A-Z0-9\-]+)"")
"),"PROCAPE")</f>
        <v>PROCAPE</v>
      </c>
      <c r="C224" s="3" t="s">
        <v>34</v>
      </c>
      <c r="D224" s="3" t="s">
        <v>35</v>
      </c>
      <c r="E224" s="14" t="str">
        <f ca="1">IFERROR(__xludf.DUMMYFUNCTION("REGEXEXTRACT(A224, ""-(.*)"")"),"ARP.0003.11.2025.GOV.PROCAPE.PE")</f>
        <v>ARP.0003.11.2025.GOV.PROCAPE.PE</v>
      </c>
      <c r="F224" s="3" t="s">
        <v>79</v>
      </c>
      <c r="G224" s="3"/>
      <c r="H224" s="9">
        <v>45750</v>
      </c>
      <c r="I224" s="3" t="s">
        <v>44</v>
      </c>
      <c r="J224" s="3" t="str">
        <f>VLOOKUP(A224,'TODOS OS PROCESSOS ATUALIZADOS '!A:I,7,0)</f>
        <v>Autorizada Sucesso</v>
      </c>
      <c r="K224" s="3" t="s">
        <v>44</v>
      </c>
      <c r="L224" s="3" t="str">
        <f t="shared" si="0"/>
        <v>Item atualizado</v>
      </c>
      <c r="M224" s="3"/>
      <c r="N224" s="3" t="s">
        <v>44</v>
      </c>
      <c r="O224" s="3" t="s">
        <v>52</v>
      </c>
      <c r="P224" s="3" t="s">
        <v>538</v>
      </c>
    </row>
    <row r="225" spans="1:17" ht="22.5" customHeight="1" x14ac:dyDescent="0.2">
      <c r="A225" s="3" t="s">
        <v>539</v>
      </c>
      <c r="B225" s="3" t="str">
        <f ca="1">IFERROR(__xludf.DUMMYFUNCTION("REGEXEXTRACT(A225, ""\.(?:GOV|EXT)\.([A-Z0-9\-]+)"")
"),"PROCAPE")</f>
        <v>PROCAPE</v>
      </c>
      <c r="C225" s="3" t="s">
        <v>34</v>
      </c>
      <c r="D225" s="3" t="s">
        <v>35</v>
      </c>
      <c r="E225" s="14" t="str">
        <f ca="1">IFERROR(__xludf.DUMMYFUNCTION("REGEXEXTRACT(A225, ""-(.*)"")"),"ARP.0090.04.2024.GOV.PROCAPE.PE")</f>
        <v>ARP.0090.04.2024.GOV.PROCAPE.PE</v>
      </c>
      <c r="F225" s="3" t="s">
        <v>127</v>
      </c>
      <c r="G225" s="3"/>
      <c r="H225" s="9">
        <v>45744</v>
      </c>
      <c r="I225" s="3" t="s">
        <v>44</v>
      </c>
      <c r="J225" s="3" t="str">
        <f>VLOOKUP(A225,'TODOS OS PROCESSOS ATUALIZADOS '!A:I,7,0)</f>
        <v>Autorizada Sucesso</v>
      </c>
      <c r="K225" s="3" t="s">
        <v>44</v>
      </c>
      <c r="L225" s="3" t="str">
        <f t="shared" si="0"/>
        <v>Item atualizado</v>
      </c>
      <c r="M225" s="3"/>
      <c r="N225" s="3" t="s">
        <v>44</v>
      </c>
      <c r="O225" s="3" t="s">
        <v>52</v>
      </c>
      <c r="P225" s="3" t="s">
        <v>540</v>
      </c>
    </row>
    <row r="226" spans="1:17" ht="22.5" customHeight="1" x14ac:dyDescent="0.2">
      <c r="A226" s="3" t="s">
        <v>541</v>
      </c>
      <c r="B226" s="3" t="str">
        <f ca="1">IFERROR(__xludf.DUMMYFUNCTION("REGEXEXTRACT(A226, ""\.(?:GOV|EXT)\.([A-Z0-9\-]+)"")
"),"HR")</f>
        <v>HR</v>
      </c>
      <c r="C226" s="3" t="s">
        <v>34</v>
      </c>
      <c r="D226" s="3" t="s">
        <v>35</v>
      </c>
      <c r="E226" s="14" t="str">
        <f ca="1">IFERROR(__xludf.DUMMYFUNCTION("REGEXEXTRACT(A226, ""-(.*)"")"),"ARP.0006.00.2025.GOV.HR.PE")</f>
        <v>ARP.0006.00.2025.GOV.HR.PE</v>
      </c>
      <c r="F226" s="3" t="s">
        <v>415</v>
      </c>
      <c r="G226" s="3"/>
      <c r="H226" s="9">
        <v>45756</v>
      </c>
      <c r="I226" s="3" t="s">
        <v>44</v>
      </c>
      <c r="J226" s="3" t="str">
        <f>VLOOKUP(A226,'TODOS OS PROCESSOS ATUALIZADOS '!A:I,7,0)</f>
        <v>Autorizada Sucesso</v>
      </c>
      <c r="K226" s="3" t="s">
        <v>44</v>
      </c>
      <c r="L226" s="3" t="str">
        <f t="shared" si="0"/>
        <v>Item atualizado</v>
      </c>
      <c r="M226" s="3"/>
      <c r="N226" s="3" t="s">
        <v>44</v>
      </c>
      <c r="O226" s="3" t="s">
        <v>52</v>
      </c>
      <c r="P226" s="3" t="s">
        <v>542</v>
      </c>
    </row>
    <row r="227" spans="1:17" ht="22.5" customHeight="1" x14ac:dyDescent="0.2">
      <c r="A227" s="3" t="s">
        <v>543</v>
      </c>
      <c r="B227" s="3" t="str">
        <f ca="1">IFERROR(__xludf.DUMMYFUNCTION("REGEXEXTRACT(A227, ""\.(?:GOV|EXT)\.([A-Z0-9\-]+)"")
"),"CISAM")</f>
        <v>CISAM</v>
      </c>
      <c r="C227" s="3" t="s">
        <v>34</v>
      </c>
      <c r="D227" s="3" t="s">
        <v>35</v>
      </c>
      <c r="E227" s="14" t="str">
        <f ca="1">IFERROR(__xludf.DUMMYFUNCTION("REGEXEXTRACT(A227, ""-(.*)"")"),"ARP.0005.05.2025.GOV.CISAM.PE")</f>
        <v>ARP.0005.05.2025.GOV.CISAM.PE</v>
      </c>
      <c r="F227" s="3" t="s">
        <v>544</v>
      </c>
      <c r="G227" s="3"/>
      <c r="H227" s="9">
        <v>45740</v>
      </c>
      <c r="I227" s="3" t="s">
        <v>44</v>
      </c>
      <c r="J227" s="3" t="str">
        <f>VLOOKUP(A227,'TODOS OS PROCESSOS ATUALIZADOS '!A:I,7,0)</f>
        <v>Autorizada Sucesso</v>
      </c>
      <c r="K227" s="3" t="s">
        <v>44</v>
      </c>
      <c r="L227" s="3" t="str">
        <f t="shared" si="0"/>
        <v>Item atualizado</v>
      </c>
      <c r="M227" s="3"/>
      <c r="N227" s="3" t="s">
        <v>44</v>
      </c>
      <c r="O227" s="3" t="s">
        <v>52</v>
      </c>
      <c r="P227" s="3" t="s">
        <v>545</v>
      </c>
    </row>
    <row r="228" spans="1:17" ht="22.5" customHeight="1" x14ac:dyDescent="0.2">
      <c r="A228" s="3" t="s">
        <v>546</v>
      </c>
      <c r="B228" s="3" t="str">
        <f ca="1">IFERROR(__xludf.DUMMYFUNCTION("REGEXEXTRACT(A228, ""\.(?:GOV|EXT)\.([A-Z0-9\-]+)"")
"),"HUOC")</f>
        <v>HUOC</v>
      </c>
      <c r="C228" s="3" t="s">
        <v>34</v>
      </c>
      <c r="D228" s="3" t="s">
        <v>35</v>
      </c>
      <c r="E228" s="14" t="str">
        <f ca="1">IFERROR(__xludf.DUMMYFUNCTION("REGEXEXTRACT(A228, ""-(.*)"")"),"ARP.0114.02.2024.GOV.HUOC.PE")</f>
        <v>ARP.0114.02.2024.GOV.HUOC.PE</v>
      </c>
      <c r="F228" s="3" t="s">
        <v>547</v>
      </c>
      <c r="G228" s="3"/>
      <c r="H228" s="9">
        <v>45776</v>
      </c>
      <c r="I228" s="3" t="s">
        <v>44</v>
      </c>
      <c r="J228" s="3" t="str">
        <f>VLOOKUP(A228,'TODOS OS PROCESSOS ATUALIZADOS '!A:I,7,0)</f>
        <v>Autorizada Sucesso</v>
      </c>
      <c r="K228" s="3" t="s">
        <v>44</v>
      </c>
      <c r="L228" s="3" t="str">
        <f t="shared" si="0"/>
        <v>Item atualizado</v>
      </c>
      <c r="M228" s="3"/>
      <c r="N228" s="3" t="s">
        <v>44</v>
      </c>
      <c r="O228" s="3" t="s">
        <v>52</v>
      </c>
      <c r="P228" s="3" t="s">
        <v>548</v>
      </c>
    </row>
    <row r="229" spans="1:17" ht="22.5" customHeight="1" x14ac:dyDescent="0.2">
      <c r="A229" s="3" t="s">
        <v>549</v>
      </c>
      <c r="B229" s="3" t="str">
        <f ca="1">IFERROR(__xludf.DUMMYFUNCTION("REGEXEXTRACT(A229, ""\.(?:GOV|EXT)\.([A-Z0-9\-]+)"")
"),"HUOC")</f>
        <v>HUOC</v>
      </c>
      <c r="C229" s="3" t="s">
        <v>34</v>
      </c>
      <c r="D229" s="3" t="s">
        <v>35</v>
      </c>
      <c r="E229" s="14" t="str">
        <f ca="1">IFERROR(__xludf.DUMMYFUNCTION("REGEXEXTRACT(A229, ""-(.*)"")"),"ARP.0074.04.2024.GOV.HUOC.PE")</f>
        <v>ARP.0074.04.2024.GOV.HUOC.PE</v>
      </c>
      <c r="F229" s="3" t="s">
        <v>550</v>
      </c>
      <c r="G229" s="3"/>
      <c r="H229" s="9">
        <v>45740</v>
      </c>
      <c r="I229" s="3" t="s">
        <v>44</v>
      </c>
      <c r="J229" s="3" t="str">
        <f>VLOOKUP(A229,'TODOS OS PROCESSOS ATUALIZADOS '!A:I,7,0)</f>
        <v>Autorizada Sucesso</v>
      </c>
      <c r="K229" s="3" t="s">
        <v>44</v>
      </c>
      <c r="L229" s="3" t="str">
        <f t="shared" si="0"/>
        <v>Item atualizado</v>
      </c>
      <c r="M229" s="3"/>
      <c r="N229" s="3" t="s">
        <v>44</v>
      </c>
      <c r="O229" s="3" t="s">
        <v>52</v>
      </c>
      <c r="P229" s="3" t="s">
        <v>551</v>
      </c>
    </row>
    <row r="230" spans="1:17" ht="22.5" customHeight="1" x14ac:dyDescent="0.2">
      <c r="A230" s="3" t="s">
        <v>552</v>
      </c>
      <c r="B230" s="3" t="str">
        <f ca="1">IFERROR(__xludf.DUMMYFUNCTION("REGEXEXTRACT(A230, ""\.(?:GOV|EXT)\.([A-Z0-9\-]+)"")
"),"HUOC")</f>
        <v>HUOC</v>
      </c>
      <c r="C230" s="3" t="s">
        <v>34</v>
      </c>
      <c r="D230" s="3" t="s">
        <v>35</v>
      </c>
      <c r="E230" s="14" t="str">
        <f ca="1">IFERROR(__xludf.DUMMYFUNCTION("REGEXEXTRACT(A230, ""-(.*)"")"),"ARP.0074.01.2024.GOV.HUOC.PE")</f>
        <v>ARP.0074.01.2024.GOV.HUOC.PE</v>
      </c>
      <c r="F230" s="3" t="s">
        <v>550</v>
      </c>
      <c r="G230" s="3"/>
      <c r="H230" s="9">
        <v>45757</v>
      </c>
      <c r="I230" s="3" t="s">
        <v>44</v>
      </c>
      <c r="J230" s="3" t="str">
        <f>VLOOKUP(A230,'TODOS OS PROCESSOS ATUALIZADOS '!A:I,7,0)</f>
        <v>Autorizada Sucesso</v>
      </c>
      <c r="K230" s="3" t="s">
        <v>44</v>
      </c>
      <c r="L230" s="3" t="str">
        <f t="shared" si="0"/>
        <v>Item atualizado</v>
      </c>
      <c r="M230" s="3"/>
      <c r="N230" s="3" t="s">
        <v>44</v>
      </c>
      <c r="O230" s="3" t="s">
        <v>52</v>
      </c>
      <c r="P230" s="3" t="s">
        <v>553</v>
      </c>
    </row>
    <row r="231" spans="1:17" ht="22.5" customHeight="1" x14ac:dyDescent="0.2">
      <c r="A231" s="3" t="s">
        <v>554</v>
      </c>
      <c r="B231" s="3" t="str">
        <f ca="1">IFERROR(__xludf.DUMMYFUNCTION("REGEXEXTRACT(A231, ""\.(?:GOV|EXT)\.([A-Z0-9\-]+)"")
"),"CISAM")</f>
        <v>CISAM</v>
      </c>
      <c r="C231" s="3" t="s">
        <v>34</v>
      </c>
      <c r="D231" s="3" t="s">
        <v>35</v>
      </c>
      <c r="E231" s="14" t="str">
        <f ca="1">IFERROR(__xludf.DUMMYFUNCTION("REGEXEXTRACT(A231, ""-(.*)"")"),"ARP.0059.00.2024.GOV.CISAM.PE")</f>
        <v>ARP.0059.00.2024.GOV.CISAM.PE</v>
      </c>
      <c r="F231" s="3" t="s">
        <v>535</v>
      </c>
      <c r="G231" s="3"/>
      <c r="H231" s="9">
        <v>45740</v>
      </c>
      <c r="I231" s="3" t="s">
        <v>37</v>
      </c>
      <c r="J231" s="3" t="str">
        <f>VLOOKUP(A231,'TODOS OS PROCESSOS ATUALIZADOS '!A:I,7,0)</f>
        <v>Cancelada</v>
      </c>
      <c r="K231" s="3" t="s">
        <v>38</v>
      </c>
      <c r="L231" s="3" t="str">
        <f t="shared" si="0"/>
        <v>Item não atualizado</v>
      </c>
      <c r="M231" s="3"/>
      <c r="N231" s="3" t="s">
        <v>38</v>
      </c>
      <c r="O231" s="3" t="s">
        <v>39</v>
      </c>
    </row>
    <row r="232" spans="1:17" ht="22.5" customHeight="1" x14ac:dyDescent="0.2">
      <c r="A232" s="3" t="s">
        <v>555</v>
      </c>
      <c r="B232" s="3" t="str">
        <f ca="1">IFERROR(__xludf.DUMMYFUNCTION("REGEXEXTRACT(A232, ""\.(?:GOV|EXT)\.([A-Z0-9\-]+)"")
"),"HEMOPE")</f>
        <v>HEMOPE</v>
      </c>
      <c r="C232" s="3" t="s">
        <v>34</v>
      </c>
      <c r="D232" s="3" t="s">
        <v>35</v>
      </c>
      <c r="E232" s="14" t="str">
        <f ca="1">IFERROR(__xludf.DUMMYFUNCTION("REGEXEXTRACT(A232, ""-(.*)"")"),"ARP.0027.02.2024.GOV.HEMOPE.PE")</f>
        <v>ARP.0027.02.2024.GOV.HEMOPE.PE</v>
      </c>
      <c r="F232" s="3" t="s">
        <v>556</v>
      </c>
      <c r="G232" s="3"/>
      <c r="H232" s="9">
        <v>45792</v>
      </c>
      <c r="I232" s="3" t="s">
        <v>44</v>
      </c>
      <c r="J232" s="3" t="str">
        <f>VLOOKUP(A232,'TODOS OS PROCESSOS ATUALIZADOS '!A:I,7,0)</f>
        <v>Autorizada Sucesso</v>
      </c>
      <c r="K232" s="3" t="s">
        <v>44</v>
      </c>
      <c r="L232" s="3" t="str">
        <f t="shared" si="0"/>
        <v>Item atualizado</v>
      </c>
      <c r="M232" s="3"/>
      <c r="N232" s="3" t="s">
        <v>44</v>
      </c>
      <c r="O232" s="3" t="s">
        <v>52</v>
      </c>
      <c r="P232" s="3" t="s">
        <v>557</v>
      </c>
    </row>
    <row r="233" spans="1:17" ht="22.5" customHeight="1" x14ac:dyDescent="0.2">
      <c r="A233" s="3" t="s">
        <v>558</v>
      </c>
      <c r="B233" s="3" t="str">
        <f ca="1">IFERROR(__xludf.DUMMYFUNCTION("REGEXEXTRACT(A233, ""\.(?:GOV|EXT)\.([A-Z0-9\-]+)"")
"),"HGV")</f>
        <v>HGV</v>
      </c>
      <c r="C233" s="3" t="s">
        <v>34</v>
      </c>
      <c r="D233" s="3" t="s">
        <v>35</v>
      </c>
      <c r="E233" s="14" t="str">
        <f ca="1">IFERROR(__xludf.DUMMYFUNCTION("REGEXEXTRACT(A233, ""-(.*)"")"),"ARP.0020.00.2024.GOV.HGV.PE")</f>
        <v>ARP.0020.00.2024.GOV.HGV.PE</v>
      </c>
      <c r="F233" s="3" t="s">
        <v>559</v>
      </c>
      <c r="G233" s="3"/>
      <c r="H233" s="9">
        <v>45771</v>
      </c>
      <c r="I233" s="3" t="s">
        <v>44</v>
      </c>
      <c r="J233" s="3" t="str">
        <f>VLOOKUP(A233,'TODOS OS PROCESSOS ATUALIZADOS '!A:I,7,0)</f>
        <v>Autorizada Sucesso</v>
      </c>
      <c r="K233" s="3" t="s">
        <v>44</v>
      </c>
      <c r="L233" s="3" t="str">
        <f t="shared" si="0"/>
        <v>Item atualizado</v>
      </c>
      <c r="M233" s="3"/>
      <c r="N233" s="3" t="s">
        <v>44</v>
      </c>
      <c r="O233" s="3" t="s">
        <v>52</v>
      </c>
      <c r="P233" s="3" t="s">
        <v>560</v>
      </c>
    </row>
    <row r="234" spans="1:17" ht="22.5" customHeight="1" x14ac:dyDescent="0.2">
      <c r="A234" s="3" t="s">
        <v>561</v>
      </c>
      <c r="B234" s="3" t="str">
        <f ca="1">IFERROR(__xludf.DUMMYFUNCTION("REGEXEXTRACT(A234, ""\.(?:GOV|EXT)\.([A-Z0-9\-]+)"")
"),"RN")</f>
        <v>RN</v>
      </c>
      <c r="C234" s="3" t="s">
        <v>34</v>
      </c>
      <c r="D234" s="3" t="s">
        <v>35</v>
      </c>
      <c r="E234" s="3" t="str">
        <f ca="1">IFERROR(__xludf.DUMMYFUNCTION("REGEXEXTRACT(A234, ""-(.*)"")"),"ARP.0007.00.2024.EXT.RN")</f>
        <v>ARP.0007.00.2024.EXT.RN</v>
      </c>
      <c r="F234" s="6" t="s">
        <v>286</v>
      </c>
      <c r="G234" s="3"/>
      <c r="H234" s="9">
        <v>45791</v>
      </c>
      <c r="I234" s="3" t="s">
        <v>44</v>
      </c>
      <c r="J234" s="3" t="str">
        <f>VLOOKUP(A234,'TODOS OS PROCESSOS ATUALIZADOS '!A:I,7,0)</f>
        <v>Autorizada Integrado</v>
      </c>
      <c r="K234" s="3" t="s">
        <v>44</v>
      </c>
      <c r="L234" s="3" t="str">
        <f t="shared" si="0"/>
        <v>Item atualizado</v>
      </c>
      <c r="M234" s="3"/>
      <c r="N234" s="3" t="s">
        <v>38</v>
      </c>
      <c r="O234" s="3" t="s">
        <v>56</v>
      </c>
      <c r="P234" s="3" t="s">
        <v>562</v>
      </c>
      <c r="Q234" s="3" t="s">
        <v>337</v>
      </c>
    </row>
    <row r="235" spans="1:17" ht="22.5" customHeight="1" x14ac:dyDescent="0.2">
      <c r="A235" s="3" t="s">
        <v>563</v>
      </c>
      <c r="B235" s="3" t="str">
        <f ca="1">IFERROR(__xludf.DUMMYFUNCTION("REGEXEXTRACT(A235, ""\.(?:GOV|EXT)\.([A-Z0-9\-]+)"")
"),"AMGESP")</f>
        <v>AMGESP</v>
      </c>
      <c r="C235" s="3" t="s">
        <v>34</v>
      </c>
      <c r="D235" s="3" t="s">
        <v>35</v>
      </c>
      <c r="E235" s="14" t="str">
        <f ca="1">IFERROR(__xludf.DUMMYFUNCTION("REGEXEXTRACT(A235, ""-(.*)"")"),"ARP.0003.00.2024.EXT.AMGESP.AL")</f>
        <v>ARP.0003.00.2024.EXT.AMGESP.AL</v>
      </c>
      <c r="F235" s="6" t="s">
        <v>564</v>
      </c>
      <c r="G235" s="3"/>
      <c r="H235" s="9">
        <v>45742</v>
      </c>
      <c r="I235" s="3" t="s">
        <v>44</v>
      </c>
      <c r="J235" s="3" t="str">
        <f>VLOOKUP(A235,'TODOS OS PROCESSOS ATUALIZADOS '!A:I,7,0)</f>
        <v>Autorizada Integrado</v>
      </c>
      <c r="K235" s="3" t="s">
        <v>44</v>
      </c>
      <c r="L235" s="3" t="str">
        <f t="shared" si="0"/>
        <v>Item atualizado</v>
      </c>
      <c r="M235" s="3"/>
      <c r="N235" s="3" t="s">
        <v>44</v>
      </c>
      <c r="O235" s="3" t="s">
        <v>52</v>
      </c>
      <c r="P235" s="3" t="s">
        <v>565</v>
      </c>
    </row>
    <row r="236" spans="1:17" ht="22.5" customHeight="1" x14ac:dyDescent="0.2">
      <c r="A236" s="3" t="s">
        <v>566</v>
      </c>
      <c r="B236" s="3" t="str">
        <f ca="1">IFERROR(__xludf.DUMMYFUNCTION("REGEXEXTRACT(A236, ""\.(?:GOV|EXT)\.([A-Z0-9\-]+)"")
"),"HAM")</f>
        <v>HAM</v>
      </c>
      <c r="C236" s="3" t="s">
        <v>34</v>
      </c>
      <c r="D236" s="3" t="s">
        <v>35</v>
      </c>
      <c r="E236" s="14" t="str">
        <f ca="1">IFERROR(__xludf.DUMMYFUNCTION("REGEXEXTRACT(A236, ""-(.*)"")"),"ARP.0020.04.2024.GOV.HAM.PE")</f>
        <v>ARP.0020.04.2024.GOV.HAM.PE</v>
      </c>
      <c r="F236" s="3" t="s">
        <v>567</v>
      </c>
      <c r="G236" s="3"/>
      <c r="H236" s="9">
        <v>45761</v>
      </c>
      <c r="I236" s="3" t="s">
        <v>44</v>
      </c>
      <c r="J236" s="3" t="str">
        <f>VLOOKUP(A236,'TODOS OS PROCESSOS ATUALIZADOS '!A:I,7,0)</f>
        <v>Autorizada Sucesso</v>
      </c>
      <c r="K236" s="3" t="s">
        <v>44</v>
      </c>
      <c r="L236" s="3" t="str">
        <f t="shared" si="0"/>
        <v>Item atualizado</v>
      </c>
      <c r="M236" s="3"/>
      <c r="N236" s="3" t="s">
        <v>45</v>
      </c>
      <c r="O236" s="3" t="s">
        <v>60</v>
      </c>
      <c r="P236" s="3" t="s">
        <v>568</v>
      </c>
    </row>
    <row r="237" spans="1:17" ht="22.5" customHeight="1" x14ac:dyDescent="0.2">
      <c r="A237" s="3" t="s">
        <v>569</v>
      </c>
      <c r="B237" s="3" t="str">
        <f ca="1">IFERROR(__xludf.DUMMYFUNCTION("REGEXEXTRACT(A237, ""\.(?:GOV|EXT)\.([A-Z0-9\-]+)"")
"),"HGV")</f>
        <v>HGV</v>
      </c>
      <c r="C237" s="3" t="s">
        <v>34</v>
      </c>
      <c r="D237" s="3" t="s">
        <v>35</v>
      </c>
      <c r="E237" s="14" t="str">
        <f ca="1">IFERROR(__xludf.DUMMYFUNCTION("REGEXEXTRACT(A237, ""-(.*)"")"),"ARP.0002.01.2025.GOV.HGV.PE")</f>
        <v>ARP.0002.01.2025.GOV.HGV.PE</v>
      </c>
      <c r="F237" s="3" t="s">
        <v>570</v>
      </c>
      <c r="G237" s="3"/>
      <c r="H237" s="9">
        <v>45785</v>
      </c>
      <c r="I237" s="3" t="s">
        <v>44</v>
      </c>
      <c r="J237" s="3" t="str">
        <f>VLOOKUP(A237,'TODOS OS PROCESSOS ATUALIZADOS '!A:I,7,0)</f>
        <v>Autorizada Sucesso</v>
      </c>
      <c r="K237" s="3" t="s">
        <v>44</v>
      </c>
      <c r="L237" s="3" t="str">
        <f t="shared" si="0"/>
        <v>Item atualizado</v>
      </c>
      <c r="M237" s="3"/>
      <c r="N237" s="3" t="s">
        <v>44</v>
      </c>
      <c r="O237" s="3" t="s">
        <v>52</v>
      </c>
      <c r="P237" s="3" t="s">
        <v>571</v>
      </c>
    </row>
    <row r="238" spans="1:17" ht="22.5" customHeight="1" x14ac:dyDescent="0.2">
      <c r="A238" s="3" t="s">
        <v>572</v>
      </c>
      <c r="B238" s="3" t="str">
        <f ca="1">IFERROR(__xludf.DUMMYFUNCTION("REGEXEXTRACT(A238, ""\.(?:GOV|EXT)\.([A-Z0-9\-]+)"")
"),"PROCAPE")</f>
        <v>PROCAPE</v>
      </c>
      <c r="C238" s="3" t="s">
        <v>34</v>
      </c>
      <c r="D238" s="3" t="s">
        <v>35</v>
      </c>
      <c r="E238" s="14" t="str">
        <f ca="1">IFERROR(__xludf.DUMMYFUNCTION("REGEXEXTRACT(A238, ""-(.*)"")"),"ARP.0093.03.2024.GOV.PROCAPE.PE")</f>
        <v>ARP.0093.03.2024.GOV.PROCAPE.PE</v>
      </c>
      <c r="F238" s="3" t="s">
        <v>127</v>
      </c>
      <c r="G238" s="3"/>
      <c r="H238" s="9">
        <v>45762</v>
      </c>
      <c r="I238" s="3" t="s">
        <v>44</v>
      </c>
      <c r="J238" s="3" t="str">
        <f>VLOOKUP(A238,'TODOS OS PROCESSOS ATUALIZADOS '!A:I,7,0)</f>
        <v>Autorizada Sucesso</v>
      </c>
      <c r="K238" s="3" t="s">
        <v>44</v>
      </c>
      <c r="L238" s="3" t="str">
        <f t="shared" si="0"/>
        <v>Item atualizado</v>
      </c>
      <c r="M238" s="3"/>
      <c r="N238" s="3" t="s">
        <v>44</v>
      </c>
      <c r="O238" s="3" t="s">
        <v>52</v>
      </c>
      <c r="P238" s="3" t="s">
        <v>573</v>
      </c>
    </row>
    <row r="239" spans="1:17" ht="22.5" customHeight="1" x14ac:dyDescent="0.2">
      <c r="A239" s="3" t="s">
        <v>574</v>
      </c>
      <c r="B239" s="3" t="str">
        <f ca="1">IFERROR(__xludf.DUMMYFUNCTION("REGEXEXTRACT(A239, ""\.(?:GOV|EXT)\.([A-Z0-9\-]+)"")
"),"CISAM")</f>
        <v>CISAM</v>
      </c>
      <c r="C239" s="3" t="s">
        <v>34</v>
      </c>
      <c r="D239" s="3" t="s">
        <v>35</v>
      </c>
      <c r="E239" s="14" t="str">
        <f ca="1">IFERROR(__xludf.DUMMYFUNCTION("REGEXEXTRACT(A239, ""-(.*)"")"),"ARP.0093.00.2024.GOV.CISAM.PE")</f>
        <v>ARP.0093.00.2024.GOV.CISAM.PE</v>
      </c>
      <c r="F239" s="3" t="s">
        <v>254</v>
      </c>
      <c r="G239" s="3"/>
      <c r="H239" s="9">
        <v>45740</v>
      </c>
      <c r="I239" s="3" t="s">
        <v>37</v>
      </c>
      <c r="J239" s="3" t="str">
        <f>VLOOKUP(A239,'TODOS OS PROCESSOS ATUALIZADOS '!A:I,7,0)</f>
        <v>Cancelada Sucesso</v>
      </c>
      <c r="K239" s="3" t="s">
        <v>38</v>
      </c>
      <c r="L239" s="3" t="str">
        <f t="shared" si="0"/>
        <v>Item atualizado</v>
      </c>
      <c r="M239" s="3"/>
      <c r="N239" s="3" t="s">
        <v>38</v>
      </c>
      <c r="O239" s="3" t="s">
        <v>39</v>
      </c>
    </row>
    <row r="240" spans="1:17" ht="22.5" customHeight="1" x14ac:dyDescent="0.2">
      <c r="A240" s="3" t="s">
        <v>575</v>
      </c>
      <c r="B240" s="3" t="str">
        <f ca="1">IFERROR(__xludf.DUMMYFUNCTION("REGEXEXTRACT(A240, ""\.(?:GOV|EXT)\.([A-Z0-9\-]+)"")
"),"HEMOPE")</f>
        <v>HEMOPE</v>
      </c>
      <c r="C240" s="3" t="s">
        <v>34</v>
      </c>
      <c r="D240" s="3" t="s">
        <v>35</v>
      </c>
      <c r="E240" s="14" t="str">
        <f ca="1">IFERROR(__xludf.DUMMYFUNCTION("REGEXEXTRACT(A240, ""-(.*)"")"),"ARP.0027.01.2024.GOV.HEMOPE.PE")</f>
        <v>ARP.0027.01.2024.GOV.HEMOPE.PE</v>
      </c>
      <c r="F240" s="3" t="s">
        <v>556</v>
      </c>
      <c r="G240" s="3"/>
      <c r="H240" s="9">
        <v>45792</v>
      </c>
      <c r="I240" s="3" t="s">
        <v>44</v>
      </c>
      <c r="J240" s="3" t="str">
        <f>VLOOKUP(A240,'TODOS OS PROCESSOS ATUALIZADOS '!A:I,7,0)</f>
        <v>Autorizada Sucesso</v>
      </c>
      <c r="K240" s="3" t="s">
        <v>44</v>
      </c>
      <c r="L240" s="3" t="str">
        <f t="shared" si="0"/>
        <v>Item atualizado</v>
      </c>
      <c r="M240" s="3"/>
      <c r="N240" s="3" t="s">
        <v>44</v>
      </c>
      <c r="O240" s="3" t="s">
        <v>52</v>
      </c>
      <c r="P240" s="3" t="s">
        <v>576</v>
      </c>
    </row>
    <row r="241" spans="1:17" ht="22.5" customHeight="1" x14ac:dyDescent="0.2">
      <c r="A241" s="3" t="s">
        <v>577</v>
      </c>
      <c r="B241" s="3" t="str">
        <f ca="1">IFERROR(__xludf.DUMMYFUNCTION("REGEXEXTRACT(A241, ""\.(?:GOV|EXT)\.([A-Z0-9\-]+)"")
"),"HAM")</f>
        <v>HAM</v>
      </c>
      <c r="C241" s="3" t="s">
        <v>34</v>
      </c>
      <c r="D241" s="3" t="s">
        <v>35</v>
      </c>
      <c r="E241" s="14" t="str">
        <f ca="1">IFERROR(__xludf.DUMMYFUNCTION("REGEXEXTRACT(A241, ""-(.*)"")"),"ARP.0020.03.2024.GOV.HAM.PE")</f>
        <v>ARP.0020.03.2024.GOV.HAM.PE</v>
      </c>
      <c r="F241" s="3" t="s">
        <v>567</v>
      </c>
      <c r="G241" s="3"/>
      <c r="H241" s="9">
        <v>45796</v>
      </c>
      <c r="I241" s="3" t="s">
        <v>44</v>
      </c>
      <c r="J241" s="3" t="str">
        <f>VLOOKUP(A241,'TODOS OS PROCESSOS ATUALIZADOS '!A:I,7,0)</f>
        <v>Autorizada Sucesso</v>
      </c>
      <c r="K241" s="3" t="s">
        <v>44</v>
      </c>
      <c r="L241" s="3" t="str">
        <f t="shared" si="0"/>
        <v>Item atualizado</v>
      </c>
      <c r="M241" s="3"/>
      <c r="N241" s="3" t="s">
        <v>44</v>
      </c>
      <c r="O241" s="3" t="s">
        <v>52</v>
      </c>
      <c r="P241" s="3" t="s">
        <v>578</v>
      </c>
    </row>
    <row r="242" spans="1:17" ht="22.5" customHeight="1" x14ac:dyDescent="0.2">
      <c r="A242" s="3" t="s">
        <v>579</v>
      </c>
      <c r="B242" s="3" t="str">
        <f ca="1">IFERROR(__xludf.DUMMYFUNCTION("REGEXEXTRACT(A242, ""\.(?:GOV|EXT)\.([A-Z0-9\-]+)"")
"),"HUOC")</f>
        <v>HUOC</v>
      </c>
      <c r="C242" s="3" t="s">
        <v>34</v>
      </c>
      <c r="D242" s="3" t="s">
        <v>35</v>
      </c>
      <c r="E242" s="14" t="str">
        <f ca="1">IFERROR(__xludf.DUMMYFUNCTION("REGEXEXTRACT(A242, ""-(.*)"")"),"ARP.0012.00.2025.GOV.HUOC.PE")</f>
        <v>ARP.0012.00.2025.GOV.HUOC.PE</v>
      </c>
      <c r="F242" s="3" t="s">
        <v>232</v>
      </c>
      <c r="G242" s="3"/>
      <c r="H242" s="9">
        <v>45789</v>
      </c>
      <c r="I242" s="3" t="s">
        <v>44</v>
      </c>
      <c r="J242" s="3" t="str">
        <f>VLOOKUP(A242,'TODOS OS PROCESSOS ATUALIZADOS '!A:I,7,0)</f>
        <v>Autorizada Sucesso</v>
      </c>
      <c r="K242" s="3" t="s">
        <v>44</v>
      </c>
      <c r="L242" s="3" t="str">
        <f t="shared" si="0"/>
        <v>Item atualizado</v>
      </c>
      <c r="M242" s="3"/>
      <c r="N242" s="3" t="s">
        <v>44</v>
      </c>
      <c r="O242" s="3" t="s">
        <v>52</v>
      </c>
      <c r="P242" s="3" t="s">
        <v>580</v>
      </c>
    </row>
    <row r="243" spans="1:17" ht="22.5" customHeight="1" x14ac:dyDescent="0.2">
      <c r="A243" s="3" t="s">
        <v>581</v>
      </c>
      <c r="B243" s="3" t="str">
        <f ca="1">IFERROR(__xludf.DUMMYFUNCTION("REGEXEXTRACT(A243, ""\.(?:GOV|EXT)\.([A-Z0-9\-]+)"")
"),"HAM")</f>
        <v>HAM</v>
      </c>
      <c r="C243" s="3" t="s">
        <v>34</v>
      </c>
      <c r="D243" s="3" t="s">
        <v>35</v>
      </c>
      <c r="E243" s="14" t="str">
        <f ca="1">IFERROR(__xludf.DUMMYFUNCTION("REGEXEXTRACT(A243, ""-(.*)"")"),"ARP.0011.00.2025.GOV.HAM.PE")</f>
        <v>ARP.0011.00.2025.GOV.HAM.PE</v>
      </c>
      <c r="F243" s="3" t="s">
        <v>102</v>
      </c>
      <c r="G243" s="3"/>
      <c r="H243" s="9">
        <v>45748</v>
      </c>
      <c r="I243" s="3" t="s">
        <v>37</v>
      </c>
      <c r="J243" s="3" t="str">
        <f>VLOOKUP(A243,'TODOS OS PROCESSOS ATUALIZADOS '!A:I,7,0)</f>
        <v>Cancelada Sucesso</v>
      </c>
      <c r="K243" s="3" t="s">
        <v>38</v>
      </c>
      <c r="L243" s="3" t="str">
        <f t="shared" si="0"/>
        <v>Item atualizado</v>
      </c>
      <c r="M243" s="3"/>
      <c r="N243" s="3" t="s">
        <v>38</v>
      </c>
      <c r="O243" s="3" t="s">
        <v>39</v>
      </c>
    </row>
    <row r="244" spans="1:17" ht="22.5" customHeight="1" x14ac:dyDescent="0.2">
      <c r="A244" s="3" t="s">
        <v>582</v>
      </c>
      <c r="B244" s="3" t="str">
        <f ca="1">IFERROR(__xludf.DUMMYFUNCTION("REGEXEXTRACT(A244, ""\.(?:GOV|EXT)\.([A-Z0-9\-]+)"")
"),"HGV")</f>
        <v>HGV</v>
      </c>
      <c r="C244" s="3" t="s">
        <v>34</v>
      </c>
      <c r="D244" s="3" t="s">
        <v>35</v>
      </c>
      <c r="E244" s="14" t="str">
        <f ca="1">IFERROR(__xludf.DUMMYFUNCTION("REGEXEXTRACT(A244, ""-(.*)"")"),"ARP.0004.01.2025.GOV.HGV.PE")</f>
        <v>ARP.0004.01.2025.GOV.HGV.PE</v>
      </c>
      <c r="F244" s="3" t="s">
        <v>583</v>
      </c>
      <c r="G244" s="3"/>
      <c r="H244" s="9">
        <v>45758</v>
      </c>
      <c r="I244" s="3" t="s">
        <v>37</v>
      </c>
      <c r="J244" s="3" t="str">
        <f>VLOOKUP(A244,'TODOS OS PROCESSOS ATUALIZADOS '!A:I,7,0)</f>
        <v>Cancelada</v>
      </c>
      <c r="K244" s="3" t="s">
        <v>38</v>
      </c>
      <c r="L244" s="3" t="str">
        <f t="shared" si="0"/>
        <v>Item não atualizado</v>
      </c>
      <c r="M244" s="3"/>
      <c r="N244" s="3" t="s">
        <v>38</v>
      </c>
      <c r="O244" s="3" t="s">
        <v>39</v>
      </c>
    </row>
    <row r="245" spans="1:17" ht="22.5" customHeight="1" x14ac:dyDescent="0.2">
      <c r="A245" s="3" t="s">
        <v>584</v>
      </c>
      <c r="B245" s="3" t="str">
        <f ca="1">IFERROR(__xludf.DUMMYFUNCTION("REGEXEXTRACT(A245, ""\.(?:GOV|EXT)\.([A-Z0-9\-]+)"")
"),"PROCAPE")</f>
        <v>PROCAPE</v>
      </c>
      <c r="C245" s="3" t="s">
        <v>34</v>
      </c>
      <c r="D245" s="3" t="s">
        <v>35</v>
      </c>
      <c r="E245" s="14" t="str">
        <f ca="1">IFERROR(__xludf.DUMMYFUNCTION("REGEXEXTRACT(A245, ""-(.*)"")"),"ARP.0109.00.2024.GOV.PROCAPE.PE")</f>
        <v>ARP.0109.00.2024.GOV.PROCAPE.PE</v>
      </c>
      <c r="F245" s="3" t="s">
        <v>79</v>
      </c>
      <c r="G245" s="3"/>
      <c r="H245" s="9">
        <v>45758</v>
      </c>
      <c r="I245" s="3" t="s">
        <v>44</v>
      </c>
      <c r="J245" s="3" t="str">
        <f>VLOOKUP(A245,'TODOS OS PROCESSOS ATUALIZADOS '!A:I,7,0)</f>
        <v>Autorizada Sucesso</v>
      </c>
      <c r="K245" s="3" t="s">
        <v>44</v>
      </c>
      <c r="L245" s="3" t="str">
        <f t="shared" si="0"/>
        <v>Item atualizado</v>
      </c>
      <c r="M245" s="3"/>
      <c r="N245" s="3" t="s">
        <v>44</v>
      </c>
      <c r="O245" s="3" t="s">
        <v>52</v>
      </c>
      <c r="P245" s="3" t="s">
        <v>585</v>
      </c>
    </row>
    <row r="246" spans="1:17" ht="22.5" customHeight="1" x14ac:dyDescent="0.2">
      <c r="A246" s="3" t="s">
        <v>586</v>
      </c>
      <c r="B246" s="3" t="str">
        <f ca="1">IFERROR(__xludf.DUMMYFUNCTION("REGEXEXTRACT(A246, ""\.(?:GOV|EXT)\.([A-Z0-9\-]+)"")
"),"HGV")</f>
        <v>HGV</v>
      </c>
      <c r="C246" s="3" t="s">
        <v>34</v>
      </c>
      <c r="D246" s="3" t="s">
        <v>35</v>
      </c>
      <c r="E246" s="14" t="str">
        <f ca="1">IFERROR(__xludf.DUMMYFUNCTION("REGEXEXTRACT(A246, ""-(.*)"")"),"ARP.0015.00.2024.GOV.HGV.PE")</f>
        <v>ARP.0015.00.2024.GOV.HGV.PE</v>
      </c>
      <c r="F246" s="3" t="s">
        <v>587</v>
      </c>
      <c r="G246" s="3"/>
      <c r="H246" s="9">
        <v>45769</v>
      </c>
      <c r="I246" s="3" t="s">
        <v>44</v>
      </c>
      <c r="J246" s="3" t="str">
        <f>VLOOKUP(A246,'TODOS OS PROCESSOS ATUALIZADOS '!A:I,7,0)</f>
        <v>Autorizada Sucesso</v>
      </c>
      <c r="K246" s="3" t="s">
        <v>44</v>
      </c>
      <c r="L246" s="3" t="str">
        <f t="shared" si="0"/>
        <v>Item atualizado</v>
      </c>
      <c r="M246" s="3"/>
      <c r="N246" s="3" t="s">
        <v>44</v>
      </c>
      <c r="O246" s="3" t="s">
        <v>52</v>
      </c>
      <c r="P246" s="3" t="s">
        <v>588</v>
      </c>
    </row>
    <row r="247" spans="1:17" ht="22.5" customHeight="1" x14ac:dyDescent="0.2">
      <c r="A247" s="3" t="s">
        <v>589</v>
      </c>
      <c r="B247" s="3" t="str">
        <f ca="1">IFERROR(__xludf.DUMMYFUNCTION("REGEXEXTRACT(A247, ""\.(?:GOV|EXT)\.([A-Z0-9\-]+)"")
"),"HGV")</f>
        <v>HGV</v>
      </c>
      <c r="C247" s="3" t="s">
        <v>34</v>
      </c>
      <c r="D247" s="3" t="s">
        <v>35</v>
      </c>
      <c r="E247" s="14" t="str">
        <f ca="1">IFERROR(__xludf.DUMMYFUNCTION("REGEXEXTRACT(A247, ""-(.*)"")"),"ARP.0009.00.2025.GOV.HGV.PE")</f>
        <v>ARP.0009.00.2025.GOV.HGV.PE</v>
      </c>
      <c r="F247" s="3" t="s">
        <v>148</v>
      </c>
      <c r="G247" s="3"/>
      <c r="H247" s="9">
        <v>45789</v>
      </c>
      <c r="I247" s="3" t="s">
        <v>44</v>
      </c>
      <c r="J247" s="3" t="str">
        <f>VLOOKUP(A247,'TODOS OS PROCESSOS ATUALIZADOS '!A:I,7,0)</f>
        <v>Autorizada Sucesso</v>
      </c>
      <c r="K247" s="3" t="s">
        <v>44</v>
      </c>
      <c r="L247" s="3" t="str">
        <f t="shared" si="0"/>
        <v>Item atualizado</v>
      </c>
      <c r="M247" s="3"/>
      <c r="N247" s="3" t="s">
        <v>45</v>
      </c>
      <c r="O247" s="3" t="s">
        <v>60</v>
      </c>
      <c r="P247" s="3" t="s">
        <v>590</v>
      </c>
    </row>
    <row r="248" spans="1:17" ht="22.5" customHeight="1" x14ac:dyDescent="0.2">
      <c r="A248" s="3" t="s">
        <v>591</v>
      </c>
      <c r="B248" s="3" t="str">
        <f ca="1">IFERROR(__xludf.DUMMYFUNCTION("REGEXEXTRACT(A248, ""\.(?:GOV|EXT)\.([A-Z0-9\-]+)"")
"),"CISAM")</f>
        <v>CISAM</v>
      </c>
      <c r="C248" s="3" t="s">
        <v>34</v>
      </c>
      <c r="D248" s="3" t="s">
        <v>35</v>
      </c>
      <c r="E248" s="14" t="str">
        <f ca="1">IFERROR(__xludf.DUMMYFUNCTION("REGEXEXTRACT(A248, ""-(.*)"")"),"ARP.0008.00.2025.GOV.CISAM.PE")</f>
        <v>ARP.0008.00.2025.GOV.CISAM.PE</v>
      </c>
      <c r="F248" s="3" t="s">
        <v>592</v>
      </c>
      <c r="G248" s="3"/>
      <c r="H248" s="9">
        <v>45750</v>
      </c>
      <c r="I248" s="3" t="s">
        <v>44</v>
      </c>
      <c r="J248" s="3" t="str">
        <f>VLOOKUP(A248,'TODOS OS PROCESSOS ATUALIZADOS '!A:I,7,0)</f>
        <v>Autorizada Sucesso</v>
      </c>
      <c r="K248" s="3" t="s">
        <v>44</v>
      </c>
      <c r="L248" s="3" t="str">
        <f t="shared" si="0"/>
        <v>Item atualizado</v>
      </c>
      <c r="M248" s="3"/>
      <c r="N248" s="3" t="s">
        <v>44</v>
      </c>
      <c r="O248" s="3" t="s">
        <v>52</v>
      </c>
      <c r="P248" s="3" t="s">
        <v>593</v>
      </c>
    </row>
    <row r="249" spans="1:17" ht="22.5" customHeight="1" x14ac:dyDescent="0.2">
      <c r="A249" s="3" t="s">
        <v>594</v>
      </c>
      <c r="B249" s="3" t="str">
        <f ca="1">IFERROR(__xludf.DUMMYFUNCTION("REGEXEXTRACT(A249, ""\.(?:GOV|EXT)\.([A-Z0-9\-]+)"")
"),"PROCAPE")</f>
        <v>PROCAPE</v>
      </c>
      <c r="C249" s="3" t="s">
        <v>34</v>
      </c>
      <c r="D249" s="3" t="s">
        <v>35</v>
      </c>
      <c r="E249" s="14" t="str">
        <f ca="1">IFERROR(__xludf.DUMMYFUNCTION("REGEXEXTRACT(A249, ""-(.*)"")"),"ARP.0006.04.2025.GOV.PROCAPE.PE")</f>
        <v>ARP.0006.04.2025.GOV.PROCAPE.PE</v>
      </c>
      <c r="F249" s="3" t="s">
        <v>127</v>
      </c>
      <c r="G249" s="3"/>
      <c r="H249" s="9">
        <v>45771</v>
      </c>
      <c r="I249" s="3" t="s">
        <v>44</v>
      </c>
      <c r="J249" s="3" t="str">
        <f>VLOOKUP(A249,'TODOS OS PROCESSOS ATUALIZADOS '!A:I,7,0)</f>
        <v>Autorizada Sucesso</v>
      </c>
      <c r="K249" s="3" t="s">
        <v>44</v>
      </c>
      <c r="L249" s="3" t="str">
        <f t="shared" si="0"/>
        <v>Item atualizado</v>
      </c>
      <c r="M249" s="3"/>
      <c r="N249" s="3" t="s">
        <v>44</v>
      </c>
      <c r="O249" s="3" t="s">
        <v>52</v>
      </c>
      <c r="P249" s="3" t="s">
        <v>595</v>
      </c>
    </row>
    <row r="250" spans="1:17" ht="22.5" customHeight="1" x14ac:dyDescent="0.2">
      <c r="A250" s="3" t="s">
        <v>596</v>
      </c>
      <c r="B250" s="3" t="str">
        <f ca="1">IFERROR(__xludf.DUMMYFUNCTION("REGEXEXTRACT(A250, ""\.(?:GOV|EXT)\.([A-Z0-9\-]+)"")
"),"HGV")</f>
        <v>HGV</v>
      </c>
      <c r="C250" s="3" t="s">
        <v>34</v>
      </c>
      <c r="D250" s="3" t="s">
        <v>35</v>
      </c>
      <c r="E250" s="14" t="str">
        <f ca="1">IFERROR(__xludf.DUMMYFUNCTION("REGEXEXTRACT(A250, ""-(.*)"")"),"ARP.0004.01.2025.GOV.HGV.PE")</f>
        <v>ARP.0004.01.2025.GOV.HGV.PE</v>
      </c>
      <c r="F250" s="3" t="s">
        <v>583</v>
      </c>
      <c r="G250" s="3"/>
      <c r="H250" s="9">
        <v>45740</v>
      </c>
      <c r="I250" s="3" t="s">
        <v>44</v>
      </c>
      <c r="J250" s="3" t="str">
        <f>VLOOKUP(A250,'TODOS OS PROCESSOS ATUALIZADOS '!A:I,7,0)</f>
        <v>Autorizada Sucesso</v>
      </c>
      <c r="K250" s="3" t="s">
        <v>44</v>
      </c>
      <c r="L250" s="3" t="str">
        <f t="shared" si="0"/>
        <v>Item atualizado</v>
      </c>
      <c r="M250" s="3"/>
      <c r="N250" s="3" t="s">
        <v>44</v>
      </c>
      <c r="O250" s="3" t="s">
        <v>52</v>
      </c>
      <c r="P250" s="3" t="s">
        <v>597</v>
      </c>
    </row>
    <row r="251" spans="1:17" ht="22.5" customHeight="1" x14ac:dyDescent="0.2">
      <c r="A251" s="3" t="s">
        <v>598</v>
      </c>
      <c r="B251" s="3" t="str">
        <f ca="1">IFERROR(__xludf.DUMMYFUNCTION("REGEXEXTRACT(A251, ""\.(?:GOV|EXT)\.([A-Z0-9\-]+)"")
"),"HGV")</f>
        <v>HGV</v>
      </c>
      <c r="C251" s="3" t="s">
        <v>34</v>
      </c>
      <c r="D251" s="3" t="s">
        <v>35</v>
      </c>
      <c r="E251" s="14" t="str">
        <f ca="1">IFERROR(__xludf.DUMMYFUNCTION("REGEXEXTRACT(A251, ""-(.*)"")"),"ARP.0004.00.2025.GOV.HGV.PE")</f>
        <v>ARP.0004.00.2025.GOV.HGV.PE</v>
      </c>
      <c r="F251" s="3" t="s">
        <v>583</v>
      </c>
      <c r="G251" s="3"/>
      <c r="H251" s="9">
        <v>45786</v>
      </c>
      <c r="I251" s="3" t="s">
        <v>44</v>
      </c>
      <c r="J251" s="3" t="str">
        <f>VLOOKUP(A251,'TODOS OS PROCESSOS ATUALIZADOS '!A:I,7,0)</f>
        <v>Autorizada Sucesso</v>
      </c>
      <c r="K251" s="3" t="s">
        <v>44</v>
      </c>
      <c r="L251" s="3" t="str">
        <f t="shared" si="0"/>
        <v>Item atualizado</v>
      </c>
      <c r="M251" s="3"/>
      <c r="N251" s="3" t="s">
        <v>45</v>
      </c>
      <c r="O251" s="3" t="s">
        <v>60</v>
      </c>
      <c r="P251" s="3" t="s">
        <v>599</v>
      </c>
    </row>
    <row r="252" spans="1:17" ht="22.5" customHeight="1" x14ac:dyDescent="0.2">
      <c r="A252" s="3" t="s">
        <v>600</v>
      </c>
      <c r="B252" s="3" t="str">
        <f ca="1">IFERROR(__xludf.DUMMYFUNCTION("REGEXEXTRACT(A252, ""\.(?:GOV|EXT)\.([A-Z0-9\-]+)"")
"),"SAD")</f>
        <v>SAD</v>
      </c>
      <c r="C252" s="3" t="s">
        <v>34</v>
      </c>
      <c r="D252" s="3" t="s">
        <v>35</v>
      </c>
      <c r="E252" s="14" t="str">
        <f ca="1">IFERROR(__xludf.DUMMYFUNCTION("REGEXEXTRACT(A252, ""-(.*)"")"),"ARPC.0007.00.2024.GOV.SAD.PE")</f>
        <v>ARPC.0007.00.2024.GOV.SAD.PE</v>
      </c>
      <c r="F252" s="3" t="s">
        <v>494</v>
      </c>
      <c r="G252" s="3"/>
      <c r="H252" s="9">
        <v>45706</v>
      </c>
      <c r="I252" s="3" t="s">
        <v>44</v>
      </c>
      <c r="J252" s="3" t="str">
        <f>VLOOKUP(A252,'TODOS OS PROCESSOS ATUALIZADOS '!A:I,7,0)</f>
        <v>Autorizada Sucesso</v>
      </c>
      <c r="K252" s="3" t="s">
        <v>44</v>
      </c>
      <c r="L252" s="3" t="str">
        <f t="shared" si="0"/>
        <v>Item atualizado</v>
      </c>
      <c r="M252" s="3"/>
      <c r="N252" s="3" t="s">
        <v>44</v>
      </c>
      <c r="O252" s="3" t="s">
        <v>52</v>
      </c>
      <c r="P252" s="3" t="s">
        <v>601</v>
      </c>
    </row>
    <row r="253" spans="1:17" ht="22.5" customHeight="1" x14ac:dyDescent="0.2">
      <c r="A253" s="3" t="s">
        <v>602</v>
      </c>
      <c r="B253" s="3" t="str">
        <f ca="1">IFERROR(__xludf.DUMMYFUNCTION("REGEXEXTRACT(A253, ""\.(?:GOV|EXT)\.([A-Z0-9\-]+)"")
"),"CISAM")</f>
        <v>CISAM</v>
      </c>
      <c r="C253" s="3" t="s">
        <v>34</v>
      </c>
      <c r="D253" s="3" t="s">
        <v>35</v>
      </c>
      <c r="E253" s="14" t="str">
        <f ca="1">IFERROR(__xludf.DUMMYFUNCTION("REGEXEXTRACT(A253, ""-(.*)"")"),"ARP.0030.01.2024.GOV.CISAM.PE")</f>
        <v>ARP.0030.01.2024.GOV.CISAM.PE</v>
      </c>
      <c r="F253" s="3" t="s">
        <v>603</v>
      </c>
      <c r="G253" s="3"/>
      <c r="H253" s="9">
        <v>45700</v>
      </c>
      <c r="I253" s="3" t="s">
        <v>37</v>
      </c>
      <c r="J253" s="3" t="str">
        <f>VLOOKUP(A253,'TODOS OS PROCESSOS ATUALIZADOS '!A:I,7,0)</f>
        <v>Cancelada</v>
      </c>
      <c r="K253" s="3" t="s">
        <v>38</v>
      </c>
      <c r="L253" s="3" t="str">
        <f t="shared" si="0"/>
        <v>Item não atualizado</v>
      </c>
      <c r="M253" s="3"/>
      <c r="N253" s="3" t="s">
        <v>38</v>
      </c>
      <c r="O253" s="3" t="s">
        <v>39</v>
      </c>
    </row>
    <row r="254" spans="1:17" ht="22.5" customHeight="1" x14ac:dyDescent="0.2">
      <c r="A254" s="3" t="s">
        <v>604</v>
      </c>
      <c r="B254" s="3" t="str">
        <f ca="1">IFERROR(__xludf.DUMMYFUNCTION("REGEXEXTRACT(A254, ""\.(?:GOV|EXT)\.([A-Z0-9\-]+)"")
"),"CISAM")</f>
        <v>CISAM</v>
      </c>
      <c r="C254" s="3" t="s">
        <v>34</v>
      </c>
      <c r="D254" s="3" t="s">
        <v>35</v>
      </c>
      <c r="E254" s="14" t="str">
        <f ca="1">IFERROR(__xludf.DUMMYFUNCTION("REGEXEXTRACT(A254, ""-(.*)"")"),"ARP.0030.01.2024.GOV.CISAM.PE")</f>
        <v>ARP.0030.01.2024.GOV.CISAM.PE</v>
      </c>
      <c r="F254" s="3" t="s">
        <v>603</v>
      </c>
      <c r="G254" s="3"/>
      <c r="H254" s="9">
        <v>45638</v>
      </c>
      <c r="I254" s="3" t="s">
        <v>37</v>
      </c>
      <c r="J254" s="3" t="str">
        <f>VLOOKUP(A254,'TODOS OS PROCESSOS ATUALIZADOS '!A:I,7,0)</f>
        <v>Cancelada</v>
      </c>
      <c r="K254" s="3" t="s">
        <v>38</v>
      </c>
      <c r="L254" s="3" t="str">
        <f t="shared" si="0"/>
        <v>Item não atualizado</v>
      </c>
      <c r="M254" s="3"/>
      <c r="N254" s="3" t="s">
        <v>605</v>
      </c>
      <c r="O254" s="3"/>
    </row>
    <row r="255" spans="1:17" ht="22.5" customHeight="1" x14ac:dyDescent="0.2">
      <c r="A255" s="3" t="s">
        <v>606</v>
      </c>
      <c r="B255" s="3" t="str">
        <f ca="1">IFERROR(__xludf.DUMMYFUNCTION("REGEXEXTRACT(A255, ""\.(?:GOV|EXT)\.([A-Z0-9\-]+)"")
"),"CISAM")</f>
        <v>CISAM</v>
      </c>
      <c r="C255" s="3" t="s">
        <v>34</v>
      </c>
      <c r="D255" s="3" t="s">
        <v>35</v>
      </c>
      <c r="E255" s="14" t="str">
        <f ca="1">IFERROR(__xludf.DUMMYFUNCTION("REGEXEXTRACT(A255, ""-(.*)"")"),"ARP.0030.01.2024.GOV.CISAM.PE")</f>
        <v>ARP.0030.01.2024.GOV.CISAM.PE</v>
      </c>
      <c r="F255" s="3" t="s">
        <v>603</v>
      </c>
      <c r="G255" s="3"/>
      <c r="H255" s="9">
        <v>45636</v>
      </c>
      <c r="I255" s="3" t="s">
        <v>37</v>
      </c>
      <c r="J255" s="3" t="str">
        <f>VLOOKUP(A255,'TODOS OS PROCESSOS ATUALIZADOS '!A:I,7,0)</f>
        <v>Cancelada</v>
      </c>
      <c r="K255" s="3" t="s">
        <v>38</v>
      </c>
      <c r="L255" s="3" t="str">
        <f t="shared" si="0"/>
        <v>Item não atualizado</v>
      </c>
      <c r="M255" s="3"/>
      <c r="N255" s="3" t="s">
        <v>605</v>
      </c>
      <c r="O255" s="3"/>
    </row>
    <row r="256" spans="1:17" ht="22.5" customHeight="1" x14ac:dyDescent="0.2">
      <c r="A256" s="32" t="s">
        <v>607</v>
      </c>
      <c r="B256" s="3" t="str">
        <f ca="1">IFERROR(__xludf.DUMMYFUNCTION("REGEXEXTRACT(A256, ""\.(?:GOV|EXT)\.([A-Z0-9\-]+)"")
"),"CISAM")</f>
        <v>CISAM</v>
      </c>
      <c r="C256" s="3" t="s">
        <v>34</v>
      </c>
      <c r="D256" s="3" t="s">
        <v>35</v>
      </c>
      <c r="E256" s="14" t="str">
        <f ca="1">IFERROR(__xludf.DUMMYFUNCTION("REGEXEXTRACT(A256, ""-(.*)"")"),"ARP.0055.06.2024.GOV.CISAM.PE")</f>
        <v>ARP.0055.06.2024.GOV.CISAM.PE</v>
      </c>
      <c r="F256" s="3" t="s">
        <v>608</v>
      </c>
      <c r="G256" s="3" t="s">
        <v>3</v>
      </c>
      <c r="H256" s="9">
        <v>45637</v>
      </c>
      <c r="I256" s="3" t="s">
        <v>44</v>
      </c>
      <c r="J256" s="3" t="str">
        <f>VLOOKUP(A256,'TODOS OS PROCESSOS ATUALIZADOS '!A:I,7,0)</f>
        <v>Autorizada Sucesso</v>
      </c>
      <c r="K256" s="3" t="s">
        <v>44</v>
      </c>
      <c r="L256" s="3" t="str">
        <f t="shared" si="0"/>
        <v>Item atualizado</v>
      </c>
      <c r="M256" s="3" t="s">
        <v>14</v>
      </c>
      <c r="N256" s="3" t="s">
        <v>605</v>
      </c>
      <c r="O256" s="3" t="s">
        <v>87</v>
      </c>
      <c r="P256" s="3" t="s">
        <v>609</v>
      </c>
      <c r="Q256" s="3" t="s">
        <v>610</v>
      </c>
    </row>
    <row r="257" spans="1:17" ht="22.5" customHeight="1" x14ac:dyDescent="0.2">
      <c r="A257" s="3" t="s">
        <v>611</v>
      </c>
      <c r="B257" s="3" t="str">
        <f ca="1">IFERROR(__xludf.DUMMYFUNCTION("REGEXEXTRACT(A257, ""\.(?:GOV|EXT)\.([A-Z0-9\-]+)"")
"),"PROCAPE")</f>
        <v>PROCAPE</v>
      </c>
      <c r="C257" s="3" t="s">
        <v>34</v>
      </c>
      <c r="D257" s="3" t="s">
        <v>35</v>
      </c>
      <c r="E257" s="14" t="str">
        <f ca="1">IFERROR(__xludf.DUMMYFUNCTION("REGEXEXTRACT(A257, ""-(.*)"")"),"ARP.0105.03.2024.GOV.PROCAPE.PE")</f>
        <v>ARP.0105.03.2024.GOV.PROCAPE.PE</v>
      </c>
      <c r="F257" s="3" t="s">
        <v>127</v>
      </c>
      <c r="G257" s="3"/>
      <c r="H257" s="9">
        <v>45714</v>
      </c>
      <c r="I257" s="3" t="s">
        <v>44</v>
      </c>
      <c r="J257" s="3" t="str">
        <f>VLOOKUP(A257,'TODOS OS PROCESSOS ATUALIZADOS '!A:I,7,0)</f>
        <v>Autorizada Sucesso</v>
      </c>
      <c r="K257" s="3" t="s">
        <v>44</v>
      </c>
      <c r="L257" s="3" t="str">
        <f t="shared" ref="L257:L511" si="1">IFERROR(IF(J257=I257, "Item não atualizado", "Item atualizado"), "Item não localizado")</f>
        <v>Item atualizado</v>
      </c>
      <c r="M257" s="3"/>
      <c r="N257" s="3" t="s">
        <v>44</v>
      </c>
      <c r="O257" s="3" t="s">
        <v>52</v>
      </c>
      <c r="P257" s="3" t="s">
        <v>612</v>
      </c>
    </row>
    <row r="258" spans="1:17" ht="22.5" customHeight="1" x14ac:dyDescent="0.2">
      <c r="A258" s="3" t="s">
        <v>613</v>
      </c>
      <c r="B258" s="3" t="str">
        <f ca="1">IFERROR(__xludf.DUMMYFUNCTION("REGEXEXTRACT(A258, ""\.(?:GOV|EXT)\.([A-Z0-9\-]+)"")
"),"HMAR")</f>
        <v>HMAR</v>
      </c>
      <c r="C258" s="3" t="s">
        <v>34</v>
      </c>
      <c r="D258" s="3" t="s">
        <v>35</v>
      </c>
      <c r="E258" s="14" t="str">
        <f ca="1">IFERROR(__xludf.DUMMYFUNCTION("REGEXEXTRACT(A258, ""-(.*)"")"),"ARP.0011.01.2024.EXT.HMAR.PE")</f>
        <v>ARP.0011.01.2024.EXT.HMAR.PE</v>
      </c>
      <c r="F258" s="6" t="s">
        <v>614</v>
      </c>
      <c r="G258" s="3"/>
      <c r="H258" s="9">
        <v>45707</v>
      </c>
      <c r="I258" s="3" t="s">
        <v>44</v>
      </c>
      <c r="J258" s="3" t="str">
        <f>VLOOKUP(A258,'TODOS OS PROCESSOS ATUALIZADOS '!A:I,7,0)</f>
        <v>Autorizada Integrado</v>
      </c>
      <c r="K258" s="3" t="s">
        <v>44</v>
      </c>
      <c r="L258" s="3" t="str">
        <f t="shared" si="1"/>
        <v>Item atualizado</v>
      </c>
      <c r="M258" s="3"/>
      <c r="N258" s="3" t="s">
        <v>44</v>
      </c>
      <c r="O258" s="3" t="s">
        <v>52</v>
      </c>
      <c r="P258" s="3" t="s">
        <v>615</v>
      </c>
      <c r="Q258" s="3" t="s">
        <v>337</v>
      </c>
    </row>
    <row r="259" spans="1:17" ht="22.5" customHeight="1" x14ac:dyDescent="0.2">
      <c r="A259" s="3" t="s">
        <v>616</v>
      </c>
      <c r="B259" s="3" t="str">
        <f ca="1">IFERROR(__xludf.DUMMYFUNCTION("REGEXEXTRACT(A259, ""\.(?:GOV|EXT)\.([A-Z0-9\-]+)"")
"),"CDE")</f>
        <v>CDE</v>
      </c>
      <c r="C259" s="3" t="s">
        <v>34</v>
      </c>
      <c r="D259" s="3" t="s">
        <v>35</v>
      </c>
      <c r="E259" s="3" t="str">
        <f ca="1">IFERROR(__xludf.DUMMYFUNCTION("REGEXEXTRACT(A259, ""-(.*)"")"),"ARP.0001.01.2024.EXT.CDE.RN")</f>
        <v>ARP.0001.01.2024.EXT.CDE.RN</v>
      </c>
      <c r="F259" s="3" t="s">
        <v>617</v>
      </c>
      <c r="G259" s="3"/>
      <c r="H259" s="9">
        <v>45714</v>
      </c>
      <c r="I259" s="3" t="s">
        <v>37</v>
      </c>
      <c r="J259" s="3" t="str">
        <f>VLOOKUP(A259,'TODOS OS PROCESSOS ATUALIZADOS '!A:I,7,0)</f>
        <v>Cancelada por fim vigencia ATA</v>
      </c>
      <c r="K259" s="3" t="s">
        <v>38</v>
      </c>
      <c r="L259" s="3" t="str">
        <f t="shared" si="1"/>
        <v>Item atualizado</v>
      </c>
      <c r="M259" s="3"/>
      <c r="N259" s="3" t="s">
        <v>38</v>
      </c>
      <c r="O259" s="3" t="s">
        <v>39</v>
      </c>
    </row>
    <row r="260" spans="1:17" ht="22.5" customHeight="1" x14ac:dyDescent="0.2">
      <c r="A260" s="3" t="s">
        <v>618</v>
      </c>
      <c r="B260" s="3" t="str">
        <f ca="1">IFERROR(__xludf.DUMMYFUNCTION("REGEXEXTRACT(A260, ""\.(?:GOV|EXT)\.([A-Z0-9\-]+)"")
"),"PROCAPE")</f>
        <v>PROCAPE</v>
      </c>
      <c r="C260" s="3" t="s">
        <v>34</v>
      </c>
      <c r="D260" s="3" t="s">
        <v>35</v>
      </c>
      <c r="E260" s="14" t="str">
        <f ca="1">IFERROR(__xludf.DUMMYFUNCTION("REGEXEXTRACT(A260, ""-(.*)"")"),"ARP.0084.05.2024.GOV.PROCAPE.PE")</f>
        <v>ARP.0084.05.2024.GOV.PROCAPE.PE</v>
      </c>
      <c r="F260" s="3" t="s">
        <v>127</v>
      </c>
      <c r="G260" s="3"/>
      <c r="H260" s="9">
        <v>45714</v>
      </c>
      <c r="I260" s="3" t="s">
        <v>37</v>
      </c>
      <c r="J260" s="3" t="str">
        <f>VLOOKUP(A260,'TODOS OS PROCESSOS ATUALIZADOS '!A:I,7,0)</f>
        <v>Cancelada Sucesso</v>
      </c>
      <c r="K260" s="3" t="s">
        <v>38</v>
      </c>
      <c r="L260" s="3" t="str">
        <f t="shared" si="1"/>
        <v>Item atualizado</v>
      </c>
      <c r="M260" s="3"/>
      <c r="N260" s="3" t="s">
        <v>38</v>
      </c>
      <c r="O260" s="3" t="s">
        <v>39</v>
      </c>
    </row>
    <row r="261" spans="1:17" ht="22.5" customHeight="1" x14ac:dyDescent="0.2">
      <c r="A261" s="3" t="s">
        <v>619</v>
      </c>
      <c r="B261" s="3" t="str">
        <f ca="1">IFERROR(__xludf.DUMMYFUNCTION("REGEXEXTRACT(A261, ""\.(?:GOV|EXT)\.([A-Z0-9\-]+)"")
"),"CDE")</f>
        <v>CDE</v>
      </c>
      <c r="C261" s="3" t="s">
        <v>34</v>
      </c>
      <c r="D261" s="3" t="s">
        <v>35</v>
      </c>
      <c r="E261" s="3" t="str">
        <f ca="1">IFERROR(__xludf.DUMMYFUNCTION("REGEXEXTRACT(A261, ""-(.*)"")"),"ARP.0001.01.2024.EXT.CDE.RN")</f>
        <v>ARP.0001.01.2024.EXT.CDE.RN</v>
      </c>
      <c r="F261" s="6" t="s">
        <v>617</v>
      </c>
      <c r="G261" s="3"/>
      <c r="H261" s="9">
        <v>45712</v>
      </c>
      <c r="I261" s="3" t="s">
        <v>44</v>
      </c>
      <c r="J261" s="3" t="str">
        <f>VLOOKUP(A261,'TODOS OS PROCESSOS ATUALIZADOS '!A:I,7,0)</f>
        <v>Autorizada Integrado</v>
      </c>
      <c r="K261" s="3" t="s">
        <v>44</v>
      </c>
      <c r="L261" s="3" t="str">
        <f t="shared" si="1"/>
        <v>Item atualizado</v>
      </c>
      <c r="M261" s="3"/>
      <c r="N261" s="3" t="s">
        <v>44</v>
      </c>
      <c r="O261" s="3" t="s">
        <v>52</v>
      </c>
      <c r="P261" s="3" t="s">
        <v>620</v>
      </c>
    </row>
    <row r="262" spans="1:17" ht="22.5" customHeight="1" x14ac:dyDescent="0.2">
      <c r="A262" s="3" t="s">
        <v>621</v>
      </c>
      <c r="B262" s="3" t="str">
        <f ca="1">IFERROR(__xludf.DUMMYFUNCTION("REGEXEXTRACT(A262, ""\.(?:GOV|EXT)\.([A-Z0-9\-]+)"")
"),"SAD")</f>
        <v>SAD</v>
      </c>
      <c r="C262" s="3" t="s">
        <v>34</v>
      </c>
      <c r="D262" s="3" t="s">
        <v>35</v>
      </c>
      <c r="E262" s="14" t="str">
        <f ca="1">IFERROR(__xludf.DUMMYFUNCTION("REGEXEXTRACT(A262, ""-(.*)"")"),"ARPC.0014.00.2024.GOV.SAD.PE")</f>
        <v>ARPC.0014.00.2024.GOV.SAD.PE</v>
      </c>
      <c r="F262" s="3" t="s">
        <v>622</v>
      </c>
      <c r="G262" s="3"/>
      <c r="H262" s="9">
        <v>45700</v>
      </c>
      <c r="I262" s="3" t="s">
        <v>44</v>
      </c>
      <c r="J262" s="3" t="str">
        <f>VLOOKUP(A262,'TODOS OS PROCESSOS ATUALIZADOS '!A:I,7,0)</f>
        <v>Autorizada Sucesso</v>
      </c>
      <c r="K262" s="3" t="s">
        <v>44</v>
      </c>
      <c r="L262" s="3" t="str">
        <f t="shared" si="1"/>
        <v>Item atualizado</v>
      </c>
      <c r="M262" s="3"/>
      <c r="N262" s="3" t="s">
        <v>44</v>
      </c>
      <c r="O262" s="3" t="s">
        <v>52</v>
      </c>
      <c r="P262" s="3" t="s">
        <v>623</v>
      </c>
    </row>
    <row r="263" spans="1:17" ht="22.5" customHeight="1" x14ac:dyDescent="0.2">
      <c r="A263" s="32" t="s">
        <v>624</v>
      </c>
      <c r="B263" s="3" t="str">
        <f ca="1">IFERROR(__xludf.DUMMYFUNCTION("REGEXEXTRACT(A263, ""\.(?:GOV|EXT)\.([A-Z0-9\-]+)"")
"),"PROCAPE")</f>
        <v>PROCAPE</v>
      </c>
      <c r="C263" s="3" t="s">
        <v>34</v>
      </c>
      <c r="D263" s="3" t="s">
        <v>35</v>
      </c>
      <c r="E263" s="14" t="str">
        <f ca="1">IFERROR(__xludf.DUMMYFUNCTION("REGEXEXTRACT(A263, ""-(.*)"")"),"ARP.0044.00.2024.GOV.PROCAPE.PE")</f>
        <v>ARP.0044.00.2024.GOV.PROCAPE.PE</v>
      </c>
      <c r="F263" s="3" t="s">
        <v>625</v>
      </c>
      <c r="G263" s="3" t="s">
        <v>3</v>
      </c>
      <c r="H263" s="9">
        <v>45632</v>
      </c>
      <c r="I263" s="3" t="s">
        <v>37</v>
      </c>
      <c r="J263" s="3" t="str">
        <f>VLOOKUP(A263,'TODOS OS PROCESSOS ATUALIZADOS '!A:I,7,0)</f>
        <v>Cancelada</v>
      </c>
      <c r="K263" s="3" t="s">
        <v>38</v>
      </c>
      <c r="L263" s="3" t="str">
        <f t="shared" si="1"/>
        <v>Item não atualizado</v>
      </c>
      <c r="M263" s="3" t="s">
        <v>6</v>
      </c>
      <c r="N263" s="3" t="s">
        <v>605</v>
      </c>
      <c r="O263" s="3"/>
      <c r="P263" s="3" t="s">
        <v>626</v>
      </c>
    </row>
    <row r="264" spans="1:17" ht="22.5" customHeight="1" x14ac:dyDescent="0.2">
      <c r="A264" s="3" t="s">
        <v>627</v>
      </c>
      <c r="B264" s="3" t="str">
        <f ca="1">IFERROR(__xludf.DUMMYFUNCTION("REGEXEXTRACT(A264, ""\.(?:GOV|EXT)\.([A-Z0-9\-]+)"")
"),"HOF")</f>
        <v>HOF</v>
      </c>
      <c r="C264" s="3" t="s">
        <v>34</v>
      </c>
      <c r="D264" s="3" t="s">
        <v>35</v>
      </c>
      <c r="E264" s="14" t="str">
        <f ca="1">IFERROR(__xludf.DUMMYFUNCTION("REGEXEXTRACT(A264, ""-(.*)"")"),"ARP.0009.07.2024.GOV.HOF.PE")</f>
        <v>ARP.0009.07.2024.GOV.HOF.PE</v>
      </c>
      <c r="F264" s="6" t="s">
        <v>628</v>
      </c>
      <c r="G264" s="3"/>
      <c r="H264" s="9">
        <v>45636</v>
      </c>
      <c r="I264" s="3" t="s">
        <v>44</v>
      </c>
      <c r="J264" s="3" t="str">
        <f>VLOOKUP(A264,'TODOS OS PROCESSOS ATUALIZADOS '!A:I,7,0)</f>
        <v>Autorizada Sucesso</v>
      </c>
      <c r="K264" s="3" t="s">
        <v>44</v>
      </c>
      <c r="L264" s="3" t="str">
        <f t="shared" si="1"/>
        <v>Item atualizado</v>
      </c>
      <c r="M264" s="3"/>
      <c r="N264" s="3" t="s">
        <v>44</v>
      </c>
      <c r="O264" s="3" t="s">
        <v>52</v>
      </c>
      <c r="P264" s="3" t="s">
        <v>629</v>
      </c>
    </row>
    <row r="265" spans="1:17" ht="22.5" customHeight="1" x14ac:dyDescent="0.2">
      <c r="A265" s="3" t="s">
        <v>630</v>
      </c>
      <c r="B265" s="3" t="str">
        <f ca="1">IFERROR(__xludf.DUMMYFUNCTION("REGEXEXTRACT(A265, ""\.(?:GOV|EXT)\.([A-Z0-9\-]+)"")
"),"HMAR")</f>
        <v>HMAR</v>
      </c>
      <c r="C265" s="3" t="s">
        <v>34</v>
      </c>
      <c r="D265" s="3" t="s">
        <v>35</v>
      </c>
      <c r="E265" s="14" t="str">
        <f ca="1">IFERROR(__xludf.DUMMYFUNCTION("REGEXEXTRACT(A265, ""-(.*)"")"),"ARP.0002.03.2024.EXT.HMAR.PE")</f>
        <v>ARP.0002.03.2024.EXT.HMAR.PE</v>
      </c>
      <c r="F265" s="3" t="s">
        <v>631</v>
      </c>
      <c r="G265" s="3"/>
      <c r="H265" s="9">
        <v>45726</v>
      </c>
      <c r="I265" s="3" t="s">
        <v>37</v>
      </c>
      <c r="J265" s="3" t="str">
        <f>VLOOKUP(A265,'TODOS OS PROCESSOS ATUALIZADOS '!A:I,7,0)</f>
        <v>Cancelada</v>
      </c>
      <c r="K265" s="3" t="s">
        <v>38</v>
      </c>
      <c r="L265" s="3" t="str">
        <f t="shared" si="1"/>
        <v>Item não atualizado</v>
      </c>
      <c r="M265" s="3"/>
      <c r="N265" s="3" t="s">
        <v>38</v>
      </c>
      <c r="O265" s="3" t="s">
        <v>39</v>
      </c>
    </row>
    <row r="266" spans="1:17" ht="22.5" customHeight="1" x14ac:dyDescent="0.2">
      <c r="A266" s="3" t="s">
        <v>632</v>
      </c>
      <c r="B266" s="3" t="str">
        <f ca="1">IFERROR(__xludf.DUMMYFUNCTION("REGEXEXTRACT(A266, ""\.(?:GOV|EXT)\.([A-Z0-9\-]+)"")
"),"CDE")</f>
        <v>CDE</v>
      </c>
      <c r="C266" s="3" t="s">
        <v>34</v>
      </c>
      <c r="D266" s="3" t="s">
        <v>35</v>
      </c>
      <c r="E266" s="3" t="str">
        <f ca="1">IFERROR(__xludf.DUMMYFUNCTION("REGEXEXTRACT(A266, ""-(.*)"")"),"ARP.0001.01.2024.EXT.CDE.RN")</f>
        <v>ARP.0001.01.2024.EXT.CDE.RN</v>
      </c>
      <c r="F266" s="3" t="s">
        <v>617</v>
      </c>
      <c r="G266" s="3"/>
      <c r="H266" s="9">
        <v>45708</v>
      </c>
      <c r="I266" s="3" t="s">
        <v>37</v>
      </c>
      <c r="J266" s="3" t="str">
        <f>VLOOKUP(A266,'TODOS OS PROCESSOS ATUALIZADOS '!A:I,7,0)</f>
        <v>Cancelada por fim vigencia ATA</v>
      </c>
      <c r="K266" s="3" t="s">
        <v>38</v>
      </c>
      <c r="L266" s="3" t="str">
        <f t="shared" si="1"/>
        <v>Item atualizado</v>
      </c>
      <c r="M266" s="3"/>
      <c r="N266" s="3" t="s">
        <v>38</v>
      </c>
      <c r="O266" s="3" t="s">
        <v>39</v>
      </c>
    </row>
    <row r="267" spans="1:17" ht="22.5" customHeight="1" x14ac:dyDescent="0.2">
      <c r="A267" s="3" t="s">
        <v>633</v>
      </c>
      <c r="B267" s="3" t="str">
        <f ca="1">IFERROR(__xludf.DUMMYFUNCTION("REGEXEXTRACT(A267, ""\.(?:GOV|EXT)\.([A-Z0-9\-]+)"")
"),"PROCAPE")</f>
        <v>PROCAPE</v>
      </c>
      <c r="C267" s="3" t="s">
        <v>34</v>
      </c>
      <c r="D267" s="3" t="s">
        <v>35</v>
      </c>
      <c r="E267" s="14" t="str">
        <f ca="1">IFERROR(__xludf.DUMMYFUNCTION("REGEXEXTRACT(A267, ""-(.*)"")"),"ARP.0103.06.2024.GOV.PROCAPE.PE")</f>
        <v>ARP.0103.06.2024.GOV.PROCAPE.PE</v>
      </c>
      <c r="F267" s="3" t="s">
        <v>127</v>
      </c>
      <c r="G267" s="3"/>
      <c r="H267" s="9">
        <v>45715</v>
      </c>
      <c r="I267" s="3" t="s">
        <v>44</v>
      </c>
      <c r="J267" s="3" t="str">
        <f>VLOOKUP(A267,'TODOS OS PROCESSOS ATUALIZADOS '!A:I,7,0)</f>
        <v>Autorizada Sucesso</v>
      </c>
      <c r="K267" s="3" t="s">
        <v>44</v>
      </c>
      <c r="L267" s="3" t="str">
        <f t="shared" si="1"/>
        <v>Item atualizado</v>
      </c>
      <c r="M267" s="3"/>
      <c r="N267" s="3" t="s">
        <v>44</v>
      </c>
      <c r="O267" s="3" t="s">
        <v>52</v>
      </c>
      <c r="P267" s="3" t="s">
        <v>634</v>
      </c>
    </row>
    <row r="268" spans="1:17" ht="22.5" customHeight="1" x14ac:dyDescent="0.2">
      <c r="A268" s="3" t="s">
        <v>635</v>
      </c>
      <c r="B268" s="3" t="str">
        <f ca="1">IFERROR(__xludf.DUMMYFUNCTION("REGEXEXTRACT(A268, ""\.(?:GOV|EXT)\.([A-Z0-9\-]+)"")
"),"HGV")</f>
        <v>HGV</v>
      </c>
      <c r="C268" s="3" t="s">
        <v>34</v>
      </c>
      <c r="D268" s="3" t="s">
        <v>35</v>
      </c>
      <c r="E268" s="14" t="str">
        <f ca="1">IFERROR(__xludf.DUMMYFUNCTION("REGEXEXTRACT(A268, ""-(.*)"")"),"ARP.0016.05.2024.GOV.HGV.PE")</f>
        <v>ARP.0016.05.2024.GOV.HGV.PE</v>
      </c>
      <c r="F268" s="3" t="s">
        <v>636</v>
      </c>
      <c r="G268" s="3"/>
      <c r="H268" s="9">
        <v>45705</v>
      </c>
      <c r="I268" s="3" t="s">
        <v>37</v>
      </c>
      <c r="J268" s="3" t="str">
        <f>VLOOKUP(A268,'TODOS OS PROCESSOS ATUALIZADOS '!A:I,7,0)</f>
        <v>Cancelada por fim vigencia ATA</v>
      </c>
      <c r="K268" s="3" t="s">
        <v>38</v>
      </c>
      <c r="L268" s="3" t="str">
        <f t="shared" si="1"/>
        <v>Item atualizado</v>
      </c>
      <c r="M268" s="3"/>
      <c r="N268" s="3" t="s">
        <v>38</v>
      </c>
      <c r="O268" s="3" t="s">
        <v>39</v>
      </c>
    </row>
    <row r="269" spans="1:17" ht="22.5" customHeight="1" x14ac:dyDescent="0.2">
      <c r="A269" s="3" t="s">
        <v>637</v>
      </c>
      <c r="B269" s="3" t="str">
        <f ca="1">IFERROR(__xludf.DUMMYFUNCTION("REGEXEXTRACT(A269, ""\.(?:GOV|EXT)\.([A-Z0-9\-]+)"")
"),"HMAR")</f>
        <v>HMAR</v>
      </c>
      <c r="C269" s="3" t="s">
        <v>34</v>
      </c>
      <c r="D269" s="3" t="s">
        <v>35</v>
      </c>
      <c r="E269" s="14" t="str">
        <f ca="1">IFERROR(__xludf.DUMMYFUNCTION("REGEXEXTRACT(A269, ""-(.*)"")"),"ARP.0002.03.2024.EXT.HMAR.PE")</f>
        <v>ARP.0002.03.2024.EXT.HMAR.PE</v>
      </c>
      <c r="F269" s="6" t="s">
        <v>631</v>
      </c>
      <c r="G269" s="3"/>
      <c r="H269" s="9">
        <v>45726</v>
      </c>
      <c r="I269" s="3" t="s">
        <v>44</v>
      </c>
      <c r="J269" s="3" t="str">
        <f>VLOOKUP(A269,'TODOS OS PROCESSOS ATUALIZADOS '!A:I,7,0)</f>
        <v>Autorizada Integrado</v>
      </c>
      <c r="K269" s="3" t="s">
        <v>44</v>
      </c>
      <c r="L269" s="3" t="str">
        <f t="shared" si="1"/>
        <v>Item atualizado</v>
      </c>
      <c r="M269" s="3"/>
      <c r="N269" s="3" t="s">
        <v>44</v>
      </c>
      <c r="O269" s="3" t="s">
        <v>52</v>
      </c>
      <c r="P269" s="3" t="s">
        <v>638</v>
      </c>
    </row>
    <row r="270" spans="1:17" ht="22.5" customHeight="1" x14ac:dyDescent="0.2">
      <c r="A270" s="3" t="s">
        <v>639</v>
      </c>
      <c r="B270" s="3" t="str">
        <f ca="1">IFERROR(__xludf.DUMMYFUNCTION("REGEXEXTRACT(A270, ""\.(?:GOV|EXT)\.([A-Z0-9\-]+)"")
"),"CDE")</f>
        <v>CDE</v>
      </c>
      <c r="C270" s="3" t="s">
        <v>34</v>
      </c>
      <c r="D270" s="3" t="s">
        <v>35</v>
      </c>
      <c r="E270" s="3" t="str">
        <f ca="1">IFERROR(__xludf.DUMMYFUNCTION("REGEXEXTRACT(A270, ""-(.*)"")"),"ARP.0001.01.2024.EXT.CDE.RN")</f>
        <v>ARP.0001.01.2024.EXT.CDE.RN</v>
      </c>
      <c r="F270" s="3" t="s">
        <v>617</v>
      </c>
      <c r="G270" s="3"/>
      <c r="H270" s="9">
        <v>45707</v>
      </c>
      <c r="I270" s="3" t="s">
        <v>37</v>
      </c>
      <c r="J270" s="3" t="str">
        <f>VLOOKUP(A270,'TODOS OS PROCESSOS ATUALIZADOS '!A:I,7,0)</f>
        <v>Cancelada por fim vigencia ATA</v>
      </c>
      <c r="K270" s="3" t="s">
        <v>38</v>
      </c>
      <c r="L270" s="3" t="str">
        <f t="shared" si="1"/>
        <v>Item atualizado</v>
      </c>
      <c r="M270" s="3"/>
      <c r="N270" s="3" t="s">
        <v>38</v>
      </c>
      <c r="O270" s="3" t="s">
        <v>39</v>
      </c>
    </row>
    <row r="271" spans="1:17" ht="22.5" customHeight="1" x14ac:dyDescent="0.2">
      <c r="A271" s="3" t="s">
        <v>640</v>
      </c>
      <c r="B271" s="3" t="str">
        <f ca="1">IFERROR(__xludf.DUMMYFUNCTION("REGEXEXTRACT(A271, ""\.(?:GOV|EXT)\.([A-Z0-9\-]+)"")
"),"HUOC")</f>
        <v>HUOC</v>
      </c>
      <c r="C271" s="3" t="s">
        <v>34</v>
      </c>
      <c r="D271" s="3" t="s">
        <v>35</v>
      </c>
      <c r="E271" s="14" t="str">
        <f ca="1">IFERROR(__xludf.DUMMYFUNCTION("REGEXEXTRACT(A271, ""-(.*)"")"),"ARP.0076.02.2024.GOV.HUOC.PE")</f>
        <v>ARP.0076.02.2024.GOV.HUOC.PE</v>
      </c>
      <c r="F271" s="3" t="s">
        <v>641</v>
      </c>
      <c r="G271" s="3"/>
      <c r="H271" s="9">
        <v>45714</v>
      </c>
      <c r="I271" s="3" t="s">
        <v>44</v>
      </c>
      <c r="J271" s="3" t="str">
        <f>VLOOKUP(A271,'TODOS OS PROCESSOS ATUALIZADOS '!A:I,7,0)</f>
        <v>Autorizada Sucesso</v>
      </c>
      <c r="K271" s="3" t="s">
        <v>44</v>
      </c>
      <c r="L271" s="3" t="str">
        <f t="shared" si="1"/>
        <v>Item atualizado</v>
      </c>
      <c r="M271" s="3"/>
      <c r="N271" s="3" t="s">
        <v>44</v>
      </c>
      <c r="O271" s="3" t="s">
        <v>52</v>
      </c>
      <c r="P271" s="3" t="s">
        <v>642</v>
      </c>
    </row>
    <row r="272" spans="1:17" ht="22.5" customHeight="1" x14ac:dyDescent="0.2">
      <c r="A272" s="3" t="s">
        <v>643</v>
      </c>
      <c r="B272" s="3" t="str">
        <f ca="1">IFERROR(__xludf.DUMMYFUNCTION("REGEXEXTRACT(A272, ""\.(?:GOV|EXT)\.([A-Z0-9\-]+)"")
"),"CISAM")</f>
        <v>CISAM</v>
      </c>
      <c r="C272" s="3" t="s">
        <v>34</v>
      </c>
      <c r="D272" s="3" t="s">
        <v>35</v>
      </c>
      <c r="E272" s="14" t="str">
        <f ca="1">IFERROR(__xludf.DUMMYFUNCTION("REGEXEXTRACT(A272, ""-(.*)"")"),"ARP.0051.01.2024.GOV.CISAM.PE")</f>
        <v>ARP.0051.01.2024.GOV.CISAM.PE</v>
      </c>
      <c r="F272" s="6" t="s">
        <v>644</v>
      </c>
      <c r="G272" s="3"/>
      <c r="H272" s="9">
        <v>45632</v>
      </c>
      <c r="I272" s="3" t="s">
        <v>44</v>
      </c>
      <c r="J272" s="3" t="str">
        <f>VLOOKUP(A272,'TODOS OS PROCESSOS ATUALIZADOS '!A:I,7,0)</f>
        <v>Autorizada Sucesso</v>
      </c>
      <c r="K272" s="3" t="s">
        <v>44</v>
      </c>
      <c r="L272" s="3" t="str">
        <f t="shared" si="1"/>
        <v>Item atualizado</v>
      </c>
      <c r="M272" s="3"/>
      <c r="N272" s="3" t="s">
        <v>44</v>
      </c>
      <c r="O272" s="3" t="s">
        <v>52</v>
      </c>
      <c r="P272" s="3" t="s">
        <v>645</v>
      </c>
    </row>
    <row r="273" spans="1:17" ht="22.5" customHeight="1" x14ac:dyDescent="0.2">
      <c r="A273" s="3" t="s">
        <v>646</v>
      </c>
      <c r="B273" s="3" t="str">
        <f ca="1">IFERROR(__xludf.DUMMYFUNCTION("REGEXEXTRACT(A273, ""\.(?:GOV|EXT)\.([A-Z0-9\-]+)"")
"),"HOF")</f>
        <v>HOF</v>
      </c>
      <c r="C273" s="3" t="s">
        <v>34</v>
      </c>
      <c r="D273" s="3" t="s">
        <v>35</v>
      </c>
      <c r="E273" s="14" t="str">
        <f ca="1">IFERROR(__xludf.DUMMYFUNCTION("REGEXEXTRACT(A273, ""-(.*)"")"),"ARP.0010.00.2024.GOV.HOF.PE")</f>
        <v>ARP.0010.00.2024.GOV.HOF.PE</v>
      </c>
      <c r="F273" s="3" t="s">
        <v>502</v>
      </c>
      <c r="G273" s="3"/>
      <c r="H273" s="9">
        <v>45700</v>
      </c>
      <c r="I273" s="3" t="s">
        <v>37</v>
      </c>
      <c r="J273" s="3" t="str">
        <f>VLOOKUP(A273,'TODOS OS PROCESSOS ATUALIZADOS '!A:I,7,0)</f>
        <v>Cancelada</v>
      </c>
      <c r="K273" s="3" t="s">
        <v>38</v>
      </c>
      <c r="L273" s="3" t="str">
        <f t="shared" si="1"/>
        <v>Item não atualizado</v>
      </c>
      <c r="M273" s="3"/>
      <c r="N273" s="3" t="s">
        <v>38</v>
      </c>
      <c r="O273" s="3" t="s">
        <v>39</v>
      </c>
    </row>
    <row r="274" spans="1:17" ht="22.5" customHeight="1" x14ac:dyDescent="0.2">
      <c r="A274" s="3" t="s">
        <v>647</v>
      </c>
      <c r="B274" s="3" t="str">
        <f ca="1">IFERROR(__xludf.DUMMYFUNCTION("REGEXEXTRACT(A274, ""\.(?:GOV|EXT)\.([A-Z0-9\-]+)"")
"),"HUOC")</f>
        <v>HUOC</v>
      </c>
      <c r="C274" s="3" t="s">
        <v>34</v>
      </c>
      <c r="D274" s="3" t="s">
        <v>35</v>
      </c>
      <c r="E274" s="14" t="str">
        <f ca="1">IFERROR(__xludf.DUMMYFUNCTION("REGEXEXTRACT(A274, ""-(.*)"")"),"ARP.0003.01.2025.GOV.HUOC.PE")</f>
        <v>ARP.0003.01.2025.GOV.HUOC.PE</v>
      </c>
      <c r="F274" s="3" t="s">
        <v>648</v>
      </c>
      <c r="G274" s="3"/>
      <c r="H274" s="9">
        <v>45730</v>
      </c>
      <c r="I274" s="3" t="s">
        <v>44</v>
      </c>
      <c r="J274" s="3" t="str">
        <f>VLOOKUP(A274,'TODOS OS PROCESSOS ATUALIZADOS '!A:I,7,0)</f>
        <v>Autorizada Sucesso</v>
      </c>
      <c r="K274" s="3" t="s">
        <v>44</v>
      </c>
      <c r="L274" s="3" t="str">
        <f t="shared" si="1"/>
        <v>Item atualizado</v>
      </c>
      <c r="M274" s="3"/>
      <c r="N274" s="3" t="s">
        <v>44</v>
      </c>
      <c r="O274" s="3" t="s">
        <v>52</v>
      </c>
      <c r="P274" s="3" t="s">
        <v>649</v>
      </c>
    </row>
    <row r="275" spans="1:17" ht="22.5" customHeight="1" x14ac:dyDescent="0.2">
      <c r="A275" s="3" t="s">
        <v>650</v>
      </c>
      <c r="B275" s="3" t="str">
        <f ca="1">IFERROR(__xludf.DUMMYFUNCTION("REGEXEXTRACT(A275, ""\.(?:GOV|EXT)\.([A-Z0-9\-]+)"")
"),"HUOC")</f>
        <v>HUOC</v>
      </c>
      <c r="C275" s="3" t="s">
        <v>34</v>
      </c>
      <c r="D275" s="3" t="s">
        <v>35</v>
      </c>
      <c r="E275" s="14" t="str">
        <f ca="1">IFERROR(__xludf.DUMMYFUNCTION("REGEXEXTRACT(A275, ""-(.*)"")"),"ARP.0091.00.2024.GOV.HUOC.PE")</f>
        <v>ARP.0091.00.2024.GOV.HUOC.PE</v>
      </c>
      <c r="F275" s="3" t="s">
        <v>651</v>
      </c>
      <c r="G275" s="3"/>
      <c r="H275" s="9">
        <v>45705</v>
      </c>
      <c r="I275" s="3" t="s">
        <v>44</v>
      </c>
      <c r="J275" s="3" t="str">
        <f>VLOOKUP(A275,'TODOS OS PROCESSOS ATUALIZADOS '!A:I,7,0)</f>
        <v>Autorizada Sucesso</v>
      </c>
      <c r="K275" s="3" t="s">
        <v>44</v>
      </c>
      <c r="L275" s="3" t="str">
        <f t="shared" si="1"/>
        <v>Item atualizado</v>
      </c>
      <c r="M275" s="3"/>
      <c r="N275" s="3" t="s">
        <v>44</v>
      </c>
      <c r="O275" s="3" t="s">
        <v>52</v>
      </c>
      <c r="P275" s="3" t="s">
        <v>652</v>
      </c>
    </row>
    <row r="276" spans="1:17" ht="22.5" customHeight="1" x14ac:dyDescent="0.2">
      <c r="A276" s="3" t="s">
        <v>653</v>
      </c>
      <c r="B276" s="3" t="str">
        <f ca="1">IFERROR(__xludf.DUMMYFUNCTION("REGEXEXTRACT(A276, ""\.(?:GOV|EXT)\.([A-Z0-9\-]+)"")
"),"CDE")</f>
        <v>CDE</v>
      </c>
      <c r="C276" s="3" t="s">
        <v>34</v>
      </c>
      <c r="D276" s="3" t="s">
        <v>35</v>
      </c>
      <c r="E276" s="3" t="str">
        <f ca="1">IFERROR(__xludf.DUMMYFUNCTION("REGEXEXTRACT(A276, ""-(.*)"")"),"ARP.0001.01.2024.EXT.CDE.RN")</f>
        <v>ARP.0001.01.2024.EXT.CDE.RN</v>
      </c>
      <c r="F276" s="3" t="s">
        <v>617</v>
      </c>
      <c r="G276" s="3"/>
      <c r="H276" s="9">
        <v>45637</v>
      </c>
      <c r="I276" s="3" t="s">
        <v>37</v>
      </c>
      <c r="J276" s="3" t="str">
        <f>VLOOKUP(A276,'TODOS OS PROCESSOS ATUALIZADOS '!A:I,7,0)</f>
        <v>Cancelada por fim vigencia ATA</v>
      </c>
      <c r="K276" s="3" t="s">
        <v>38</v>
      </c>
      <c r="L276" s="3" t="str">
        <f t="shared" si="1"/>
        <v>Item atualizado</v>
      </c>
      <c r="M276" s="3"/>
      <c r="N276" s="3" t="s">
        <v>605</v>
      </c>
      <c r="O276" s="3"/>
    </row>
    <row r="277" spans="1:17" ht="22.5" customHeight="1" x14ac:dyDescent="0.2">
      <c r="A277" s="3" t="s">
        <v>654</v>
      </c>
      <c r="B277" s="3" t="str">
        <f ca="1">IFERROR(__xludf.DUMMYFUNCTION("REGEXEXTRACT(A277, ""\.(?:GOV|EXT)\.([A-Z0-9\-]+)"")
"),"HUOC")</f>
        <v>HUOC</v>
      </c>
      <c r="C277" s="3" t="s">
        <v>34</v>
      </c>
      <c r="D277" s="3" t="s">
        <v>35</v>
      </c>
      <c r="E277" s="14" t="str">
        <f ca="1">IFERROR(__xludf.DUMMYFUNCTION("REGEXEXTRACT(A277, ""-(.*)"")"),"ARP.0110.05.2024.GOV.HUOC.PE")</f>
        <v>ARP.0110.05.2024.GOV.HUOC.PE</v>
      </c>
      <c r="F277" s="3" t="s">
        <v>351</v>
      </c>
      <c r="G277" s="3"/>
      <c r="H277" s="9">
        <v>45714</v>
      </c>
      <c r="I277" s="3" t="s">
        <v>44</v>
      </c>
      <c r="J277" s="3" t="str">
        <f>VLOOKUP(A277,'TODOS OS PROCESSOS ATUALIZADOS '!A:I,7,0)</f>
        <v>Autorizada Sucesso</v>
      </c>
      <c r="K277" s="3" t="s">
        <v>44</v>
      </c>
      <c r="L277" s="3" t="str">
        <f t="shared" si="1"/>
        <v>Item atualizado</v>
      </c>
      <c r="M277" s="3"/>
      <c r="N277" s="3" t="s">
        <v>44</v>
      </c>
      <c r="O277" s="3" t="s">
        <v>52</v>
      </c>
      <c r="P277" s="3" t="s">
        <v>655</v>
      </c>
    </row>
    <row r="278" spans="1:17" ht="22.5" customHeight="1" x14ac:dyDescent="0.2">
      <c r="A278" s="3" t="s">
        <v>656</v>
      </c>
      <c r="B278" s="3" t="str">
        <f ca="1">IFERROR(__xludf.DUMMYFUNCTION("REGEXEXTRACT(A278, ""\.(?:GOV|EXT)\.([A-Z0-9\-]+)"")
"),"HUOC")</f>
        <v>HUOC</v>
      </c>
      <c r="C278" s="3" t="s">
        <v>34</v>
      </c>
      <c r="D278" s="3" t="s">
        <v>35</v>
      </c>
      <c r="E278" s="14" t="str">
        <f ca="1">IFERROR(__xludf.DUMMYFUNCTION("REGEXEXTRACT(A278, ""-(.*)"")"),"ARP.0106.08.2024.GOV.HUOC.PE")</f>
        <v>ARP.0106.08.2024.GOV.HUOC.PE</v>
      </c>
      <c r="F278" s="3" t="s">
        <v>657</v>
      </c>
      <c r="G278" s="3"/>
      <c r="H278" s="9">
        <v>45716</v>
      </c>
      <c r="I278" s="3" t="s">
        <v>44</v>
      </c>
      <c r="J278" s="3" t="str">
        <f>VLOOKUP(A278,'TODOS OS PROCESSOS ATUALIZADOS '!A:I,7,0)</f>
        <v>Autorizada Sucesso</v>
      </c>
      <c r="K278" s="3" t="s">
        <v>44</v>
      </c>
      <c r="L278" s="3" t="str">
        <f t="shared" si="1"/>
        <v>Item atualizado</v>
      </c>
      <c r="M278" s="3"/>
      <c r="N278" s="3" t="s">
        <v>44</v>
      </c>
      <c r="O278" s="3" t="s">
        <v>52</v>
      </c>
      <c r="P278" s="3" t="s">
        <v>658</v>
      </c>
    </row>
    <row r="279" spans="1:17" ht="22.5" customHeight="1" x14ac:dyDescent="0.2">
      <c r="A279" s="3" t="s">
        <v>659</v>
      </c>
      <c r="B279" s="3" t="str">
        <f ca="1">IFERROR(__xludf.DUMMYFUNCTION("REGEXEXTRACT(A279, ""\.(?:GOV|EXT)\.([A-Z0-9\-]+)"")
"),"SAD")</f>
        <v>SAD</v>
      </c>
      <c r="C279" s="3" t="s">
        <v>34</v>
      </c>
      <c r="D279" s="3" t="s">
        <v>35</v>
      </c>
      <c r="E279" s="14" t="str">
        <f ca="1">IFERROR(__xludf.DUMMYFUNCTION("REGEXEXTRACT(A279, ""-(.*)"")"),"ARPC.0004.00.2024.GOV.SAD.PE")</f>
        <v>ARPC.0004.00.2024.GOV.SAD.PE</v>
      </c>
      <c r="F279" s="3" t="s">
        <v>660</v>
      </c>
      <c r="G279" s="3"/>
      <c r="H279" s="9">
        <v>45638</v>
      </c>
      <c r="I279" s="3" t="s">
        <v>37</v>
      </c>
      <c r="J279" s="3" t="str">
        <f>VLOOKUP(A279,'TODOS OS PROCESSOS ATUALIZADOS '!A:I,7,0)</f>
        <v>Cancelada</v>
      </c>
      <c r="K279" s="3" t="s">
        <v>38</v>
      </c>
      <c r="L279" s="3" t="str">
        <f t="shared" si="1"/>
        <v>Item não atualizado</v>
      </c>
      <c r="M279" s="3"/>
      <c r="N279" s="3" t="s">
        <v>605</v>
      </c>
      <c r="O279" s="3"/>
    </row>
    <row r="280" spans="1:17" ht="22.5" customHeight="1" x14ac:dyDescent="0.2">
      <c r="A280" s="3" t="s">
        <v>661</v>
      </c>
      <c r="B280" s="3" t="str">
        <f ca="1">IFERROR(__xludf.DUMMYFUNCTION("REGEXEXTRACT(A280, ""\.(?:GOV|EXT)\.([A-Z0-9\-]+)"")
"),"FES-PE")</f>
        <v>FES-PE</v>
      </c>
      <c r="C280" s="3" t="s">
        <v>34</v>
      </c>
      <c r="D280" s="3" t="s">
        <v>35</v>
      </c>
      <c r="E280" s="14" t="str">
        <f ca="1">IFERROR(__xludf.DUMMYFUNCTION("REGEXEXTRACT(A280, ""-(.*)"")"),"ARP.0068.10.2024.GOV.FES-PE.PE")</f>
        <v>ARP.0068.10.2024.GOV.FES-PE.PE</v>
      </c>
      <c r="F280" s="6" t="s">
        <v>662</v>
      </c>
      <c r="G280" s="3"/>
      <c r="H280" s="9">
        <v>45639</v>
      </c>
      <c r="I280" s="3" t="s">
        <v>44</v>
      </c>
      <c r="J280" s="3" t="str">
        <f>VLOOKUP(A280,'TODOS OS PROCESSOS ATUALIZADOS '!A:I,7,0)</f>
        <v>Autorizada Sucesso</v>
      </c>
      <c r="K280" s="3" t="s">
        <v>44</v>
      </c>
      <c r="L280" s="3" t="str">
        <f t="shared" si="1"/>
        <v>Item atualizado</v>
      </c>
      <c r="M280" s="3"/>
      <c r="N280" s="3" t="s">
        <v>38</v>
      </c>
      <c r="O280" s="3" t="s">
        <v>663</v>
      </c>
      <c r="P280" s="3" t="s">
        <v>664</v>
      </c>
      <c r="Q280" s="3" t="s">
        <v>337</v>
      </c>
    </row>
    <row r="281" spans="1:17" ht="22.5" customHeight="1" x14ac:dyDescent="0.2">
      <c r="A281" s="3" t="s">
        <v>665</v>
      </c>
      <c r="B281" s="3" t="str">
        <f ca="1">IFERROR(__xludf.DUMMYFUNCTION("REGEXEXTRACT(A281, ""\.(?:GOV|EXT)\.([A-Z0-9\-]+)"")
"),"DASIS")</f>
        <v>DASIS</v>
      </c>
      <c r="C281" s="3" t="s">
        <v>34</v>
      </c>
      <c r="D281" s="3" t="s">
        <v>35</v>
      </c>
      <c r="E281" s="14" t="str">
        <f ca="1">IFERROR(__xludf.DUMMYFUNCTION("REGEXEXTRACT(A281, ""-(.*)"")"),"ARP.0012.01.2024.GOV.DASIS.PE")</f>
        <v>ARP.0012.01.2024.GOV.DASIS.PE</v>
      </c>
      <c r="F281" s="3" t="s">
        <v>666</v>
      </c>
      <c r="G281" s="3"/>
      <c r="H281" s="9">
        <v>45642</v>
      </c>
      <c r="I281" s="3" t="s">
        <v>37</v>
      </c>
      <c r="J281" s="3" t="str">
        <f>VLOOKUP(A281,'TODOS OS PROCESSOS ATUALIZADOS '!A:I,7,0)</f>
        <v>Cancelada</v>
      </c>
      <c r="K281" s="3" t="s">
        <v>38</v>
      </c>
      <c r="L281" s="3" t="str">
        <f t="shared" si="1"/>
        <v>Item não atualizado</v>
      </c>
      <c r="M281" s="3"/>
      <c r="N281" s="3" t="s">
        <v>605</v>
      </c>
      <c r="O281" s="3"/>
    </row>
    <row r="282" spans="1:17" ht="22.5" customHeight="1" x14ac:dyDescent="0.2">
      <c r="A282" s="3" t="s">
        <v>667</v>
      </c>
      <c r="B282" s="3" t="str">
        <f ca="1">IFERROR(__xludf.DUMMYFUNCTION("REGEXEXTRACT(A282, ""\.(?:GOV|EXT)\.([A-Z0-9\-]+)"")
"),"RS")</f>
        <v>RS</v>
      </c>
      <c r="C282" s="3" t="s">
        <v>34</v>
      </c>
      <c r="D282" s="3" t="s">
        <v>35</v>
      </c>
      <c r="E282" s="14" t="str">
        <f ca="1">IFERROR(__xludf.DUMMYFUNCTION("REGEXEXTRACT(A282, ""-(.*)"")"),"ARP.0001.00.2024.EXT.RS")</f>
        <v>ARP.0001.00.2024.EXT.RS</v>
      </c>
      <c r="F282" s="3" t="s">
        <v>668</v>
      </c>
      <c r="G282" s="3" t="s">
        <v>3</v>
      </c>
      <c r="H282" s="9">
        <v>45631</v>
      </c>
      <c r="I282" s="3" t="s">
        <v>37</v>
      </c>
      <c r="J282" s="3" t="str">
        <f>VLOOKUP(A282,'TODOS OS PROCESSOS ATUALIZADOS '!A:I,7,0)</f>
        <v>Cancelada</v>
      </c>
      <c r="K282" s="3" t="s">
        <v>38</v>
      </c>
      <c r="L282" s="3" t="str">
        <f t="shared" si="1"/>
        <v>Item não atualizado</v>
      </c>
      <c r="M282" s="3"/>
      <c r="N282" s="3" t="s">
        <v>605</v>
      </c>
      <c r="O282" s="3"/>
    </row>
    <row r="283" spans="1:17" ht="22.5" customHeight="1" x14ac:dyDescent="0.2">
      <c r="A283" s="3" t="s">
        <v>669</v>
      </c>
      <c r="B283" s="3" t="str">
        <f ca="1">IFERROR(__xludf.DUMMYFUNCTION("REGEXEXTRACT(A283, ""\.(?:GOV|EXT)\.([A-Z0-9\-]+)"")
"),"PROCAPE")</f>
        <v>PROCAPE</v>
      </c>
      <c r="C283" s="3" t="s">
        <v>34</v>
      </c>
      <c r="D283" s="3" t="s">
        <v>35</v>
      </c>
      <c r="E283" s="14" t="str">
        <f ca="1">IFERROR(__xludf.DUMMYFUNCTION("REGEXEXTRACT(A283, ""-(.*)"")"),"ARP.0084.02.2024.GOV.PROCAPE.PE")</f>
        <v>ARP.0084.02.2024.GOV.PROCAPE.PE</v>
      </c>
      <c r="F283" s="6" t="s">
        <v>127</v>
      </c>
      <c r="G283" s="3"/>
      <c r="H283" s="9">
        <v>45631</v>
      </c>
      <c r="I283" s="3" t="s">
        <v>44</v>
      </c>
      <c r="J283" s="3" t="str">
        <f>VLOOKUP(A283,'TODOS OS PROCESSOS ATUALIZADOS '!A:I,7,0)</f>
        <v>Autorizada Sucesso</v>
      </c>
      <c r="K283" s="3" t="s">
        <v>44</v>
      </c>
      <c r="L283" s="3" t="str">
        <f t="shared" si="1"/>
        <v>Item atualizado</v>
      </c>
      <c r="M283" s="3"/>
      <c r="N283" s="3" t="s">
        <v>44</v>
      </c>
      <c r="O283" s="3" t="s">
        <v>52</v>
      </c>
      <c r="P283" s="3" t="s">
        <v>670</v>
      </c>
    </row>
    <row r="284" spans="1:17" ht="22.5" customHeight="1" x14ac:dyDescent="0.2">
      <c r="A284" s="3" t="s">
        <v>671</v>
      </c>
      <c r="B284" s="3" t="str">
        <f ca="1">IFERROR(__xludf.DUMMYFUNCTION("REGEXEXTRACT(A284, ""\.(?:GOV|EXT)\.([A-Z0-9\-]+)"")
"),"PROCAPE")</f>
        <v>PROCAPE</v>
      </c>
      <c r="C284" s="3" t="s">
        <v>34</v>
      </c>
      <c r="D284" s="3" t="s">
        <v>35</v>
      </c>
      <c r="E284" s="14" t="str">
        <f ca="1">IFERROR(__xludf.DUMMYFUNCTION("REGEXEXTRACT(A284, ""-(.*)"")"),"ARP.0072.00.2024.GOV.PROCAPE.PE")</f>
        <v>ARP.0072.00.2024.GOV.PROCAPE.PE</v>
      </c>
      <c r="F284" s="6" t="s">
        <v>127</v>
      </c>
      <c r="G284" s="3"/>
      <c r="H284" s="9">
        <v>45635</v>
      </c>
      <c r="I284" s="3" t="s">
        <v>44</v>
      </c>
      <c r="J284" s="3" t="str">
        <f>VLOOKUP(A284,'TODOS OS PROCESSOS ATUALIZADOS '!A:I,7,0)</f>
        <v>Autorizada Sucesso</v>
      </c>
      <c r="K284" s="3" t="s">
        <v>44</v>
      </c>
      <c r="L284" s="3" t="str">
        <f t="shared" si="1"/>
        <v>Item atualizado</v>
      </c>
      <c r="M284" s="3"/>
      <c r="N284" s="3" t="s">
        <v>44</v>
      </c>
      <c r="O284" s="3" t="s">
        <v>52</v>
      </c>
      <c r="P284" s="3" t="s">
        <v>672</v>
      </c>
    </row>
    <row r="285" spans="1:17" ht="22.5" customHeight="1" x14ac:dyDescent="0.2">
      <c r="A285" s="3" t="s">
        <v>673</v>
      </c>
      <c r="B285" s="3" t="str">
        <f ca="1">IFERROR(__xludf.DUMMYFUNCTION("REGEXEXTRACT(A285, ""\.(?:GOV|EXT)\.([A-Z0-9\-]+)"")
"),"FES-PE")</f>
        <v>FES-PE</v>
      </c>
      <c r="C285" s="3" t="s">
        <v>34</v>
      </c>
      <c r="D285" s="3" t="s">
        <v>35</v>
      </c>
      <c r="E285" s="14" t="str">
        <f ca="1">IFERROR(__xludf.DUMMYFUNCTION("REGEXEXTRACT(A285, ""-(.*)"")"),"ARP.0068.09.2024.GOV.FES-PE.PE")</f>
        <v>ARP.0068.09.2024.GOV.FES-PE.PE</v>
      </c>
      <c r="F285" s="6" t="s">
        <v>662</v>
      </c>
      <c r="G285" s="3"/>
      <c r="H285" s="9">
        <v>45639</v>
      </c>
      <c r="I285" s="3" t="s">
        <v>44</v>
      </c>
      <c r="J285" s="3" t="str">
        <f>VLOOKUP(A285,'TODOS OS PROCESSOS ATUALIZADOS '!A:I,7,0)</f>
        <v>Autorizada Sucesso</v>
      </c>
      <c r="K285" s="3" t="s">
        <v>44</v>
      </c>
      <c r="L285" s="3" t="str">
        <f t="shared" si="1"/>
        <v>Item atualizado</v>
      </c>
      <c r="M285" s="3"/>
      <c r="N285" s="3" t="s">
        <v>38</v>
      </c>
      <c r="O285" s="3" t="s">
        <v>663</v>
      </c>
      <c r="P285" s="3" t="s">
        <v>674</v>
      </c>
      <c r="Q285" s="3" t="s">
        <v>337</v>
      </c>
    </row>
    <row r="286" spans="1:17" ht="22.5" customHeight="1" x14ac:dyDescent="0.2">
      <c r="A286" s="3" t="s">
        <v>675</v>
      </c>
      <c r="B286" s="3" t="str">
        <f ca="1">IFERROR(__xludf.DUMMYFUNCTION("REGEXEXTRACT(A286, ""\.(?:GOV|EXT)\.([A-Z0-9\-]+)"")
"),"HGV")</f>
        <v>HGV</v>
      </c>
      <c r="C286" s="3" t="s">
        <v>34</v>
      </c>
      <c r="D286" s="3" t="s">
        <v>35</v>
      </c>
      <c r="E286" s="14" t="str">
        <f ca="1">IFERROR(__xludf.DUMMYFUNCTION("REGEXEXTRACT(A286, ""-(.*)"")"),"ARP.0017.00.2024.GOV.HGV.PE")</f>
        <v>ARP.0017.00.2024.GOV.HGV.PE</v>
      </c>
      <c r="F286" s="3" t="s">
        <v>676</v>
      </c>
      <c r="G286" s="3"/>
      <c r="H286" s="9">
        <v>45695</v>
      </c>
      <c r="I286" s="3" t="s">
        <v>44</v>
      </c>
      <c r="J286" s="3" t="str">
        <f>VLOOKUP(A286,'TODOS OS PROCESSOS ATUALIZADOS '!A:I,7,0)</f>
        <v>Autorizada Sucesso</v>
      </c>
      <c r="K286" s="3" t="s">
        <v>44</v>
      </c>
      <c r="L286" s="3" t="str">
        <f t="shared" si="1"/>
        <v>Item atualizado</v>
      </c>
      <c r="M286" s="3"/>
      <c r="N286" s="3" t="s">
        <v>44</v>
      </c>
      <c r="O286" s="3" t="s">
        <v>52</v>
      </c>
      <c r="P286" s="3" t="s">
        <v>677</v>
      </c>
    </row>
    <row r="287" spans="1:17" ht="22.5" customHeight="1" x14ac:dyDescent="0.2">
      <c r="A287" s="3" t="s">
        <v>678</v>
      </c>
      <c r="B287" s="3" t="str">
        <f ca="1">IFERROR(__xludf.DUMMYFUNCTION("REGEXEXTRACT(A287, ""\.(?:GOV|EXT)\.([A-Z0-9\-]+)"")
"),"SASSEPE")</f>
        <v>SASSEPE</v>
      </c>
      <c r="C287" s="3" t="s">
        <v>34</v>
      </c>
      <c r="D287" s="3" t="s">
        <v>35</v>
      </c>
      <c r="E287" s="14" t="str">
        <f ca="1">IFERROR(__xludf.DUMMYFUNCTION("REGEXEXTRACT(A287, ""-(.*)"")"),"ARP.0009.07.2024.GOV.SASSEPE.PE")</f>
        <v>ARP.0009.07.2024.GOV.SASSEPE.PE</v>
      </c>
      <c r="F287" s="3" t="s">
        <v>679</v>
      </c>
      <c r="G287" s="3"/>
      <c r="H287" s="9">
        <v>45716</v>
      </c>
      <c r="I287" s="3" t="s">
        <v>44</v>
      </c>
      <c r="J287" s="3" t="str">
        <f>VLOOKUP(A287,'TODOS OS PROCESSOS ATUALIZADOS '!A:I,7,0)</f>
        <v>Autorizada Sucesso</v>
      </c>
      <c r="K287" s="3" t="s">
        <v>44</v>
      </c>
      <c r="L287" s="3" t="str">
        <f t="shared" si="1"/>
        <v>Item atualizado</v>
      </c>
      <c r="M287" s="3"/>
      <c r="N287" s="3" t="s">
        <v>44</v>
      </c>
      <c r="O287" s="3" t="s">
        <v>52</v>
      </c>
      <c r="P287" s="3" t="s">
        <v>680</v>
      </c>
    </row>
    <row r="288" spans="1:17" ht="22.5" customHeight="1" x14ac:dyDescent="0.2">
      <c r="A288" s="3" t="s">
        <v>681</v>
      </c>
      <c r="B288" s="3" t="str">
        <f ca="1">IFERROR(__xludf.DUMMYFUNCTION("REGEXEXTRACT(A288, ""\.(?:GOV|EXT)\.([A-Z0-9\-]+)"")
"),"HR")</f>
        <v>HR</v>
      </c>
      <c r="C288" s="3" t="s">
        <v>34</v>
      </c>
      <c r="D288" s="3" t="s">
        <v>35</v>
      </c>
      <c r="E288" s="14" t="str">
        <f ca="1">IFERROR(__xludf.DUMMYFUNCTION("REGEXEXTRACT(A288, ""-(.*)"")"),"ARP.0003.00.2025.GOV.HR.PE")</f>
        <v>ARP.0003.00.2025.GOV.HR.PE</v>
      </c>
      <c r="F288" s="3" t="s">
        <v>682</v>
      </c>
      <c r="G288" s="3"/>
      <c r="H288" s="9">
        <v>45714</v>
      </c>
      <c r="I288" s="3" t="s">
        <v>44</v>
      </c>
      <c r="J288" s="3" t="str">
        <f>VLOOKUP(A288,'TODOS OS PROCESSOS ATUALIZADOS '!A:I,7,0)</f>
        <v>Autorizada Sucesso</v>
      </c>
      <c r="K288" s="3" t="s">
        <v>44</v>
      </c>
      <c r="L288" s="3" t="str">
        <f t="shared" si="1"/>
        <v>Item atualizado</v>
      </c>
      <c r="M288" s="3"/>
      <c r="N288" s="3" t="s">
        <v>44</v>
      </c>
      <c r="O288" s="3" t="s">
        <v>52</v>
      </c>
      <c r="P288" s="3" t="s">
        <v>615</v>
      </c>
    </row>
    <row r="289" spans="1:17" ht="22.5" customHeight="1" x14ac:dyDescent="0.2">
      <c r="A289" s="3" t="s">
        <v>683</v>
      </c>
      <c r="B289" s="3" t="str">
        <f ca="1">IFERROR(__xludf.DUMMYFUNCTION("REGEXEXTRACT(A289, ""\.(?:GOV|EXT)\.([A-Z0-9\-]+)"")
"),"HUOC")</f>
        <v>HUOC</v>
      </c>
      <c r="C289" s="3" t="s">
        <v>34</v>
      </c>
      <c r="D289" s="3" t="s">
        <v>35</v>
      </c>
      <c r="E289" s="14" t="str">
        <f ca="1">IFERROR(__xludf.DUMMYFUNCTION("REGEXEXTRACT(A289, ""-(.*)"")"),"ARP.0110.03.2024.GOV.HUOC.PE")</f>
        <v>ARP.0110.03.2024.GOV.HUOC.PE</v>
      </c>
      <c r="F289" s="3" t="s">
        <v>351</v>
      </c>
      <c r="G289" s="3"/>
      <c r="H289" s="9">
        <v>45712</v>
      </c>
      <c r="I289" s="3" t="s">
        <v>44</v>
      </c>
      <c r="J289" s="3" t="str">
        <f>VLOOKUP(A289,'TODOS OS PROCESSOS ATUALIZADOS '!A:I,7,0)</f>
        <v>Autorizada Sucesso</v>
      </c>
      <c r="K289" s="3" t="s">
        <v>44</v>
      </c>
      <c r="L289" s="3" t="str">
        <f t="shared" si="1"/>
        <v>Item atualizado</v>
      </c>
      <c r="M289" s="3"/>
      <c r="N289" s="3" t="s">
        <v>44</v>
      </c>
      <c r="O289" s="3" t="s">
        <v>52</v>
      </c>
      <c r="P289" s="3" t="s">
        <v>684</v>
      </c>
    </row>
    <row r="290" spans="1:17" ht="22.5" customHeight="1" x14ac:dyDescent="0.2">
      <c r="A290" s="3" t="s">
        <v>685</v>
      </c>
      <c r="B290" s="3" t="str">
        <f ca="1">IFERROR(__xludf.DUMMYFUNCTION("REGEXEXTRACT(A290, ""\.(?:GOV|EXT)\.([A-Z0-9\-]+)"")
"),"HUOC")</f>
        <v>HUOC</v>
      </c>
      <c r="C290" s="3" t="s">
        <v>34</v>
      </c>
      <c r="D290" s="3" t="s">
        <v>35</v>
      </c>
      <c r="E290" s="14" t="str">
        <f ca="1">IFERROR(__xludf.DUMMYFUNCTION("REGEXEXTRACT(A290, ""-(.*)"")"),"ARP.0110.01.2024.GOV.HUOC.PE")</f>
        <v>ARP.0110.01.2024.GOV.HUOC.PE</v>
      </c>
      <c r="F290" s="3" t="s">
        <v>351</v>
      </c>
      <c r="G290" s="3"/>
      <c r="H290" s="9">
        <v>45707</v>
      </c>
      <c r="I290" s="3" t="s">
        <v>44</v>
      </c>
      <c r="J290" s="3" t="str">
        <f>VLOOKUP(A290,'TODOS OS PROCESSOS ATUALIZADOS '!A:I,7,0)</f>
        <v>Autorizada Sucesso</v>
      </c>
      <c r="K290" s="3" t="s">
        <v>44</v>
      </c>
      <c r="L290" s="3" t="str">
        <f t="shared" si="1"/>
        <v>Item atualizado</v>
      </c>
      <c r="M290" s="3"/>
      <c r="N290" s="3" t="s">
        <v>44</v>
      </c>
      <c r="O290" s="3" t="s">
        <v>52</v>
      </c>
      <c r="P290" s="3" t="s">
        <v>686</v>
      </c>
    </row>
    <row r="291" spans="1:17" ht="22.5" customHeight="1" x14ac:dyDescent="0.2">
      <c r="A291" s="3" t="s">
        <v>687</v>
      </c>
      <c r="B291" s="3" t="str">
        <f ca="1">IFERROR(__xludf.DUMMYFUNCTION("REGEXEXTRACT(A291, ""\.(?:GOV|EXT)\.([A-Z0-9\-]+)"")
"),"HUOC")</f>
        <v>HUOC</v>
      </c>
      <c r="C291" s="3" t="s">
        <v>34</v>
      </c>
      <c r="D291" s="3" t="s">
        <v>35</v>
      </c>
      <c r="E291" s="14" t="str">
        <f ca="1">IFERROR(__xludf.DUMMYFUNCTION("REGEXEXTRACT(A291, ""-(.*)"")"),"ARP.0087.05.2024.GOV.HUOC.PE")</f>
        <v>ARP.0087.05.2024.GOV.HUOC.PE</v>
      </c>
      <c r="F291" s="3" t="s">
        <v>688</v>
      </c>
      <c r="G291" s="3"/>
      <c r="H291" s="9">
        <v>45698</v>
      </c>
      <c r="I291" s="3" t="s">
        <v>44</v>
      </c>
      <c r="J291" s="3" t="str">
        <f>VLOOKUP(A291,'TODOS OS PROCESSOS ATUALIZADOS '!A:I,7,0)</f>
        <v>Autorizada Sucesso</v>
      </c>
      <c r="K291" s="3" t="s">
        <v>44</v>
      </c>
      <c r="L291" s="3" t="str">
        <f t="shared" si="1"/>
        <v>Item atualizado</v>
      </c>
      <c r="M291" s="3"/>
      <c r="N291" s="3" t="s">
        <v>44</v>
      </c>
      <c r="O291" s="3" t="s">
        <v>52</v>
      </c>
      <c r="P291" s="3" t="s">
        <v>689</v>
      </c>
    </row>
    <row r="292" spans="1:17" ht="22.5" customHeight="1" x14ac:dyDescent="0.2">
      <c r="A292" s="3" t="s">
        <v>690</v>
      </c>
      <c r="B292" s="3" t="str">
        <f ca="1">IFERROR(__xludf.DUMMYFUNCTION("REGEXEXTRACT(A292, ""\.(?:GOV|EXT)\.([A-Z0-9\-]+)"")
"),"FES-PE")</f>
        <v>FES-PE</v>
      </c>
      <c r="C292" s="3" t="s">
        <v>34</v>
      </c>
      <c r="D292" s="3" t="s">
        <v>35</v>
      </c>
      <c r="E292" s="14" t="str">
        <f ca="1">IFERROR(__xludf.DUMMYFUNCTION("REGEXEXTRACT(A292, ""-(.*)"")"),"ARP.0034.01.2024.GOV.FES-PE.PE")</f>
        <v>ARP.0034.01.2024.GOV.FES-PE.PE</v>
      </c>
      <c r="F292" s="3" t="s">
        <v>691</v>
      </c>
      <c r="G292" s="3" t="s">
        <v>2</v>
      </c>
      <c r="H292" s="9">
        <v>45687</v>
      </c>
      <c r="I292" s="3" t="s">
        <v>37</v>
      </c>
      <c r="J292" s="3" t="str">
        <f>VLOOKUP(A292,'TODOS OS PROCESSOS ATUALIZADOS '!A:I,7,0)</f>
        <v>Cancelada</v>
      </c>
      <c r="K292" s="3" t="s">
        <v>38</v>
      </c>
      <c r="L292" s="3" t="str">
        <f t="shared" si="1"/>
        <v>Item não atualizado</v>
      </c>
      <c r="M292" s="3"/>
      <c r="N292" s="3" t="s">
        <v>38</v>
      </c>
      <c r="O292" s="3" t="s">
        <v>39</v>
      </c>
    </row>
    <row r="293" spans="1:17" ht="22.5" customHeight="1" x14ac:dyDescent="0.2">
      <c r="A293" s="3" t="s">
        <v>692</v>
      </c>
      <c r="B293" s="3" t="str">
        <f ca="1">IFERROR(__xludf.DUMMYFUNCTION("REGEXEXTRACT(A293, ""\.(?:GOV|EXT)\.([A-Z0-9\-]+)"")
"),"HMAR")</f>
        <v>HMAR</v>
      </c>
      <c r="C293" s="3" t="s">
        <v>34</v>
      </c>
      <c r="D293" s="3" t="s">
        <v>35</v>
      </c>
      <c r="E293" s="14" t="str">
        <f ca="1">IFERROR(__xludf.DUMMYFUNCTION("REGEXEXTRACT(A293, ""-(.*)"")"),"ARP.0010.00.2024.EXT.HMAR.PE")</f>
        <v>ARP.0010.00.2024.EXT.HMAR.PE</v>
      </c>
      <c r="F293" s="6" t="s">
        <v>693</v>
      </c>
      <c r="G293" s="3"/>
      <c r="H293" s="9">
        <v>45630</v>
      </c>
      <c r="I293" s="3" t="s">
        <v>44</v>
      </c>
      <c r="J293" s="3" t="str">
        <f>VLOOKUP(A293,'TODOS OS PROCESSOS ATUALIZADOS '!A:I,7,0)</f>
        <v>Autorizada Integrado</v>
      </c>
      <c r="K293" s="3" t="s">
        <v>44</v>
      </c>
      <c r="L293" s="3" t="str">
        <f t="shared" si="1"/>
        <v>Item atualizado</v>
      </c>
      <c r="M293" s="3"/>
      <c r="N293" s="3" t="s">
        <v>44</v>
      </c>
      <c r="O293" s="3" t="s">
        <v>52</v>
      </c>
      <c r="P293" s="3" t="s">
        <v>694</v>
      </c>
    </row>
    <row r="294" spans="1:17" ht="22.5" customHeight="1" x14ac:dyDescent="0.2">
      <c r="A294" s="3" t="s">
        <v>695</v>
      </c>
      <c r="B294" s="3" t="str">
        <f ca="1">IFERROR(__xludf.DUMMYFUNCTION("REGEXEXTRACT(A294, ""\.(?:GOV|EXT)\.([A-Z0-9\-]+)"")
"),"HUOC")</f>
        <v>HUOC</v>
      </c>
      <c r="C294" s="3" t="s">
        <v>34</v>
      </c>
      <c r="D294" s="3" t="s">
        <v>35</v>
      </c>
      <c r="E294" s="14" t="str">
        <f ca="1">IFERROR(__xludf.DUMMYFUNCTION("REGEXEXTRACT(A294, ""-(.*)"")"),"ARP.0107.05.2024.GOV.HUOC.PE")</f>
        <v>ARP.0107.05.2024.GOV.HUOC.PE</v>
      </c>
      <c r="F294" s="3" t="s">
        <v>696</v>
      </c>
      <c r="G294" s="3"/>
      <c r="H294" s="9">
        <v>45702</v>
      </c>
      <c r="I294" s="3" t="s">
        <v>44</v>
      </c>
      <c r="J294" s="3" t="str">
        <f>VLOOKUP(A294,'TODOS OS PROCESSOS ATUALIZADOS '!A:I,7,0)</f>
        <v>Autorizada Sucesso</v>
      </c>
      <c r="K294" s="3" t="s">
        <v>44</v>
      </c>
      <c r="L294" s="3" t="str">
        <f t="shared" si="1"/>
        <v>Item atualizado</v>
      </c>
      <c r="M294" s="3"/>
      <c r="N294" s="3" t="s">
        <v>44</v>
      </c>
      <c r="O294" s="3" t="s">
        <v>52</v>
      </c>
      <c r="P294" s="3" t="s">
        <v>652</v>
      </c>
    </row>
    <row r="295" spans="1:17" ht="22.5" customHeight="1" x14ac:dyDescent="0.2">
      <c r="A295" s="3" t="s">
        <v>697</v>
      </c>
      <c r="B295" s="3" t="str">
        <f ca="1">IFERROR(__xludf.DUMMYFUNCTION("REGEXEXTRACT(A295, ""\.(?:GOV|EXT)\.([A-Z0-9\-]+)"")
"),"HUOC")</f>
        <v>HUOC</v>
      </c>
      <c r="C295" s="3" t="s">
        <v>34</v>
      </c>
      <c r="D295" s="3" t="s">
        <v>35</v>
      </c>
      <c r="E295" s="14" t="str">
        <f ca="1">IFERROR(__xludf.DUMMYFUNCTION("REGEXEXTRACT(A295, ""-(.*)"")"),"ARP.0087.05.2024.GOV.HUOC.PE")</f>
        <v>ARP.0087.05.2024.GOV.HUOC.PE</v>
      </c>
      <c r="F295" s="3" t="s">
        <v>688</v>
      </c>
      <c r="G295" s="3"/>
      <c r="H295" s="9">
        <v>45695</v>
      </c>
      <c r="I295" s="3" t="s">
        <v>37</v>
      </c>
      <c r="J295" s="3" t="str">
        <f>VLOOKUP(A295,'TODOS OS PROCESSOS ATUALIZADOS '!A:I,7,0)</f>
        <v>Cancelada</v>
      </c>
      <c r="K295" s="3" t="s">
        <v>38</v>
      </c>
      <c r="L295" s="3" t="str">
        <f t="shared" si="1"/>
        <v>Item não atualizado</v>
      </c>
      <c r="M295" s="3"/>
      <c r="N295" s="3" t="s">
        <v>38</v>
      </c>
      <c r="O295" s="3" t="s">
        <v>39</v>
      </c>
    </row>
    <row r="296" spans="1:17" ht="22.5" customHeight="1" x14ac:dyDescent="0.2">
      <c r="A296" s="3" t="s">
        <v>698</v>
      </c>
      <c r="B296" s="3" t="str">
        <f ca="1">IFERROR(__xludf.DUMMYFUNCTION("REGEXEXTRACT(A296, ""\.(?:GOV|EXT)\.([A-Z0-9\-]+)"")
"),"HR")</f>
        <v>HR</v>
      </c>
      <c r="C296" s="3" t="s">
        <v>34</v>
      </c>
      <c r="D296" s="3" t="s">
        <v>35</v>
      </c>
      <c r="E296" s="14" t="str">
        <f ca="1">IFERROR(__xludf.DUMMYFUNCTION("REGEXEXTRACT(A296, ""-(.*)"")"),"ARP.0045.00.2024.GOV.HR.PE")</f>
        <v>ARP.0045.00.2024.GOV.HR.PE</v>
      </c>
      <c r="F296" s="3" t="s">
        <v>239</v>
      </c>
      <c r="G296" s="3"/>
      <c r="H296" s="9">
        <v>45712</v>
      </c>
      <c r="I296" s="3" t="s">
        <v>44</v>
      </c>
      <c r="J296" s="3" t="str">
        <f>VLOOKUP(A296,'TODOS OS PROCESSOS ATUALIZADOS '!A:I,7,0)</f>
        <v>Autorizada Sucesso</v>
      </c>
      <c r="K296" s="3" t="s">
        <v>44</v>
      </c>
      <c r="L296" s="3" t="str">
        <f t="shared" si="1"/>
        <v>Item atualizado</v>
      </c>
      <c r="M296" s="3"/>
      <c r="N296" s="3" t="s">
        <v>44</v>
      </c>
      <c r="O296" s="3" t="s">
        <v>52</v>
      </c>
      <c r="P296" s="3" t="s">
        <v>699</v>
      </c>
    </row>
    <row r="297" spans="1:17" ht="22.5" customHeight="1" x14ac:dyDescent="0.2">
      <c r="A297" s="3" t="s">
        <v>700</v>
      </c>
      <c r="B297" s="3" t="str">
        <f ca="1">IFERROR(__xludf.DUMMYFUNCTION("REGEXEXTRACT(A297, ""\.(?:GOV|EXT)\.([A-Z0-9\-]+)"")
"),"RS")</f>
        <v>RS</v>
      </c>
      <c r="C297" s="3" t="s">
        <v>34</v>
      </c>
      <c r="D297" s="3" t="s">
        <v>35</v>
      </c>
      <c r="E297" s="14" t="str">
        <f ca="1">IFERROR(__xludf.DUMMYFUNCTION("REGEXEXTRACT(A297, ""-(.*)"")"),"ARP.0001.00.2024.EXT.RS")</f>
        <v>ARP.0001.00.2024.EXT.RS</v>
      </c>
      <c r="F297" s="6" t="s">
        <v>701</v>
      </c>
      <c r="G297" s="3"/>
      <c r="H297" s="9">
        <v>45730</v>
      </c>
      <c r="I297" s="3" t="s">
        <v>44</v>
      </c>
      <c r="J297" s="3" t="str">
        <f>VLOOKUP(A297,'TODOS OS PROCESSOS ATUALIZADOS '!A:I,7,0)</f>
        <v>Autorizada Integrado</v>
      </c>
      <c r="K297" s="3" t="s">
        <v>44</v>
      </c>
      <c r="L297" s="3" t="str">
        <f t="shared" si="1"/>
        <v>Item atualizado</v>
      </c>
      <c r="M297" s="3"/>
      <c r="N297" s="3" t="s">
        <v>38</v>
      </c>
      <c r="O297" s="3" t="s">
        <v>56</v>
      </c>
      <c r="P297" s="3" t="s">
        <v>702</v>
      </c>
    </row>
    <row r="298" spans="1:17" ht="22.5" customHeight="1" x14ac:dyDescent="0.2">
      <c r="A298" s="3" t="s">
        <v>703</v>
      </c>
      <c r="B298" s="3" t="str">
        <f ca="1">IFERROR(__xludf.DUMMYFUNCTION("REGEXEXTRACT(A298, ""\.(?:GOV|EXT)\.([A-Z0-9\-]+)"")
"),"HUOC")</f>
        <v>HUOC</v>
      </c>
      <c r="C298" s="3" t="s">
        <v>34</v>
      </c>
      <c r="D298" s="3" t="s">
        <v>35</v>
      </c>
      <c r="E298" s="14" t="str">
        <f ca="1">IFERROR(__xludf.DUMMYFUNCTION("REGEXEXTRACT(A298, ""-(.*)"")"),"ARP.0110.08.2024.GOV.HUOC.PE")</f>
        <v>ARP.0110.08.2024.GOV.HUOC.PE</v>
      </c>
      <c r="F298" s="3" t="s">
        <v>351</v>
      </c>
      <c r="G298" s="3"/>
      <c r="H298" s="9">
        <v>45636</v>
      </c>
      <c r="I298" s="3" t="s">
        <v>37</v>
      </c>
      <c r="J298" s="3" t="str">
        <f>VLOOKUP(A298,'TODOS OS PROCESSOS ATUALIZADOS '!A:I,7,0)</f>
        <v>Cancelada Sucesso</v>
      </c>
      <c r="K298" s="3" t="s">
        <v>38</v>
      </c>
      <c r="L298" s="3" t="str">
        <f t="shared" si="1"/>
        <v>Item atualizado</v>
      </c>
      <c r="M298" s="3"/>
      <c r="N298" s="3" t="s">
        <v>605</v>
      </c>
      <c r="O298" s="3"/>
    </row>
    <row r="299" spans="1:17" ht="22.5" customHeight="1" x14ac:dyDescent="0.2">
      <c r="A299" s="3" t="s">
        <v>704</v>
      </c>
      <c r="B299" s="3" t="str">
        <f ca="1">IFERROR(__xludf.DUMMYFUNCTION("REGEXEXTRACT(A299, ""\.(?:GOV|EXT)\.([A-Z0-9\-]+)"")
"),"HUOC")</f>
        <v>HUOC</v>
      </c>
      <c r="C299" s="3" t="s">
        <v>34</v>
      </c>
      <c r="D299" s="3" t="s">
        <v>35</v>
      </c>
      <c r="E299" s="14" t="str">
        <f ca="1">IFERROR(__xludf.DUMMYFUNCTION("REGEXEXTRACT(A299, ""-(.*)"")"),"ARP.0107.01.2024.GOV.HUOC.PE")</f>
        <v>ARP.0107.01.2024.GOV.HUOC.PE</v>
      </c>
      <c r="F299" s="3" t="s">
        <v>696</v>
      </c>
      <c r="G299" s="3"/>
      <c r="H299" s="9">
        <v>45708</v>
      </c>
      <c r="I299" s="3" t="s">
        <v>44</v>
      </c>
      <c r="J299" s="3" t="str">
        <f>VLOOKUP(A299,'TODOS OS PROCESSOS ATUALIZADOS '!A:I,7,0)</f>
        <v>Autorizada Sucesso</v>
      </c>
      <c r="K299" s="3" t="s">
        <v>44</v>
      </c>
      <c r="L299" s="3" t="str">
        <f t="shared" si="1"/>
        <v>Item atualizado</v>
      </c>
      <c r="M299" s="3"/>
      <c r="N299" s="3" t="s">
        <v>44</v>
      </c>
      <c r="O299" s="3" t="s">
        <v>52</v>
      </c>
      <c r="P299" s="3" t="s">
        <v>705</v>
      </c>
    </row>
    <row r="300" spans="1:17" ht="22.5" customHeight="1" x14ac:dyDescent="0.2">
      <c r="A300" s="3" t="s">
        <v>706</v>
      </c>
      <c r="B300" s="3" t="str">
        <f ca="1">IFERROR(__xludf.DUMMYFUNCTION("REGEXEXTRACT(A300, ""\.(?:GOV|EXT)\.([A-Z0-9\-]+)"")
"),"HGV")</f>
        <v>HGV</v>
      </c>
      <c r="C300" s="3" t="s">
        <v>34</v>
      </c>
      <c r="D300" s="3" t="s">
        <v>35</v>
      </c>
      <c r="E300" s="14" t="str">
        <f ca="1">IFERROR(__xludf.DUMMYFUNCTION("REGEXEXTRACT(A300, ""-(.*)"")"),"ARP.0021.00.2024.GOV.HGV.PE")</f>
        <v>ARP.0021.00.2024.GOV.HGV.PE</v>
      </c>
      <c r="F300" s="3" t="s">
        <v>481</v>
      </c>
      <c r="G300" s="3"/>
      <c r="H300" s="9">
        <v>45733</v>
      </c>
      <c r="I300" s="3" t="s">
        <v>44</v>
      </c>
      <c r="J300" s="3" t="str">
        <f>VLOOKUP(A300,'TODOS OS PROCESSOS ATUALIZADOS '!A:I,7,0)</f>
        <v>Autorizada Sucesso</v>
      </c>
      <c r="K300" s="3" t="s">
        <v>44</v>
      </c>
      <c r="L300" s="3" t="str">
        <f t="shared" si="1"/>
        <v>Item atualizado</v>
      </c>
      <c r="M300" s="3"/>
      <c r="N300" s="3" t="s">
        <v>44</v>
      </c>
      <c r="O300" s="3" t="s">
        <v>52</v>
      </c>
      <c r="P300" s="3" t="s">
        <v>707</v>
      </c>
    </row>
    <row r="301" spans="1:17" ht="22.5" customHeight="1" x14ac:dyDescent="0.2">
      <c r="A301" s="3" t="s">
        <v>708</v>
      </c>
      <c r="B301" s="3" t="str">
        <f ca="1">IFERROR(__xludf.DUMMYFUNCTION("REGEXEXTRACT(A301, ""\.(?:GOV|EXT)\.([A-Z0-9\-]+)"")
"),"HAM")</f>
        <v>HAM</v>
      </c>
      <c r="C301" s="3" t="s">
        <v>34</v>
      </c>
      <c r="D301" s="3" t="s">
        <v>35</v>
      </c>
      <c r="E301" s="14" t="str">
        <f ca="1">IFERROR(__xludf.DUMMYFUNCTION("REGEXEXTRACT(A301, ""-(.*)"")"),"ARP.0011.00.2025.GOV.HAM.PE")</f>
        <v>ARP.0011.00.2025.GOV.HAM.PE</v>
      </c>
      <c r="F301" s="3" t="s">
        <v>102</v>
      </c>
      <c r="G301" s="3" t="s">
        <v>3</v>
      </c>
      <c r="H301" s="9">
        <v>45735</v>
      </c>
      <c r="I301" s="3" t="s">
        <v>37</v>
      </c>
      <c r="J301" s="3" t="str">
        <f>VLOOKUP(A301,'TODOS OS PROCESSOS ATUALIZADOS '!A:I,7,0)</f>
        <v>Cancelada</v>
      </c>
      <c r="K301" s="3" t="s">
        <v>38</v>
      </c>
      <c r="L301" s="3" t="str">
        <f t="shared" si="1"/>
        <v>Item não atualizado</v>
      </c>
      <c r="M301" s="3" t="s">
        <v>8</v>
      </c>
      <c r="N301" s="3" t="s">
        <v>38</v>
      </c>
      <c r="O301" s="3" t="s">
        <v>39</v>
      </c>
    </row>
    <row r="302" spans="1:17" ht="22.5" customHeight="1" x14ac:dyDescent="0.2">
      <c r="A302" s="32" t="s">
        <v>709</v>
      </c>
      <c r="B302" s="3" t="str">
        <f ca="1">IFERROR(__xludf.DUMMYFUNCTION("REGEXEXTRACT(A302, ""\.(?:GOV|EXT)\.([A-Z0-9\-]+)"")
"),"FUNDARPE")</f>
        <v>FUNDARPE</v>
      </c>
      <c r="C302" s="3" t="s">
        <v>34</v>
      </c>
      <c r="D302" s="3" t="s">
        <v>35</v>
      </c>
      <c r="E302" s="14" t="str">
        <f ca="1">IFERROR(__xludf.DUMMYFUNCTION("REGEXEXTRACT(A302, ""-(.*)"")"),"ARP.0002.01.2024.GOV.FUNDARPE.PE")</f>
        <v>ARP.0002.01.2024.GOV.FUNDARPE.PE</v>
      </c>
      <c r="F302" s="6" t="s">
        <v>710</v>
      </c>
      <c r="G302" s="3" t="s">
        <v>2</v>
      </c>
      <c r="H302" s="9">
        <v>45618</v>
      </c>
      <c r="I302" s="3" t="s">
        <v>44</v>
      </c>
      <c r="J302" s="3" t="str">
        <f>VLOOKUP(A302,'TODOS OS PROCESSOS ATUALIZADOS '!A:I,7,0)</f>
        <v>Autorizada Sucesso</v>
      </c>
      <c r="K302" s="3" t="s">
        <v>44</v>
      </c>
      <c r="L302" s="3" t="str">
        <f t="shared" si="1"/>
        <v>Item atualizado</v>
      </c>
      <c r="M302" s="3" t="s">
        <v>6</v>
      </c>
      <c r="N302" s="3" t="s">
        <v>605</v>
      </c>
      <c r="O302" s="3" t="s">
        <v>56</v>
      </c>
      <c r="P302" s="3" t="s">
        <v>711</v>
      </c>
      <c r="Q302" s="3" t="s">
        <v>712</v>
      </c>
    </row>
    <row r="303" spans="1:17" ht="22.5" customHeight="1" x14ac:dyDescent="0.2">
      <c r="A303" s="32" t="s">
        <v>713</v>
      </c>
      <c r="B303" s="3" t="str">
        <f ca="1">IFERROR(__xludf.DUMMYFUNCTION("REGEXEXTRACT(A303, ""\.(?:GOV|EXT)\.([A-Z0-9\-]+)"")
"),"UPECMN")</f>
        <v>UPECMN</v>
      </c>
      <c r="C303" s="3" t="s">
        <v>34</v>
      </c>
      <c r="D303" s="3" t="s">
        <v>35</v>
      </c>
      <c r="E303" s="14" t="str">
        <f ca="1">IFERROR(__xludf.DUMMYFUNCTION("REGEXEXTRACT(A303, ""-(.*)"")"),"ARP.0005.00.2024.GOV.UPECMN.PE")</f>
        <v>ARP.0005.00.2024.GOV.UPECMN.PE</v>
      </c>
      <c r="F303" s="6" t="s">
        <v>714</v>
      </c>
      <c r="G303" s="3" t="s">
        <v>2</v>
      </c>
      <c r="H303" s="9">
        <v>45601</v>
      </c>
      <c r="I303" s="3" t="s">
        <v>44</v>
      </c>
      <c r="J303" s="3" t="str">
        <f>VLOOKUP(A303,'TODOS OS PROCESSOS ATUALIZADOS '!A:I,7,0)</f>
        <v>Autorizada Sucesso</v>
      </c>
      <c r="K303" s="3" t="s">
        <v>44</v>
      </c>
      <c r="L303" s="3" t="str">
        <f t="shared" si="1"/>
        <v>Item atualizado</v>
      </c>
      <c r="M303" s="3" t="s">
        <v>12</v>
      </c>
      <c r="N303" s="3" t="s">
        <v>605</v>
      </c>
      <c r="O303" s="3" t="s">
        <v>87</v>
      </c>
      <c r="P303" s="3" t="s">
        <v>715</v>
      </c>
      <c r="Q303" s="3" t="s">
        <v>610</v>
      </c>
    </row>
    <row r="304" spans="1:17" ht="22.5" customHeight="1" x14ac:dyDescent="0.2">
      <c r="A304" s="32" t="s">
        <v>716</v>
      </c>
      <c r="B304" s="3" t="str">
        <f ca="1">IFERROR(__xludf.DUMMYFUNCTION("REGEXEXTRACT(A304, ""\.(?:GOV|EXT)\.([A-Z0-9\-]+)"")
"),"HR")</f>
        <v>HR</v>
      </c>
      <c r="C304" s="3" t="s">
        <v>34</v>
      </c>
      <c r="D304" s="3" t="s">
        <v>35</v>
      </c>
      <c r="E304" s="14" t="str">
        <f ca="1">IFERROR(__xludf.DUMMYFUNCTION("REGEXEXTRACT(A304, ""-(.*)"")"),"ARP.0024.00.2024.GOV.HR.PE")</f>
        <v>ARP.0024.00.2024.GOV.HR.PE</v>
      </c>
      <c r="F304" s="6" t="s">
        <v>717</v>
      </c>
      <c r="G304" s="3" t="s">
        <v>3</v>
      </c>
      <c r="H304" s="9">
        <v>45573</v>
      </c>
      <c r="I304" s="3" t="s">
        <v>44</v>
      </c>
      <c r="J304" s="3" t="str">
        <f>VLOOKUP(A304,'TODOS OS PROCESSOS ATUALIZADOS '!A:I,7,0)</f>
        <v>Autorizada Sucesso</v>
      </c>
      <c r="K304" s="3" t="s">
        <v>44</v>
      </c>
      <c r="L304" s="3" t="str">
        <f t="shared" si="1"/>
        <v>Item atualizado</v>
      </c>
      <c r="M304" s="3" t="s">
        <v>14</v>
      </c>
      <c r="N304" s="3" t="s">
        <v>605</v>
      </c>
      <c r="O304" s="3" t="s">
        <v>87</v>
      </c>
      <c r="P304" s="3" t="s">
        <v>718</v>
      </c>
      <c r="Q304" s="3" t="s">
        <v>610</v>
      </c>
    </row>
    <row r="305" spans="1:17" ht="22.5" customHeight="1" x14ac:dyDescent="0.2">
      <c r="A305" s="3" t="s">
        <v>719</v>
      </c>
      <c r="B305" s="3" t="str">
        <f ca="1">IFERROR(__xludf.DUMMYFUNCTION("REGEXEXTRACT(A305, ""\.(?:GOV|EXT)\.([A-Z0-9\-]+)"")
"),"SASSEPE")</f>
        <v>SASSEPE</v>
      </c>
      <c r="C305" s="3" t="s">
        <v>34</v>
      </c>
      <c r="D305" s="3" t="s">
        <v>35</v>
      </c>
      <c r="E305" s="14" t="str">
        <f ca="1">IFERROR(__xludf.DUMMYFUNCTION("REGEXEXTRACT(A305, ""-(.*)"")"),"ARP.0002.02.2024.GOV.SASSEPE.PE")</f>
        <v>ARP.0002.02.2024.GOV.SASSEPE.PE</v>
      </c>
      <c r="F305" s="3" t="s">
        <v>720</v>
      </c>
      <c r="G305" s="3"/>
      <c r="H305" s="9">
        <v>45621</v>
      </c>
      <c r="I305" s="3" t="s">
        <v>37</v>
      </c>
      <c r="J305" s="3" t="str">
        <f>VLOOKUP(A305,'TODOS OS PROCESSOS ATUALIZADOS '!A:I,7,0)</f>
        <v>Cancelada</v>
      </c>
      <c r="K305" s="3" t="s">
        <v>38</v>
      </c>
      <c r="L305" s="3" t="str">
        <f t="shared" si="1"/>
        <v>Item não atualizado</v>
      </c>
      <c r="M305" s="3"/>
      <c r="N305" s="3" t="s">
        <v>605</v>
      </c>
      <c r="O305" s="3"/>
    </row>
    <row r="306" spans="1:17" ht="22.5" customHeight="1" x14ac:dyDescent="0.2">
      <c r="A306" s="3" t="s">
        <v>721</v>
      </c>
      <c r="B306" s="3" t="str">
        <f ca="1">IFERROR(__xludf.DUMMYFUNCTION("REGEXEXTRACT(A306, ""\.(?:GOV|EXT)\.([A-Z0-9\-]+)"")
"),"SASSEPE")</f>
        <v>SASSEPE</v>
      </c>
      <c r="C306" s="3" t="s">
        <v>34</v>
      </c>
      <c r="D306" s="3" t="s">
        <v>35</v>
      </c>
      <c r="E306" s="14" t="str">
        <f ca="1">IFERROR(__xludf.DUMMYFUNCTION("REGEXEXTRACT(A306, ""-(.*)"")"),"ARP.0002.02.2024.GOV.SASSEPE.PE")</f>
        <v>ARP.0002.02.2024.GOV.SASSEPE.PE</v>
      </c>
      <c r="F306" s="3" t="s">
        <v>720</v>
      </c>
      <c r="G306" s="3"/>
      <c r="H306" s="9">
        <v>45621</v>
      </c>
      <c r="I306" s="3" t="s">
        <v>37</v>
      </c>
      <c r="J306" s="3" t="str">
        <f>VLOOKUP(A306,'TODOS OS PROCESSOS ATUALIZADOS '!A:I,7,0)</f>
        <v>Cancelada</v>
      </c>
      <c r="K306" s="3" t="s">
        <v>38</v>
      </c>
      <c r="L306" s="3" t="str">
        <f t="shared" si="1"/>
        <v>Item não atualizado</v>
      </c>
      <c r="M306" s="3"/>
      <c r="N306" s="3" t="s">
        <v>605</v>
      </c>
      <c r="O306" s="3"/>
    </row>
    <row r="307" spans="1:17" ht="22.5" customHeight="1" x14ac:dyDescent="0.2">
      <c r="A307" s="3" t="s">
        <v>722</v>
      </c>
      <c r="B307" s="3" t="str">
        <f ca="1">IFERROR(__xludf.DUMMYFUNCTION("REGEXEXTRACT(A307, ""\.(?:GOV|EXT)\.([A-Z0-9\-]+)"")
"),"SASSEPE")</f>
        <v>SASSEPE</v>
      </c>
      <c r="C307" s="3" t="s">
        <v>34</v>
      </c>
      <c r="D307" s="3" t="s">
        <v>35</v>
      </c>
      <c r="E307" s="14" t="str">
        <f ca="1">IFERROR(__xludf.DUMMYFUNCTION("REGEXEXTRACT(A307, ""-(.*)"")"),"ARP.0002.02.2024.GOV.SASSEPE.PE")</f>
        <v>ARP.0002.02.2024.GOV.SASSEPE.PE</v>
      </c>
      <c r="F307" s="3" t="s">
        <v>720</v>
      </c>
      <c r="G307" s="3"/>
      <c r="H307" s="9">
        <v>45621</v>
      </c>
      <c r="I307" s="3" t="s">
        <v>37</v>
      </c>
      <c r="J307" s="3" t="str">
        <f>VLOOKUP(A307,'TODOS OS PROCESSOS ATUALIZADOS '!A:I,7,0)</f>
        <v>Cancelada</v>
      </c>
      <c r="K307" s="3" t="s">
        <v>38</v>
      </c>
      <c r="L307" s="3" t="str">
        <f t="shared" si="1"/>
        <v>Item não atualizado</v>
      </c>
      <c r="M307" s="3"/>
      <c r="N307" s="3" t="s">
        <v>605</v>
      </c>
      <c r="O307" s="3"/>
    </row>
    <row r="308" spans="1:17" ht="22.5" customHeight="1" x14ac:dyDescent="0.2">
      <c r="A308" s="3" t="s">
        <v>723</v>
      </c>
      <c r="B308" s="3" t="str">
        <f ca="1">IFERROR(__xludf.DUMMYFUNCTION("REGEXEXTRACT(A308, ""\.(?:GOV|EXT)\.([A-Z0-9\-]+)"")
"),"SASSEPE")</f>
        <v>SASSEPE</v>
      </c>
      <c r="C308" s="3" t="s">
        <v>34</v>
      </c>
      <c r="D308" s="3" t="s">
        <v>35</v>
      </c>
      <c r="E308" s="14" t="str">
        <f ca="1">IFERROR(__xludf.DUMMYFUNCTION("REGEXEXTRACT(A308, ""-(.*)"")"),"ARP.0002.02.2024.GOV.SASSEPE.PE")</f>
        <v>ARP.0002.02.2024.GOV.SASSEPE.PE</v>
      </c>
      <c r="F308" s="3" t="s">
        <v>720</v>
      </c>
      <c r="G308" s="3" t="s">
        <v>3</v>
      </c>
      <c r="H308" s="9">
        <v>45621</v>
      </c>
      <c r="I308" s="3" t="s">
        <v>37</v>
      </c>
      <c r="J308" s="3" t="s">
        <v>37</v>
      </c>
      <c r="K308" s="3" t="s">
        <v>38</v>
      </c>
      <c r="L308" s="3" t="str">
        <f t="shared" si="1"/>
        <v>Item não atualizado</v>
      </c>
      <c r="M308" s="3"/>
      <c r="N308" s="3" t="s">
        <v>605</v>
      </c>
      <c r="O308" s="3"/>
    </row>
    <row r="309" spans="1:17" ht="22.5" customHeight="1" x14ac:dyDescent="0.2">
      <c r="A309" s="32" t="s">
        <v>724</v>
      </c>
      <c r="B309" s="3" t="str">
        <f ca="1">IFERROR(__xludf.DUMMYFUNCTION("REGEXEXTRACT(A309, ""\.(?:GOV|EXT)\.([A-Z0-9\-]+)"")
"),"HR")</f>
        <v>HR</v>
      </c>
      <c r="C309" s="3" t="s">
        <v>34</v>
      </c>
      <c r="D309" s="3" t="s">
        <v>35</v>
      </c>
      <c r="E309" s="14" t="str">
        <f ca="1">IFERROR(__xludf.DUMMYFUNCTION("REGEXEXTRACT(A309, ""-(.*)"")"),"ARP.0008.00.2024.GOV.HR.PE")</f>
        <v>ARP.0008.00.2024.GOV.HR.PE</v>
      </c>
      <c r="F309" s="6" t="s">
        <v>725</v>
      </c>
      <c r="G309" s="3" t="s">
        <v>3</v>
      </c>
      <c r="H309" s="9">
        <v>45580</v>
      </c>
      <c r="I309" s="3" t="s">
        <v>44</v>
      </c>
      <c r="J309" s="3" t="str">
        <f>VLOOKUP(A309,'TODOS OS PROCESSOS ATUALIZADOS '!A:I,7,0)</f>
        <v>Autorizada Sucesso</v>
      </c>
      <c r="K309" s="3" t="s">
        <v>44</v>
      </c>
      <c r="L309" s="3" t="str">
        <f t="shared" si="1"/>
        <v>Item atualizado</v>
      </c>
      <c r="M309" s="3" t="s">
        <v>12</v>
      </c>
      <c r="N309" s="3" t="s">
        <v>605</v>
      </c>
      <c r="O309" s="3" t="s">
        <v>87</v>
      </c>
      <c r="P309" s="3" t="s">
        <v>726</v>
      </c>
      <c r="Q309" s="3" t="s">
        <v>610</v>
      </c>
    </row>
    <row r="310" spans="1:17" ht="22.5" customHeight="1" x14ac:dyDescent="0.2">
      <c r="A310" s="3" t="s">
        <v>727</v>
      </c>
      <c r="B310" s="3" t="str">
        <f ca="1">IFERROR(__xludf.DUMMYFUNCTION("REGEXEXTRACT(A310, ""\.(?:GOV|EXT)\.([A-Z0-9\-]+)"")
"),"CISAM")</f>
        <v>CISAM</v>
      </c>
      <c r="C310" s="3" t="s">
        <v>34</v>
      </c>
      <c r="D310" s="3" t="s">
        <v>35</v>
      </c>
      <c r="E310" s="14" t="str">
        <f ca="1">IFERROR(__xludf.DUMMYFUNCTION("REGEXEXTRACT(A310, ""-(.*)"")"),"ARP.0055.06.2024.GOV.CISAM.PE")</f>
        <v>ARP.0055.06.2024.GOV.CISAM.PE</v>
      </c>
      <c r="F310" s="3" t="s">
        <v>608</v>
      </c>
      <c r="G310" s="3"/>
      <c r="H310" s="9">
        <v>45595</v>
      </c>
      <c r="I310" s="3" t="s">
        <v>37</v>
      </c>
      <c r="J310" s="3" t="str">
        <f>VLOOKUP(A310,'TODOS OS PROCESSOS ATUALIZADOS '!A:I,7,0)</f>
        <v>Cancelada</v>
      </c>
      <c r="K310" s="3" t="s">
        <v>38</v>
      </c>
      <c r="L310" s="3" t="str">
        <f t="shared" si="1"/>
        <v>Item não atualizado</v>
      </c>
      <c r="M310" s="3"/>
      <c r="N310" s="3" t="s">
        <v>605</v>
      </c>
      <c r="O310" s="3"/>
    </row>
    <row r="311" spans="1:17" ht="22.5" customHeight="1" x14ac:dyDescent="0.2">
      <c r="A311" s="3" t="s">
        <v>728</v>
      </c>
      <c r="B311" s="3" t="str">
        <f ca="1">IFERROR(__xludf.DUMMYFUNCTION("REGEXEXTRACT(A311, ""\.(?:GOV|EXT)\.([A-Z0-9\-]+)"")
"),"CISAM")</f>
        <v>CISAM</v>
      </c>
      <c r="C311" s="3" t="s">
        <v>34</v>
      </c>
      <c r="D311" s="3" t="s">
        <v>35</v>
      </c>
      <c r="E311" s="14" t="str">
        <f ca="1">IFERROR(__xludf.DUMMYFUNCTION("REGEXEXTRACT(A311, ""-(.*)"")"),"ARP.0055.06.2024.GOV.CISAM.PE")</f>
        <v>ARP.0055.06.2024.GOV.CISAM.PE</v>
      </c>
      <c r="F311" s="3" t="s">
        <v>608</v>
      </c>
      <c r="G311" s="3"/>
      <c r="H311" s="9">
        <v>45595</v>
      </c>
      <c r="I311" s="3" t="s">
        <v>37</v>
      </c>
      <c r="J311" s="3" t="str">
        <f>VLOOKUP(A311,'TODOS OS PROCESSOS ATUALIZADOS '!A:I,7,0)</f>
        <v>Cancelada</v>
      </c>
      <c r="K311" s="3" t="s">
        <v>38</v>
      </c>
      <c r="L311" s="3" t="str">
        <f t="shared" si="1"/>
        <v>Item não atualizado</v>
      </c>
      <c r="M311" s="3"/>
      <c r="N311" s="3" t="s">
        <v>605</v>
      </c>
      <c r="O311" s="3"/>
    </row>
    <row r="312" spans="1:17" ht="22.5" customHeight="1" x14ac:dyDescent="0.2">
      <c r="A312" s="32" t="s">
        <v>729</v>
      </c>
      <c r="B312" s="3" t="str">
        <f ca="1">IFERROR(__xludf.DUMMYFUNCTION("REGEXEXTRACT(A312, ""\.(?:GOV|EXT)\.([A-Z0-9\-]+)"")
"),"HUOC")</f>
        <v>HUOC</v>
      </c>
      <c r="C312" s="3" t="s">
        <v>34</v>
      </c>
      <c r="D312" s="3" t="s">
        <v>35</v>
      </c>
      <c r="E312" s="14" t="str">
        <f ca="1">IFERROR(__xludf.DUMMYFUNCTION("REGEXEXTRACT(A312, ""-(.*)"")"),"ARP.0046.02.2024.GOV.HUOC.PE")</f>
        <v>ARP.0046.02.2024.GOV.HUOC.PE</v>
      </c>
      <c r="F312" s="6" t="s">
        <v>730</v>
      </c>
      <c r="G312" s="3" t="s">
        <v>3</v>
      </c>
      <c r="H312" s="9">
        <v>45590</v>
      </c>
      <c r="I312" s="3" t="s">
        <v>44</v>
      </c>
      <c r="J312" s="3" t="str">
        <f>VLOOKUP(A312,'TODOS OS PROCESSOS ATUALIZADOS '!A:I,7,0)</f>
        <v>Autorizada Sucesso</v>
      </c>
      <c r="K312" s="3" t="s">
        <v>44</v>
      </c>
      <c r="L312" s="3" t="str">
        <f t="shared" si="1"/>
        <v>Item atualizado</v>
      </c>
      <c r="M312" s="3" t="s">
        <v>12</v>
      </c>
      <c r="N312" s="3" t="s">
        <v>605</v>
      </c>
      <c r="O312" s="3" t="s">
        <v>87</v>
      </c>
      <c r="P312" s="3" t="s">
        <v>731</v>
      </c>
      <c r="Q312" s="3" t="s">
        <v>610</v>
      </c>
    </row>
    <row r="313" spans="1:17" ht="22.5" customHeight="1" x14ac:dyDescent="0.2">
      <c r="A313" s="3" t="s">
        <v>732</v>
      </c>
      <c r="B313" s="3" t="str">
        <f ca="1">IFERROR(__xludf.DUMMYFUNCTION("REGEXEXTRACT(A313, ""\.(?:GOV|EXT)\.([A-Z0-9\-]+)"")
"),"HUOC")</f>
        <v>HUOC</v>
      </c>
      <c r="C313" s="3" t="s">
        <v>34</v>
      </c>
      <c r="D313" s="3" t="s">
        <v>35</v>
      </c>
      <c r="E313" s="14" t="str">
        <f ca="1">IFERROR(__xludf.DUMMYFUNCTION("REGEXEXTRACT(A313, ""-(.*)"")"),"ARP.0077.01.2024.GOV.HUOC.PE")</f>
        <v>ARP.0077.01.2024.GOV.HUOC.PE</v>
      </c>
      <c r="F313" s="3" t="s">
        <v>343</v>
      </c>
      <c r="G313" s="3"/>
      <c r="H313" s="9">
        <v>45608</v>
      </c>
      <c r="I313" s="3" t="s">
        <v>37</v>
      </c>
      <c r="J313" s="3" t="str">
        <f>VLOOKUP(A313,'TODOS OS PROCESSOS ATUALIZADOS '!A:I,7,0)</f>
        <v>Cancelada</v>
      </c>
      <c r="K313" s="3" t="s">
        <v>38</v>
      </c>
      <c r="L313" s="3" t="str">
        <f t="shared" si="1"/>
        <v>Item não atualizado</v>
      </c>
      <c r="M313" s="3"/>
      <c r="N313" s="3" t="s">
        <v>605</v>
      </c>
      <c r="O313" s="3"/>
    </row>
    <row r="314" spans="1:17" ht="22.5" customHeight="1" x14ac:dyDescent="0.2">
      <c r="A314" s="32" t="s">
        <v>733</v>
      </c>
      <c r="B314" s="3" t="str">
        <f ca="1">IFERROR(__xludf.DUMMYFUNCTION("REGEXEXTRACT(A314, ""\.(?:GOV|EXT)\.([A-Z0-9\-]+)"")
"),"HUOC")</f>
        <v>HUOC</v>
      </c>
      <c r="C314" s="3" t="s">
        <v>34</v>
      </c>
      <c r="D314" s="3" t="s">
        <v>35</v>
      </c>
      <c r="E314" s="14" t="str">
        <f ca="1">IFERROR(__xludf.DUMMYFUNCTION("REGEXEXTRACT(A314, ""-(.*)"")"),"ARP.0071.02.2024.GOV.HUOC.PE")</f>
        <v>ARP.0071.02.2024.GOV.HUOC.PE</v>
      </c>
      <c r="F314" s="6" t="s">
        <v>734</v>
      </c>
      <c r="G314" s="3" t="s">
        <v>3</v>
      </c>
      <c r="H314" s="9">
        <v>45579</v>
      </c>
      <c r="I314" s="3" t="s">
        <v>44</v>
      </c>
      <c r="J314" s="3" t="str">
        <f>VLOOKUP(A314,'TODOS OS PROCESSOS ATUALIZADOS '!A:I,7,0)</f>
        <v>Autorizada Sucesso</v>
      </c>
      <c r="K314" s="3" t="s">
        <v>44</v>
      </c>
      <c r="L314" s="3" t="str">
        <f t="shared" si="1"/>
        <v>Item atualizado</v>
      </c>
      <c r="M314" s="3" t="s">
        <v>6</v>
      </c>
      <c r="N314" s="3" t="s">
        <v>605</v>
      </c>
      <c r="O314" s="3" t="s">
        <v>87</v>
      </c>
      <c r="P314" s="3" t="s">
        <v>735</v>
      </c>
      <c r="Q314" s="3" t="s">
        <v>610</v>
      </c>
    </row>
    <row r="315" spans="1:17" ht="22.5" customHeight="1" x14ac:dyDescent="0.2">
      <c r="A315" s="3" t="s">
        <v>736</v>
      </c>
      <c r="B315" s="3" t="str">
        <f ca="1">IFERROR(__xludf.DUMMYFUNCTION("REGEXEXTRACT(A315, ""\.(?:GOV|EXT)\.([A-Z0-9\-]+)"")
"),"FES-PE")</f>
        <v>FES-PE</v>
      </c>
      <c r="C315" s="3" t="s">
        <v>34</v>
      </c>
      <c r="D315" s="3" t="s">
        <v>35</v>
      </c>
      <c r="E315" s="14" t="str">
        <f ca="1">IFERROR(__xludf.DUMMYFUNCTION("REGEXEXTRACT(A315, ""-(.*)"")"),"ARP.0018.00.2024.GOV.FES-PE.PE")</f>
        <v>ARP.0018.00.2024.GOV.FES-PE.PE</v>
      </c>
      <c r="F315" s="3" t="s">
        <v>737</v>
      </c>
      <c r="G315" s="3"/>
      <c r="H315" s="9">
        <v>45617</v>
      </c>
      <c r="I315" s="3" t="s">
        <v>37</v>
      </c>
      <c r="J315" s="3" t="str">
        <f>VLOOKUP(A315,'TODOS OS PROCESSOS ATUALIZADOS '!A:I,7,0)</f>
        <v>Cancelada</v>
      </c>
      <c r="K315" s="3" t="s">
        <v>38</v>
      </c>
      <c r="L315" s="3" t="str">
        <f t="shared" si="1"/>
        <v>Item não atualizado</v>
      </c>
      <c r="M315" s="3"/>
      <c r="N315" s="3" t="s">
        <v>605</v>
      </c>
      <c r="O315" s="3"/>
    </row>
    <row r="316" spans="1:17" ht="22.5" customHeight="1" x14ac:dyDescent="0.2">
      <c r="A316" s="32" t="s">
        <v>738</v>
      </c>
      <c r="B316" s="3" t="str">
        <f ca="1">IFERROR(__xludf.DUMMYFUNCTION("REGEXEXTRACT(A316, ""\.(?:GOV|EXT)\.([A-Z0-9\-]+)"")
"),"FES-PE")</f>
        <v>FES-PE</v>
      </c>
      <c r="C316" s="3" t="s">
        <v>34</v>
      </c>
      <c r="D316" s="3" t="s">
        <v>35</v>
      </c>
      <c r="E316" s="14" t="str">
        <f ca="1">IFERROR(__xludf.DUMMYFUNCTION("REGEXEXTRACT(A316, ""-(.*)"")"),"ARP.0025.01.2024.GOV.FES-PE.PE")</f>
        <v>ARP.0025.01.2024.GOV.FES-PE.PE</v>
      </c>
      <c r="F316" s="6" t="s">
        <v>739</v>
      </c>
      <c r="G316" s="3" t="s">
        <v>3</v>
      </c>
      <c r="H316" s="9">
        <v>45580</v>
      </c>
      <c r="I316" s="3" t="s">
        <v>44</v>
      </c>
      <c r="J316" s="3" t="str">
        <f>VLOOKUP(A316,'TODOS OS PROCESSOS ATUALIZADOS '!A:I,7,0)</f>
        <v>Autorizada Sucesso</v>
      </c>
      <c r="K316" s="3" t="s">
        <v>44</v>
      </c>
      <c r="L316" s="3" t="str">
        <f t="shared" si="1"/>
        <v>Item atualizado</v>
      </c>
      <c r="M316" s="3" t="s">
        <v>6</v>
      </c>
      <c r="N316" s="3" t="s">
        <v>605</v>
      </c>
      <c r="O316" s="3" t="s">
        <v>87</v>
      </c>
      <c r="P316" s="3" t="s">
        <v>740</v>
      </c>
      <c r="Q316" s="3" t="s">
        <v>610</v>
      </c>
    </row>
    <row r="317" spans="1:17" ht="22.5" customHeight="1" x14ac:dyDescent="0.2">
      <c r="A317" s="3" t="s">
        <v>741</v>
      </c>
      <c r="B317" s="3" t="str">
        <f ca="1">IFERROR(__xludf.DUMMYFUNCTION("REGEXEXTRACT(A317, ""\.(?:GOV|EXT)\.([A-Z0-9\-]+)"")
"),"HGV")</f>
        <v>HGV</v>
      </c>
      <c r="C317" s="3" t="s">
        <v>34</v>
      </c>
      <c r="D317" s="3" t="s">
        <v>35</v>
      </c>
      <c r="E317" s="14" t="str">
        <f ca="1">IFERROR(__xludf.DUMMYFUNCTION("REGEXEXTRACT(A317, ""-(.*)"")"),"ARP.0011.00.2024.GOV.HGV.PE")</f>
        <v>ARP.0011.00.2024.GOV.HGV.PE</v>
      </c>
      <c r="F317" s="3" t="s">
        <v>504</v>
      </c>
      <c r="G317" s="3"/>
      <c r="H317" s="9">
        <v>45622</v>
      </c>
      <c r="I317" s="3" t="s">
        <v>37</v>
      </c>
      <c r="J317" s="3" t="str">
        <f>VLOOKUP(A317,'TODOS OS PROCESSOS ATUALIZADOS '!A:I,7,0)</f>
        <v>Cancelada Integrado</v>
      </c>
      <c r="K317" s="3" t="s">
        <v>38</v>
      </c>
      <c r="L317" s="3" t="str">
        <f t="shared" si="1"/>
        <v>Item atualizado</v>
      </c>
      <c r="M317" s="3"/>
      <c r="N317" s="3" t="s">
        <v>605</v>
      </c>
      <c r="O317" s="3"/>
    </row>
    <row r="318" spans="1:17" ht="22.5" customHeight="1" x14ac:dyDescent="0.2">
      <c r="A318" s="32" t="s">
        <v>742</v>
      </c>
      <c r="B318" s="3" t="str">
        <f ca="1">IFERROR(__xludf.DUMMYFUNCTION("REGEXEXTRACT(A318, ""\.(?:GOV|EXT)\.([A-Z0-9\-]+)"")
"),"HGV")</f>
        <v>HGV</v>
      </c>
      <c r="C318" s="3" t="s">
        <v>34</v>
      </c>
      <c r="D318" s="3" t="s">
        <v>35</v>
      </c>
      <c r="E318" s="14" t="str">
        <f ca="1">IFERROR(__xludf.DUMMYFUNCTION("REGEXEXTRACT(A318, ""-(.*)"")"),"ARP.0004.00.2024.GOV.HGV.PE")</f>
        <v>ARP.0004.00.2024.GOV.HGV.PE</v>
      </c>
      <c r="F318" s="6" t="s">
        <v>743</v>
      </c>
      <c r="G318" s="3" t="s">
        <v>3</v>
      </c>
      <c r="H318" s="9">
        <v>45595</v>
      </c>
      <c r="I318" s="3" t="s">
        <v>44</v>
      </c>
      <c r="J318" s="3" t="str">
        <f>VLOOKUP(A318,'TODOS OS PROCESSOS ATUALIZADOS '!A:I,7,0)</f>
        <v>Autorizada Sucesso</v>
      </c>
      <c r="K318" s="3" t="s">
        <v>44</v>
      </c>
      <c r="L318" s="3" t="str">
        <f t="shared" si="1"/>
        <v>Item atualizado</v>
      </c>
      <c r="M318" s="3" t="s">
        <v>6</v>
      </c>
      <c r="N318" s="3" t="s">
        <v>605</v>
      </c>
      <c r="O318" s="3" t="s">
        <v>60</v>
      </c>
      <c r="P318" s="3" t="s">
        <v>744</v>
      </c>
      <c r="Q318" s="3" t="s">
        <v>745</v>
      </c>
    </row>
    <row r="319" spans="1:17" ht="22.5" customHeight="1" x14ac:dyDescent="0.2">
      <c r="A319" s="32" t="s">
        <v>746</v>
      </c>
      <c r="B319" s="3" t="str">
        <f ca="1">IFERROR(__xludf.DUMMYFUNCTION("REGEXEXTRACT(A319, ""\.(?:GOV|EXT)\.([A-Z0-9\-]+)"")
"),"CISAM")</f>
        <v>CISAM</v>
      </c>
      <c r="C319" s="3" t="s">
        <v>34</v>
      </c>
      <c r="D319" s="3" t="s">
        <v>35</v>
      </c>
      <c r="E319" s="14" t="str">
        <f ca="1">IFERROR(__xludf.DUMMYFUNCTION("REGEXEXTRACT(A319, ""-(.*)"")"),"ARP.0051.02.2024.GOV.CISAM.PE")</f>
        <v>ARP.0051.02.2024.GOV.CISAM.PE</v>
      </c>
      <c r="F319" s="6" t="s">
        <v>644</v>
      </c>
      <c r="G319" s="3" t="s">
        <v>3</v>
      </c>
      <c r="H319" s="9">
        <v>45630</v>
      </c>
      <c r="I319" s="3" t="s">
        <v>44</v>
      </c>
      <c r="J319" s="3" t="str">
        <f>VLOOKUP(A319,'TODOS OS PROCESSOS ATUALIZADOS '!A:I,7,0)</f>
        <v>Autorizada Sucesso</v>
      </c>
      <c r="K319" s="3" t="s">
        <v>44</v>
      </c>
      <c r="L319" s="3" t="str">
        <f t="shared" si="1"/>
        <v>Item atualizado</v>
      </c>
      <c r="M319" s="3" t="s">
        <v>6</v>
      </c>
      <c r="N319" s="3" t="s">
        <v>605</v>
      </c>
      <c r="O319" s="3" t="s">
        <v>87</v>
      </c>
      <c r="P319" s="3" t="s">
        <v>747</v>
      </c>
      <c r="Q319" s="3" t="s">
        <v>610</v>
      </c>
    </row>
    <row r="320" spans="1:17" ht="22.5" customHeight="1" x14ac:dyDescent="0.2">
      <c r="A320" s="3" t="s">
        <v>748</v>
      </c>
      <c r="B320" s="3" t="str">
        <f ca="1">IFERROR(__xludf.DUMMYFUNCTION("REGEXEXTRACT(A320, ""\.(?:GOV|EXT)\.([A-Z0-9\-]+)"")
"),"HUOC")</f>
        <v>HUOC</v>
      </c>
      <c r="C320" s="3" t="s">
        <v>34</v>
      </c>
      <c r="D320" s="3" t="s">
        <v>35</v>
      </c>
      <c r="E320" s="14" t="str">
        <f ca="1">IFERROR(__xludf.DUMMYFUNCTION("REGEXEXTRACT(A320, ""-(.*)"")"),"ARP.0046.05.2024.GOV.HUOC.PE")</f>
        <v>ARP.0046.05.2024.GOV.HUOC.PE</v>
      </c>
      <c r="F320" s="3" t="s">
        <v>730</v>
      </c>
      <c r="G320" s="3"/>
      <c r="H320" s="9">
        <v>45573</v>
      </c>
      <c r="I320" s="3" t="s">
        <v>37</v>
      </c>
      <c r="J320" s="3" t="str">
        <f>VLOOKUP(A320,'TODOS OS PROCESSOS ATUALIZADOS '!A:I,7,0)</f>
        <v>Cancelada</v>
      </c>
      <c r="K320" s="3" t="s">
        <v>38</v>
      </c>
      <c r="L320" s="3" t="str">
        <f t="shared" si="1"/>
        <v>Item não atualizado</v>
      </c>
      <c r="M320" s="3"/>
      <c r="N320" s="3" t="s">
        <v>605</v>
      </c>
      <c r="O320" s="3"/>
    </row>
    <row r="321" spans="1:17" ht="22.5" customHeight="1" x14ac:dyDescent="0.2">
      <c r="A321" s="32" t="s">
        <v>749</v>
      </c>
      <c r="B321" s="3" t="str">
        <f ca="1">IFERROR(__xludf.DUMMYFUNCTION("REGEXEXTRACT(A321, ""\.(?:GOV|EXT)\.([A-Z0-9\-]+)"")
"),"CISAM")</f>
        <v>CISAM</v>
      </c>
      <c r="C321" s="3" t="s">
        <v>34</v>
      </c>
      <c r="D321" s="3" t="s">
        <v>35</v>
      </c>
      <c r="E321" s="14" t="str">
        <f ca="1">IFERROR(__xludf.DUMMYFUNCTION("REGEXEXTRACT(A321, ""-(.*)"")"),"ARP.0033.03.2024.GOV.CISAM.PE")</f>
        <v>ARP.0033.03.2024.GOV.CISAM.PE</v>
      </c>
      <c r="F321" s="6" t="s">
        <v>750</v>
      </c>
      <c r="G321" s="3" t="s">
        <v>2</v>
      </c>
      <c r="H321" s="9">
        <v>45596</v>
      </c>
      <c r="I321" s="3" t="s">
        <v>44</v>
      </c>
      <c r="J321" s="3" t="str">
        <f>VLOOKUP(A321,'TODOS OS PROCESSOS ATUALIZADOS '!A:I,7,0)</f>
        <v>Autorizada Sucesso</v>
      </c>
      <c r="K321" s="3" t="s">
        <v>44</v>
      </c>
      <c r="L321" s="3" t="str">
        <f t="shared" si="1"/>
        <v>Item atualizado</v>
      </c>
      <c r="M321" s="3" t="s">
        <v>12</v>
      </c>
      <c r="N321" s="3" t="s">
        <v>605</v>
      </c>
      <c r="O321" s="3" t="s">
        <v>87</v>
      </c>
      <c r="P321" s="3" t="s">
        <v>751</v>
      </c>
      <c r="Q321" s="3" t="s">
        <v>610</v>
      </c>
    </row>
    <row r="322" spans="1:17" ht="22.5" customHeight="1" x14ac:dyDescent="0.2">
      <c r="B322" s="3" t="str">
        <f ca="1">IFERROR(__xludf.DUMMYFUNCTION("REGEXEXTRACT(A322, ""\.(?:GOV|EXT)\.([A-Z0-9\-]+)"")
"),"#N/A")</f>
        <v>#N/A</v>
      </c>
      <c r="C322" s="3" t="s">
        <v>34</v>
      </c>
      <c r="D322" s="3" t="s">
        <v>35</v>
      </c>
      <c r="E322" s="3" t="str">
        <f ca="1">IFERROR(__xludf.DUMMYFUNCTION("REGEXEXTRACT(A322, ""-(.*)"")"),"#N/A")</f>
        <v>#N/A</v>
      </c>
      <c r="F322" s="6" t="s">
        <v>737</v>
      </c>
      <c r="G322" s="3"/>
      <c r="H322" s="9">
        <v>45581</v>
      </c>
      <c r="I322" s="3" t="s">
        <v>44</v>
      </c>
      <c r="J322" s="3" t="e">
        <f>VLOOKUP(A322,'TODOS OS PROCESSOS ATUALIZADOS '!A:I,7,0)</f>
        <v>#N/A</v>
      </c>
      <c r="K322" s="3" t="s">
        <v>44</v>
      </c>
      <c r="L322" s="3" t="str">
        <f t="shared" si="1"/>
        <v>Item não localizado</v>
      </c>
      <c r="M322" s="3"/>
      <c r="N322" s="3" t="s">
        <v>605</v>
      </c>
      <c r="O322" s="3"/>
    </row>
    <row r="323" spans="1:17" ht="60.75" customHeight="1" x14ac:dyDescent="0.2">
      <c r="A323" s="3" t="s">
        <v>752</v>
      </c>
      <c r="B323" s="3" t="str">
        <f ca="1">IFERROR(__xludf.DUMMYFUNCTION("REGEXEXTRACT(A323, ""\.(?:GOV|EXT)\.([A-Z0-9\-]+)"")
"),"UPEGARANHUNS")</f>
        <v>UPEGARANHUNS</v>
      </c>
      <c r="C323" s="3" t="s">
        <v>34</v>
      </c>
      <c r="D323" s="3" t="s">
        <v>35</v>
      </c>
      <c r="E323" s="14" t="str">
        <f ca="1">IFERROR(__xludf.DUMMYFUNCTION("REGEXEXTRACT(A323, ""-(.*)"")"),"ARP.0012.00.2023.GOV.UPEGARANHUNS.PE")</f>
        <v>ARP.0012.00.2023.GOV.UPEGARANHUNS.PE</v>
      </c>
      <c r="F323" s="3" t="s">
        <v>753</v>
      </c>
      <c r="G323" s="3"/>
      <c r="H323" s="9">
        <v>45579</v>
      </c>
      <c r="I323" s="3" t="s">
        <v>44</v>
      </c>
      <c r="J323" s="3" t="str">
        <f>VLOOKUP(A323,'TODOS OS PROCESSOS ATUALIZADOS '!A:I,7,0)</f>
        <v>Autorizada Sucesso</v>
      </c>
      <c r="K323" s="3" t="s">
        <v>605</v>
      </c>
      <c r="L323" s="3" t="str">
        <f t="shared" si="1"/>
        <v>Item atualizado</v>
      </c>
      <c r="M323" s="3"/>
      <c r="N323" s="3" t="s">
        <v>605</v>
      </c>
      <c r="O323" s="3"/>
      <c r="P323" s="3" t="s">
        <v>754</v>
      </c>
    </row>
    <row r="324" spans="1:17" ht="22.5" customHeight="1" x14ac:dyDescent="0.2">
      <c r="A324" s="3" t="s">
        <v>755</v>
      </c>
      <c r="B324" s="3" t="str">
        <f ca="1">IFERROR(__xludf.DUMMYFUNCTION("REGEXEXTRACT(A324, ""\.(?:GOV|EXT)\.([A-Z0-9\-]+)"")
"),"PROCAPE")</f>
        <v>PROCAPE</v>
      </c>
      <c r="C324" s="3" t="s">
        <v>34</v>
      </c>
      <c r="D324" s="3" t="s">
        <v>35</v>
      </c>
      <c r="E324" s="14" t="str">
        <f ca="1">IFERROR(__xludf.DUMMYFUNCTION("REGEXEXTRACT(A324, ""-(.*)"")"),"ARP.0120.03.2023.GOV.PROCAPE.PE")</f>
        <v>ARP.0120.03.2023.GOV.PROCAPE.PE</v>
      </c>
      <c r="F324" s="3" t="s">
        <v>79</v>
      </c>
      <c r="G324" s="3"/>
      <c r="H324" s="9">
        <v>45581</v>
      </c>
      <c r="I324" s="3" t="s">
        <v>37</v>
      </c>
      <c r="J324" s="3" t="str">
        <f>VLOOKUP(A324,'TODOS OS PROCESSOS ATUALIZADOS '!A:I,7,0)</f>
        <v>Cancelada</v>
      </c>
      <c r="K324" s="3" t="s">
        <v>605</v>
      </c>
      <c r="L324" s="3" t="str">
        <f t="shared" si="1"/>
        <v>Item não atualizado</v>
      </c>
      <c r="M324" s="3"/>
      <c r="N324" s="3" t="s">
        <v>605</v>
      </c>
      <c r="O324" s="3"/>
    </row>
    <row r="325" spans="1:17" ht="22.5" customHeight="1" x14ac:dyDescent="0.2">
      <c r="A325" s="3" t="s">
        <v>756</v>
      </c>
      <c r="B325" s="3" t="str">
        <f ca="1">IFERROR(__xludf.DUMMYFUNCTION("REGEXEXTRACT(A325, ""\.(?:GOV|EXT)\.([A-Z0-9\-]+)"")
"),"HUOC")</f>
        <v>HUOC</v>
      </c>
      <c r="C325" s="3" t="s">
        <v>34</v>
      </c>
      <c r="D325" s="3" t="s">
        <v>35</v>
      </c>
      <c r="E325" s="14" t="str">
        <f ca="1">IFERROR(__xludf.DUMMYFUNCTION("REGEXEXTRACT(A325, ""-(.*)"")"),"ARP.0076.02.2024.GOV.HUOC.PE")</f>
        <v>ARP.0076.02.2024.GOV.HUOC.PE</v>
      </c>
      <c r="F325" s="6" t="s">
        <v>641</v>
      </c>
      <c r="G325" s="3"/>
      <c r="H325" s="9">
        <v>45628</v>
      </c>
      <c r="I325" s="3" t="s">
        <v>44</v>
      </c>
      <c r="J325" s="3" t="str">
        <f>VLOOKUP(A325,'TODOS OS PROCESSOS ATUALIZADOS '!A:I,7,0)</f>
        <v>Autorizada Sucesso</v>
      </c>
      <c r="K325" s="3" t="s">
        <v>44</v>
      </c>
      <c r="L325" s="3" t="str">
        <f t="shared" si="1"/>
        <v>Item atualizado</v>
      </c>
      <c r="M325" s="3"/>
      <c r="N325" s="3" t="s">
        <v>605</v>
      </c>
      <c r="O325" s="3"/>
      <c r="P325" s="3" t="s">
        <v>757</v>
      </c>
    </row>
    <row r="326" spans="1:17" ht="22.5" customHeight="1" x14ac:dyDescent="0.2">
      <c r="A326" s="3" t="s">
        <v>758</v>
      </c>
      <c r="B326" s="3" t="str">
        <f ca="1">IFERROR(__xludf.DUMMYFUNCTION("REGEXEXTRACT(A326, ""\.(?:GOV|EXT)\.([A-Z0-9\-]+)"")
"),"HUOC")</f>
        <v>HUOC</v>
      </c>
      <c r="C326" s="3" t="s">
        <v>34</v>
      </c>
      <c r="D326" s="3" t="s">
        <v>35</v>
      </c>
      <c r="E326" s="14" t="str">
        <f ca="1">IFERROR(__xludf.DUMMYFUNCTION("REGEXEXTRACT(A326, ""-(.*)"")"),"ARP.0076.02.2024.GOV.HUOC.PE")</f>
        <v>ARP.0076.02.2024.GOV.HUOC.PE</v>
      </c>
      <c r="F326" s="3" t="s">
        <v>641</v>
      </c>
      <c r="G326" s="3"/>
      <c r="H326" s="9">
        <v>45617</v>
      </c>
      <c r="I326" s="3" t="s">
        <v>37</v>
      </c>
      <c r="J326" s="3" t="str">
        <f>VLOOKUP(A326,'TODOS OS PROCESSOS ATUALIZADOS '!A:I,7,0)</f>
        <v>Cancelada Sucesso</v>
      </c>
      <c r="K326" s="3" t="s">
        <v>38</v>
      </c>
      <c r="L326" s="3" t="str">
        <f t="shared" si="1"/>
        <v>Item atualizado</v>
      </c>
      <c r="M326" s="3"/>
      <c r="N326" s="3" t="s">
        <v>605</v>
      </c>
      <c r="O326" s="3"/>
    </row>
    <row r="327" spans="1:17" ht="22.5" customHeight="1" x14ac:dyDescent="0.2">
      <c r="A327" s="3" t="s">
        <v>759</v>
      </c>
      <c r="B327" s="3" t="str">
        <f ca="1">IFERROR(__xludf.DUMMYFUNCTION("REGEXEXTRACT(A327, ""\.(?:GOV|EXT)\.([A-Z0-9\-]+)"")
"),"SEMUL")</f>
        <v>SEMUL</v>
      </c>
      <c r="C327" s="3" t="s">
        <v>34</v>
      </c>
      <c r="D327" s="3" t="s">
        <v>35</v>
      </c>
      <c r="E327" s="14" t="str">
        <f ca="1">IFERROR(__xludf.DUMMYFUNCTION("REGEXEXTRACT(A327, ""-(.*)"")"),"ARP.0005.00.2024.GOV.SEMUL.PE")</f>
        <v>ARP.0005.00.2024.GOV.SEMUL.PE</v>
      </c>
      <c r="F327" s="3" t="s">
        <v>760</v>
      </c>
      <c r="G327" s="3"/>
      <c r="H327" s="9">
        <v>45614</v>
      </c>
      <c r="I327" s="3" t="s">
        <v>37</v>
      </c>
      <c r="J327" s="3" t="str">
        <f>VLOOKUP(A327,'TODOS OS PROCESSOS ATUALIZADOS '!A:I,7,0)</f>
        <v>Cancelada por fim vigencia ATA</v>
      </c>
      <c r="K327" s="3" t="s">
        <v>38</v>
      </c>
      <c r="L327" s="3" t="str">
        <f t="shared" si="1"/>
        <v>Item atualizado</v>
      </c>
      <c r="M327" s="3"/>
      <c r="N327" s="3" t="s">
        <v>605</v>
      </c>
      <c r="O327" s="3"/>
    </row>
    <row r="328" spans="1:17" ht="22.5" customHeight="1" x14ac:dyDescent="0.2">
      <c r="A328" s="3" t="s">
        <v>761</v>
      </c>
      <c r="B328" s="3" t="str">
        <f ca="1">IFERROR(__xludf.DUMMYFUNCTION("REGEXEXTRACT(A328, ""\.(?:GOV|EXT)\.([A-Z0-9\-]+)"")
"),"CDE")</f>
        <v>CDE</v>
      </c>
      <c r="C328" s="3" t="s">
        <v>34</v>
      </c>
      <c r="D328" s="3" t="s">
        <v>35</v>
      </c>
      <c r="E328" s="3" t="str">
        <f ca="1">IFERROR(__xludf.DUMMYFUNCTION("REGEXEXTRACT(A328, ""-(.*)"")"),"ARP.0001.01.2024.EXT.CDE.RN")</f>
        <v>ARP.0001.01.2024.EXT.CDE.RN</v>
      </c>
      <c r="F328" s="3" t="s">
        <v>617</v>
      </c>
      <c r="G328" s="3"/>
      <c r="H328" s="9">
        <v>45618</v>
      </c>
      <c r="I328" s="3" t="s">
        <v>37</v>
      </c>
      <c r="J328" s="3" t="str">
        <f>VLOOKUP(A328,'TODOS OS PROCESSOS ATUALIZADOS '!A:I,7,0)</f>
        <v>Cancelada por fim vigencia ATA</v>
      </c>
      <c r="K328" s="3" t="s">
        <v>38</v>
      </c>
      <c r="L328" s="3" t="str">
        <f t="shared" si="1"/>
        <v>Item atualizado</v>
      </c>
      <c r="M328" s="3"/>
      <c r="N328" s="3" t="s">
        <v>605</v>
      </c>
      <c r="O328" s="3"/>
    </row>
    <row r="329" spans="1:17" ht="22.5" customHeight="1" x14ac:dyDescent="0.2">
      <c r="A329" s="3" t="s">
        <v>762</v>
      </c>
      <c r="B329" s="3" t="str">
        <f ca="1">IFERROR(__xludf.DUMMYFUNCTION("REGEXEXTRACT(A329, ""\.(?:GOV|EXT)\.([A-Z0-9\-]+)"")
"),"HUOC")</f>
        <v>HUOC</v>
      </c>
      <c r="C329" s="3" t="s">
        <v>34</v>
      </c>
      <c r="D329" s="3" t="s">
        <v>35</v>
      </c>
      <c r="E329" s="14" t="str">
        <f ca="1">IFERROR(__xludf.DUMMYFUNCTION("REGEXEXTRACT(A329, ""-(.*)"")"),"ARP.0081.03.2024.GOV.HUOC.PE")</f>
        <v>ARP.0081.03.2024.GOV.HUOC.PE</v>
      </c>
      <c r="F329" s="6" t="s">
        <v>763</v>
      </c>
      <c r="G329" s="3"/>
      <c r="H329" s="9">
        <v>45590</v>
      </c>
      <c r="I329" s="3" t="s">
        <v>44</v>
      </c>
      <c r="J329" s="3" t="str">
        <f>VLOOKUP(A329,'TODOS OS PROCESSOS ATUALIZADOS '!A:I,7,0)</f>
        <v>Autorizada Sucesso</v>
      </c>
      <c r="K329" s="3" t="s">
        <v>44</v>
      </c>
      <c r="L329" s="3" t="str">
        <f t="shared" si="1"/>
        <v>Item atualizado</v>
      </c>
      <c r="M329" s="3"/>
      <c r="N329" s="3" t="s">
        <v>605</v>
      </c>
      <c r="O329" s="3"/>
      <c r="P329" s="3" t="s">
        <v>764</v>
      </c>
    </row>
    <row r="330" spans="1:17" ht="22.5" customHeight="1" x14ac:dyDescent="0.2">
      <c r="A330" s="3" t="s">
        <v>765</v>
      </c>
      <c r="B330" s="3" t="str">
        <f ca="1">IFERROR(__xludf.DUMMYFUNCTION("REGEXEXTRACT(A330, ""\.(?:GOV|EXT)\.([A-Z0-9\-]+)"")
"),"HUOC")</f>
        <v>HUOC</v>
      </c>
      <c r="C330" s="3" t="s">
        <v>34</v>
      </c>
      <c r="D330" s="3" t="s">
        <v>35</v>
      </c>
      <c r="E330" s="14" t="str">
        <f ca="1">IFERROR(__xludf.DUMMYFUNCTION("REGEXEXTRACT(A330, ""-(.*)"")"),"ARP.0069.02.2024.GOV.HUOC.PE")</f>
        <v>ARP.0069.02.2024.GOV.HUOC.PE</v>
      </c>
      <c r="F330" s="6" t="s">
        <v>474</v>
      </c>
      <c r="G330" s="3"/>
      <c r="H330" s="9">
        <v>45600</v>
      </c>
      <c r="I330" s="3" t="s">
        <v>44</v>
      </c>
      <c r="J330" s="3" t="str">
        <f>VLOOKUP(A330,'TODOS OS PROCESSOS ATUALIZADOS '!A:I,7,0)</f>
        <v>Autorizada Sucesso</v>
      </c>
      <c r="K330" s="3" t="s">
        <v>44</v>
      </c>
      <c r="L330" s="3" t="str">
        <f t="shared" si="1"/>
        <v>Item atualizado</v>
      </c>
      <c r="M330" s="3"/>
      <c r="N330" s="3" t="s">
        <v>605</v>
      </c>
      <c r="O330" s="3"/>
      <c r="P330" s="3" t="s">
        <v>766</v>
      </c>
    </row>
    <row r="331" spans="1:17" ht="22.5" customHeight="1" x14ac:dyDescent="0.2">
      <c r="A331" s="3" t="s">
        <v>767</v>
      </c>
      <c r="B331" s="3" t="str">
        <f ca="1">IFERROR(__xludf.DUMMYFUNCTION("REGEXEXTRACT(A331, ""\.(?:GOV|EXT)\.([A-Z0-9\-]+)"")
"),"HMAR")</f>
        <v>HMAR</v>
      </c>
      <c r="C331" s="3" t="s">
        <v>34</v>
      </c>
      <c r="D331" s="3" t="s">
        <v>35</v>
      </c>
      <c r="E331" s="14" t="str">
        <f ca="1">IFERROR(__xludf.DUMMYFUNCTION("REGEXEXTRACT(A331, ""-(.*)"")"),"ARP.0013.00.2024.EXT.HMAR.PE")</f>
        <v>ARP.0013.00.2024.EXT.HMAR.PE</v>
      </c>
      <c r="F331" s="6" t="s">
        <v>768</v>
      </c>
      <c r="G331" s="3"/>
      <c r="H331" s="9">
        <v>45615</v>
      </c>
      <c r="I331" s="3" t="s">
        <v>44</v>
      </c>
      <c r="J331" s="3" t="str">
        <f>VLOOKUP(A331,'TODOS OS PROCESSOS ATUALIZADOS '!A:I,7,0)</f>
        <v>Autorizada Integrado</v>
      </c>
      <c r="K331" s="3" t="s">
        <v>44</v>
      </c>
      <c r="L331" s="3" t="str">
        <f t="shared" si="1"/>
        <v>Item atualizado</v>
      </c>
      <c r="M331" s="3"/>
      <c r="N331" s="3" t="s">
        <v>605</v>
      </c>
      <c r="O331" s="3"/>
      <c r="P331" s="3" t="s">
        <v>769</v>
      </c>
    </row>
    <row r="332" spans="1:17" ht="22.5" customHeight="1" x14ac:dyDescent="0.2">
      <c r="A332" s="3" t="s">
        <v>770</v>
      </c>
      <c r="B332" s="3" t="str">
        <f ca="1">IFERROR(__xludf.DUMMYFUNCTION("REGEXEXTRACT(A332, ""\.(?:GOV|EXT)\.([A-Z0-9\-]+)"")
"),"HAM")</f>
        <v>HAM</v>
      </c>
      <c r="C332" s="3" t="s">
        <v>34</v>
      </c>
      <c r="D332" s="3" t="s">
        <v>35</v>
      </c>
      <c r="E332" s="14" t="str">
        <f ca="1">IFERROR(__xludf.DUMMYFUNCTION("REGEXEXTRACT(A332, ""-(.*)"")"),"ARP.0012.00.2024.GOV.HAM.PE")</f>
        <v>ARP.0012.00.2024.GOV.HAM.PE</v>
      </c>
      <c r="F332" s="6" t="s">
        <v>771</v>
      </c>
      <c r="G332" s="3"/>
      <c r="H332" s="9">
        <v>45618</v>
      </c>
      <c r="I332" s="3" t="s">
        <v>44</v>
      </c>
      <c r="J332" s="3" t="str">
        <f>VLOOKUP(A332,'TODOS OS PROCESSOS ATUALIZADOS '!A:I,7,0)</f>
        <v>Autorizada Sucesso</v>
      </c>
      <c r="K332" s="3" t="s">
        <v>44</v>
      </c>
      <c r="L332" s="3" t="str">
        <f t="shared" si="1"/>
        <v>Item atualizado</v>
      </c>
      <c r="M332" s="3"/>
      <c r="N332" s="3" t="s">
        <v>605</v>
      </c>
      <c r="O332" s="3"/>
      <c r="P332" s="3" t="s">
        <v>772</v>
      </c>
    </row>
    <row r="333" spans="1:17" ht="22.5" customHeight="1" x14ac:dyDescent="0.2">
      <c r="A333" s="3" t="s">
        <v>773</v>
      </c>
      <c r="B333" s="3" t="str">
        <f ca="1">IFERROR(__xludf.DUMMYFUNCTION("REGEXEXTRACT(A333, ""\.(?:GOV|EXT)\.([A-Z0-9\-]+)"")
"),"PB")</f>
        <v>PB</v>
      </c>
      <c r="C333" s="3" t="s">
        <v>34</v>
      </c>
      <c r="D333" s="3" t="s">
        <v>35</v>
      </c>
      <c r="E333" s="3" t="str">
        <f ca="1">IFERROR(__xludf.DUMMYFUNCTION("REGEXEXTRACT(A333, ""-(.*)"")"),"ARP.0004.00.2024.EXT.PB")</f>
        <v>ARP.0004.00.2024.EXT.PB</v>
      </c>
      <c r="F333" s="3" t="s">
        <v>774</v>
      </c>
      <c r="G333" s="3" t="s">
        <v>4</v>
      </c>
      <c r="H333" s="9">
        <v>45574</v>
      </c>
      <c r="I333" s="3" t="s">
        <v>37</v>
      </c>
      <c r="J333" s="3" t="str">
        <f>VLOOKUP(A333,'TODOS OS PROCESSOS ATUALIZADOS '!A:I,7,0)</f>
        <v>Em configuração</v>
      </c>
      <c r="K333" s="3" t="s">
        <v>42</v>
      </c>
      <c r="L333" s="3" t="str">
        <f t="shared" si="1"/>
        <v>Item atualizado</v>
      </c>
      <c r="M333" s="3"/>
      <c r="N333" s="3" t="s">
        <v>42</v>
      </c>
      <c r="O333" s="3"/>
      <c r="P333" s="3"/>
      <c r="Q333" s="3"/>
    </row>
    <row r="334" spans="1:17" ht="22.5" customHeight="1" x14ac:dyDescent="0.2">
      <c r="A334" s="3" t="s">
        <v>775</v>
      </c>
      <c r="B334" s="3" t="str">
        <f ca="1">IFERROR(__xludf.DUMMYFUNCTION("REGEXEXTRACT(A334, ""\.(?:GOV|EXT)\.([A-Z0-9\-]+)"")
"),"HGV")</f>
        <v>HGV</v>
      </c>
      <c r="C334" s="3" t="s">
        <v>34</v>
      </c>
      <c r="D334" s="3" t="s">
        <v>35</v>
      </c>
      <c r="E334" s="14" t="str">
        <f ca="1">IFERROR(__xludf.DUMMYFUNCTION("REGEXEXTRACT(A334, ""-(.*)"")"),"ARP.0001.00.2024.GOV.HGV.PE")</f>
        <v>ARP.0001.00.2024.GOV.HGV.PE</v>
      </c>
      <c r="F334" s="6" t="s">
        <v>776</v>
      </c>
      <c r="G334" s="3"/>
      <c r="H334" s="9">
        <v>45628</v>
      </c>
      <c r="I334" s="3" t="s">
        <v>44</v>
      </c>
      <c r="J334" s="3" t="str">
        <f>VLOOKUP(A334,'TODOS OS PROCESSOS ATUALIZADOS '!A:I,7,0)</f>
        <v>Autorizada Sucesso</v>
      </c>
      <c r="K334" s="3" t="s">
        <v>44</v>
      </c>
      <c r="L334" s="3" t="str">
        <f t="shared" si="1"/>
        <v>Item atualizado</v>
      </c>
      <c r="M334" s="3"/>
      <c r="N334" s="3" t="s">
        <v>605</v>
      </c>
      <c r="O334" s="3"/>
      <c r="P334" s="3" t="s">
        <v>777</v>
      </c>
    </row>
    <row r="335" spans="1:17" ht="22.5" customHeight="1" x14ac:dyDescent="0.2">
      <c r="A335" s="3" t="s">
        <v>778</v>
      </c>
      <c r="B335" s="3" t="str">
        <f ca="1">IFERROR(__xludf.DUMMYFUNCTION("REGEXEXTRACT(A335, ""\.(?:GOV|EXT)\.([A-Z0-9\-]+)"")
"),"HUOC")</f>
        <v>HUOC</v>
      </c>
      <c r="C335" s="3" t="s">
        <v>34</v>
      </c>
      <c r="D335" s="3" t="s">
        <v>35</v>
      </c>
      <c r="E335" s="14" t="str">
        <f ca="1">IFERROR(__xludf.DUMMYFUNCTION("REGEXEXTRACT(A335, ""-(.*)"")"),"ARP.0069.02.2024.GOV.HUOC.PE")</f>
        <v>ARP.0069.02.2024.GOV.HUOC.PE</v>
      </c>
      <c r="F335" s="3" t="s">
        <v>474</v>
      </c>
      <c r="G335" s="3"/>
      <c r="H335" s="9">
        <v>45581</v>
      </c>
      <c r="I335" s="3" t="s">
        <v>37</v>
      </c>
      <c r="J335" s="3" t="str">
        <f>VLOOKUP(A335,'TODOS OS PROCESSOS ATUALIZADOS '!A:I,7,0)</f>
        <v>Cancelada</v>
      </c>
      <c r="K335" s="3" t="s">
        <v>38</v>
      </c>
      <c r="L335" s="3" t="str">
        <f t="shared" si="1"/>
        <v>Item não atualizado</v>
      </c>
      <c r="M335" s="3"/>
      <c r="N335" s="3" t="s">
        <v>605</v>
      </c>
      <c r="O335" s="3"/>
    </row>
    <row r="336" spans="1:17" ht="22.5" customHeight="1" x14ac:dyDescent="0.2">
      <c r="A336" s="3" t="s">
        <v>779</v>
      </c>
      <c r="B336" s="3" t="str">
        <f ca="1">IFERROR(__xludf.DUMMYFUNCTION("REGEXEXTRACT(A336, ""\.(?:GOV|EXT)\.([A-Z0-9\-]+)"")
"),"HUOC")</f>
        <v>HUOC</v>
      </c>
      <c r="C336" s="3" t="s">
        <v>34</v>
      </c>
      <c r="D336" s="3" t="s">
        <v>35</v>
      </c>
      <c r="E336" s="14" t="str">
        <f ca="1">IFERROR(__xludf.DUMMYFUNCTION("REGEXEXTRACT(A336, ""-(.*)"")"),"ARP.0044.00.2024.GOV.HUOC.PE")</f>
        <v>ARP.0044.00.2024.GOV.HUOC.PE</v>
      </c>
      <c r="F336" s="6" t="s">
        <v>780</v>
      </c>
      <c r="G336" s="3"/>
      <c r="H336" s="9">
        <v>45617</v>
      </c>
      <c r="I336" s="3" t="s">
        <v>44</v>
      </c>
      <c r="J336" s="3" t="str">
        <f>VLOOKUP(A336,'TODOS OS PROCESSOS ATUALIZADOS '!A:I,7,0)</f>
        <v>Autorizada Sucesso</v>
      </c>
      <c r="K336" s="3" t="s">
        <v>44</v>
      </c>
      <c r="L336" s="3" t="str">
        <f t="shared" si="1"/>
        <v>Item atualizado</v>
      </c>
      <c r="M336" s="3"/>
      <c r="N336" s="3" t="s">
        <v>605</v>
      </c>
      <c r="O336" s="3"/>
      <c r="P336" s="3" t="s">
        <v>781</v>
      </c>
    </row>
    <row r="337" spans="1:16" ht="22.5" customHeight="1" x14ac:dyDescent="0.2">
      <c r="A337" s="3" t="s">
        <v>782</v>
      </c>
      <c r="B337" s="3" t="str">
        <f ca="1">IFERROR(__xludf.DUMMYFUNCTION("REGEXEXTRACT(A337, ""\.(?:GOV|EXT)\.([A-Z0-9\-]+)"")
"),"HAM")</f>
        <v>HAM</v>
      </c>
      <c r="C337" s="3" t="s">
        <v>34</v>
      </c>
      <c r="D337" s="3" t="s">
        <v>35</v>
      </c>
      <c r="E337" s="14" t="str">
        <f ca="1">IFERROR(__xludf.DUMMYFUNCTION("REGEXEXTRACT(A337, ""-(.*)"")"),"ARP.0012.00.2024.GOV.HAM.PE")</f>
        <v>ARP.0012.00.2024.GOV.HAM.PE</v>
      </c>
      <c r="F337" s="3" t="s">
        <v>771</v>
      </c>
      <c r="G337" s="3"/>
      <c r="H337" s="9">
        <v>45615</v>
      </c>
      <c r="I337" s="3" t="s">
        <v>37</v>
      </c>
      <c r="J337" s="3" t="str">
        <f>VLOOKUP(A337,'TODOS OS PROCESSOS ATUALIZADOS '!A:I,7,0)</f>
        <v>Cancelada</v>
      </c>
      <c r="K337" s="3" t="s">
        <v>38</v>
      </c>
      <c r="L337" s="3" t="str">
        <f t="shared" si="1"/>
        <v>Item não atualizado</v>
      </c>
      <c r="M337" s="3"/>
      <c r="N337" s="3" t="s">
        <v>605</v>
      </c>
      <c r="O337" s="3"/>
    </row>
    <row r="338" spans="1:16" ht="22.5" customHeight="1" x14ac:dyDescent="0.2">
      <c r="A338" s="3" t="s">
        <v>783</v>
      </c>
      <c r="B338" s="3" t="str">
        <f ca="1">IFERROR(__xludf.DUMMYFUNCTION("REGEXEXTRACT(A338, ""\.(?:GOV|EXT)\.([A-Z0-9\-]+)"")
"),"PROCAPE")</f>
        <v>PROCAPE</v>
      </c>
      <c r="C338" s="3" t="s">
        <v>34</v>
      </c>
      <c r="D338" s="3" t="s">
        <v>35</v>
      </c>
      <c r="E338" s="14" t="str">
        <f ca="1">IFERROR(__xludf.DUMMYFUNCTION("REGEXEXTRACT(A338, ""-(.*)"")"),"ARP.0059.00.2024.GOV.PROCAPE.PE")</f>
        <v>ARP.0059.00.2024.GOV.PROCAPE.PE</v>
      </c>
      <c r="F338" s="6" t="s">
        <v>127</v>
      </c>
      <c r="G338" s="3"/>
      <c r="H338" s="9">
        <v>45630</v>
      </c>
      <c r="I338" s="3" t="s">
        <v>44</v>
      </c>
      <c r="J338" s="3" t="str">
        <f>VLOOKUP(A338,'TODOS OS PROCESSOS ATUALIZADOS '!A:I,7,0)</f>
        <v>Autorizada Sucesso</v>
      </c>
      <c r="K338" s="3" t="s">
        <v>44</v>
      </c>
      <c r="L338" s="3" t="str">
        <f t="shared" si="1"/>
        <v>Item atualizado</v>
      </c>
      <c r="M338" s="3"/>
      <c r="N338" s="3" t="s">
        <v>605</v>
      </c>
      <c r="O338" s="3"/>
      <c r="P338" s="3" t="s">
        <v>784</v>
      </c>
    </row>
    <row r="339" spans="1:16" ht="22.5" customHeight="1" x14ac:dyDescent="0.2">
      <c r="A339" s="3" t="s">
        <v>785</v>
      </c>
      <c r="B339" s="3" t="str">
        <f ca="1">IFERROR(__xludf.DUMMYFUNCTION("REGEXEXTRACT(A339, ""\.(?:GOV|EXT)\.([A-Z0-9\-]+)"")
"),"#N/A")</f>
        <v>#N/A</v>
      </c>
      <c r="C339" s="3" t="s">
        <v>34</v>
      </c>
      <c r="D339" s="3" t="s">
        <v>35</v>
      </c>
      <c r="E339" s="14" t="str">
        <f ca="1">IFERROR(__xludf.DUMMYFUNCTION("REGEXEXTRACT(A339, ""-(.*)"")"),"ARP.0018.00.2024.OPD.MPPE.PE")</f>
        <v>ARP.0018.00.2024.OPD.MPPE.PE</v>
      </c>
      <c r="F339" s="6" t="s">
        <v>786</v>
      </c>
      <c r="G339" s="3"/>
      <c r="H339" s="9">
        <v>45572</v>
      </c>
      <c r="I339" s="3" t="s">
        <v>44</v>
      </c>
      <c r="J339" s="3" t="str">
        <f>VLOOKUP(A339,'TODOS OS PROCESSOS ATUALIZADOS '!A:I,7,0)</f>
        <v>Autorizada Sucesso</v>
      </c>
      <c r="K339" s="3" t="s">
        <v>44</v>
      </c>
      <c r="L339" s="3" t="str">
        <f t="shared" si="1"/>
        <v>Item atualizado</v>
      </c>
      <c r="M339" s="3"/>
      <c r="N339" s="3" t="s">
        <v>605</v>
      </c>
      <c r="O339" s="3"/>
      <c r="P339" s="3" t="s">
        <v>787</v>
      </c>
    </row>
    <row r="340" spans="1:16" ht="22.5" customHeight="1" x14ac:dyDescent="0.2">
      <c r="A340" s="3" t="s">
        <v>788</v>
      </c>
      <c r="B340" s="3" t="str">
        <f ca="1">IFERROR(__xludf.DUMMYFUNCTION("REGEXEXTRACT(A340, ""\.(?:GOV|EXT)\.([A-Z0-9\-]+)"")
"),"HOF")</f>
        <v>HOF</v>
      </c>
      <c r="C340" s="3" t="s">
        <v>34</v>
      </c>
      <c r="D340" s="3" t="s">
        <v>35</v>
      </c>
      <c r="E340" s="14" t="str">
        <f ca="1">IFERROR(__xludf.DUMMYFUNCTION("REGEXEXTRACT(A340, ""-(.*)"")"),"ARP.0009.09.2024.GOV.HOF.PE")</f>
        <v>ARP.0009.09.2024.GOV.HOF.PE</v>
      </c>
      <c r="F340" s="6" t="s">
        <v>628</v>
      </c>
      <c r="G340" s="3"/>
      <c r="H340" s="9">
        <v>45579</v>
      </c>
      <c r="I340" s="3" t="s">
        <v>44</v>
      </c>
      <c r="J340" s="3" t="str">
        <f>VLOOKUP(A340,'TODOS OS PROCESSOS ATUALIZADOS '!A:I,7,0)</f>
        <v>Autorizada Sucesso</v>
      </c>
      <c r="K340" s="3" t="s">
        <v>44</v>
      </c>
      <c r="L340" s="3" t="str">
        <f t="shared" si="1"/>
        <v>Item atualizado</v>
      </c>
      <c r="M340" s="3"/>
      <c r="N340" s="3" t="s">
        <v>605</v>
      </c>
      <c r="O340" s="3"/>
      <c r="P340" s="3" t="s">
        <v>789</v>
      </c>
    </row>
    <row r="341" spans="1:16" ht="22.5" customHeight="1" x14ac:dyDescent="0.2">
      <c r="A341" s="3" t="s">
        <v>790</v>
      </c>
      <c r="B341" s="3" t="str">
        <f ca="1">IFERROR(__xludf.DUMMYFUNCTION("REGEXEXTRACT(A341, ""\.(?:GOV|EXT)\.([A-Z0-9\-]+)"")
"),"PB")</f>
        <v>PB</v>
      </c>
      <c r="C341" s="3" t="s">
        <v>34</v>
      </c>
      <c r="D341" s="3" t="s">
        <v>35</v>
      </c>
      <c r="E341" s="3" t="str">
        <f ca="1">IFERROR(__xludf.DUMMYFUNCTION("REGEXEXTRACT(A341, ""-(.*)"")"),"ARP.0004.00.2024.EXT.PB")</f>
        <v>ARP.0004.00.2024.EXT.PB</v>
      </c>
      <c r="F341" s="3" t="s">
        <v>791</v>
      </c>
      <c r="G341" s="3"/>
      <c r="H341" s="9">
        <v>45583</v>
      </c>
      <c r="I341" s="3" t="s">
        <v>37</v>
      </c>
      <c r="J341" s="3" t="str">
        <f>VLOOKUP(A341,'TODOS OS PROCESSOS ATUALIZADOS '!A:I,7,0)</f>
        <v>Cancelada por fim vigencia ATA</v>
      </c>
      <c r="K341" s="3" t="s">
        <v>38</v>
      </c>
      <c r="L341" s="3" t="str">
        <f t="shared" si="1"/>
        <v>Item atualizado</v>
      </c>
      <c r="M341" s="3"/>
      <c r="N341" s="3" t="s">
        <v>605</v>
      </c>
      <c r="O341" s="3"/>
    </row>
    <row r="342" spans="1:16" ht="22.5" customHeight="1" x14ac:dyDescent="0.2">
      <c r="A342" s="3" t="s">
        <v>792</v>
      </c>
      <c r="B342" s="3" t="str">
        <f ca="1">IFERROR(__xludf.DUMMYFUNCTION("REGEXEXTRACT(A342, ""\.(?:GOV|EXT)\.([A-Z0-9\-]+)"")
"),"HUOC")</f>
        <v>HUOC</v>
      </c>
      <c r="C342" s="3" t="s">
        <v>34</v>
      </c>
      <c r="D342" s="3" t="s">
        <v>35</v>
      </c>
      <c r="E342" s="14" t="str">
        <f ca="1">IFERROR(__xludf.DUMMYFUNCTION("REGEXEXTRACT(A342, ""-(.*)"")"),"ARP.0089.00.2024.GOV.HUOC.PE")</f>
        <v>ARP.0089.00.2024.GOV.HUOC.PE</v>
      </c>
      <c r="F342" s="6" t="s">
        <v>49</v>
      </c>
      <c r="G342" s="3"/>
      <c r="H342" s="9">
        <v>45603</v>
      </c>
      <c r="I342" s="3" t="s">
        <v>44</v>
      </c>
      <c r="J342" s="3" t="str">
        <f>VLOOKUP(A342,'TODOS OS PROCESSOS ATUALIZADOS '!A:I,7,0)</f>
        <v>Autorizada Sucesso</v>
      </c>
      <c r="K342" s="3" t="s">
        <v>44</v>
      </c>
      <c r="L342" s="3" t="str">
        <f t="shared" si="1"/>
        <v>Item atualizado</v>
      </c>
      <c r="M342" s="3"/>
      <c r="N342" s="3" t="s">
        <v>605</v>
      </c>
      <c r="O342" s="3"/>
      <c r="P342" s="3" t="s">
        <v>793</v>
      </c>
    </row>
    <row r="343" spans="1:16" ht="22.5" customHeight="1" x14ac:dyDescent="0.2">
      <c r="A343" s="3" t="s">
        <v>794</v>
      </c>
      <c r="B343" s="3" t="str">
        <f ca="1">IFERROR(__xludf.DUMMYFUNCTION("REGEXEXTRACT(A343, ""\.(?:GOV|EXT)\.([A-Z0-9\-]+)"")
"),"HUOC")</f>
        <v>HUOC</v>
      </c>
      <c r="C343" s="3" t="s">
        <v>34</v>
      </c>
      <c r="D343" s="3" t="s">
        <v>35</v>
      </c>
      <c r="E343" s="14" t="str">
        <f ca="1">IFERROR(__xludf.DUMMYFUNCTION("REGEXEXTRACT(A343, ""-(.*)"")"),"ARP.0088.08.2024.GOV.HUOC.PE")</f>
        <v>ARP.0088.08.2024.GOV.HUOC.PE</v>
      </c>
      <c r="F343" s="6" t="s">
        <v>313</v>
      </c>
      <c r="G343" s="3"/>
      <c r="H343" s="9">
        <v>45600</v>
      </c>
      <c r="I343" s="3" t="s">
        <v>44</v>
      </c>
      <c r="J343" s="3" t="str">
        <f>VLOOKUP(A343,'TODOS OS PROCESSOS ATUALIZADOS '!A:I,7,0)</f>
        <v>Autorizada Sucesso</v>
      </c>
      <c r="K343" s="3" t="s">
        <v>44</v>
      </c>
      <c r="L343" s="3" t="str">
        <f t="shared" si="1"/>
        <v>Item atualizado</v>
      </c>
      <c r="M343" s="3"/>
      <c r="N343" s="3" t="s">
        <v>605</v>
      </c>
      <c r="O343" s="3"/>
      <c r="P343" s="3" t="s">
        <v>795</v>
      </c>
    </row>
    <row r="344" spans="1:16" ht="22.5" customHeight="1" x14ac:dyDescent="0.2">
      <c r="A344" s="3" t="s">
        <v>796</v>
      </c>
      <c r="B344" s="3" t="str">
        <f ca="1">IFERROR(__xludf.DUMMYFUNCTION("REGEXEXTRACT(A344, ""\.(?:GOV|EXT)\.([A-Z0-9\-]+)"")
"),"FES-PE")</f>
        <v>FES-PE</v>
      </c>
      <c r="C344" s="3" t="s">
        <v>34</v>
      </c>
      <c r="D344" s="3" t="s">
        <v>35</v>
      </c>
      <c r="E344" s="14" t="str">
        <f ca="1">IFERROR(__xludf.DUMMYFUNCTION("REGEXEXTRACT(A344, ""-(.*)"")"),"ARP.0088.03.2024.GOV.FES-PE.PE")</f>
        <v>ARP.0088.03.2024.GOV.FES-PE.PE</v>
      </c>
      <c r="F344" s="6" t="s">
        <v>797</v>
      </c>
      <c r="G344" s="3"/>
      <c r="H344" s="9">
        <v>45622</v>
      </c>
      <c r="I344" s="3" t="s">
        <v>44</v>
      </c>
      <c r="J344" s="3" t="str">
        <f>VLOOKUP(A344,'TODOS OS PROCESSOS ATUALIZADOS '!A:I,7,0)</f>
        <v>Autorizada Sucesso</v>
      </c>
      <c r="K344" s="3" t="s">
        <v>44</v>
      </c>
      <c r="L344" s="3" t="str">
        <f t="shared" si="1"/>
        <v>Item atualizado</v>
      </c>
      <c r="M344" s="3"/>
      <c r="N344" s="3" t="s">
        <v>605</v>
      </c>
      <c r="O344" s="3"/>
      <c r="P344" s="3" t="s">
        <v>798</v>
      </c>
    </row>
    <row r="345" spans="1:16" ht="22.5" customHeight="1" x14ac:dyDescent="0.2">
      <c r="A345" s="3" t="s">
        <v>799</v>
      </c>
      <c r="B345" s="3" t="str">
        <f ca="1">IFERROR(__xludf.DUMMYFUNCTION("REGEXEXTRACT(A345, ""\.(?:GOV|EXT)\.([A-Z0-9\-]+)"")
"),"PROCAPE")</f>
        <v>PROCAPE</v>
      </c>
      <c r="C345" s="3" t="s">
        <v>34</v>
      </c>
      <c r="D345" s="3" t="s">
        <v>35</v>
      </c>
      <c r="E345" s="14" t="str">
        <f ca="1">IFERROR(__xludf.DUMMYFUNCTION("REGEXEXTRACT(A345, ""-(.*)"")"),"ARP.0046.05.2024.GOV.PROCAPE.PE")</f>
        <v>ARP.0046.05.2024.GOV.PROCAPE.PE</v>
      </c>
      <c r="F345" s="3" t="s">
        <v>127</v>
      </c>
      <c r="G345" s="3" t="s">
        <v>3</v>
      </c>
      <c r="H345" s="9">
        <v>45621</v>
      </c>
      <c r="I345" s="3" t="s">
        <v>37</v>
      </c>
      <c r="J345" s="3" t="str">
        <f>VLOOKUP(A345,'TODOS OS PROCESSOS ATUALIZADOS '!A:I,7,0)</f>
        <v>Cancelada</v>
      </c>
      <c r="K345" s="3" t="s">
        <v>38</v>
      </c>
      <c r="L345" s="3" t="str">
        <f t="shared" si="1"/>
        <v>Item não atualizado</v>
      </c>
      <c r="M345" s="3"/>
      <c r="N345" s="3" t="s">
        <v>605</v>
      </c>
      <c r="O345" s="3"/>
    </row>
    <row r="346" spans="1:16" ht="22.5" customHeight="1" x14ac:dyDescent="0.2">
      <c r="A346" s="3" t="s">
        <v>800</v>
      </c>
      <c r="B346" s="3" t="str">
        <f ca="1">IFERROR(__xludf.DUMMYFUNCTION("REGEXEXTRACT(A346, ""\.(?:GOV|EXT)\.([A-Z0-9\-]+)"")
"),"FES-PE")</f>
        <v>FES-PE</v>
      </c>
      <c r="C346" s="3" t="s">
        <v>34</v>
      </c>
      <c r="D346" s="3" t="s">
        <v>35</v>
      </c>
      <c r="E346" s="14" t="str">
        <f ca="1">IFERROR(__xludf.DUMMYFUNCTION("REGEXEXTRACT(A346, ""-(.*)"")"),"ARP.0038.02.2024.GOV.FES-PE.PE")</f>
        <v>ARP.0038.02.2024.GOV.FES-PE.PE</v>
      </c>
      <c r="F346" s="6" t="s">
        <v>801</v>
      </c>
      <c r="G346" s="3"/>
      <c r="H346" s="9">
        <v>45596</v>
      </c>
      <c r="I346" s="3" t="s">
        <v>44</v>
      </c>
      <c r="J346" s="3" t="str">
        <f>VLOOKUP(A346,'TODOS OS PROCESSOS ATUALIZADOS '!A:I,7,0)</f>
        <v>Autorizada Sucesso</v>
      </c>
      <c r="K346" s="3" t="s">
        <v>44</v>
      </c>
      <c r="L346" s="3" t="str">
        <f t="shared" si="1"/>
        <v>Item atualizado</v>
      </c>
      <c r="M346" s="3"/>
      <c r="N346" s="3" t="s">
        <v>605</v>
      </c>
      <c r="O346" s="3"/>
      <c r="P346" s="3" t="s">
        <v>802</v>
      </c>
    </row>
    <row r="347" spans="1:16" ht="22.5" customHeight="1" x14ac:dyDescent="0.2">
      <c r="A347" s="3" t="s">
        <v>803</v>
      </c>
      <c r="B347" s="3" t="str">
        <f ca="1">IFERROR(__xludf.DUMMYFUNCTION("REGEXEXTRACT(A347, ""\.(?:GOV|EXT)\.([A-Z0-9\-]+)"")
"),"HAM")</f>
        <v>HAM</v>
      </c>
      <c r="C347" s="3" t="s">
        <v>34</v>
      </c>
      <c r="D347" s="3" t="s">
        <v>35</v>
      </c>
      <c r="E347" s="14" t="str">
        <f ca="1">IFERROR(__xludf.DUMMYFUNCTION("REGEXEXTRACT(A347, ""-(.*)"")"),"ARP.0013.00.2024.GOV.HAM.PE")</f>
        <v>ARP.0013.00.2024.GOV.HAM.PE</v>
      </c>
      <c r="F347" s="3" t="s">
        <v>187</v>
      </c>
      <c r="G347" s="3" t="s">
        <v>2</v>
      </c>
      <c r="H347" s="9">
        <v>45607</v>
      </c>
      <c r="I347" s="3" t="s">
        <v>37</v>
      </c>
      <c r="J347" s="3" t="str">
        <f>VLOOKUP(A347,'TODOS OS PROCESSOS ATUALIZADOS '!A:I,7,0)</f>
        <v>Cancelada por fim vigencia ATA</v>
      </c>
      <c r="K347" s="3" t="s">
        <v>38</v>
      </c>
      <c r="L347" s="3" t="str">
        <f t="shared" si="1"/>
        <v>Item atualizado</v>
      </c>
      <c r="M347" s="3"/>
      <c r="N347" s="3" t="s">
        <v>605</v>
      </c>
      <c r="O347" s="3"/>
    </row>
    <row r="348" spans="1:16" ht="22.5" customHeight="1" x14ac:dyDescent="0.2">
      <c r="A348" s="3" t="s">
        <v>804</v>
      </c>
      <c r="B348" s="3" t="str">
        <f ca="1">IFERROR(__xludf.DUMMYFUNCTION("REGEXEXTRACT(A348, ""\.(?:GOV|EXT)\.([A-Z0-9\-]+)"")
"),"HOF")</f>
        <v>HOF</v>
      </c>
      <c r="C348" s="3" t="s">
        <v>34</v>
      </c>
      <c r="D348" s="3" t="s">
        <v>35</v>
      </c>
      <c r="E348" s="14" t="str">
        <f ca="1">IFERROR(__xludf.DUMMYFUNCTION("REGEXEXTRACT(A348, ""-(.*)"")"),"ARP.0012.11.2024.GOV.HOF.PE")</f>
        <v>ARP.0012.11.2024.GOV.HOF.PE</v>
      </c>
      <c r="F348" s="6" t="s">
        <v>805</v>
      </c>
      <c r="G348" s="3"/>
      <c r="H348" s="9">
        <v>45586</v>
      </c>
      <c r="I348" s="3" t="s">
        <v>44</v>
      </c>
      <c r="J348" s="3" t="str">
        <f>VLOOKUP(A348,'TODOS OS PROCESSOS ATUALIZADOS '!A:I,7,0)</f>
        <v>Autorizada Sucesso</v>
      </c>
      <c r="K348" s="3" t="s">
        <v>44</v>
      </c>
      <c r="L348" s="3" t="str">
        <f t="shared" si="1"/>
        <v>Item atualizado</v>
      </c>
      <c r="M348" s="3"/>
      <c r="N348" s="3" t="s">
        <v>605</v>
      </c>
      <c r="O348" s="3"/>
      <c r="P348" s="3" t="s">
        <v>806</v>
      </c>
    </row>
    <row r="349" spans="1:16" ht="22.5" customHeight="1" x14ac:dyDescent="0.2">
      <c r="A349" s="3" t="s">
        <v>807</v>
      </c>
      <c r="B349" s="3" t="str">
        <f ca="1">IFERROR(__xludf.DUMMYFUNCTION("REGEXEXTRACT(A349, ""\.(?:GOV|EXT)\.([A-Z0-9\-]+)"")
"),"HMAR")</f>
        <v>HMAR</v>
      </c>
      <c r="C349" s="3" t="s">
        <v>34</v>
      </c>
      <c r="D349" s="3" t="s">
        <v>35</v>
      </c>
      <c r="E349" s="14" t="str">
        <f ca="1">IFERROR(__xludf.DUMMYFUNCTION("REGEXEXTRACT(A349, ""-(.*)"")"),"ARP.0010.00.2024.EXT.HMAR.PE")</f>
        <v>ARP.0010.00.2024.EXT.HMAR.PE</v>
      </c>
      <c r="F349" s="3" t="s">
        <v>693</v>
      </c>
      <c r="G349" s="3"/>
      <c r="H349" s="9">
        <v>45628</v>
      </c>
      <c r="I349" s="3" t="s">
        <v>37</v>
      </c>
      <c r="J349" s="3" t="str">
        <f>VLOOKUP(A349,'TODOS OS PROCESSOS ATUALIZADOS '!A:I,7,0)</f>
        <v>Cancelada por fim vigencia ATA</v>
      </c>
      <c r="K349" s="3" t="s">
        <v>38</v>
      </c>
      <c r="L349" s="3" t="str">
        <f t="shared" si="1"/>
        <v>Item atualizado</v>
      </c>
      <c r="M349" s="3"/>
      <c r="N349" s="3" t="s">
        <v>605</v>
      </c>
      <c r="O349" s="3"/>
    </row>
    <row r="350" spans="1:16" ht="22.5" customHeight="1" x14ac:dyDescent="0.2">
      <c r="A350" s="3" t="s">
        <v>808</v>
      </c>
      <c r="B350" s="3" t="str">
        <f ca="1">IFERROR(__xludf.DUMMYFUNCTION("REGEXEXTRACT(A350, ""\.(?:GOV|EXT)\.([A-Z0-9\-]+)"")
"),"HCFMU")</f>
        <v>HCFMU</v>
      </c>
      <c r="C350" s="3" t="s">
        <v>34</v>
      </c>
      <c r="D350" s="3" t="s">
        <v>35</v>
      </c>
      <c r="E350" s="3" t="str">
        <f ca="1">IFERROR(__xludf.DUMMYFUNCTION("REGEXEXTRACT(A350, ""-(.*)"")"),"ARP.0001.00.2024.EXT.HCFMU.SP")</f>
        <v>ARP.0001.00.2024.EXT.HCFMU.SP</v>
      </c>
      <c r="F350" s="3" t="s">
        <v>809</v>
      </c>
      <c r="G350" s="3"/>
      <c r="H350" s="9">
        <v>45623</v>
      </c>
      <c r="I350" s="3" t="s">
        <v>37</v>
      </c>
      <c r="J350" s="3" t="str">
        <f>VLOOKUP(A350,'TODOS OS PROCESSOS ATUALIZADOS '!A:I,7,0)</f>
        <v>Cancelada por fim vigencia ATA</v>
      </c>
      <c r="K350" s="3" t="s">
        <v>38</v>
      </c>
      <c r="L350" s="3" t="str">
        <f t="shared" si="1"/>
        <v>Item atualizado</v>
      </c>
      <c r="M350" s="3"/>
      <c r="N350" s="3" t="s">
        <v>605</v>
      </c>
      <c r="O350" s="3"/>
    </row>
    <row r="351" spans="1:16" ht="22.5" customHeight="1" x14ac:dyDescent="0.2">
      <c r="A351" s="3" t="s">
        <v>810</v>
      </c>
      <c r="B351" s="3" t="str">
        <f ca="1">IFERROR(__xludf.DUMMYFUNCTION("REGEXEXTRACT(A351, ""\.(?:GOV|EXT)\.([A-Z0-9\-]+)"")
"),"FES-PE")</f>
        <v>FES-PE</v>
      </c>
      <c r="C351" s="3" t="s">
        <v>34</v>
      </c>
      <c r="D351" s="3" t="s">
        <v>35</v>
      </c>
      <c r="E351" s="14" t="str">
        <f ca="1">IFERROR(__xludf.DUMMYFUNCTION("REGEXEXTRACT(A351, ""-(.*)"")"),"ARP.0074.01.2024.GOV.FES-PE.PE")</f>
        <v>ARP.0074.01.2024.GOV.FES-PE.PE</v>
      </c>
      <c r="F351" s="6" t="s">
        <v>365</v>
      </c>
      <c r="G351" s="3"/>
      <c r="H351" s="9">
        <v>45600</v>
      </c>
      <c r="I351" s="3" t="s">
        <v>44</v>
      </c>
      <c r="J351" s="3" t="str">
        <f>VLOOKUP(A351,'TODOS OS PROCESSOS ATUALIZADOS '!A:I,7,0)</f>
        <v>Autorizada Sucesso</v>
      </c>
      <c r="K351" s="3" t="s">
        <v>44</v>
      </c>
      <c r="L351" s="3" t="str">
        <f t="shared" si="1"/>
        <v>Item atualizado</v>
      </c>
      <c r="M351" s="3"/>
      <c r="N351" s="3" t="s">
        <v>605</v>
      </c>
      <c r="O351" s="3"/>
      <c r="P351" s="3" t="s">
        <v>811</v>
      </c>
    </row>
    <row r="352" spans="1:16" ht="22.5" customHeight="1" x14ac:dyDescent="0.2">
      <c r="A352" s="3" t="s">
        <v>812</v>
      </c>
      <c r="B352" s="3" t="str">
        <f ca="1">IFERROR(__xludf.DUMMYFUNCTION("REGEXEXTRACT(A352, ""\.(?:GOV|EXT)\.([A-Z0-9\-]+)"")
"),"HR")</f>
        <v>HR</v>
      </c>
      <c r="C352" s="3" t="s">
        <v>34</v>
      </c>
      <c r="D352" s="3" t="s">
        <v>35</v>
      </c>
      <c r="E352" s="14" t="str">
        <f ca="1">IFERROR(__xludf.DUMMYFUNCTION("REGEXEXTRACT(A352, ""-(.*)"")"),"ARP.0005.00.2024.GOV.HR.PE")</f>
        <v>ARP.0005.00.2024.GOV.HR.PE</v>
      </c>
      <c r="F352" s="6" t="s">
        <v>813</v>
      </c>
      <c r="G352" s="3"/>
      <c r="H352" s="9">
        <v>45523</v>
      </c>
      <c r="I352" s="3" t="s">
        <v>44</v>
      </c>
      <c r="J352" s="3" t="str">
        <f>VLOOKUP(A352,'TODOS OS PROCESSOS ATUALIZADOS '!A:I,7,0)</f>
        <v>Autorizada Sucesso</v>
      </c>
      <c r="K352" s="3" t="s">
        <v>44</v>
      </c>
      <c r="L352" s="3" t="str">
        <f t="shared" si="1"/>
        <v>Item atualizado</v>
      </c>
      <c r="M352" s="3"/>
      <c r="N352" s="3" t="s">
        <v>605</v>
      </c>
      <c r="O352" s="3"/>
      <c r="P352" s="3" t="s">
        <v>814</v>
      </c>
    </row>
    <row r="353" spans="1:16" ht="22.5" customHeight="1" x14ac:dyDescent="0.2">
      <c r="A353" s="3" t="s">
        <v>815</v>
      </c>
      <c r="B353" s="3" t="str">
        <f ca="1">IFERROR(__xludf.DUMMYFUNCTION("REGEXEXTRACT(A353, ""\.(?:GOV|EXT)\.([A-Z0-9\-]+)"")
"),"HMAR")</f>
        <v>HMAR</v>
      </c>
      <c r="C353" s="3" t="s">
        <v>34</v>
      </c>
      <c r="D353" s="3" t="s">
        <v>35</v>
      </c>
      <c r="E353" s="14" t="str">
        <f ca="1">IFERROR(__xludf.DUMMYFUNCTION("REGEXEXTRACT(A353, ""-(.*)"")"),"ARP.0003.01.2024.EXT.HMAR.PE")</f>
        <v>ARP.0003.01.2024.EXT.HMAR.PE</v>
      </c>
      <c r="F353" s="6" t="s">
        <v>816</v>
      </c>
      <c r="G353" s="3"/>
      <c r="H353" s="9">
        <v>45520</v>
      </c>
      <c r="I353" s="3" t="s">
        <v>44</v>
      </c>
      <c r="J353" s="3" t="str">
        <f>VLOOKUP(A353,'TODOS OS PROCESSOS ATUALIZADOS '!A:I,7,0)</f>
        <v>Autorizada Integrado</v>
      </c>
      <c r="K353" s="3" t="s">
        <v>44</v>
      </c>
      <c r="L353" s="3" t="str">
        <f t="shared" si="1"/>
        <v>Item atualizado</v>
      </c>
      <c r="M353" s="3"/>
      <c r="N353" s="3" t="s">
        <v>605</v>
      </c>
      <c r="O353" s="3"/>
      <c r="P353" s="3" t="s">
        <v>817</v>
      </c>
    </row>
    <row r="354" spans="1:16" ht="22.5" customHeight="1" x14ac:dyDescent="0.2">
      <c r="A354" s="3" t="s">
        <v>818</v>
      </c>
      <c r="B354" s="3" t="str">
        <f ca="1">IFERROR(__xludf.DUMMYFUNCTION("REGEXEXTRACT(A354, ""\.(?:GOV|EXT)\.([A-Z0-9\-]+)"")
"),"HEMOPE")</f>
        <v>HEMOPE</v>
      </c>
      <c r="C354" s="3" t="s">
        <v>34</v>
      </c>
      <c r="D354" s="3" t="s">
        <v>35</v>
      </c>
      <c r="E354" s="14" t="str">
        <f ca="1">IFERROR(__xludf.DUMMYFUNCTION("REGEXEXTRACT(A354, ""-(.*)"")"),"ARP.0021.00.2024.GOV.HEMOPE.PE")</f>
        <v>ARP.0021.00.2024.GOV.HEMOPE.PE</v>
      </c>
      <c r="F354" s="3" t="s">
        <v>819</v>
      </c>
      <c r="G354" s="3"/>
      <c r="H354" s="9">
        <v>45569</v>
      </c>
      <c r="I354" s="3" t="s">
        <v>37</v>
      </c>
      <c r="J354" s="3" t="str">
        <f>VLOOKUP(A354,'TODOS OS PROCESSOS ATUALIZADOS '!A:I,7,0)</f>
        <v>Cancelada</v>
      </c>
      <c r="K354" s="3" t="s">
        <v>38</v>
      </c>
      <c r="L354" s="3" t="str">
        <f t="shared" si="1"/>
        <v>Item não atualizado</v>
      </c>
      <c r="M354" s="3"/>
      <c r="N354" s="3" t="s">
        <v>605</v>
      </c>
      <c r="O354" s="3"/>
    </row>
    <row r="355" spans="1:16" ht="22.5" customHeight="1" x14ac:dyDescent="0.2">
      <c r="A355" s="3" t="s">
        <v>820</v>
      </c>
      <c r="B355" s="3" t="str">
        <f ca="1">IFERROR(__xludf.DUMMYFUNCTION("REGEXEXTRACT(A355, ""\.(?:GOV|EXT)\.([A-Z0-9\-]+)"")
"),"HEMOPE")</f>
        <v>HEMOPE</v>
      </c>
      <c r="C355" s="3" t="s">
        <v>34</v>
      </c>
      <c r="D355" s="3" t="s">
        <v>35</v>
      </c>
      <c r="E355" s="14" t="str">
        <f ca="1">IFERROR(__xludf.DUMMYFUNCTION("REGEXEXTRACT(A355, ""-(.*)"")"),"ARP.0001.02.2024.GOV.HEMOPE.PE")</f>
        <v>ARP.0001.02.2024.GOV.HEMOPE.PE</v>
      </c>
      <c r="F355" s="6" t="s">
        <v>821</v>
      </c>
      <c r="G355" s="3"/>
      <c r="H355" s="9">
        <v>45526</v>
      </c>
      <c r="I355" s="3" t="s">
        <v>44</v>
      </c>
      <c r="J355" s="3" t="str">
        <f>VLOOKUP(A355,'TODOS OS PROCESSOS ATUALIZADOS '!A:I,7,0)</f>
        <v>Autorizada Sucesso</v>
      </c>
      <c r="K355" s="3" t="s">
        <v>44</v>
      </c>
      <c r="L355" s="3" t="str">
        <f t="shared" si="1"/>
        <v>Item atualizado</v>
      </c>
      <c r="M355" s="3"/>
      <c r="N355" s="3" t="s">
        <v>605</v>
      </c>
      <c r="O355" s="3"/>
      <c r="P355" s="3" t="s">
        <v>822</v>
      </c>
    </row>
    <row r="356" spans="1:16" ht="22.5" customHeight="1" x14ac:dyDescent="0.2">
      <c r="A356" s="3" t="s">
        <v>823</v>
      </c>
      <c r="B356" s="3" t="str">
        <f ca="1">IFERROR(__xludf.DUMMYFUNCTION("REGEXEXTRACT(A356, ""\.(?:GOV|EXT)\.([A-Z0-9\-]+)"")
"),"SESR")</f>
        <v>SESR</v>
      </c>
      <c r="C356" s="3" t="s">
        <v>34</v>
      </c>
      <c r="D356" s="3" t="s">
        <v>35</v>
      </c>
      <c r="E356" s="3" t="str">
        <f ca="1">IFERROR(__xludf.DUMMYFUNCTION("REGEXEXTRACT(A356, ""-(.*)"")"),"ARP.0001.00.2024.EXT.SESR.RR")</f>
        <v>ARP.0001.00.2024.EXT.SESR.RR</v>
      </c>
      <c r="F356" s="6" t="s">
        <v>824</v>
      </c>
      <c r="G356" s="3"/>
      <c r="H356" s="9">
        <v>45551</v>
      </c>
      <c r="I356" s="3" t="s">
        <v>44</v>
      </c>
      <c r="J356" s="3" t="str">
        <f>VLOOKUP(A356,'TODOS OS PROCESSOS ATUALIZADOS '!A:I,7,0)</f>
        <v>Autorizada Integrado</v>
      </c>
      <c r="K356" s="3" t="s">
        <v>44</v>
      </c>
      <c r="L356" s="3" t="str">
        <f t="shared" si="1"/>
        <v>Item atualizado</v>
      </c>
      <c r="M356" s="3"/>
      <c r="N356" s="3" t="s">
        <v>605</v>
      </c>
      <c r="O356" s="3"/>
      <c r="P356" s="3" t="s">
        <v>825</v>
      </c>
    </row>
    <row r="357" spans="1:16" ht="22.5" customHeight="1" x14ac:dyDescent="0.2">
      <c r="A357" s="3" t="s">
        <v>826</v>
      </c>
      <c r="B357" s="3" t="str">
        <f ca="1">IFERROR(__xludf.DUMMYFUNCTION("REGEXEXTRACT(A357, ""\.(?:GOV|EXT)\.([A-Z0-9\-]+)"")
"),"HR")</f>
        <v>HR</v>
      </c>
      <c r="C357" s="3" t="s">
        <v>34</v>
      </c>
      <c r="D357" s="3" t="s">
        <v>35</v>
      </c>
      <c r="E357" s="14" t="str">
        <f ca="1">IFERROR(__xludf.DUMMYFUNCTION("REGEXEXTRACT(A357, ""-(.*)"")"),"ARP.0025.00.2024.GOV.HR.PE")</f>
        <v>ARP.0025.00.2024.GOV.HR.PE</v>
      </c>
      <c r="F357" s="6" t="s">
        <v>827</v>
      </c>
      <c r="G357" s="3"/>
      <c r="H357" s="9">
        <v>45569</v>
      </c>
      <c r="I357" s="3" t="s">
        <v>44</v>
      </c>
      <c r="J357" s="3" t="str">
        <f>VLOOKUP(A357,'TODOS OS PROCESSOS ATUALIZADOS '!A:I,7,0)</f>
        <v>Autorizada Sucesso</v>
      </c>
      <c r="K357" s="3" t="s">
        <v>44</v>
      </c>
      <c r="L357" s="3" t="str">
        <f t="shared" si="1"/>
        <v>Item atualizado</v>
      </c>
      <c r="M357" s="3"/>
      <c r="N357" s="3" t="s">
        <v>605</v>
      </c>
      <c r="O357" s="3"/>
      <c r="P357" s="3" t="s">
        <v>828</v>
      </c>
    </row>
    <row r="358" spans="1:16" ht="22.5" customHeight="1" x14ac:dyDescent="0.2">
      <c r="A358" s="3" t="s">
        <v>829</v>
      </c>
      <c r="B358" s="3" t="str">
        <f ca="1">IFERROR(__xludf.DUMMYFUNCTION("REGEXEXTRACT(A358, ""\.(?:GOV|EXT)\.([A-Z0-9\-]+)"")
"),"HUOC")</f>
        <v>HUOC</v>
      </c>
      <c r="C358" s="3" t="s">
        <v>34</v>
      </c>
      <c r="D358" s="3" t="s">
        <v>35</v>
      </c>
      <c r="E358" s="14" t="str">
        <f ca="1">IFERROR(__xludf.DUMMYFUNCTION("REGEXEXTRACT(A358, ""-(.*)"")"),"ARP.0102.00.2023.GOV.HUOC.PE")</f>
        <v>ARP.0102.00.2023.GOV.HUOC.PE</v>
      </c>
      <c r="F358" s="3" t="s">
        <v>830</v>
      </c>
      <c r="G358" s="3"/>
      <c r="H358" s="9">
        <v>45516</v>
      </c>
      <c r="I358" s="3" t="s">
        <v>44</v>
      </c>
      <c r="J358" s="3" t="str">
        <f>VLOOKUP(A358,'TODOS OS PROCESSOS ATUALIZADOS '!A:I,7,0)</f>
        <v>Autorizada Sucesso</v>
      </c>
      <c r="K358" s="3" t="s">
        <v>605</v>
      </c>
      <c r="L358" s="3" t="str">
        <f t="shared" si="1"/>
        <v>Item atualizado</v>
      </c>
      <c r="M358" s="3"/>
      <c r="N358" s="3" t="s">
        <v>605</v>
      </c>
      <c r="O358" s="3"/>
      <c r="P358" s="3" t="s">
        <v>831</v>
      </c>
    </row>
    <row r="359" spans="1:16" ht="22.5" customHeight="1" x14ac:dyDescent="0.2">
      <c r="A359" s="3" t="s">
        <v>832</v>
      </c>
      <c r="B359" s="3" t="str">
        <f ca="1">IFERROR(__xludf.DUMMYFUNCTION("REGEXEXTRACT(A359, ""\.(?:GOV|EXT)\.([A-Z0-9\-]+)"")
"),"HEMOPE")</f>
        <v>HEMOPE</v>
      </c>
      <c r="C359" s="3" t="s">
        <v>34</v>
      </c>
      <c r="D359" s="3" t="s">
        <v>35</v>
      </c>
      <c r="E359" s="14" t="str">
        <f ca="1">IFERROR(__xludf.DUMMYFUNCTION("REGEXEXTRACT(A359, ""-(.*)"")"),"ARP.0021.00.2024.GOV.HEMOPE.PE")</f>
        <v>ARP.0021.00.2024.GOV.HEMOPE.PE</v>
      </c>
      <c r="F359" s="6" t="s">
        <v>819</v>
      </c>
      <c r="G359" s="3"/>
      <c r="H359" s="9">
        <v>45566</v>
      </c>
      <c r="I359" s="3" t="s">
        <v>44</v>
      </c>
      <c r="J359" s="3" t="str">
        <f>VLOOKUP(A359,'TODOS OS PROCESSOS ATUALIZADOS '!A:I,7,0)</f>
        <v>Autorizada Sucesso</v>
      </c>
      <c r="K359" s="3" t="s">
        <v>44</v>
      </c>
      <c r="L359" s="3" t="str">
        <f t="shared" si="1"/>
        <v>Item atualizado</v>
      </c>
      <c r="M359" s="3"/>
      <c r="N359" s="3" t="s">
        <v>605</v>
      </c>
      <c r="O359" s="3"/>
      <c r="P359" s="3" t="s">
        <v>833</v>
      </c>
    </row>
    <row r="360" spans="1:16" ht="22.5" customHeight="1" x14ac:dyDescent="0.2">
      <c r="A360" s="3" t="s">
        <v>834</v>
      </c>
      <c r="B360" s="3" t="str">
        <f ca="1">IFERROR(__xludf.DUMMYFUNCTION("REGEXEXTRACT(A360, ""\.(?:GOV|EXT)\.([A-Z0-9\-]+)"")
"),"HOF")</f>
        <v>HOF</v>
      </c>
      <c r="C360" s="3" t="s">
        <v>34</v>
      </c>
      <c r="D360" s="3" t="s">
        <v>35</v>
      </c>
      <c r="E360" s="14" t="str">
        <f ca="1">IFERROR(__xludf.DUMMYFUNCTION("REGEXEXTRACT(A360, ""-(.*)"")"),"ARP.0009.00.2024.GOV.HOF.PE")</f>
        <v>ARP.0009.00.2024.GOV.HOF.PE</v>
      </c>
      <c r="F360" s="6" t="s">
        <v>628</v>
      </c>
      <c r="G360" s="3"/>
      <c r="H360" s="9">
        <v>45572</v>
      </c>
      <c r="I360" s="3" t="s">
        <v>44</v>
      </c>
      <c r="J360" s="3" t="str">
        <f>VLOOKUP(A360,'TODOS OS PROCESSOS ATUALIZADOS '!A:I,7,0)</f>
        <v>Autorizada Sucesso</v>
      </c>
      <c r="K360" s="3" t="s">
        <v>44</v>
      </c>
      <c r="L360" s="3" t="str">
        <f t="shared" si="1"/>
        <v>Item atualizado</v>
      </c>
      <c r="M360" s="3"/>
      <c r="N360" s="3" t="s">
        <v>605</v>
      </c>
      <c r="O360" s="3"/>
      <c r="P360" s="3" t="s">
        <v>835</v>
      </c>
    </row>
    <row r="361" spans="1:16" ht="22.5" customHeight="1" x14ac:dyDescent="0.2">
      <c r="A361" s="3" t="s">
        <v>836</v>
      </c>
      <c r="B361" s="3" t="str">
        <f ca="1">IFERROR(__xludf.DUMMYFUNCTION("REGEXEXTRACT(A361, ""\.(?:GOV|EXT)\.([A-Z0-9\-]+)"")
"),"HOF")</f>
        <v>HOF</v>
      </c>
      <c r="C361" s="3" t="s">
        <v>34</v>
      </c>
      <c r="D361" s="3" t="s">
        <v>35</v>
      </c>
      <c r="E361" s="14" t="str">
        <f ca="1">IFERROR(__xludf.DUMMYFUNCTION("REGEXEXTRACT(A361, ""-(.*)"")"),"ARP.0002.04.2024.GOV.HOF.PE")</f>
        <v>ARP.0002.04.2024.GOV.HOF.PE</v>
      </c>
      <c r="F361" s="6" t="s">
        <v>837</v>
      </c>
      <c r="G361" s="3"/>
      <c r="H361" s="9">
        <v>45551</v>
      </c>
      <c r="I361" s="3" t="s">
        <v>44</v>
      </c>
      <c r="J361" s="3" t="str">
        <f>VLOOKUP(A361,'TODOS OS PROCESSOS ATUALIZADOS '!A:I,7,0)</f>
        <v>Autorizada Sucesso</v>
      </c>
      <c r="K361" s="3" t="s">
        <v>44</v>
      </c>
      <c r="L361" s="3" t="str">
        <f t="shared" si="1"/>
        <v>Item atualizado</v>
      </c>
      <c r="M361" s="3"/>
      <c r="N361" s="3" t="s">
        <v>605</v>
      </c>
      <c r="O361" s="3"/>
      <c r="P361" s="3" t="s">
        <v>838</v>
      </c>
    </row>
    <row r="362" spans="1:16" ht="22.5" customHeight="1" x14ac:dyDescent="0.2">
      <c r="A362" s="3" t="s">
        <v>839</v>
      </c>
      <c r="B362" s="3" t="str">
        <f ca="1">IFERROR(__xludf.DUMMYFUNCTION("REGEXEXTRACT(A362, ""\.(?:GOV|EXT)\.([A-Z0-9\-]+)"")
"),"HUOC")</f>
        <v>HUOC</v>
      </c>
      <c r="C362" s="3" t="s">
        <v>34</v>
      </c>
      <c r="D362" s="3" t="s">
        <v>35</v>
      </c>
      <c r="E362" s="14" t="str">
        <f ca="1">IFERROR(__xludf.DUMMYFUNCTION("REGEXEXTRACT(A362, ""-(.*)"")"),"ARP.0077.01.2024.GOV.HUOC.PE")</f>
        <v>ARP.0077.01.2024.GOV.HUOC.PE</v>
      </c>
      <c r="F362" s="6" t="s">
        <v>343</v>
      </c>
      <c r="G362" s="3"/>
      <c r="H362" s="9">
        <v>45562</v>
      </c>
      <c r="I362" s="3" t="s">
        <v>44</v>
      </c>
      <c r="J362" s="3" t="str">
        <f>VLOOKUP(A362,'TODOS OS PROCESSOS ATUALIZADOS '!A:I,7,0)</f>
        <v>Autorizada Sucesso</v>
      </c>
      <c r="K362" s="3" t="s">
        <v>44</v>
      </c>
      <c r="L362" s="3" t="str">
        <f t="shared" si="1"/>
        <v>Item atualizado</v>
      </c>
      <c r="M362" s="3"/>
      <c r="N362" s="3" t="s">
        <v>605</v>
      </c>
      <c r="O362" s="3"/>
      <c r="P362" s="3" t="s">
        <v>840</v>
      </c>
    </row>
    <row r="363" spans="1:16" ht="22.5" customHeight="1" x14ac:dyDescent="0.2">
      <c r="A363" s="3" t="s">
        <v>841</v>
      </c>
      <c r="B363" s="3" t="str">
        <f ca="1">IFERROR(__xludf.DUMMYFUNCTION("REGEXEXTRACT(A363, ""\.(?:GOV|EXT)\.([A-Z0-9\-]+)"")
"),"PROCAPE")</f>
        <v>PROCAPE</v>
      </c>
      <c r="C363" s="3" t="s">
        <v>34</v>
      </c>
      <c r="D363" s="3" t="s">
        <v>35</v>
      </c>
      <c r="E363" s="14" t="str">
        <f ca="1">IFERROR(__xludf.DUMMYFUNCTION("REGEXEXTRACT(A363, ""-(.*)"")"),"ARP.0028.01.2024.GOV.PROCAPE.PE")</f>
        <v>ARP.0028.01.2024.GOV.PROCAPE.PE</v>
      </c>
      <c r="F363" s="6" t="s">
        <v>842</v>
      </c>
      <c r="G363" s="3"/>
      <c r="H363" s="9">
        <v>45540</v>
      </c>
      <c r="I363" s="3" t="s">
        <v>44</v>
      </c>
      <c r="J363" s="3" t="str">
        <f>VLOOKUP(A363,'TODOS OS PROCESSOS ATUALIZADOS '!A:I,7,0)</f>
        <v>Autorizada Sucesso</v>
      </c>
      <c r="K363" s="3" t="s">
        <v>44</v>
      </c>
      <c r="L363" s="3" t="str">
        <f t="shared" si="1"/>
        <v>Item atualizado</v>
      </c>
      <c r="M363" s="3"/>
      <c r="N363" s="3" t="s">
        <v>605</v>
      </c>
      <c r="O363" s="3"/>
      <c r="P363" s="3" t="s">
        <v>843</v>
      </c>
    </row>
    <row r="364" spans="1:16" ht="22.5" customHeight="1" x14ac:dyDescent="0.2">
      <c r="A364" s="3" t="s">
        <v>844</v>
      </c>
      <c r="B364" s="3" t="str">
        <f ca="1">IFERROR(__xludf.DUMMYFUNCTION("REGEXEXTRACT(A364, ""\.(?:GOV|EXT)\.([A-Z0-9\-]+)"")
"),"HMAR")</f>
        <v>HMAR</v>
      </c>
      <c r="C364" s="3" t="s">
        <v>34</v>
      </c>
      <c r="D364" s="3" t="s">
        <v>35</v>
      </c>
      <c r="E364" s="14" t="str">
        <f ca="1">IFERROR(__xludf.DUMMYFUNCTION("REGEXEXTRACT(A364, ""-(.*)"")"),"ARP.0002.00.2024.EXT.HMAR.PE")</f>
        <v>ARP.0002.00.2024.EXT.HMAR.PE</v>
      </c>
      <c r="F364" s="3" t="s">
        <v>845</v>
      </c>
      <c r="G364" s="3"/>
      <c r="H364" s="9">
        <v>45567</v>
      </c>
      <c r="I364" s="3" t="s">
        <v>44</v>
      </c>
      <c r="J364" s="3" t="str">
        <f>VLOOKUP(A364,'TODOS OS PROCESSOS ATUALIZADOS '!A:I,7,0)</f>
        <v>Autorizada Integrado</v>
      </c>
      <c r="K364" s="3" t="s">
        <v>605</v>
      </c>
      <c r="L364" s="3" t="str">
        <f t="shared" si="1"/>
        <v>Item atualizado</v>
      </c>
      <c r="M364" s="3"/>
      <c r="N364" s="3" t="s">
        <v>605</v>
      </c>
      <c r="O364" s="3"/>
      <c r="P364" s="3" t="s">
        <v>846</v>
      </c>
    </row>
    <row r="365" spans="1:16" ht="22.5" customHeight="1" x14ac:dyDescent="0.2">
      <c r="A365" s="3" t="s">
        <v>847</v>
      </c>
      <c r="B365" s="3" t="str">
        <f ca="1">IFERROR(__xludf.DUMMYFUNCTION("REGEXEXTRACT(A365, ""\.(?:GOV|EXT)\.([A-Z0-9\-]+)"")
"),"HUOC")</f>
        <v>HUOC</v>
      </c>
      <c r="C365" s="3" t="s">
        <v>34</v>
      </c>
      <c r="D365" s="3" t="s">
        <v>35</v>
      </c>
      <c r="E365" s="14" t="str">
        <f ca="1">IFERROR(__xludf.DUMMYFUNCTION("REGEXEXTRACT(A365, ""-(.*)"")"),"ARP.0046.05.2024.GOV.HUOC.PE")</f>
        <v>ARP.0046.05.2024.GOV.HUOC.PE</v>
      </c>
      <c r="F365" s="6" t="s">
        <v>730</v>
      </c>
      <c r="G365" s="3"/>
      <c r="H365" s="9">
        <v>45567</v>
      </c>
      <c r="I365" s="3" t="s">
        <v>44</v>
      </c>
      <c r="J365" s="3" t="str">
        <f>VLOOKUP(A365,'TODOS OS PROCESSOS ATUALIZADOS '!A:I,7,0)</f>
        <v>Autorizada Sucesso</v>
      </c>
      <c r="K365" s="3" t="s">
        <v>44</v>
      </c>
      <c r="L365" s="3" t="str">
        <f t="shared" si="1"/>
        <v>Item atualizado</v>
      </c>
      <c r="M365" s="3"/>
      <c r="N365" s="3" t="s">
        <v>605</v>
      </c>
      <c r="O365" s="3"/>
      <c r="P365" s="3" t="s">
        <v>848</v>
      </c>
    </row>
    <row r="366" spans="1:16" ht="22.5" customHeight="1" x14ac:dyDescent="0.2">
      <c r="A366" s="3" t="s">
        <v>849</v>
      </c>
      <c r="B366" s="3" t="str">
        <f ca="1">IFERROR(__xludf.DUMMYFUNCTION("REGEXEXTRACT(A366, ""\.(?:GOV|EXT)\.([A-Z0-9\-]+)"")
"),"HUOC")</f>
        <v>HUOC</v>
      </c>
      <c r="C366" s="3" t="s">
        <v>34</v>
      </c>
      <c r="D366" s="3" t="s">
        <v>35</v>
      </c>
      <c r="E366" s="14" t="str">
        <f ca="1">IFERROR(__xludf.DUMMYFUNCTION("REGEXEXTRACT(A366, ""-(.*)"")"),"ARP.0046.01.2024.GOV.HUOC.PE")</f>
        <v>ARP.0046.01.2024.GOV.HUOC.PE</v>
      </c>
      <c r="F366" s="6" t="s">
        <v>730</v>
      </c>
      <c r="G366" s="3"/>
      <c r="H366" s="9">
        <v>45518</v>
      </c>
      <c r="I366" s="3" t="s">
        <v>44</v>
      </c>
      <c r="J366" s="3" t="str">
        <f>VLOOKUP(A366,'TODOS OS PROCESSOS ATUALIZADOS '!A:I,7,0)</f>
        <v>Autorizada Sucesso</v>
      </c>
      <c r="K366" s="3" t="s">
        <v>44</v>
      </c>
      <c r="L366" s="3" t="str">
        <f t="shared" si="1"/>
        <v>Item atualizado</v>
      </c>
      <c r="M366" s="3"/>
      <c r="N366" s="3" t="s">
        <v>605</v>
      </c>
      <c r="O366" s="3"/>
      <c r="P366" s="3" t="s">
        <v>850</v>
      </c>
    </row>
    <row r="367" spans="1:16" ht="22.5" customHeight="1" x14ac:dyDescent="0.2">
      <c r="A367" s="3" t="s">
        <v>851</v>
      </c>
      <c r="B367" s="3" t="str">
        <f ca="1">IFERROR(__xludf.DUMMYFUNCTION("REGEXEXTRACT(A367, ""\.(?:GOV|EXT)\.([A-Z0-9\-]+)"")
"),"FES-PE")</f>
        <v>FES-PE</v>
      </c>
      <c r="C367" s="3" t="s">
        <v>34</v>
      </c>
      <c r="D367" s="3" t="s">
        <v>35</v>
      </c>
      <c r="E367" s="14" t="str">
        <f ca="1">IFERROR(__xludf.DUMMYFUNCTION("REGEXEXTRACT(A367, ""-(.*)"")"),"ARP.0009.03.2024.GOV.FES-PE.PE")</f>
        <v>ARP.0009.03.2024.GOV.FES-PE.PE</v>
      </c>
      <c r="F367" s="3" t="s">
        <v>852</v>
      </c>
      <c r="G367" s="3"/>
      <c r="H367" s="9">
        <v>45548</v>
      </c>
      <c r="I367" s="3" t="s">
        <v>37</v>
      </c>
      <c r="J367" s="3" t="str">
        <f>VLOOKUP(A367,'TODOS OS PROCESSOS ATUALIZADOS '!A:I,7,0)</f>
        <v>Cancelada</v>
      </c>
      <c r="K367" s="3" t="s">
        <v>605</v>
      </c>
      <c r="L367" s="3" t="str">
        <f t="shared" si="1"/>
        <v>Item não atualizado</v>
      </c>
      <c r="M367" s="3"/>
      <c r="N367" s="3" t="s">
        <v>605</v>
      </c>
      <c r="O367" s="3"/>
    </row>
    <row r="368" spans="1:16" ht="22.5" customHeight="1" x14ac:dyDescent="0.2">
      <c r="A368" s="3" t="s">
        <v>853</v>
      </c>
      <c r="B368" s="3" t="str">
        <f ca="1">IFERROR(__xludf.DUMMYFUNCTION("REGEXEXTRACT(A368, ""\.(?:GOV|EXT)\.([A-Z0-9\-]+)"")
"),"UPEGARANHUNS")</f>
        <v>UPEGARANHUNS</v>
      </c>
      <c r="C368" s="3" t="s">
        <v>34</v>
      </c>
      <c r="D368" s="3" t="s">
        <v>35</v>
      </c>
      <c r="E368" s="14" t="str">
        <f ca="1">IFERROR(__xludf.DUMMYFUNCTION("REGEXEXTRACT(A368, ""-(.*)"")"),"ARP.0006.00.2023.GOV.UPEGARANHUNS.PE")</f>
        <v>ARP.0006.00.2023.GOV.UPEGARANHUNS.PE</v>
      </c>
      <c r="F368" s="3" t="s">
        <v>854</v>
      </c>
      <c r="G368" s="3"/>
      <c r="H368" s="9">
        <v>45568</v>
      </c>
      <c r="I368" s="3" t="s">
        <v>44</v>
      </c>
      <c r="J368" s="3" t="str">
        <f>VLOOKUP(A368,'TODOS OS PROCESSOS ATUALIZADOS '!A:I,7,0)</f>
        <v>Autorizada Sucesso</v>
      </c>
      <c r="K368" s="3" t="s">
        <v>605</v>
      </c>
      <c r="L368" s="3" t="str">
        <f t="shared" si="1"/>
        <v>Item atualizado</v>
      </c>
      <c r="M368" s="3"/>
      <c r="N368" s="3" t="s">
        <v>605</v>
      </c>
      <c r="O368" s="3"/>
    </row>
    <row r="369" spans="1:17" ht="22.5" customHeight="1" x14ac:dyDescent="0.2">
      <c r="A369" s="3" t="s">
        <v>855</v>
      </c>
      <c r="B369" s="3" t="str">
        <f ca="1">IFERROR(__xludf.DUMMYFUNCTION("REGEXEXTRACT(A369, ""\.(?:GOV|EXT)\.([A-Z0-9\-]+)"")
"),"HUOC")</f>
        <v>HUOC</v>
      </c>
      <c r="C369" s="3" t="s">
        <v>34</v>
      </c>
      <c r="D369" s="3" t="s">
        <v>35</v>
      </c>
      <c r="E369" s="14" t="str">
        <f ca="1">IFERROR(__xludf.DUMMYFUNCTION("REGEXEXTRACT(A369, ""-(.*)"")"),"ARP.0095.01.2023.GOV.HUOC.PE")</f>
        <v>ARP.0095.01.2023.GOV.HUOC.PE</v>
      </c>
      <c r="F369" s="3" t="s">
        <v>856</v>
      </c>
      <c r="G369" s="3"/>
      <c r="H369" s="9">
        <v>45518</v>
      </c>
      <c r="I369" s="3" t="s">
        <v>44</v>
      </c>
      <c r="J369" s="3" t="str">
        <f>VLOOKUP(A369,'TODOS OS PROCESSOS ATUALIZADOS '!A:I,7,0)</f>
        <v>Autorizada Sucesso</v>
      </c>
      <c r="K369" s="3" t="s">
        <v>605</v>
      </c>
      <c r="L369" s="3" t="str">
        <f t="shared" si="1"/>
        <v>Item atualizado</v>
      </c>
      <c r="M369" s="3"/>
      <c r="N369" s="3" t="s">
        <v>605</v>
      </c>
      <c r="O369" s="3"/>
    </row>
    <row r="370" spans="1:17" ht="22.5" customHeight="1" x14ac:dyDescent="0.2">
      <c r="A370" s="3" t="s">
        <v>857</v>
      </c>
      <c r="B370" s="3" t="str">
        <f ca="1">IFERROR(__xludf.DUMMYFUNCTION("REGEXEXTRACT(A370, ""\.(?:GOV|EXT)\.([A-Z0-9\-]+)"")
"),"CISAM")</f>
        <v>CISAM</v>
      </c>
      <c r="C370" s="3" t="s">
        <v>34</v>
      </c>
      <c r="D370" s="3" t="s">
        <v>35</v>
      </c>
      <c r="E370" s="14" t="str">
        <f ca="1">IFERROR(__xludf.DUMMYFUNCTION("REGEXEXTRACT(A370, ""-(.*)"")"),"ARP.0053.00.2024.GOV.CISAM.PE")</f>
        <v>ARP.0053.00.2024.GOV.CISAM.PE</v>
      </c>
      <c r="F370" s="6" t="s">
        <v>858</v>
      </c>
      <c r="G370" s="3" t="s">
        <v>3</v>
      </c>
      <c r="H370" s="9">
        <v>45567</v>
      </c>
      <c r="I370" s="3" t="s">
        <v>44</v>
      </c>
      <c r="J370" s="3" t="str">
        <f>VLOOKUP(A370,'TODOS OS PROCESSOS ATUALIZADOS '!A:I,7,0)</f>
        <v>Autorizada Sucesso</v>
      </c>
      <c r="K370" s="3" t="s">
        <v>44</v>
      </c>
      <c r="L370" s="3" t="str">
        <f t="shared" si="1"/>
        <v>Item atualizado</v>
      </c>
      <c r="M370" s="3" t="s">
        <v>9</v>
      </c>
      <c r="N370" s="3" t="s">
        <v>605</v>
      </c>
      <c r="O370" s="3"/>
      <c r="P370" s="3" t="s">
        <v>859</v>
      </c>
      <c r="Q370" s="3" t="s">
        <v>860</v>
      </c>
    </row>
    <row r="371" spans="1:17" ht="22.5" customHeight="1" x14ac:dyDescent="0.2">
      <c r="A371" s="3" t="s">
        <v>861</v>
      </c>
      <c r="B371" s="3" t="str">
        <f ca="1">IFERROR(__xludf.DUMMYFUNCTION("REGEXEXTRACT(A371, ""\.(?:GOV|EXT)\.([A-Z0-9\-]+)"")
"),"HR")</f>
        <v>HR</v>
      </c>
      <c r="C371" s="3" t="s">
        <v>34</v>
      </c>
      <c r="D371" s="3" t="s">
        <v>35</v>
      </c>
      <c r="E371" s="14" t="str">
        <f ca="1">IFERROR(__xludf.DUMMYFUNCTION("REGEXEXTRACT(A371, ""-(.*)"")"),"ARP.0031.00.2024.GOV.HR.PE")</f>
        <v>ARP.0031.00.2024.GOV.HR.PE</v>
      </c>
      <c r="F371" s="6" t="s">
        <v>296</v>
      </c>
      <c r="G371" s="3" t="s">
        <v>3</v>
      </c>
      <c r="H371" s="9">
        <v>45537</v>
      </c>
      <c r="I371" s="3" t="s">
        <v>44</v>
      </c>
      <c r="J371" s="3" t="str">
        <f>VLOOKUP(A371,'TODOS OS PROCESSOS ATUALIZADOS '!A:I,7,0)</f>
        <v>Autorizada Sucesso</v>
      </c>
      <c r="K371" s="3" t="s">
        <v>44</v>
      </c>
      <c r="L371" s="3" t="str">
        <f t="shared" si="1"/>
        <v>Item atualizado</v>
      </c>
      <c r="M371" s="3" t="s">
        <v>9</v>
      </c>
      <c r="N371" s="3" t="s">
        <v>605</v>
      </c>
      <c r="O371" s="3" t="s">
        <v>52</v>
      </c>
      <c r="P371" s="3" t="s">
        <v>862</v>
      </c>
      <c r="Q371" s="3" t="s">
        <v>863</v>
      </c>
    </row>
    <row r="372" spans="1:17" ht="22.5" customHeight="1" x14ac:dyDescent="0.2">
      <c r="A372" s="3" t="s">
        <v>864</v>
      </c>
      <c r="B372" s="3" t="str">
        <f ca="1">IFERROR(__xludf.DUMMYFUNCTION("REGEXEXTRACT(A372, ""\.(?:GOV|EXT)\.([A-Z0-9\-]+)"")
"),"CISAM")</f>
        <v>CISAM</v>
      </c>
      <c r="C372" s="3" t="s">
        <v>34</v>
      </c>
      <c r="D372" s="3" t="s">
        <v>35</v>
      </c>
      <c r="E372" s="14" t="str">
        <f ca="1">IFERROR(__xludf.DUMMYFUNCTION("REGEXEXTRACT(A372, ""-(.*)"")"),"ARP.0055.03.2024.GOV.CISAM.PE")</f>
        <v>ARP.0055.03.2024.GOV.CISAM.PE</v>
      </c>
      <c r="F372" s="6" t="s">
        <v>608</v>
      </c>
      <c r="G372" s="3" t="s">
        <v>3</v>
      </c>
      <c r="H372" s="9">
        <v>45567</v>
      </c>
      <c r="I372" s="3" t="s">
        <v>44</v>
      </c>
      <c r="J372" s="3" t="str">
        <f>VLOOKUP(A372,'TODOS OS PROCESSOS ATUALIZADOS '!A:I,7,0)</f>
        <v>Autorizada Sucesso</v>
      </c>
      <c r="K372" s="3" t="s">
        <v>44</v>
      </c>
      <c r="L372" s="3" t="str">
        <f t="shared" si="1"/>
        <v>Item atualizado</v>
      </c>
      <c r="M372" s="3" t="s">
        <v>9</v>
      </c>
      <c r="N372" s="3" t="s">
        <v>605</v>
      </c>
      <c r="O372" s="3" t="s">
        <v>52</v>
      </c>
      <c r="P372" s="3" t="s">
        <v>865</v>
      </c>
      <c r="Q372" s="3" t="s">
        <v>860</v>
      </c>
    </row>
    <row r="373" spans="1:17" ht="22.5" customHeight="1" x14ac:dyDescent="0.2">
      <c r="A373" s="3" t="s">
        <v>866</v>
      </c>
      <c r="B373" s="3" t="str">
        <f ca="1">IFERROR(__xludf.DUMMYFUNCTION("REGEXEXTRACT(A373, ""\.(?:GOV|EXT)\.([A-Z0-9\-]+)"")
"),"PROCAPE")</f>
        <v>PROCAPE</v>
      </c>
      <c r="C373" s="3" t="s">
        <v>34</v>
      </c>
      <c r="D373" s="3" t="s">
        <v>35</v>
      </c>
      <c r="E373" s="14" t="str">
        <f ca="1">IFERROR(__xludf.DUMMYFUNCTION("REGEXEXTRACT(A373, ""-(.*)"")"),"ARP.0039.03.2024.GOV.PROCAPE.PE")</f>
        <v>ARP.0039.03.2024.GOV.PROCAPE.PE</v>
      </c>
      <c r="F373" s="6" t="s">
        <v>867</v>
      </c>
      <c r="G373" s="3"/>
      <c r="H373" s="9">
        <v>45530</v>
      </c>
      <c r="I373" s="3" t="s">
        <v>44</v>
      </c>
      <c r="J373" s="3" t="str">
        <f>VLOOKUP(A373,'TODOS OS PROCESSOS ATUALIZADOS '!A:I,7,0)</f>
        <v>Autorizada Sucesso</v>
      </c>
      <c r="K373" s="3" t="s">
        <v>44</v>
      </c>
      <c r="L373" s="3" t="str">
        <f t="shared" si="1"/>
        <v>Item atualizado</v>
      </c>
      <c r="M373" s="3" t="s">
        <v>9</v>
      </c>
      <c r="N373" s="3" t="s">
        <v>605</v>
      </c>
      <c r="O373" s="3" t="s">
        <v>52</v>
      </c>
      <c r="P373" s="3" t="s">
        <v>868</v>
      </c>
      <c r="Q373" s="3" t="s">
        <v>860</v>
      </c>
    </row>
    <row r="374" spans="1:17" ht="22.5" customHeight="1" x14ac:dyDescent="0.2">
      <c r="A374" s="3" t="s">
        <v>869</v>
      </c>
      <c r="B374" s="3" t="str">
        <f ca="1">IFERROR(__xludf.DUMMYFUNCTION("REGEXEXTRACT(A374, ""\.(?:GOV|EXT)\.([A-Z0-9\-]+)"")
"),"HR")</f>
        <v>HR</v>
      </c>
      <c r="C374" s="3" t="s">
        <v>34</v>
      </c>
      <c r="D374" s="3" t="s">
        <v>35</v>
      </c>
      <c r="E374" s="14" t="str">
        <f ca="1">IFERROR(__xludf.DUMMYFUNCTION("REGEXEXTRACT(A374, ""-(.*)"")"),"ARP.0035.00.2024.GOV.HR.PE")</f>
        <v>ARP.0035.00.2024.GOV.HR.PE</v>
      </c>
      <c r="F374" s="6" t="s">
        <v>870</v>
      </c>
      <c r="G374" s="3" t="s">
        <v>3</v>
      </c>
      <c r="H374" s="9">
        <v>45551</v>
      </c>
      <c r="I374" s="3" t="s">
        <v>44</v>
      </c>
      <c r="J374" s="3" t="str">
        <f>VLOOKUP(A374,'TODOS OS PROCESSOS ATUALIZADOS '!A:I,7,0)</f>
        <v>Autorizada Sucesso</v>
      </c>
      <c r="K374" s="3" t="s">
        <v>44</v>
      </c>
      <c r="L374" s="3" t="str">
        <f t="shared" si="1"/>
        <v>Item atualizado</v>
      </c>
      <c r="M374" s="3" t="s">
        <v>9</v>
      </c>
      <c r="N374" s="3" t="s">
        <v>605</v>
      </c>
      <c r="O374" s="3" t="s">
        <v>52</v>
      </c>
      <c r="P374" s="3" t="s">
        <v>871</v>
      </c>
      <c r="Q374" s="3" t="s">
        <v>860</v>
      </c>
    </row>
    <row r="375" spans="1:17" ht="22.5" customHeight="1" x14ac:dyDescent="0.2">
      <c r="A375" s="3" t="s">
        <v>872</v>
      </c>
      <c r="B375" s="3" t="str">
        <f ca="1">IFERROR(__xludf.DUMMYFUNCTION("REGEXEXTRACT(A375, ""\.(?:GOV|EXT)\.([A-Z0-9\-]+)"")
"),"HOF")</f>
        <v>HOF</v>
      </c>
      <c r="C375" s="3" t="s">
        <v>34</v>
      </c>
      <c r="D375" s="3" t="s">
        <v>35</v>
      </c>
      <c r="E375" s="14" t="str">
        <f ca="1">IFERROR(__xludf.DUMMYFUNCTION("REGEXEXTRACT(A375, ""-(.*)"")"),"ARP.0002.00.2024.GOV.HOF.PE")</f>
        <v>ARP.0002.00.2024.GOV.HOF.PE</v>
      </c>
      <c r="F375" s="6" t="s">
        <v>837</v>
      </c>
      <c r="G375" s="3" t="s">
        <v>3</v>
      </c>
      <c r="H375" s="9">
        <v>45552</v>
      </c>
      <c r="I375" s="3" t="s">
        <v>44</v>
      </c>
      <c r="J375" s="3" t="str">
        <f>VLOOKUP(A375,'TODOS OS PROCESSOS ATUALIZADOS '!A:I,7,0)</f>
        <v>Autorizada Sucesso</v>
      </c>
      <c r="K375" s="3" t="s">
        <v>44</v>
      </c>
      <c r="L375" s="3" t="str">
        <f t="shared" si="1"/>
        <v>Item atualizado</v>
      </c>
      <c r="M375" s="3" t="s">
        <v>9</v>
      </c>
      <c r="N375" s="3" t="s">
        <v>605</v>
      </c>
      <c r="O375" s="3" t="s">
        <v>52</v>
      </c>
      <c r="P375" s="3" t="s">
        <v>873</v>
      </c>
      <c r="Q375" s="3" t="s">
        <v>860</v>
      </c>
    </row>
    <row r="376" spans="1:17" ht="22.5" customHeight="1" x14ac:dyDescent="0.2">
      <c r="A376" s="3" t="s">
        <v>874</v>
      </c>
      <c r="B376" s="3" t="str">
        <f ca="1">IFERROR(__xludf.DUMMYFUNCTION("REGEXEXTRACT(A376, ""\.(?:GOV|EXT)\.([A-Z0-9\-]+)"")
"),"HUOC")</f>
        <v>HUOC</v>
      </c>
      <c r="C376" s="3" t="s">
        <v>34</v>
      </c>
      <c r="D376" s="3" t="s">
        <v>35</v>
      </c>
      <c r="E376" s="14" t="str">
        <f ca="1">IFERROR(__xludf.DUMMYFUNCTION("REGEXEXTRACT(A376, ""-(.*)"")"),"ARP.0130.00.2023.GOV.HUOC.PE")</f>
        <v>ARP.0130.00.2023.GOV.HUOC.PE</v>
      </c>
      <c r="F376" s="3" t="s">
        <v>875</v>
      </c>
      <c r="G376" s="3"/>
      <c r="H376" s="9">
        <v>45525</v>
      </c>
      <c r="I376" s="3" t="s">
        <v>44</v>
      </c>
      <c r="J376" s="3" t="str">
        <f>VLOOKUP(A376,'TODOS OS PROCESSOS ATUALIZADOS '!A:I,7,0)</f>
        <v>Autorizada Sucesso</v>
      </c>
      <c r="K376" s="3" t="s">
        <v>605</v>
      </c>
      <c r="L376" s="3" t="str">
        <f t="shared" si="1"/>
        <v>Item atualizado</v>
      </c>
      <c r="M376" s="3"/>
      <c r="N376" s="3" t="s">
        <v>605</v>
      </c>
      <c r="O376" s="3"/>
    </row>
    <row r="377" spans="1:17" ht="22.5" customHeight="1" x14ac:dyDescent="0.2">
      <c r="A377" s="3" t="s">
        <v>876</v>
      </c>
      <c r="B377" s="3" t="str">
        <f ca="1">IFERROR(__xludf.DUMMYFUNCTION("REGEXEXTRACT(A377, ""\.(?:GOV|EXT)\.([A-Z0-9\-]+)"")
"),"HUOC")</f>
        <v>HUOC</v>
      </c>
      <c r="C377" s="3" t="s">
        <v>34</v>
      </c>
      <c r="D377" s="3" t="s">
        <v>35</v>
      </c>
      <c r="E377" s="14" t="str">
        <f ca="1">IFERROR(__xludf.DUMMYFUNCTION("REGEXEXTRACT(A377, ""-(.*)"")"),"ARP.0063.08.2024.GOV.HUOC.PE")</f>
        <v>ARP.0063.08.2024.GOV.HUOC.PE</v>
      </c>
      <c r="F377" s="6" t="s">
        <v>877</v>
      </c>
      <c r="G377" s="3"/>
      <c r="H377" s="9">
        <v>45516</v>
      </c>
      <c r="I377" s="3" t="s">
        <v>44</v>
      </c>
      <c r="J377" s="3" t="str">
        <f>VLOOKUP(A377,'TODOS OS PROCESSOS ATUALIZADOS '!A:I,7,0)</f>
        <v>Autorizada Sucesso</v>
      </c>
      <c r="K377" s="3" t="s">
        <v>44</v>
      </c>
      <c r="L377" s="3" t="str">
        <f t="shared" si="1"/>
        <v>Item atualizado</v>
      </c>
      <c r="M377" s="3" t="s">
        <v>9</v>
      </c>
      <c r="N377" s="3" t="s">
        <v>605</v>
      </c>
      <c r="O377" s="3" t="s">
        <v>52</v>
      </c>
      <c r="P377" s="3" t="s">
        <v>878</v>
      </c>
      <c r="Q377" s="3" t="s">
        <v>860</v>
      </c>
    </row>
    <row r="378" spans="1:17" ht="22.5" customHeight="1" x14ac:dyDescent="0.2">
      <c r="A378" s="3" t="s">
        <v>879</v>
      </c>
      <c r="B378" s="3" t="str">
        <f ca="1">IFERROR(__xludf.DUMMYFUNCTION("REGEXEXTRACT(A378, ""\.(?:GOV|EXT)\.([A-Z0-9\-]+)"")
"),"HUOC")</f>
        <v>HUOC</v>
      </c>
      <c r="C378" s="3" t="s">
        <v>34</v>
      </c>
      <c r="D378" s="3" t="s">
        <v>35</v>
      </c>
      <c r="E378" s="14" t="str">
        <f ca="1">IFERROR(__xludf.DUMMYFUNCTION("REGEXEXTRACT(A378, ""-(.*)"")"),"ARP.0039.04.2024.GOV.HUOC.PE")</f>
        <v>ARP.0039.04.2024.GOV.HUOC.PE</v>
      </c>
      <c r="F378" s="6" t="s">
        <v>880</v>
      </c>
      <c r="G378" s="3" t="s">
        <v>3</v>
      </c>
      <c r="H378" s="9">
        <v>45516</v>
      </c>
      <c r="I378" s="3" t="s">
        <v>44</v>
      </c>
      <c r="J378" s="3" t="str">
        <f>VLOOKUP(A378,'TODOS OS PROCESSOS ATUALIZADOS '!A:I,7,0)</f>
        <v>Autorizada Sucesso</v>
      </c>
      <c r="K378" s="3" t="s">
        <v>44</v>
      </c>
      <c r="L378" s="3" t="str">
        <f t="shared" si="1"/>
        <v>Item atualizado</v>
      </c>
      <c r="M378" s="3" t="s">
        <v>9</v>
      </c>
      <c r="N378" s="3" t="s">
        <v>605</v>
      </c>
      <c r="O378" s="3" t="s">
        <v>52</v>
      </c>
      <c r="P378" s="3" t="s">
        <v>881</v>
      </c>
      <c r="Q378" s="3" t="s">
        <v>860</v>
      </c>
    </row>
    <row r="379" spans="1:17" ht="22.5" customHeight="1" x14ac:dyDescent="0.2">
      <c r="A379" s="3" t="s">
        <v>882</v>
      </c>
      <c r="B379" s="3" t="str">
        <f ca="1">IFERROR(__xludf.DUMMYFUNCTION("REGEXEXTRACT(A379, ""\.(?:GOV|EXT)\.([A-Z0-9\-]+)"")
"),"HR")</f>
        <v>HR</v>
      </c>
      <c r="C379" s="3" t="s">
        <v>34</v>
      </c>
      <c r="D379" s="3" t="s">
        <v>35</v>
      </c>
      <c r="E379" s="14" t="str">
        <f ca="1">IFERROR(__xludf.DUMMYFUNCTION("REGEXEXTRACT(A379, ""-(.*)"")"),"ARP.0033.00.2024.GOV.HR.PE")</f>
        <v>ARP.0033.00.2024.GOV.HR.PE</v>
      </c>
      <c r="F379" s="6" t="s">
        <v>511</v>
      </c>
      <c r="G379" s="3"/>
      <c r="H379" s="9">
        <v>45553</v>
      </c>
      <c r="I379" s="3" t="s">
        <v>44</v>
      </c>
      <c r="J379" s="3" t="str">
        <f>VLOOKUP(A379,'TODOS OS PROCESSOS ATUALIZADOS '!A:I,7,0)</f>
        <v>Autorizada Sucesso</v>
      </c>
      <c r="K379" s="3" t="s">
        <v>44</v>
      </c>
      <c r="L379" s="3" t="str">
        <f t="shared" si="1"/>
        <v>Item atualizado</v>
      </c>
      <c r="M379" s="3" t="s">
        <v>9</v>
      </c>
      <c r="N379" s="3" t="s">
        <v>605</v>
      </c>
      <c r="O379" s="3" t="s">
        <v>52</v>
      </c>
      <c r="P379" s="3" t="s">
        <v>883</v>
      </c>
      <c r="Q379" s="3" t="s">
        <v>860</v>
      </c>
    </row>
    <row r="380" spans="1:17" ht="22.5" customHeight="1" x14ac:dyDescent="0.2">
      <c r="A380" s="3" t="s">
        <v>884</v>
      </c>
      <c r="B380" s="3" t="str">
        <f ca="1">IFERROR(__xludf.DUMMYFUNCTION("REGEXEXTRACT(A380, ""\.(?:GOV|EXT)\.([A-Z0-9\-]+)"")
"),"HR")</f>
        <v>HR</v>
      </c>
      <c r="C380" s="3" t="s">
        <v>34</v>
      </c>
      <c r="D380" s="3" t="s">
        <v>35</v>
      </c>
      <c r="E380" s="14" t="str">
        <f ca="1">IFERROR(__xludf.DUMMYFUNCTION("REGEXEXTRACT(A380, ""-(.*)"")"),"ARP.0028.00.2024.GOV.HR.PE")</f>
        <v>ARP.0028.00.2024.GOV.HR.PE</v>
      </c>
      <c r="F380" s="6" t="s">
        <v>499</v>
      </c>
      <c r="G380" s="3"/>
      <c r="H380" s="9">
        <v>45546</v>
      </c>
      <c r="I380" s="3" t="s">
        <v>44</v>
      </c>
      <c r="J380" s="3" t="str">
        <f>VLOOKUP(A380,'TODOS OS PROCESSOS ATUALIZADOS '!A:I,7,0)</f>
        <v>Autorizada Sucesso</v>
      </c>
      <c r="K380" s="3" t="s">
        <v>44</v>
      </c>
      <c r="L380" s="3" t="str">
        <f t="shared" si="1"/>
        <v>Item atualizado</v>
      </c>
      <c r="M380" s="3" t="s">
        <v>9</v>
      </c>
      <c r="N380" s="3" t="s">
        <v>605</v>
      </c>
      <c r="O380" s="3" t="s">
        <v>52</v>
      </c>
      <c r="P380" s="3" t="s">
        <v>885</v>
      </c>
      <c r="Q380" s="3" t="s">
        <v>860</v>
      </c>
    </row>
    <row r="381" spans="1:17" ht="22.5" customHeight="1" x14ac:dyDescent="0.2">
      <c r="A381" s="3" t="s">
        <v>886</v>
      </c>
      <c r="B381" s="3" t="str">
        <f ca="1">IFERROR(__xludf.DUMMYFUNCTION("REGEXEXTRACT(A381, ""\.(?:GOV|EXT)\.([A-Z0-9\-]+)"")
"),"HMAR")</f>
        <v>HMAR</v>
      </c>
      <c r="C381" s="3" t="s">
        <v>34</v>
      </c>
      <c r="D381" s="3" t="s">
        <v>35</v>
      </c>
      <c r="E381" s="14" t="str">
        <f ca="1">IFERROR(__xludf.DUMMYFUNCTION("REGEXEXTRACT(A381, ""-(.*)"")"),"ARP.0006.00.2024.EXT.HMAR.PE")</f>
        <v>ARP.0006.00.2024.EXT.HMAR.PE</v>
      </c>
      <c r="F381" s="6" t="s">
        <v>887</v>
      </c>
      <c r="G381" s="3" t="s">
        <v>3</v>
      </c>
      <c r="H381" s="9">
        <v>45569</v>
      </c>
      <c r="I381" s="3" t="s">
        <v>44</v>
      </c>
      <c r="J381" s="3" t="str">
        <f>VLOOKUP(A381,'TODOS OS PROCESSOS ATUALIZADOS '!A:I,7,0)</f>
        <v>Autorizada Integrado</v>
      </c>
      <c r="K381" s="3" t="s">
        <v>44</v>
      </c>
      <c r="L381" s="3" t="str">
        <f t="shared" si="1"/>
        <v>Item atualizado</v>
      </c>
      <c r="M381" s="3" t="s">
        <v>9</v>
      </c>
      <c r="N381" s="3" t="s">
        <v>605</v>
      </c>
      <c r="O381" s="3" t="s">
        <v>52</v>
      </c>
      <c r="P381" s="3" t="s">
        <v>888</v>
      </c>
      <c r="Q381" s="3" t="s">
        <v>860</v>
      </c>
    </row>
    <row r="382" spans="1:17" ht="22.5" customHeight="1" x14ac:dyDescent="0.2">
      <c r="A382" s="3" t="s">
        <v>889</v>
      </c>
      <c r="B382" s="3" t="str">
        <f ca="1">IFERROR(__xludf.DUMMYFUNCTION("REGEXEXTRACT(A382, ""\.(?:GOV|EXT)\.([A-Z0-9\-]+)"")
"),"HGV")</f>
        <v>HGV</v>
      </c>
      <c r="C382" s="3" t="s">
        <v>34</v>
      </c>
      <c r="D382" s="3" t="s">
        <v>35</v>
      </c>
      <c r="E382" s="14" t="str">
        <f ca="1">IFERROR(__xludf.DUMMYFUNCTION("REGEXEXTRACT(A382, ""-(.*)"")"),"ARP.0004.02.2024.GOV.HGV.PE")</f>
        <v>ARP.0004.02.2024.GOV.HGV.PE</v>
      </c>
      <c r="F382" s="6" t="s">
        <v>743</v>
      </c>
      <c r="G382" s="3" t="s">
        <v>3</v>
      </c>
      <c r="H382" s="9">
        <v>45555</v>
      </c>
      <c r="I382" s="3" t="s">
        <v>44</v>
      </c>
      <c r="J382" s="3" t="str">
        <f>VLOOKUP(A382,'TODOS OS PROCESSOS ATUALIZADOS '!A:I,7,0)</f>
        <v>Autorizada Sucesso</v>
      </c>
      <c r="K382" s="3" t="s">
        <v>44</v>
      </c>
      <c r="L382" s="3" t="str">
        <f t="shared" si="1"/>
        <v>Item atualizado</v>
      </c>
      <c r="M382" s="3" t="s">
        <v>9</v>
      </c>
      <c r="N382" s="3" t="s">
        <v>605</v>
      </c>
      <c r="O382" s="3" t="s">
        <v>52</v>
      </c>
      <c r="P382" s="3" t="s">
        <v>890</v>
      </c>
      <c r="Q382" s="3" t="s">
        <v>860</v>
      </c>
    </row>
    <row r="383" spans="1:17" ht="22.5" customHeight="1" x14ac:dyDescent="0.2">
      <c r="A383" s="3" t="s">
        <v>891</v>
      </c>
      <c r="B383" s="3" t="str">
        <f ca="1">IFERROR(__xludf.DUMMYFUNCTION("REGEXEXTRACT(A383, ""\.(?:GOV|EXT)\.([A-Z0-9\-]+)"")
"),"HUOC")</f>
        <v>HUOC</v>
      </c>
      <c r="C383" s="3" t="s">
        <v>34</v>
      </c>
      <c r="D383" s="3" t="s">
        <v>35</v>
      </c>
      <c r="E383" s="14" t="str">
        <f ca="1">IFERROR(__xludf.DUMMYFUNCTION("REGEXEXTRACT(A383, ""-(.*)"")"),"ARP.0130.02.2023.GOV.HUOC.PE")</f>
        <v>ARP.0130.02.2023.GOV.HUOC.PE</v>
      </c>
      <c r="F383" s="3" t="s">
        <v>875</v>
      </c>
      <c r="G383" s="3"/>
      <c r="H383" s="9">
        <v>45518</v>
      </c>
      <c r="I383" s="3" t="s">
        <v>44</v>
      </c>
      <c r="J383" s="3" t="str">
        <f>VLOOKUP(A383,'TODOS OS PROCESSOS ATUALIZADOS '!A:I,7,0)</f>
        <v>Autorizada Sucesso</v>
      </c>
      <c r="K383" s="3" t="s">
        <v>605</v>
      </c>
      <c r="L383" s="3" t="str">
        <f t="shared" si="1"/>
        <v>Item atualizado</v>
      </c>
      <c r="M383" s="3"/>
      <c r="N383" s="3" t="s">
        <v>605</v>
      </c>
      <c r="O383" s="3"/>
    </row>
    <row r="384" spans="1:17" ht="22.5" customHeight="1" x14ac:dyDescent="0.2">
      <c r="A384" s="3" t="s">
        <v>892</v>
      </c>
      <c r="B384" s="3" t="str">
        <f ca="1">IFERROR(__xludf.DUMMYFUNCTION("REGEXEXTRACT(A384, ""\.(?:GOV|EXT)\.([A-Z0-9\-]+)"")
"),"FES-PE")</f>
        <v>FES-PE</v>
      </c>
      <c r="C384" s="3" t="s">
        <v>34</v>
      </c>
      <c r="D384" s="3" t="s">
        <v>35</v>
      </c>
      <c r="E384" s="14" t="str">
        <f ca="1">IFERROR(__xludf.DUMMYFUNCTION("REGEXEXTRACT(A384, ""-(.*)"")"),"ARP.0107.00.2023.GOV.FES-PE.PE")</f>
        <v>ARP.0107.00.2023.GOV.FES-PE.PE</v>
      </c>
      <c r="F384" s="3" t="s">
        <v>893</v>
      </c>
      <c r="G384" s="3"/>
      <c r="H384" s="9">
        <v>45554</v>
      </c>
      <c r="I384" s="3" t="s">
        <v>44</v>
      </c>
      <c r="J384" s="3" t="str">
        <f>VLOOKUP(A384,'TODOS OS PROCESSOS ATUALIZADOS '!A:I,7,0)</f>
        <v>Autorizada Sucesso</v>
      </c>
      <c r="K384" s="3" t="s">
        <v>605</v>
      </c>
      <c r="L384" s="3" t="str">
        <f t="shared" si="1"/>
        <v>Item atualizado</v>
      </c>
      <c r="M384" s="3"/>
      <c r="N384" s="3" t="s">
        <v>605</v>
      </c>
      <c r="O384" s="3"/>
    </row>
    <row r="385" spans="1:17" ht="22.5" customHeight="1" x14ac:dyDescent="0.2">
      <c r="A385" s="3" t="s">
        <v>894</v>
      </c>
      <c r="B385" s="3" t="str">
        <f ca="1">IFERROR(__xludf.DUMMYFUNCTION("REGEXEXTRACT(A385, ""\.(?:GOV|EXT)\.([A-Z0-9\-]+)"")
"),"HUOC")</f>
        <v>HUOC</v>
      </c>
      <c r="C385" s="3" t="s">
        <v>34</v>
      </c>
      <c r="D385" s="3" t="s">
        <v>35</v>
      </c>
      <c r="E385" s="14" t="str">
        <f ca="1">IFERROR(__xludf.DUMMYFUNCTION("REGEXEXTRACT(A385, ""-(.*)"")"),"ARP.0068.02.2024.GOV.HUOC.PE")</f>
        <v>ARP.0068.02.2024.GOV.HUOC.PE</v>
      </c>
      <c r="F385" s="3" t="s">
        <v>895</v>
      </c>
      <c r="G385" s="3"/>
      <c r="H385" s="9">
        <v>45558</v>
      </c>
      <c r="I385" s="3" t="s">
        <v>37</v>
      </c>
      <c r="J385" s="3" t="str">
        <f>VLOOKUP(A385,'TODOS OS PROCESSOS ATUALIZADOS '!A:I,7,0)</f>
        <v>Cancelada</v>
      </c>
      <c r="K385" s="3" t="s">
        <v>38</v>
      </c>
      <c r="L385" s="3" t="str">
        <f t="shared" si="1"/>
        <v>Item não atualizado</v>
      </c>
      <c r="M385" s="3"/>
      <c r="N385" s="3" t="s">
        <v>605</v>
      </c>
      <c r="O385" s="3"/>
    </row>
    <row r="386" spans="1:17" ht="22.5" customHeight="1" x14ac:dyDescent="0.2">
      <c r="A386" s="3" t="s">
        <v>896</v>
      </c>
      <c r="B386" s="3" t="str">
        <f ca="1">IFERROR(__xludf.DUMMYFUNCTION("REGEXEXTRACT(A386, ""\.(?:GOV|EXT)\.([A-Z0-9\-]+)"")
"),"HUOC")</f>
        <v>HUOC</v>
      </c>
      <c r="C386" s="3" t="s">
        <v>34</v>
      </c>
      <c r="D386" s="3" t="s">
        <v>35</v>
      </c>
      <c r="E386" s="14" t="str">
        <f ca="1">IFERROR(__xludf.DUMMYFUNCTION("REGEXEXTRACT(A386, ""-(.*)"")"),"ARP.0063.06.2024.GOV.HUOC.PE")</f>
        <v>ARP.0063.06.2024.GOV.HUOC.PE</v>
      </c>
      <c r="F386" s="6" t="s">
        <v>877</v>
      </c>
      <c r="G386" s="3"/>
      <c r="H386" s="9">
        <v>45530</v>
      </c>
      <c r="I386" s="3" t="s">
        <v>44</v>
      </c>
      <c r="J386" s="3" t="str">
        <f>VLOOKUP(A386,'TODOS OS PROCESSOS ATUALIZADOS '!A:I,7,0)</f>
        <v>Autorizada Sucesso</v>
      </c>
      <c r="K386" s="3" t="s">
        <v>44</v>
      </c>
      <c r="L386" s="3" t="str">
        <f t="shared" si="1"/>
        <v>Item atualizado</v>
      </c>
      <c r="M386" s="3" t="s">
        <v>9</v>
      </c>
      <c r="N386" s="3" t="s">
        <v>605</v>
      </c>
      <c r="O386" s="3"/>
      <c r="P386" s="3" t="s">
        <v>897</v>
      </c>
      <c r="Q386" s="6" t="s">
        <v>898</v>
      </c>
    </row>
    <row r="387" spans="1:17" ht="22.5" customHeight="1" x14ac:dyDescent="0.2">
      <c r="A387" s="3" t="s">
        <v>899</v>
      </c>
      <c r="B387" s="3" t="str">
        <f ca="1">IFERROR(__xludf.DUMMYFUNCTION("REGEXEXTRACT(A387, ""\.(?:GOV|EXT)\.([A-Z0-9\-]+)"")
"),"PROCAPE")</f>
        <v>PROCAPE</v>
      </c>
      <c r="C387" s="3" t="s">
        <v>34</v>
      </c>
      <c r="D387" s="3" t="s">
        <v>35</v>
      </c>
      <c r="E387" s="14" t="str">
        <f ca="1">IFERROR(__xludf.DUMMYFUNCTION("REGEXEXTRACT(A387, ""-(.*)"")"),"ARP.0044.08.2024.GOV.PROCAPE.PE")</f>
        <v>ARP.0044.08.2024.GOV.PROCAPE.PE</v>
      </c>
      <c r="F387" s="6" t="s">
        <v>625</v>
      </c>
      <c r="G387" s="3" t="s">
        <v>3</v>
      </c>
      <c r="H387" s="9">
        <v>45537</v>
      </c>
      <c r="I387" s="3" t="s">
        <v>44</v>
      </c>
      <c r="J387" s="3" t="str">
        <f>VLOOKUP(A387,'TODOS OS PROCESSOS ATUALIZADOS '!A:I,7,0)</f>
        <v>Autorizada Sucesso</v>
      </c>
      <c r="K387" s="3" t="s">
        <v>44</v>
      </c>
      <c r="L387" s="3" t="str">
        <f t="shared" si="1"/>
        <v>Item atualizado</v>
      </c>
      <c r="M387" s="3" t="s">
        <v>9</v>
      </c>
      <c r="N387" s="3" t="s">
        <v>605</v>
      </c>
      <c r="O387" s="3" t="s">
        <v>52</v>
      </c>
      <c r="P387" s="3" t="s">
        <v>900</v>
      </c>
      <c r="Q387" s="3" t="s">
        <v>860</v>
      </c>
    </row>
    <row r="388" spans="1:17" ht="22.5" customHeight="1" x14ac:dyDescent="0.2">
      <c r="A388" s="33" t="s">
        <v>901</v>
      </c>
      <c r="B388" s="33" t="str">
        <f ca="1">IFERROR(__xludf.DUMMYFUNCTION("REGEXEXTRACT(A388, ""\.(?:GOV|EXT)\.([A-Z0-9\-]+)"")
"),"HR")</f>
        <v>HR</v>
      </c>
      <c r="C388" s="33" t="s">
        <v>34</v>
      </c>
      <c r="D388" s="33" t="s">
        <v>35</v>
      </c>
      <c r="E388" s="34" t="str">
        <f ca="1">IFERROR(__xludf.DUMMYFUNCTION("REGEXEXTRACT(A388, ""-(.*)"")"),"ARP.0027.00.2024.GOV.HR.PE")</f>
        <v>ARP.0027.00.2024.GOV.HR.PE</v>
      </c>
      <c r="F388" s="35" t="s">
        <v>902</v>
      </c>
      <c r="G388" s="33" t="s">
        <v>3</v>
      </c>
      <c r="H388" s="36">
        <v>45551</v>
      </c>
      <c r="I388" s="33" t="s">
        <v>44</v>
      </c>
      <c r="J388" s="33" t="str">
        <f>VLOOKUP(A388,'TODOS OS PROCESSOS ATUALIZADOS '!A:I,7,0)</f>
        <v>Autorizada Sucesso</v>
      </c>
      <c r="K388" s="33" t="s">
        <v>44</v>
      </c>
      <c r="L388" s="33" t="str">
        <f t="shared" si="1"/>
        <v>Item atualizado</v>
      </c>
      <c r="M388" s="33" t="s">
        <v>9</v>
      </c>
      <c r="N388" s="33" t="s">
        <v>605</v>
      </c>
      <c r="O388" s="33" t="s">
        <v>52</v>
      </c>
      <c r="P388" s="33" t="s">
        <v>903</v>
      </c>
      <c r="Q388" s="3" t="s">
        <v>860</v>
      </c>
    </row>
    <row r="389" spans="1:17" ht="22.5" customHeight="1" x14ac:dyDescent="0.2">
      <c r="A389" s="3" t="s">
        <v>904</v>
      </c>
      <c r="B389" s="3" t="str">
        <f ca="1">IFERROR(__xludf.DUMMYFUNCTION("REGEXEXTRACT(A389, ""\.(?:GOV|EXT)\.([A-Z0-9\-]+)"")
"),"FES-PE")</f>
        <v>FES-PE</v>
      </c>
      <c r="C389" s="3" t="s">
        <v>34</v>
      </c>
      <c r="D389" s="3" t="s">
        <v>35</v>
      </c>
      <c r="E389" s="14" t="str">
        <f ca="1">IFERROR(__xludf.DUMMYFUNCTION("REGEXEXTRACT(A389, ""-(.*)"")"),"ARP.0009.04.2024.GOV.FES-PE.PE")</f>
        <v>ARP.0009.04.2024.GOV.FES-PE.PE</v>
      </c>
      <c r="F389" s="3" t="s">
        <v>852</v>
      </c>
      <c r="G389" s="3"/>
      <c r="H389" s="9">
        <v>45538</v>
      </c>
      <c r="I389" s="3" t="s">
        <v>37</v>
      </c>
      <c r="J389" s="3" t="str">
        <f>VLOOKUP(A389,'TODOS OS PROCESSOS ATUALIZADOS '!A:I,7,0)</f>
        <v>Cancelada</v>
      </c>
      <c r="K389" s="3" t="s">
        <v>605</v>
      </c>
      <c r="L389" s="3" t="str">
        <f t="shared" si="1"/>
        <v>Item não atualizado</v>
      </c>
      <c r="M389" s="3"/>
      <c r="N389" s="3" t="s">
        <v>605</v>
      </c>
      <c r="O389" s="3"/>
    </row>
    <row r="390" spans="1:17" ht="22.5" customHeight="1" x14ac:dyDescent="0.2">
      <c r="A390" s="3" t="s">
        <v>905</v>
      </c>
      <c r="B390" s="3" t="str">
        <f ca="1">IFERROR(__xludf.DUMMYFUNCTION("REGEXEXTRACT(A390, ""\.(?:GOV|EXT)\.([A-Z0-9\-]+)"")
"),"SASSEPE")</f>
        <v>SASSEPE</v>
      </c>
      <c r="C390" s="3" t="s">
        <v>34</v>
      </c>
      <c r="D390" s="3" t="s">
        <v>35</v>
      </c>
      <c r="E390" s="14" t="str">
        <f ca="1">IFERROR(__xludf.DUMMYFUNCTION("REGEXEXTRACT(A390, ""-(.*)"")"),"ARP.0009.00.2024.GOV.SASSEPE.PE")</f>
        <v>ARP.0009.00.2024.GOV.SASSEPE.PE</v>
      </c>
      <c r="F390" s="6" t="s">
        <v>679</v>
      </c>
      <c r="G390" s="3"/>
      <c r="H390" s="9">
        <v>45565</v>
      </c>
      <c r="I390" s="3" t="s">
        <v>44</v>
      </c>
      <c r="J390" s="3" t="str">
        <f>VLOOKUP(A390,'TODOS OS PROCESSOS ATUALIZADOS '!A:I,7,0)</f>
        <v>Autorizada Sucesso</v>
      </c>
      <c r="K390" s="3" t="s">
        <v>44</v>
      </c>
      <c r="L390" s="3" t="str">
        <f t="shared" si="1"/>
        <v>Item atualizado</v>
      </c>
      <c r="M390" s="3" t="s">
        <v>9</v>
      </c>
      <c r="N390" s="3" t="s">
        <v>605</v>
      </c>
      <c r="O390" s="3" t="s">
        <v>52</v>
      </c>
      <c r="P390" s="3" t="s">
        <v>906</v>
      </c>
      <c r="Q390" s="3" t="s">
        <v>860</v>
      </c>
    </row>
    <row r="391" spans="1:17" ht="22.5" customHeight="1" x14ac:dyDescent="0.2">
      <c r="A391" s="3" t="s">
        <v>907</v>
      </c>
      <c r="B391" s="3" t="str">
        <f ca="1">IFERROR(__xludf.DUMMYFUNCTION("REGEXEXTRACT(A391, ""\.(?:GOV|EXT)\.([A-Z0-9\-]+)"")
"),"HGV")</f>
        <v>HGV</v>
      </c>
      <c r="C391" s="3" t="s">
        <v>34</v>
      </c>
      <c r="D391" s="3" t="s">
        <v>35</v>
      </c>
      <c r="E391" s="14" t="str">
        <f ca="1">IFERROR(__xludf.DUMMYFUNCTION("REGEXEXTRACT(A391, ""-(.*)"")"),"ARP.0001.00.2024.GOV.HGV.PE")</f>
        <v>ARP.0001.00.2024.GOV.HGV.PE</v>
      </c>
      <c r="F391" s="3" t="s">
        <v>776</v>
      </c>
      <c r="G391" s="3"/>
      <c r="H391" s="9">
        <v>45526</v>
      </c>
      <c r="I391" s="3" t="s">
        <v>37</v>
      </c>
      <c r="J391" s="3" t="str">
        <f>VLOOKUP(A391,'TODOS OS PROCESSOS ATUALIZADOS '!A:I,7,0)</f>
        <v>Cancelada Sucesso</v>
      </c>
      <c r="K391" s="3" t="s">
        <v>38</v>
      </c>
      <c r="L391" s="3" t="str">
        <f t="shared" si="1"/>
        <v>Item atualizado</v>
      </c>
      <c r="M391" s="3"/>
      <c r="N391" s="3" t="s">
        <v>605</v>
      </c>
      <c r="O391" s="3"/>
    </row>
    <row r="392" spans="1:17" ht="22.5" customHeight="1" x14ac:dyDescent="0.2">
      <c r="A392" s="3" t="s">
        <v>908</v>
      </c>
      <c r="B392" s="3" t="str">
        <f ca="1">IFERROR(__xludf.DUMMYFUNCTION("REGEXEXTRACT(A392, ""\.(?:GOV|EXT)\.([A-Z0-9\-]+)"")
"),"FES-PE")</f>
        <v>FES-PE</v>
      </c>
      <c r="C392" s="3" t="s">
        <v>34</v>
      </c>
      <c r="D392" s="3" t="s">
        <v>35</v>
      </c>
      <c r="E392" s="14" t="str">
        <f ca="1">IFERROR(__xludf.DUMMYFUNCTION("REGEXEXTRACT(A392, ""-(.*)"")"),"ARP.0113.00.2023.GOV.FES-PE.PE")</f>
        <v>ARP.0113.00.2023.GOV.FES-PE.PE</v>
      </c>
      <c r="F392" s="3" t="s">
        <v>909</v>
      </c>
      <c r="G392" s="3"/>
      <c r="H392" s="9">
        <v>45526</v>
      </c>
      <c r="I392" s="3" t="s">
        <v>44</v>
      </c>
      <c r="J392" s="3" t="str">
        <f>VLOOKUP(A392,'TODOS OS PROCESSOS ATUALIZADOS '!A:I,7,0)</f>
        <v>Autorizada Sucesso</v>
      </c>
      <c r="K392" s="3" t="s">
        <v>605</v>
      </c>
      <c r="L392" s="3" t="str">
        <f t="shared" si="1"/>
        <v>Item atualizado</v>
      </c>
      <c r="M392" s="3"/>
      <c r="N392" s="3" t="s">
        <v>605</v>
      </c>
      <c r="O392" s="3"/>
    </row>
    <row r="393" spans="1:17" ht="22.5" customHeight="1" x14ac:dyDescent="0.2">
      <c r="A393" s="3" t="s">
        <v>910</v>
      </c>
      <c r="B393" s="3" t="str">
        <f ca="1">IFERROR(__xludf.DUMMYFUNCTION("REGEXEXTRACT(A393, ""\.(?:GOV|EXT)\.([A-Z0-9\-]+)"")
"),"HUOC")</f>
        <v>HUOC</v>
      </c>
      <c r="C393" s="3" t="s">
        <v>34</v>
      </c>
      <c r="D393" s="3" t="s">
        <v>35</v>
      </c>
      <c r="E393" s="14" t="str">
        <f ca="1">IFERROR(__xludf.DUMMYFUNCTION("REGEXEXTRACT(A393, ""-(.*)"")"),"ARP.0068.02.2024.GOV.HUOC.PE")</f>
        <v>ARP.0068.02.2024.GOV.HUOC.PE</v>
      </c>
      <c r="F393" s="6" t="s">
        <v>895</v>
      </c>
      <c r="G393" s="3" t="s">
        <v>3</v>
      </c>
      <c r="H393" s="9">
        <v>45558</v>
      </c>
      <c r="I393" s="3" t="s">
        <v>44</v>
      </c>
      <c r="J393" s="3" t="str">
        <f>VLOOKUP(A393,'TODOS OS PROCESSOS ATUALIZADOS '!A:I,7,0)</f>
        <v>Autorizada Sucesso</v>
      </c>
      <c r="K393" s="3" t="s">
        <v>44</v>
      </c>
      <c r="L393" s="3" t="str">
        <f t="shared" si="1"/>
        <v>Item atualizado</v>
      </c>
      <c r="M393" s="3" t="s">
        <v>9</v>
      </c>
      <c r="N393" s="3" t="s">
        <v>605</v>
      </c>
      <c r="O393" s="3" t="s">
        <v>52</v>
      </c>
      <c r="P393" s="3" t="s">
        <v>911</v>
      </c>
      <c r="Q393" s="3" t="s">
        <v>860</v>
      </c>
    </row>
    <row r="394" spans="1:17" ht="22.5" customHeight="1" x14ac:dyDescent="0.2">
      <c r="A394" s="3" t="s">
        <v>912</v>
      </c>
      <c r="B394" s="3" t="str">
        <f ca="1">IFERROR(__xludf.DUMMYFUNCTION("REGEXEXTRACT(A394, ""\.(?:GOV|EXT)\.([A-Z0-9\-]+)"")
"),"HUOC")</f>
        <v>HUOC</v>
      </c>
      <c r="C394" s="3" t="s">
        <v>34</v>
      </c>
      <c r="D394" s="3" t="s">
        <v>35</v>
      </c>
      <c r="E394" s="14" t="str">
        <f ca="1">IFERROR(__xludf.DUMMYFUNCTION("REGEXEXTRACT(A394, ""-(.*)"")"),"ARP.0059.05.2024.GOV.HUOC.PE")</f>
        <v>ARP.0059.05.2024.GOV.HUOC.PE</v>
      </c>
      <c r="F394" s="6" t="s">
        <v>913</v>
      </c>
      <c r="G394" s="3"/>
      <c r="H394" s="9">
        <v>45537</v>
      </c>
      <c r="I394" s="3" t="s">
        <v>44</v>
      </c>
      <c r="J394" s="3" t="str">
        <f>VLOOKUP(A394,'TODOS OS PROCESSOS ATUALIZADOS '!A:I,7,0)</f>
        <v>Autorizada Sucesso</v>
      </c>
      <c r="K394" s="3" t="s">
        <v>44</v>
      </c>
      <c r="L394" s="3" t="str">
        <f t="shared" si="1"/>
        <v>Item atualizado</v>
      </c>
      <c r="M394" s="3" t="s">
        <v>9</v>
      </c>
      <c r="N394" s="3" t="s">
        <v>605</v>
      </c>
      <c r="O394" s="3"/>
      <c r="P394" s="3" t="s">
        <v>914</v>
      </c>
      <c r="Q394" s="6" t="s">
        <v>898</v>
      </c>
    </row>
    <row r="395" spans="1:17" ht="22.5" customHeight="1" x14ac:dyDescent="0.2">
      <c r="A395" s="3" t="s">
        <v>915</v>
      </c>
      <c r="B395" s="3" t="str">
        <f ca="1">IFERROR(__xludf.DUMMYFUNCTION("REGEXEXTRACT(A395, ""\.(?:GOV|EXT)\.([A-Z0-9\-]+)"")
"),"HR")</f>
        <v>HR</v>
      </c>
      <c r="C395" s="3" t="s">
        <v>34</v>
      </c>
      <c r="D395" s="3" t="s">
        <v>35</v>
      </c>
      <c r="E395" s="14" t="str">
        <f ca="1">IFERROR(__xludf.DUMMYFUNCTION("REGEXEXTRACT(A395, ""-(.*)"")"),"ARP.0027.00.2024.GOV.HR.PE")</f>
        <v>ARP.0027.00.2024.GOV.HR.PE</v>
      </c>
      <c r="F395" s="6" t="s">
        <v>902</v>
      </c>
      <c r="G395" s="3"/>
      <c r="H395" s="9">
        <v>45548</v>
      </c>
      <c r="I395" s="3" t="s">
        <v>44</v>
      </c>
      <c r="J395" s="3" t="str">
        <f>VLOOKUP(A395,'TODOS OS PROCESSOS ATUALIZADOS '!A:I,7,0)</f>
        <v>Autorizada Sucesso</v>
      </c>
      <c r="K395" s="3" t="s">
        <v>44</v>
      </c>
      <c r="L395" s="3" t="str">
        <f t="shared" si="1"/>
        <v>Item atualizado</v>
      </c>
      <c r="M395" s="3" t="s">
        <v>9</v>
      </c>
      <c r="N395" s="3" t="s">
        <v>605</v>
      </c>
      <c r="O395" s="3"/>
      <c r="P395" s="3" t="s">
        <v>916</v>
      </c>
      <c r="Q395" s="3" t="s">
        <v>860</v>
      </c>
    </row>
    <row r="396" spans="1:17" ht="22.5" customHeight="1" x14ac:dyDescent="0.2">
      <c r="A396" s="3" t="s">
        <v>917</v>
      </c>
      <c r="B396" s="3" t="str">
        <f ca="1">IFERROR(__xludf.DUMMYFUNCTION("REGEXEXTRACT(A396, ""\.(?:GOV|EXT)\.([A-Z0-9\-]+)"")
"),"#N/A")</f>
        <v>#N/A</v>
      </c>
      <c r="C396" s="3" t="s">
        <v>34</v>
      </c>
      <c r="D396" s="3" t="s">
        <v>35</v>
      </c>
      <c r="E396" s="14" t="str">
        <f ca="1">IFERROR(__xludf.DUMMYFUNCTION("REGEXEXTRACT(A396, ""-(.*)"")"),"ARP.0018.00.2024.OPD.MPPE.PE")</f>
        <v>ARP.0018.00.2024.OPD.MPPE.PE</v>
      </c>
      <c r="F396" s="6" t="s">
        <v>786</v>
      </c>
      <c r="G396" s="3"/>
      <c r="H396" s="9">
        <v>45572</v>
      </c>
      <c r="I396" s="3" t="s">
        <v>44</v>
      </c>
      <c r="J396" s="3" t="str">
        <f>VLOOKUP(A396,'TODOS OS PROCESSOS ATUALIZADOS '!A:I,7,0)</f>
        <v>Autorizada Sucesso</v>
      </c>
      <c r="K396" s="3" t="s">
        <v>44</v>
      </c>
      <c r="L396" s="3" t="str">
        <f t="shared" si="1"/>
        <v>Item atualizado</v>
      </c>
      <c r="M396" s="3" t="s">
        <v>9</v>
      </c>
      <c r="N396" s="3" t="s">
        <v>605</v>
      </c>
      <c r="O396" s="3"/>
      <c r="P396" s="3" t="s">
        <v>918</v>
      </c>
      <c r="Q396" s="6" t="s">
        <v>898</v>
      </c>
    </row>
    <row r="397" spans="1:17" ht="22.5" customHeight="1" x14ac:dyDescent="0.2">
      <c r="A397" s="3" t="s">
        <v>919</v>
      </c>
      <c r="B397" s="3" t="str">
        <f ca="1">IFERROR(__xludf.DUMMYFUNCTION("REGEXEXTRACT(A397, ""\.(?:GOV|EXT)\.([A-Z0-9\-]+)"")
"),"FES-PE")</f>
        <v>FES-PE</v>
      </c>
      <c r="C397" s="3" t="s">
        <v>34</v>
      </c>
      <c r="D397" s="3" t="s">
        <v>35</v>
      </c>
      <c r="E397" s="14" t="str">
        <f ca="1">IFERROR(__xludf.DUMMYFUNCTION("REGEXEXTRACT(A397, ""-(.*)"")"),"ARP.0014.00.2024.GOV.FES-PE.PE")</f>
        <v>ARP.0014.00.2024.GOV.FES-PE.PE</v>
      </c>
      <c r="F397" s="6" t="s">
        <v>920</v>
      </c>
      <c r="G397" s="3" t="s">
        <v>3</v>
      </c>
      <c r="H397" s="9">
        <v>45518</v>
      </c>
      <c r="I397" s="3" t="s">
        <v>44</v>
      </c>
      <c r="J397" s="3" t="str">
        <f>VLOOKUP(A397,'TODOS OS PROCESSOS ATUALIZADOS '!A:I,7,0)</f>
        <v>Autorizada Sucesso</v>
      </c>
      <c r="K397" s="3" t="s">
        <v>44</v>
      </c>
      <c r="L397" s="3" t="str">
        <f t="shared" si="1"/>
        <v>Item atualizado</v>
      </c>
      <c r="M397" s="3" t="s">
        <v>9</v>
      </c>
      <c r="N397" s="3" t="s">
        <v>605</v>
      </c>
      <c r="O397" s="3" t="s">
        <v>52</v>
      </c>
      <c r="P397" s="3" t="s">
        <v>921</v>
      </c>
      <c r="Q397" s="3" t="s">
        <v>860</v>
      </c>
    </row>
    <row r="398" spans="1:17" ht="22.5" customHeight="1" x14ac:dyDescent="0.2">
      <c r="A398" s="3" t="s">
        <v>922</v>
      </c>
      <c r="B398" s="3" t="str">
        <f ca="1">IFERROR(__xludf.DUMMYFUNCTION("REGEXEXTRACT(A398, ""\.(?:GOV|EXT)\.([A-Z0-9\-]+)"")
"),"PE")</f>
        <v>PE</v>
      </c>
      <c r="C398" s="3" t="s">
        <v>34</v>
      </c>
      <c r="D398" s="3" t="s">
        <v>35</v>
      </c>
      <c r="E398" s="14" t="str">
        <f ca="1">IFERROR(__xludf.DUMMYFUNCTION("REGEXEXTRACT(A398, ""-(.*)"")"),"ARP.0001.00.2024.EXT.PE")</f>
        <v>ARP.0001.00.2024.EXT.PE</v>
      </c>
      <c r="F398" s="3" t="s">
        <v>923</v>
      </c>
      <c r="G398" s="3"/>
      <c r="H398" s="9">
        <v>45541</v>
      </c>
      <c r="I398" s="3" t="s">
        <v>44</v>
      </c>
      <c r="J398" s="3" t="str">
        <f>VLOOKUP(A398,'TODOS OS PROCESSOS ATUALIZADOS '!A:I,7,0)</f>
        <v>Autorizada Integrado</v>
      </c>
      <c r="K398" s="3" t="s">
        <v>605</v>
      </c>
      <c r="L398" s="3" t="str">
        <f t="shared" si="1"/>
        <v>Item atualizado</v>
      </c>
      <c r="M398" s="3"/>
      <c r="N398" s="3" t="s">
        <v>605</v>
      </c>
      <c r="O398" s="3"/>
    </row>
    <row r="399" spans="1:17" ht="22.5" customHeight="1" x14ac:dyDescent="0.2">
      <c r="A399" s="3" t="s">
        <v>924</v>
      </c>
      <c r="B399" s="3" t="str">
        <f ca="1">IFERROR(__xludf.DUMMYFUNCTION("REGEXEXTRACT(A399, ""\.(?:GOV|EXT)\.([A-Z0-9\-]+)"")
"),"HUOC")</f>
        <v>HUOC</v>
      </c>
      <c r="C399" s="3" t="s">
        <v>34</v>
      </c>
      <c r="D399" s="3" t="s">
        <v>35</v>
      </c>
      <c r="E399" s="14" t="str">
        <f ca="1">IFERROR(__xludf.DUMMYFUNCTION("REGEXEXTRACT(A399, ""-(.*)"")"),"ARP.0058.03.2024.GOV.HUOC.PE")</f>
        <v>ARP.0058.03.2024.GOV.HUOC.PE</v>
      </c>
      <c r="F399" s="6" t="s">
        <v>925</v>
      </c>
      <c r="G399" s="3"/>
      <c r="H399" s="9">
        <v>45526</v>
      </c>
      <c r="I399" s="3" t="s">
        <v>44</v>
      </c>
      <c r="J399" s="3" t="str">
        <f>VLOOKUP(A399,'TODOS OS PROCESSOS ATUALIZADOS '!A:I,7,0)</f>
        <v>Autorizada Sucesso</v>
      </c>
      <c r="K399" s="3" t="s">
        <v>44</v>
      </c>
      <c r="L399" s="3" t="str">
        <f t="shared" si="1"/>
        <v>Item atualizado</v>
      </c>
      <c r="M399" s="3" t="s">
        <v>9</v>
      </c>
      <c r="N399" s="3" t="s">
        <v>605</v>
      </c>
      <c r="O399" s="3"/>
      <c r="P399" s="3" t="s">
        <v>926</v>
      </c>
      <c r="Q399" s="6" t="s">
        <v>898</v>
      </c>
    </row>
    <row r="400" spans="1:17" ht="22.5" customHeight="1" x14ac:dyDescent="0.2">
      <c r="A400" s="3" t="s">
        <v>927</v>
      </c>
      <c r="B400" s="3" t="str">
        <f ca="1">IFERROR(__xludf.DUMMYFUNCTION("REGEXEXTRACT(A400, ""\.(?:GOV|EXT)\.([A-Z0-9\-]+)"")
"),"HR")</f>
        <v>HR</v>
      </c>
      <c r="C400" s="3" t="s">
        <v>34</v>
      </c>
      <c r="D400" s="3" t="s">
        <v>35</v>
      </c>
      <c r="E400" s="14" t="str">
        <f ca="1">IFERROR(__xludf.DUMMYFUNCTION("REGEXEXTRACT(A400, ""-(.*)"")"),"ARP.0028.00.2024.GOV.HR.PE")</f>
        <v>ARP.0028.00.2024.GOV.HR.PE</v>
      </c>
      <c r="F400" s="6" t="s">
        <v>499</v>
      </c>
      <c r="G400" s="3"/>
      <c r="H400" s="9">
        <v>45525</v>
      </c>
      <c r="I400" s="3" t="s">
        <v>44</v>
      </c>
      <c r="J400" s="3" t="str">
        <f>VLOOKUP(A400,'TODOS OS PROCESSOS ATUALIZADOS '!A:I,7,0)</f>
        <v>Autorizada Sucesso</v>
      </c>
      <c r="K400" s="3" t="s">
        <v>44</v>
      </c>
      <c r="L400" s="3" t="str">
        <f t="shared" si="1"/>
        <v>Item atualizado</v>
      </c>
      <c r="M400" s="3" t="s">
        <v>9</v>
      </c>
      <c r="N400" s="3" t="s">
        <v>605</v>
      </c>
      <c r="O400" s="3"/>
      <c r="P400" s="3" t="s">
        <v>928</v>
      </c>
      <c r="Q400" s="3" t="s">
        <v>860</v>
      </c>
    </row>
    <row r="401" spans="1:17" ht="22.5" customHeight="1" x14ac:dyDescent="0.2">
      <c r="A401" s="3" t="s">
        <v>929</v>
      </c>
      <c r="B401" s="3" t="str">
        <f ca="1">IFERROR(__xludf.DUMMYFUNCTION("REGEXEXTRACT(A401, ""\.(?:GOV|EXT)\.([A-Z0-9\-]+)"")
"),"SASSEPE")</f>
        <v>SASSEPE</v>
      </c>
      <c r="C401" s="3" t="s">
        <v>34</v>
      </c>
      <c r="D401" s="3" t="s">
        <v>35</v>
      </c>
      <c r="E401" s="14" t="str">
        <f ca="1">IFERROR(__xludf.DUMMYFUNCTION("REGEXEXTRACT(A401, ""-(.*)"")"),"ARP.0021.00.2023.GOV.SASSEPE.PE")</f>
        <v>ARP.0021.00.2023.GOV.SASSEPE.PE</v>
      </c>
      <c r="F401" s="3" t="s">
        <v>930</v>
      </c>
      <c r="G401" s="3"/>
      <c r="H401" s="9">
        <v>45526</v>
      </c>
      <c r="I401" s="3" t="s">
        <v>44</v>
      </c>
      <c r="J401" s="3" t="str">
        <f>VLOOKUP(A401,'TODOS OS PROCESSOS ATUALIZADOS '!A:I,7,0)</f>
        <v>Autorizada Sucesso</v>
      </c>
      <c r="K401" s="3" t="s">
        <v>605</v>
      </c>
      <c r="L401" s="3" t="str">
        <f t="shared" si="1"/>
        <v>Item atualizado</v>
      </c>
      <c r="M401" s="3"/>
      <c r="N401" s="3" t="s">
        <v>605</v>
      </c>
      <c r="O401" s="3"/>
    </row>
    <row r="402" spans="1:17" ht="22.5" customHeight="1" x14ac:dyDescent="0.2">
      <c r="A402" s="3" t="s">
        <v>931</v>
      </c>
      <c r="B402" s="3" t="str">
        <f ca="1">IFERROR(__xludf.DUMMYFUNCTION("REGEXEXTRACT(A402, ""\.(?:GOV|EXT)\.([A-Z0-9\-]+)"")
"),"DASIS")</f>
        <v>DASIS</v>
      </c>
      <c r="C402" s="3" t="s">
        <v>34</v>
      </c>
      <c r="D402" s="3" t="s">
        <v>35</v>
      </c>
      <c r="E402" s="14" t="str">
        <f ca="1">IFERROR(__xludf.DUMMYFUNCTION("REGEXEXTRACT(A402, ""-(.*)"")"),"ARP.0002.02.2024.GOV.DASIS.PE")</f>
        <v>ARP.0002.02.2024.GOV.DASIS.PE</v>
      </c>
      <c r="F402" s="3" t="s">
        <v>932</v>
      </c>
      <c r="G402" s="3"/>
      <c r="H402" s="9">
        <v>45497</v>
      </c>
      <c r="I402" s="3" t="s">
        <v>37</v>
      </c>
      <c r="J402" s="3" t="str">
        <f>VLOOKUP(A402,'TODOS OS PROCESSOS ATUALIZADOS '!A:I,7,0)</f>
        <v>Cancelada</v>
      </c>
      <c r="K402" s="3" t="s">
        <v>38</v>
      </c>
      <c r="L402" s="3" t="str">
        <f t="shared" si="1"/>
        <v>Item não atualizado</v>
      </c>
      <c r="M402" s="3"/>
      <c r="N402" s="3" t="s">
        <v>605</v>
      </c>
      <c r="O402" s="3"/>
    </row>
    <row r="403" spans="1:17" ht="22.5" customHeight="1" x14ac:dyDescent="0.2">
      <c r="A403" s="3" t="s">
        <v>933</v>
      </c>
      <c r="B403" s="3" t="str">
        <f ca="1">IFERROR(__xludf.DUMMYFUNCTION("REGEXEXTRACT(A403, ""\.(?:GOV|EXT)\.([A-Z0-9\-]+)"")
"),"HUOC")</f>
        <v>HUOC</v>
      </c>
      <c r="C403" s="3" t="s">
        <v>34</v>
      </c>
      <c r="D403" s="3" t="s">
        <v>35</v>
      </c>
      <c r="E403" s="14" t="str">
        <f ca="1">IFERROR(__xludf.DUMMYFUNCTION("REGEXEXTRACT(A403, ""-(.*)"")"),"ARP.0095.00.2023.GOV.HUOC.PE")</f>
        <v>ARP.0095.00.2023.GOV.HUOC.PE</v>
      </c>
      <c r="F403" s="3" t="s">
        <v>856</v>
      </c>
      <c r="G403" s="3"/>
      <c r="H403" s="9">
        <v>45505</v>
      </c>
      <c r="I403" s="3" t="s">
        <v>37</v>
      </c>
      <c r="J403" s="3" t="str">
        <f>VLOOKUP(A403,'TODOS OS PROCESSOS ATUALIZADOS '!A:I,7,0)</f>
        <v>Cancelada</v>
      </c>
      <c r="K403" s="3" t="s">
        <v>605</v>
      </c>
      <c r="L403" s="3" t="str">
        <f t="shared" si="1"/>
        <v>Item não atualizado</v>
      </c>
      <c r="M403" s="3"/>
      <c r="N403" s="3" t="s">
        <v>605</v>
      </c>
      <c r="O403" s="3"/>
    </row>
    <row r="404" spans="1:17" ht="22.5" customHeight="1" x14ac:dyDescent="0.2">
      <c r="A404" s="3" t="s">
        <v>934</v>
      </c>
      <c r="B404" s="3" t="str">
        <f ca="1">IFERROR(__xludf.DUMMYFUNCTION("REGEXEXTRACT(A404, ""\.(?:GOV|EXT)\.([A-Z0-9\-]+)"")
"),"HOF")</f>
        <v>HOF</v>
      </c>
      <c r="C404" s="3" t="s">
        <v>34</v>
      </c>
      <c r="D404" s="3" t="s">
        <v>35</v>
      </c>
      <c r="E404" s="14" t="str">
        <f ca="1">IFERROR(__xludf.DUMMYFUNCTION("REGEXEXTRACT(A404, ""-(.*)"")"),"ARP.0001.06.2024.GOV.HOF.PE")</f>
        <v>ARP.0001.06.2024.GOV.HOF.PE</v>
      </c>
      <c r="F404" s="3" t="s">
        <v>935</v>
      </c>
      <c r="G404" s="3"/>
      <c r="H404" s="9">
        <v>45495</v>
      </c>
      <c r="I404" s="3" t="s">
        <v>44</v>
      </c>
      <c r="J404" s="3" t="str">
        <f>VLOOKUP(A404,'TODOS OS PROCESSOS ATUALIZADOS '!A:I,7,0)</f>
        <v>Autorizada Sucesso</v>
      </c>
      <c r="K404" s="3" t="s">
        <v>605</v>
      </c>
      <c r="L404" s="3" t="str">
        <f t="shared" si="1"/>
        <v>Item atualizado</v>
      </c>
      <c r="M404" s="3"/>
      <c r="N404" s="3" t="s">
        <v>605</v>
      </c>
      <c r="O404" s="3"/>
    </row>
    <row r="405" spans="1:17" ht="22.5" customHeight="1" x14ac:dyDescent="0.2">
      <c r="A405" s="3" t="s">
        <v>936</v>
      </c>
      <c r="B405" s="3" t="str">
        <f ca="1">IFERROR(__xludf.DUMMYFUNCTION("REGEXEXTRACT(A405, ""\.(?:GOV|EXT)\.([A-Z0-9\-]+)"")
"),"HR")</f>
        <v>HR</v>
      </c>
      <c r="C405" s="3" t="s">
        <v>34</v>
      </c>
      <c r="D405" s="3" t="s">
        <v>35</v>
      </c>
      <c r="E405" s="14" t="str">
        <f ca="1">IFERROR(__xludf.DUMMYFUNCTION("REGEXEXTRACT(A405, ""-(.*)"")"),"ARP.0024.00.2024.GOV.HR.PE")</f>
        <v>ARP.0024.00.2024.GOV.HR.PE</v>
      </c>
      <c r="F405" s="6" t="s">
        <v>717</v>
      </c>
      <c r="G405" s="3" t="s">
        <v>3</v>
      </c>
      <c r="H405" s="9">
        <v>45512</v>
      </c>
      <c r="I405" s="3" t="s">
        <v>44</v>
      </c>
      <c r="J405" s="3" t="str">
        <f>VLOOKUP(A405,'TODOS OS PROCESSOS ATUALIZADOS '!A:I,7,0)</f>
        <v>Autorizada Sucesso</v>
      </c>
      <c r="K405" s="3" t="s">
        <v>44</v>
      </c>
      <c r="L405" s="3" t="str">
        <f t="shared" si="1"/>
        <v>Item atualizado</v>
      </c>
      <c r="M405" s="3" t="s">
        <v>9</v>
      </c>
      <c r="N405" s="3" t="s">
        <v>605</v>
      </c>
      <c r="O405" s="3" t="s">
        <v>52</v>
      </c>
      <c r="P405" s="3" t="s">
        <v>937</v>
      </c>
      <c r="Q405" s="3" t="s">
        <v>860</v>
      </c>
    </row>
    <row r="406" spans="1:17" ht="22.5" customHeight="1" x14ac:dyDescent="0.2">
      <c r="A406" s="3" t="s">
        <v>938</v>
      </c>
      <c r="B406" s="3" t="str">
        <f ca="1">IFERROR(__xludf.DUMMYFUNCTION("REGEXEXTRACT(A406, ""\.(?:GOV|EXT)\.([A-Z0-9\-]+)"")
"),"HMAR")</f>
        <v>HMAR</v>
      </c>
      <c r="C406" s="3" t="s">
        <v>34</v>
      </c>
      <c r="D406" s="3" t="s">
        <v>35</v>
      </c>
      <c r="E406" s="14" t="str">
        <f ca="1">IFERROR(__xludf.DUMMYFUNCTION("REGEXEXTRACT(A406, ""-(.*)"")"),"ARP.0003.01.2024.EXT.HMAR.PE")</f>
        <v>ARP.0003.01.2024.EXT.HMAR.PE</v>
      </c>
      <c r="F406" s="3" t="s">
        <v>816</v>
      </c>
      <c r="G406" s="3"/>
      <c r="H406" s="9">
        <v>45506</v>
      </c>
      <c r="I406" s="3" t="s">
        <v>37</v>
      </c>
      <c r="J406" s="3" t="str">
        <f>VLOOKUP(A406,'TODOS OS PROCESSOS ATUALIZADOS '!A:I,7,0)</f>
        <v>Cancelada</v>
      </c>
      <c r="K406" s="3" t="s">
        <v>38</v>
      </c>
      <c r="L406" s="3" t="str">
        <f t="shared" si="1"/>
        <v>Item não atualizado</v>
      </c>
      <c r="M406" s="3"/>
      <c r="N406" s="3" t="s">
        <v>605</v>
      </c>
      <c r="O406" s="3"/>
    </row>
    <row r="407" spans="1:17" ht="22.5" customHeight="1" x14ac:dyDescent="0.2">
      <c r="A407" s="3" t="s">
        <v>939</v>
      </c>
      <c r="B407" s="3" t="str">
        <f ca="1">IFERROR(__xludf.DUMMYFUNCTION("REGEXEXTRACT(A407, ""\.(?:GOV|EXT)\.([A-Z0-9\-]+)"")
"),"HMAR")</f>
        <v>HMAR</v>
      </c>
      <c r="C407" s="3" t="s">
        <v>34</v>
      </c>
      <c r="D407" s="3" t="s">
        <v>35</v>
      </c>
      <c r="E407" s="14" t="str">
        <f ca="1">IFERROR(__xludf.DUMMYFUNCTION("REGEXEXTRACT(A407, ""-(.*)"")"),"ARP.0003.01.2024.EXT.HMAR.PE")</f>
        <v>ARP.0003.01.2024.EXT.HMAR.PE</v>
      </c>
      <c r="F407" s="3" t="s">
        <v>816</v>
      </c>
      <c r="G407" s="3"/>
      <c r="H407" s="9">
        <v>45496</v>
      </c>
      <c r="I407" s="3" t="s">
        <v>37</v>
      </c>
      <c r="J407" s="3" t="str">
        <f>VLOOKUP(A407,'TODOS OS PROCESSOS ATUALIZADOS '!A:I,7,0)</f>
        <v>Cancelada</v>
      </c>
      <c r="K407" s="3" t="s">
        <v>38</v>
      </c>
      <c r="L407" s="3" t="str">
        <f t="shared" si="1"/>
        <v>Item não atualizado</v>
      </c>
      <c r="M407" s="3"/>
      <c r="N407" s="3" t="s">
        <v>605</v>
      </c>
      <c r="O407" s="3"/>
    </row>
    <row r="408" spans="1:17" ht="22.5" customHeight="1" x14ac:dyDescent="0.2">
      <c r="A408" s="3" t="s">
        <v>940</v>
      </c>
      <c r="B408" s="3" t="str">
        <f ca="1">IFERROR(__xludf.DUMMYFUNCTION("REGEXEXTRACT(A408, ""\.(?:GOV|EXT)\.([A-Z0-9\-]+)"")
"),"HOF")</f>
        <v>HOF</v>
      </c>
      <c r="C408" s="3" t="s">
        <v>34</v>
      </c>
      <c r="D408" s="3" t="s">
        <v>35</v>
      </c>
      <c r="E408" s="14" t="str">
        <f ca="1">IFERROR(__xludf.DUMMYFUNCTION("REGEXEXTRACT(A408, ""-(.*)"")"),"ARP.0001.07.2024.GOV.HOF.PE")</f>
        <v>ARP.0001.07.2024.GOV.HOF.PE</v>
      </c>
      <c r="F408" s="3" t="s">
        <v>935</v>
      </c>
      <c r="G408" s="3"/>
      <c r="H408" s="9">
        <v>45482</v>
      </c>
      <c r="I408" s="3" t="s">
        <v>44</v>
      </c>
      <c r="J408" s="3" t="str">
        <f>VLOOKUP(A408,'TODOS OS PROCESSOS ATUALIZADOS '!A:I,7,0)</f>
        <v>Autorizada Sucesso</v>
      </c>
      <c r="K408" s="3" t="s">
        <v>605</v>
      </c>
      <c r="L408" s="3" t="str">
        <f t="shared" si="1"/>
        <v>Item atualizado</v>
      </c>
      <c r="M408" s="3"/>
      <c r="N408" s="3" t="s">
        <v>605</v>
      </c>
      <c r="O408" s="3"/>
    </row>
    <row r="409" spans="1:17" ht="22.5" customHeight="1" x14ac:dyDescent="0.2">
      <c r="A409" s="3" t="s">
        <v>941</v>
      </c>
      <c r="B409" s="3" t="str">
        <f ca="1">IFERROR(__xludf.DUMMYFUNCTION("REGEXEXTRACT(A409, ""\.(?:GOV|EXT)\.([A-Z0-9\-]+)"")
"),"HUOC")</f>
        <v>HUOC</v>
      </c>
      <c r="C409" s="3" t="s">
        <v>34</v>
      </c>
      <c r="D409" s="3" t="s">
        <v>35</v>
      </c>
      <c r="E409" s="14" t="str">
        <f ca="1">IFERROR(__xludf.DUMMYFUNCTION("REGEXEXTRACT(A409, ""-(.*)"")"),"ARP.0046.02.2024.GOV.HUOC.PE")</f>
        <v>ARP.0046.02.2024.GOV.HUOC.PE</v>
      </c>
      <c r="F409" s="6" t="s">
        <v>730</v>
      </c>
      <c r="G409" s="3" t="s">
        <v>3</v>
      </c>
      <c r="H409" s="9">
        <v>45484</v>
      </c>
      <c r="I409" s="3" t="s">
        <v>44</v>
      </c>
      <c r="J409" s="3" t="str">
        <f>VLOOKUP(A409,'TODOS OS PROCESSOS ATUALIZADOS '!A:I,7,0)</f>
        <v>Autorizada Sucesso</v>
      </c>
      <c r="K409" s="3" t="s">
        <v>44</v>
      </c>
      <c r="L409" s="3" t="str">
        <f t="shared" si="1"/>
        <v>Item atualizado</v>
      </c>
      <c r="M409" s="3" t="s">
        <v>9</v>
      </c>
      <c r="N409" s="3" t="s">
        <v>605</v>
      </c>
      <c r="O409" s="3" t="s">
        <v>52</v>
      </c>
      <c r="P409" s="3" t="s">
        <v>942</v>
      </c>
      <c r="Q409" s="3" t="s">
        <v>860</v>
      </c>
    </row>
    <row r="410" spans="1:17" ht="22.5" customHeight="1" x14ac:dyDescent="0.2">
      <c r="A410" s="3" t="s">
        <v>943</v>
      </c>
      <c r="B410" s="3" t="str">
        <f ca="1">IFERROR(__xludf.DUMMYFUNCTION("REGEXEXTRACT(A410, ""\.(?:GOV|EXT)\.([A-Z0-9\-]+)"")
"),"HGV")</f>
        <v>HGV</v>
      </c>
      <c r="C410" s="3" t="s">
        <v>34</v>
      </c>
      <c r="D410" s="3" t="s">
        <v>35</v>
      </c>
      <c r="E410" s="14" t="str">
        <f ca="1">IFERROR(__xludf.DUMMYFUNCTION("REGEXEXTRACT(A410, ""-(.*)"")"),"ARP.0006.01.2024.GOV.HGV.PE")</f>
        <v>ARP.0006.01.2024.GOV.HGV.PE</v>
      </c>
      <c r="F410" s="6" t="s">
        <v>944</v>
      </c>
      <c r="G410" s="3"/>
      <c r="H410" s="9">
        <v>45510</v>
      </c>
      <c r="I410" s="3" t="s">
        <v>44</v>
      </c>
      <c r="J410" s="3" t="str">
        <f>VLOOKUP(A410,'TODOS OS PROCESSOS ATUALIZADOS '!A:I,7,0)</f>
        <v>Autorizada Sucesso</v>
      </c>
      <c r="K410" s="3" t="s">
        <v>44</v>
      </c>
      <c r="L410" s="3" t="str">
        <f t="shared" si="1"/>
        <v>Item atualizado</v>
      </c>
      <c r="M410" s="3" t="s">
        <v>9</v>
      </c>
      <c r="N410" s="3" t="s">
        <v>605</v>
      </c>
      <c r="O410" s="3"/>
      <c r="P410" s="3" t="s">
        <v>945</v>
      </c>
      <c r="Q410" s="6" t="s">
        <v>898</v>
      </c>
    </row>
    <row r="411" spans="1:17" ht="22.5" customHeight="1" x14ac:dyDescent="0.2">
      <c r="A411" s="3" t="s">
        <v>946</v>
      </c>
      <c r="B411" s="3" t="str">
        <f ca="1">IFERROR(__xludf.DUMMYFUNCTION("REGEXEXTRACT(A411, ""\.(?:GOV|EXT)\.([A-Z0-9\-]+)"")
"),"HUOC")</f>
        <v>HUOC</v>
      </c>
      <c r="C411" s="3" t="s">
        <v>34</v>
      </c>
      <c r="D411" s="3" t="s">
        <v>35</v>
      </c>
      <c r="E411" s="14" t="str">
        <f ca="1">IFERROR(__xludf.DUMMYFUNCTION("REGEXEXTRACT(A411, ""-(.*)"")"),"ARP.0102.02.2023.GOV.HUOC.PE")</f>
        <v>ARP.0102.02.2023.GOV.HUOC.PE</v>
      </c>
      <c r="F411" s="3" t="s">
        <v>830</v>
      </c>
      <c r="G411" s="3"/>
      <c r="H411" s="9">
        <v>45502</v>
      </c>
      <c r="I411" s="3" t="s">
        <v>37</v>
      </c>
      <c r="J411" s="3" t="str">
        <f>VLOOKUP(A411,'TODOS OS PROCESSOS ATUALIZADOS '!A:I,7,0)</f>
        <v>Cancelada</v>
      </c>
      <c r="K411" s="3" t="s">
        <v>605</v>
      </c>
      <c r="L411" s="3" t="str">
        <f t="shared" si="1"/>
        <v>Item não atualizado</v>
      </c>
      <c r="M411" s="3"/>
      <c r="N411" s="3" t="s">
        <v>605</v>
      </c>
      <c r="O411" s="3"/>
    </row>
    <row r="412" spans="1:17" ht="22.5" customHeight="1" x14ac:dyDescent="0.2">
      <c r="A412" s="3" t="s">
        <v>947</v>
      </c>
      <c r="B412" s="3" t="str">
        <f ca="1">IFERROR(__xludf.DUMMYFUNCTION("REGEXEXTRACT(A412, ""\.(?:GOV|EXT)\.([A-Z0-9\-]+)"")
"),"HUOC")</f>
        <v>HUOC</v>
      </c>
      <c r="C412" s="3" t="s">
        <v>34</v>
      </c>
      <c r="D412" s="3" t="s">
        <v>35</v>
      </c>
      <c r="E412" s="14" t="str">
        <f ca="1">IFERROR(__xludf.DUMMYFUNCTION("REGEXEXTRACT(A412, ""-(.*)"")"),"ARP.0057.01.2024.GOV.HUOC.PE")</f>
        <v>ARP.0057.01.2024.GOV.HUOC.PE</v>
      </c>
      <c r="F412" s="6" t="s">
        <v>948</v>
      </c>
      <c r="G412" s="3"/>
      <c r="H412" s="9">
        <v>45484</v>
      </c>
      <c r="I412" s="3" t="s">
        <v>44</v>
      </c>
      <c r="J412" s="3" t="str">
        <f>VLOOKUP(A412,'TODOS OS PROCESSOS ATUALIZADOS '!A:I,7,0)</f>
        <v>Autorizada Sucesso</v>
      </c>
      <c r="K412" s="3" t="s">
        <v>44</v>
      </c>
      <c r="L412" s="3" t="str">
        <f t="shared" si="1"/>
        <v>Item atualizado</v>
      </c>
      <c r="M412" s="3" t="s">
        <v>9</v>
      </c>
      <c r="N412" s="3" t="s">
        <v>605</v>
      </c>
      <c r="O412" s="3"/>
      <c r="P412" s="3" t="s">
        <v>949</v>
      </c>
      <c r="Q412" s="3" t="s">
        <v>860</v>
      </c>
    </row>
    <row r="413" spans="1:17" ht="22.5" customHeight="1" x14ac:dyDescent="0.2">
      <c r="A413" s="3" t="s">
        <v>950</v>
      </c>
      <c r="B413" s="3" t="str">
        <f ca="1">IFERROR(__xludf.DUMMYFUNCTION("REGEXEXTRACT(A413, ""\.(?:GOV|EXT)\.([A-Z0-9\-]+)"")
"),"CISAM")</f>
        <v>CISAM</v>
      </c>
      <c r="C413" s="3" t="s">
        <v>34</v>
      </c>
      <c r="D413" s="3" t="s">
        <v>35</v>
      </c>
      <c r="E413" s="14" t="str">
        <f ca="1">IFERROR(__xludf.DUMMYFUNCTION("REGEXEXTRACT(A413, ""-(.*)"")"),"ARP.0051.01.2024.GOV.CISAM.PE")</f>
        <v>ARP.0051.01.2024.GOV.CISAM.PE</v>
      </c>
      <c r="F413" s="3" t="s">
        <v>644</v>
      </c>
      <c r="G413" s="3"/>
      <c r="H413" s="9">
        <v>45510</v>
      </c>
      <c r="I413" s="3" t="s">
        <v>37</v>
      </c>
      <c r="J413" s="3" t="str">
        <f>VLOOKUP(A413,'TODOS OS PROCESSOS ATUALIZADOS '!A:I,7,0)</f>
        <v>Cancelada Sucesso</v>
      </c>
      <c r="K413" s="3" t="s">
        <v>38</v>
      </c>
      <c r="L413" s="3" t="str">
        <f t="shared" si="1"/>
        <v>Item atualizado</v>
      </c>
      <c r="M413" s="3"/>
      <c r="N413" s="3" t="s">
        <v>605</v>
      </c>
      <c r="O413" s="3"/>
    </row>
    <row r="414" spans="1:17" ht="22.5" customHeight="1" x14ac:dyDescent="0.2">
      <c r="A414" s="3" t="s">
        <v>951</v>
      </c>
      <c r="B414" s="3" t="str">
        <f ca="1">IFERROR(__xludf.DUMMYFUNCTION("REGEXEXTRACT(A414, ""\.(?:GOV|EXT)\.([A-Z0-9\-]+)"")
"),"HAM")</f>
        <v>HAM</v>
      </c>
      <c r="C414" s="3" t="s">
        <v>34</v>
      </c>
      <c r="D414" s="3" t="s">
        <v>35</v>
      </c>
      <c r="E414" s="14" t="str">
        <f ca="1">IFERROR(__xludf.DUMMYFUNCTION("REGEXEXTRACT(A414, ""-(.*)"")"),"ARP.0022.06.2023.GOV.HAM.PE")</f>
        <v>ARP.0022.06.2023.GOV.HAM.PE</v>
      </c>
      <c r="F414" s="3" t="s">
        <v>952</v>
      </c>
      <c r="G414" s="3"/>
      <c r="H414" s="9">
        <v>45483</v>
      </c>
      <c r="I414" s="3" t="s">
        <v>44</v>
      </c>
      <c r="J414" s="3" t="str">
        <f>VLOOKUP(A414,'TODOS OS PROCESSOS ATUALIZADOS '!A:I,7,0)</f>
        <v>Autorizada Sucesso</v>
      </c>
      <c r="K414" s="3" t="s">
        <v>605</v>
      </c>
      <c r="L414" s="3" t="str">
        <f t="shared" si="1"/>
        <v>Item atualizado</v>
      </c>
      <c r="M414" s="3"/>
      <c r="N414" s="3" t="s">
        <v>605</v>
      </c>
      <c r="O414" s="3"/>
    </row>
    <row r="415" spans="1:17" ht="22.5" customHeight="1" x14ac:dyDescent="0.2">
      <c r="A415" s="3" t="s">
        <v>953</v>
      </c>
      <c r="B415" s="3" t="str">
        <f ca="1">IFERROR(__xludf.DUMMYFUNCTION("REGEXEXTRACT(A415, ""\.(?:GOV|EXT)\.([A-Z0-9\-]+)"")
"),"HGV")</f>
        <v>HGV</v>
      </c>
      <c r="C415" s="3" t="s">
        <v>34</v>
      </c>
      <c r="D415" s="3" t="s">
        <v>35</v>
      </c>
      <c r="E415" s="14" t="str">
        <f ca="1">IFERROR(__xludf.DUMMYFUNCTION("REGEXEXTRACT(A415, ""-(.*)"")"),"ARP.0011.00.2024.GOV.HGV.PE")</f>
        <v>ARP.0011.00.2024.GOV.HGV.PE</v>
      </c>
      <c r="F415" s="3" t="s">
        <v>504</v>
      </c>
      <c r="G415" s="3"/>
      <c r="H415" s="9">
        <v>45483</v>
      </c>
      <c r="I415" s="3" t="s">
        <v>37</v>
      </c>
      <c r="J415" s="3" t="str">
        <f>VLOOKUP(A415,'TODOS OS PROCESSOS ATUALIZADOS '!A:I,7,0)</f>
        <v>Cancelada Sucesso</v>
      </c>
      <c r="K415" s="3" t="s">
        <v>38</v>
      </c>
      <c r="L415" s="3" t="str">
        <f t="shared" si="1"/>
        <v>Item atualizado</v>
      </c>
      <c r="M415" s="3"/>
      <c r="N415" s="3" t="s">
        <v>605</v>
      </c>
      <c r="O415" s="3"/>
    </row>
    <row r="416" spans="1:17" ht="22.5" customHeight="1" x14ac:dyDescent="0.2">
      <c r="A416" s="3" t="s">
        <v>954</v>
      </c>
      <c r="B416" s="3" t="str">
        <f ca="1">IFERROR(__xludf.DUMMYFUNCTION("REGEXEXTRACT(A416, ""\.(?:GOV|EXT)\.([A-Z0-9\-]+)"")
"),"HUOC")</f>
        <v>HUOC</v>
      </c>
      <c r="C416" s="3" t="s">
        <v>34</v>
      </c>
      <c r="D416" s="3" t="s">
        <v>35</v>
      </c>
      <c r="E416" s="14" t="str">
        <f ca="1">IFERROR(__xludf.DUMMYFUNCTION("REGEXEXTRACT(A416, ""-(.*)"")"),"ARP.0008.02.2024.GOV.HUOC.PE")</f>
        <v>ARP.0008.02.2024.GOV.HUOC.PE</v>
      </c>
      <c r="F416" s="6" t="s">
        <v>955</v>
      </c>
      <c r="G416" s="3"/>
      <c r="H416" s="9">
        <v>45510</v>
      </c>
      <c r="I416" s="3" t="s">
        <v>44</v>
      </c>
      <c r="J416" s="3" t="str">
        <f>VLOOKUP(A416,'TODOS OS PROCESSOS ATUALIZADOS '!A:I,7,0)</f>
        <v>Autorizada Sucesso</v>
      </c>
      <c r="K416" s="3" t="s">
        <v>44</v>
      </c>
      <c r="L416" s="3" t="str">
        <f t="shared" si="1"/>
        <v>Item atualizado</v>
      </c>
      <c r="M416" s="3" t="s">
        <v>9</v>
      </c>
      <c r="N416" s="3" t="s">
        <v>605</v>
      </c>
      <c r="O416" s="3"/>
      <c r="P416" s="3" t="s">
        <v>956</v>
      </c>
      <c r="Q416" s="3" t="s">
        <v>860</v>
      </c>
    </row>
    <row r="417" spans="1:17" ht="22.5" customHeight="1" x14ac:dyDescent="0.2">
      <c r="A417" s="3" t="s">
        <v>957</v>
      </c>
      <c r="B417" s="3" t="str">
        <f ca="1">IFERROR(__xludf.DUMMYFUNCTION("REGEXEXTRACT(A417, ""\.(?:GOV|EXT)\.([A-Z0-9\-]+)"")
"),"HUOC")</f>
        <v>HUOC</v>
      </c>
      <c r="C417" s="3" t="s">
        <v>34</v>
      </c>
      <c r="D417" s="3" t="s">
        <v>35</v>
      </c>
      <c r="E417" s="14" t="str">
        <f ca="1">IFERROR(__xludf.DUMMYFUNCTION("REGEXEXTRACT(A417, ""-(.*)"")"),"ARP.0130.09.2023.GOV.HUOC.PE")</f>
        <v>ARP.0130.09.2023.GOV.HUOC.PE</v>
      </c>
      <c r="F417" s="3" t="s">
        <v>875</v>
      </c>
      <c r="G417" s="3"/>
      <c r="H417" s="9">
        <v>45495</v>
      </c>
      <c r="I417" s="3" t="s">
        <v>37</v>
      </c>
      <c r="J417" s="3" t="str">
        <f>VLOOKUP(A417,'TODOS OS PROCESSOS ATUALIZADOS '!A:I,7,0)</f>
        <v>Cancelada</v>
      </c>
      <c r="K417" s="3" t="s">
        <v>605</v>
      </c>
      <c r="L417" s="3" t="str">
        <f t="shared" si="1"/>
        <v>Item não atualizado</v>
      </c>
      <c r="M417" s="3"/>
      <c r="N417" s="3" t="s">
        <v>605</v>
      </c>
      <c r="O417" s="3"/>
    </row>
    <row r="418" spans="1:17" ht="22.5" customHeight="1" x14ac:dyDescent="0.2">
      <c r="A418" s="3" t="s">
        <v>958</v>
      </c>
      <c r="B418" s="3" t="str">
        <f ca="1">IFERROR(__xludf.DUMMYFUNCTION("REGEXEXTRACT(A418, ""\.(?:GOV|EXT)\.([A-Z0-9\-]+)"")
"),"HUOC")</f>
        <v>HUOC</v>
      </c>
      <c r="C418" s="3" t="s">
        <v>34</v>
      </c>
      <c r="D418" s="3" t="s">
        <v>35</v>
      </c>
      <c r="E418" s="14" t="str">
        <f ca="1">IFERROR(__xludf.DUMMYFUNCTION("REGEXEXTRACT(A418, ""-(.*)"")"),"ARP.0108.04.2023.GOV.HUOC.PE")</f>
        <v>ARP.0108.04.2023.GOV.HUOC.PE</v>
      </c>
      <c r="F418" s="3" t="s">
        <v>959</v>
      </c>
      <c r="G418" s="3"/>
      <c r="H418" s="9">
        <v>45505</v>
      </c>
      <c r="I418" s="3" t="s">
        <v>44</v>
      </c>
      <c r="J418" s="3" t="str">
        <f>VLOOKUP(A418,'TODOS OS PROCESSOS ATUALIZADOS '!A:I,7,0)</f>
        <v>Autorizada Sucesso</v>
      </c>
      <c r="K418" s="3" t="s">
        <v>605</v>
      </c>
      <c r="L418" s="3" t="str">
        <f t="shared" si="1"/>
        <v>Item atualizado</v>
      </c>
      <c r="M418" s="3"/>
      <c r="N418" s="3" t="s">
        <v>605</v>
      </c>
      <c r="O418" s="3"/>
    </row>
    <row r="419" spans="1:17" ht="22.5" customHeight="1" x14ac:dyDescent="0.2">
      <c r="A419" s="3" t="s">
        <v>960</v>
      </c>
      <c r="B419" s="3" t="str">
        <f ca="1">IFERROR(__xludf.DUMMYFUNCTION("REGEXEXTRACT(A419, ""\.(?:GOV|EXT)\.([A-Z0-9\-]+)"")
"),"HUOC")</f>
        <v>HUOC</v>
      </c>
      <c r="C419" s="3" t="s">
        <v>34</v>
      </c>
      <c r="D419" s="3" t="s">
        <v>35</v>
      </c>
      <c r="E419" s="14" t="str">
        <f ca="1">IFERROR(__xludf.DUMMYFUNCTION("REGEXEXTRACT(A419, ""-(.*)"")"),"ARP.0050.00.2024.GOV.HUOC.PE")</f>
        <v>ARP.0050.00.2024.GOV.HUOC.PE</v>
      </c>
      <c r="F419" s="6" t="s">
        <v>961</v>
      </c>
      <c r="G419" s="3"/>
      <c r="H419" s="9">
        <v>45498</v>
      </c>
      <c r="I419" s="3" t="s">
        <v>44</v>
      </c>
      <c r="J419" s="3" t="str">
        <f>VLOOKUP(A419,'TODOS OS PROCESSOS ATUALIZADOS '!A:I,7,0)</f>
        <v>Autorizada Sucesso</v>
      </c>
      <c r="K419" s="3" t="s">
        <v>44</v>
      </c>
      <c r="L419" s="3" t="str">
        <f t="shared" si="1"/>
        <v>Item atualizado</v>
      </c>
      <c r="M419" s="3" t="s">
        <v>9</v>
      </c>
      <c r="N419" s="3" t="s">
        <v>605</v>
      </c>
      <c r="O419" s="3"/>
      <c r="P419" s="3" t="s">
        <v>962</v>
      </c>
      <c r="Q419" s="3" t="s">
        <v>860</v>
      </c>
    </row>
    <row r="420" spans="1:17" ht="22.5" customHeight="1" x14ac:dyDescent="0.2">
      <c r="A420" s="3" t="s">
        <v>963</v>
      </c>
      <c r="B420" s="3" t="str">
        <f ca="1">IFERROR(__xludf.DUMMYFUNCTION("REGEXEXTRACT(A420, ""\.(?:GOV|EXT)\.([A-Z0-9\-]+)"")
"),"HUOC")</f>
        <v>HUOC</v>
      </c>
      <c r="C420" s="3" t="s">
        <v>34</v>
      </c>
      <c r="D420" s="3" t="s">
        <v>35</v>
      </c>
      <c r="E420" s="14" t="str">
        <f ca="1">IFERROR(__xludf.DUMMYFUNCTION("REGEXEXTRACT(A420, ""-(.*)"")"),"ARP.0048.03.2024.GOV.HUOC.PE")</f>
        <v>ARP.0048.03.2024.GOV.HUOC.PE</v>
      </c>
      <c r="F420" s="6" t="s">
        <v>964</v>
      </c>
      <c r="G420" s="3" t="s">
        <v>3</v>
      </c>
      <c r="H420" s="9">
        <v>45505</v>
      </c>
      <c r="I420" s="3" t="s">
        <v>44</v>
      </c>
      <c r="J420" s="3" t="str">
        <f>VLOOKUP(A420,'TODOS OS PROCESSOS ATUALIZADOS '!A:I,7,0)</f>
        <v>Autorizada Sucesso</v>
      </c>
      <c r="K420" s="3" t="s">
        <v>44</v>
      </c>
      <c r="L420" s="3" t="str">
        <f t="shared" si="1"/>
        <v>Item atualizado</v>
      </c>
      <c r="M420" s="3" t="s">
        <v>9</v>
      </c>
      <c r="N420" s="3" t="s">
        <v>605</v>
      </c>
      <c r="O420" s="3" t="s">
        <v>52</v>
      </c>
      <c r="P420" s="3" t="s">
        <v>965</v>
      </c>
      <c r="Q420" s="3" t="s">
        <v>860</v>
      </c>
    </row>
    <row r="421" spans="1:17" ht="22.5" customHeight="1" x14ac:dyDescent="0.2">
      <c r="A421" s="3" t="s">
        <v>966</v>
      </c>
      <c r="B421" s="3" t="str">
        <f ca="1">IFERROR(__xludf.DUMMYFUNCTION("REGEXEXTRACT(A421, ""\.(?:GOV|EXT)\.([A-Z0-9\-]+)"")
"),"HUOC")</f>
        <v>HUOC</v>
      </c>
      <c r="C421" s="3" t="s">
        <v>34</v>
      </c>
      <c r="D421" s="3" t="s">
        <v>35</v>
      </c>
      <c r="E421" s="14" t="str">
        <f ca="1">IFERROR(__xludf.DUMMYFUNCTION("REGEXEXTRACT(A421, ""-(.*)"")"),"ARP.0008.02.2024.GOV.HUOC.PE")</f>
        <v>ARP.0008.02.2024.GOV.HUOC.PE</v>
      </c>
      <c r="F421" s="3" t="s">
        <v>955</v>
      </c>
      <c r="G421" s="3"/>
      <c r="H421" s="9">
        <v>45491</v>
      </c>
      <c r="I421" s="3" t="s">
        <v>37</v>
      </c>
      <c r="J421" s="3" t="str">
        <f>VLOOKUP(A421,'TODOS OS PROCESSOS ATUALIZADOS '!A:I,7,0)</f>
        <v>Cancelada</v>
      </c>
      <c r="K421" s="3" t="s">
        <v>38</v>
      </c>
      <c r="L421" s="3" t="str">
        <f t="shared" si="1"/>
        <v>Item não atualizado</v>
      </c>
      <c r="M421" s="3"/>
      <c r="N421" s="3" t="s">
        <v>605</v>
      </c>
      <c r="O421" s="3"/>
    </row>
    <row r="422" spans="1:17" ht="22.5" customHeight="1" x14ac:dyDescent="0.2">
      <c r="A422" s="3" t="s">
        <v>967</v>
      </c>
      <c r="B422" s="3" t="str">
        <f ca="1">IFERROR(__xludf.DUMMYFUNCTION("REGEXEXTRACT(A422, ""\.(?:GOV|EXT)\.([A-Z0-9\-]+)"")
"),"HUOC")</f>
        <v>HUOC</v>
      </c>
      <c r="C422" s="3" t="s">
        <v>34</v>
      </c>
      <c r="D422" s="3" t="s">
        <v>35</v>
      </c>
      <c r="E422" s="14" t="str">
        <f ca="1">IFERROR(__xludf.DUMMYFUNCTION("REGEXEXTRACT(A422, ""-(.*)"")"),"ARP.0126.01.2023.GOV.HUOC.PE")</f>
        <v>ARP.0126.01.2023.GOV.HUOC.PE</v>
      </c>
      <c r="F422" s="3" t="s">
        <v>968</v>
      </c>
      <c r="G422" s="3"/>
      <c r="H422" s="9">
        <v>45502</v>
      </c>
      <c r="I422" s="3" t="s">
        <v>44</v>
      </c>
      <c r="J422" s="3" t="str">
        <f>VLOOKUP(A422,'TODOS OS PROCESSOS ATUALIZADOS '!A:I,7,0)</f>
        <v>Autorizada Sucesso</v>
      </c>
      <c r="K422" s="3" t="s">
        <v>605</v>
      </c>
      <c r="L422" s="3" t="str">
        <f t="shared" si="1"/>
        <v>Item atualizado</v>
      </c>
      <c r="M422" s="3"/>
      <c r="N422" s="3" t="s">
        <v>605</v>
      </c>
      <c r="O422" s="3"/>
    </row>
    <row r="423" spans="1:17" ht="22.5" customHeight="1" x14ac:dyDescent="0.2">
      <c r="A423" s="3" t="s">
        <v>969</v>
      </c>
      <c r="B423" s="3" t="str">
        <f ca="1">IFERROR(__xludf.DUMMYFUNCTION("REGEXEXTRACT(A423, ""\.(?:GOV|EXT)\.([A-Z0-9\-]+)"")
"),"HUOC")</f>
        <v>HUOC</v>
      </c>
      <c r="C423" s="3" t="s">
        <v>34</v>
      </c>
      <c r="D423" s="3" t="s">
        <v>35</v>
      </c>
      <c r="E423" s="14" t="str">
        <f ca="1">IFERROR(__xludf.DUMMYFUNCTION("REGEXEXTRACT(A423, ""-(.*)"")"),"ARP.0087.00.2023.GOV.HUOC.PE")</f>
        <v>ARP.0087.00.2023.GOV.HUOC.PE</v>
      </c>
      <c r="F423" s="3" t="s">
        <v>970</v>
      </c>
      <c r="G423" s="3"/>
      <c r="H423" s="9">
        <v>45510</v>
      </c>
      <c r="I423" s="3" t="s">
        <v>44</v>
      </c>
      <c r="J423" s="3" t="str">
        <f>VLOOKUP(A423,'TODOS OS PROCESSOS ATUALIZADOS '!A:I,7,0)</f>
        <v>Autorizada Sucesso</v>
      </c>
      <c r="K423" s="3" t="s">
        <v>605</v>
      </c>
      <c r="L423" s="3" t="str">
        <f t="shared" si="1"/>
        <v>Item atualizado</v>
      </c>
      <c r="M423" s="3"/>
      <c r="N423" s="3" t="s">
        <v>605</v>
      </c>
      <c r="O423" s="3"/>
    </row>
    <row r="424" spans="1:17" ht="22.5" customHeight="1" x14ac:dyDescent="0.2">
      <c r="A424" s="3" t="s">
        <v>971</v>
      </c>
      <c r="B424" s="3" t="str">
        <f ca="1">IFERROR(__xludf.DUMMYFUNCTION("REGEXEXTRACT(A424, ""\.(?:GOV|EXT)\.([A-Z0-9\-]+)"")
"),"HUOC")</f>
        <v>HUOC</v>
      </c>
      <c r="C424" s="3" t="s">
        <v>34</v>
      </c>
      <c r="D424" s="3" t="s">
        <v>35</v>
      </c>
      <c r="E424" s="14" t="str">
        <f ca="1">IFERROR(__xludf.DUMMYFUNCTION("REGEXEXTRACT(A424, ""-(.*)"")"),"ARP.0059.01.2024.GOV.HUOC.PE")</f>
        <v>ARP.0059.01.2024.GOV.HUOC.PE</v>
      </c>
      <c r="F424" s="6" t="s">
        <v>913</v>
      </c>
      <c r="G424" s="3"/>
      <c r="H424" s="9">
        <v>45510</v>
      </c>
      <c r="I424" s="3" t="s">
        <v>44</v>
      </c>
      <c r="J424" s="3" t="str">
        <f>VLOOKUP(A424,'TODOS OS PROCESSOS ATUALIZADOS '!A:I,7,0)</f>
        <v>Autorizada Sucesso</v>
      </c>
      <c r="K424" s="3" t="s">
        <v>44</v>
      </c>
      <c r="L424" s="3" t="str">
        <f t="shared" si="1"/>
        <v>Item atualizado</v>
      </c>
      <c r="M424" s="3" t="s">
        <v>9</v>
      </c>
      <c r="N424" s="3" t="s">
        <v>605</v>
      </c>
      <c r="O424" s="3"/>
      <c r="P424" s="3" t="s">
        <v>972</v>
      </c>
      <c r="Q424" s="3" t="s">
        <v>860</v>
      </c>
    </row>
    <row r="425" spans="1:17" ht="22.5" customHeight="1" x14ac:dyDescent="0.2">
      <c r="A425" s="3" t="s">
        <v>973</v>
      </c>
      <c r="B425" s="3" t="str">
        <f ca="1">IFERROR(__xludf.DUMMYFUNCTION("REGEXEXTRACT(A425, ""\.(?:GOV|EXT)\.([A-Z0-9\-]+)"")
"),"HUOC")</f>
        <v>HUOC</v>
      </c>
      <c r="C425" s="3" t="s">
        <v>34</v>
      </c>
      <c r="D425" s="3" t="s">
        <v>35</v>
      </c>
      <c r="E425" s="14" t="str">
        <f ca="1">IFERROR(__xludf.DUMMYFUNCTION("REGEXEXTRACT(A425, ""-(.*)"")"),"ARP.0050.06.2024.GOV.HUOC.PE")</f>
        <v>ARP.0050.06.2024.GOV.HUOC.PE</v>
      </c>
      <c r="F425" s="6" t="s">
        <v>961</v>
      </c>
      <c r="G425" s="3"/>
      <c r="H425" s="9">
        <v>45489</v>
      </c>
      <c r="I425" s="3" t="s">
        <v>44</v>
      </c>
      <c r="J425" s="3" t="str">
        <f>VLOOKUP(A425,'TODOS OS PROCESSOS ATUALIZADOS '!A:I,7,0)</f>
        <v>Autorizada Sucesso</v>
      </c>
      <c r="K425" s="3" t="s">
        <v>44</v>
      </c>
      <c r="L425" s="3" t="str">
        <f t="shared" si="1"/>
        <v>Item atualizado</v>
      </c>
      <c r="M425" s="3" t="s">
        <v>9</v>
      </c>
      <c r="N425" s="3" t="s">
        <v>605</v>
      </c>
      <c r="O425" s="3"/>
      <c r="P425" s="3" t="s">
        <v>974</v>
      </c>
      <c r="Q425" s="3" t="s">
        <v>860</v>
      </c>
    </row>
    <row r="426" spans="1:17" ht="22.5" customHeight="1" x14ac:dyDescent="0.2">
      <c r="A426" s="3" t="s">
        <v>975</v>
      </c>
      <c r="B426" s="3" t="str">
        <f ca="1">IFERROR(__xludf.DUMMYFUNCTION("REGEXEXTRACT(A426, ""\.(?:GOV|EXT)\.([A-Z0-9\-]+)"")
"),"HUOC")</f>
        <v>HUOC</v>
      </c>
      <c r="C426" s="3" t="s">
        <v>34</v>
      </c>
      <c r="D426" s="3" t="s">
        <v>35</v>
      </c>
      <c r="E426" s="14" t="str">
        <f ca="1">IFERROR(__xludf.DUMMYFUNCTION("REGEXEXTRACT(A426, ""-(.*)"")"),"ARP.0048.03.2024.GOV.HUOC.PE")</f>
        <v>ARP.0048.03.2024.GOV.HUOC.PE</v>
      </c>
      <c r="F426" s="3" t="s">
        <v>964</v>
      </c>
      <c r="G426" s="3"/>
      <c r="H426" s="9">
        <v>45505</v>
      </c>
      <c r="I426" s="3" t="s">
        <v>37</v>
      </c>
      <c r="J426" s="3" t="str">
        <f>VLOOKUP(A426,'TODOS OS PROCESSOS ATUALIZADOS '!A:I,7,0)</f>
        <v>Cancelada</v>
      </c>
      <c r="K426" s="3" t="s">
        <v>38</v>
      </c>
      <c r="L426" s="3" t="str">
        <f t="shared" si="1"/>
        <v>Item não atualizado</v>
      </c>
      <c r="M426" s="3"/>
      <c r="N426" s="3" t="s">
        <v>605</v>
      </c>
      <c r="O426" s="3"/>
    </row>
    <row r="427" spans="1:17" ht="22.5" customHeight="1" x14ac:dyDescent="0.2">
      <c r="A427" s="3" t="s">
        <v>976</v>
      </c>
      <c r="B427" s="3" t="str">
        <f ca="1">IFERROR(__xludf.DUMMYFUNCTION("REGEXEXTRACT(A427, ""\.(?:GOV|EXT)\.([A-Z0-9\-]+)"")
"),"HUOC")</f>
        <v>HUOC</v>
      </c>
      <c r="C427" s="3" t="s">
        <v>34</v>
      </c>
      <c r="D427" s="3" t="s">
        <v>35</v>
      </c>
      <c r="E427" s="14" t="str">
        <f ca="1">IFERROR(__xludf.DUMMYFUNCTION("REGEXEXTRACT(A427, ""-(.*)"")"),"ARP.0036.00.2024.GOV.HUOC.PE")</f>
        <v>ARP.0036.00.2024.GOV.HUOC.PE</v>
      </c>
      <c r="F427" s="6" t="s">
        <v>977</v>
      </c>
      <c r="G427" s="3" t="s">
        <v>3</v>
      </c>
      <c r="H427" s="9">
        <v>45510</v>
      </c>
      <c r="I427" s="3" t="s">
        <v>44</v>
      </c>
      <c r="J427" s="3" t="str">
        <f>VLOOKUP(A427,'TODOS OS PROCESSOS ATUALIZADOS '!A:I,7,0)</f>
        <v>Autorizada Sucesso</v>
      </c>
      <c r="K427" s="3" t="s">
        <v>44</v>
      </c>
      <c r="L427" s="3" t="str">
        <f t="shared" si="1"/>
        <v>Item atualizado</v>
      </c>
      <c r="M427" s="3" t="s">
        <v>9</v>
      </c>
      <c r="N427" s="3" t="s">
        <v>605</v>
      </c>
      <c r="O427" s="3" t="s">
        <v>52</v>
      </c>
      <c r="P427" s="3" t="s">
        <v>978</v>
      </c>
      <c r="Q427" s="3" t="s">
        <v>860</v>
      </c>
    </row>
    <row r="428" spans="1:17" ht="22.5" customHeight="1" x14ac:dyDescent="0.2">
      <c r="A428" s="3" t="s">
        <v>979</v>
      </c>
      <c r="B428" s="3" t="str">
        <f ca="1">IFERROR(__xludf.DUMMYFUNCTION("REGEXEXTRACT(A428, ""\.(?:GOV|EXT)\.([A-Z0-9\-]+)"")
"),"HOF")</f>
        <v>HOF</v>
      </c>
      <c r="C428" s="3" t="s">
        <v>34</v>
      </c>
      <c r="D428" s="3" t="s">
        <v>35</v>
      </c>
      <c r="E428" s="14" t="str">
        <f ca="1">IFERROR(__xludf.DUMMYFUNCTION("REGEXEXTRACT(A428, ""-(.*)"")"),"ARP.0009.10.2024.GOV.HOF.PE")</f>
        <v>ARP.0009.10.2024.GOV.HOF.PE</v>
      </c>
      <c r="F428" s="6" t="s">
        <v>628</v>
      </c>
      <c r="G428" s="3" t="s">
        <v>3</v>
      </c>
      <c r="H428" s="9">
        <v>45488</v>
      </c>
      <c r="I428" s="3" t="s">
        <v>44</v>
      </c>
      <c r="J428" s="3" t="str">
        <f>VLOOKUP(A428,'TODOS OS PROCESSOS ATUALIZADOS '!A:I,7,0)</f>
        <v>Autorizada Sucesso</v>
      </c>
      <c r="K428" s="3" t="s">
        <v>44</v>
      </c>
      <c r="L428" s="3" t="str">
        <f t="shared" si="1"/>
        <v>Item atualizado</v>
      </c>
      <c r="M428" s="3" t="s">
        <v>9</v>
      </c>
      <c r="N428" s="3" t="s">
        <v>605</v>
      </c>
      <c r="O428" s="3" t="s">
        <v>52</v>
      </c>
      <c r="P428" s="3" t="s">
        <v>980</v>
      </c>
      <c r="Q428" s="3" t="s">
        <v>860</v>
      </c>
    </row>
    <row r="429" spans="1:17" ht="22.5" customHeight="1" x14ac:dyDescent="0.2">
      <c r="A429" s="3" t="s">
        <v>981</v>
      </c>
      <c r="B429" s="3" t="str">
        <f ca="1">IFERROR(__xludf.DUMMYFUNCTION("REGEXEXTRACT(A429, ""\.(?:GOV|EXT)\.([A-Z0-9\-]+)"")
"),"HOF")</f>
        <v>HOF</v>
      </c>
      <c r="C429" s="3" t="s">
        <v>34</v>
      </c>
      <c r="D429" s="3" t="s">
        <v>35</v>
      </c>
      <c r="E429" s="14" t="str">
        <f ca="1">IFERROR(__xludf.DUMMYFUNCTION("REGEXEXTRACT(A429, ""-(.*)"")"),"ARP.0009.00.2024.GOV.HOF.PE")</f>
        <v>ARP.0009.00.2024.GOV.HOF.PE</v>
      </c>
      <c r="F429" s="6" t="s">
        <v>628</v>
      </c>
      <c r="G429" s="3" t="s">
        <v>3</v>
      </c>
      <c r="H429" s="9">
        <v>45510</v>
      </c>
      <c r="I429" s="3" t="s">
        <v>44</v>
      </c>
      <c r="J429" s="3" t="str">
        <f>VLOOKUP(A429,'TODOS OS PROCESSOS ATUALIZADOS '!A:I,7,0)</f>
        <v>Autorizada Sucesso</v>
      </c>
      <c r="K429" s="3" t="s">
        <v>44</v>
      </c>
      <c r="L429" s="3" t="str">
        <f t="shared" si="1"/>
        <v>Item atualizado</v>
      </c>
      <c r="M429" s="3" t="s">
        <v>9</v>
      </c>
      <c r="N429" s="3" t="s">
        <v>605</v>
      </c>
      <c r="O429" s="3" t="s">
        <v>52</v>
      </c>
      <c r="P429" s="3" t="s">
        <v>982</v>
      </c>
      <c r="Q429" s="3" t="s">
        <v>860</v>
      </c>
    </row>
    <row r="430" spans="1:17" ht="22.5" customHeight="1" x14ac:dyDescent="0.2">
      <c r="A430" s="3" t="s">
        <v>983</v>
      </c>
      <c r="B430" s="3" t="str">
        <f ca="1">IFERROR(__xludf.DUMMYFUNCTION("REGEXEXTRACT(A430, ""\.(?:GOV|EXT)\.([A-Z0-9\-]+)"")
"),"HMAR")</f>
        <v>HMAR</v>
      </c>
      <c r="C430" s="3" t="s">
        <v>34</v>
      </c>
      <c r="D430" s="3" t="s">
        <v>35</v>
      </c>
      <c r="E430" s="14" t="str">
        <f ca="1">IFERROR(__xludf.DUMMYFUNCTION("REGEXEXTRACT(A430, ""-(.*)"")"),"ARP.0006.00.2024.EXT.HMAR.PE")</f>
        <v>ARP.0006.00.2024.EXT.HMAR.PE</v>
      </c>
      <c r="F430" s="3" t="s">
        <v>887</v>
      </c>
      <c r="G430" s="3"/>
      <c r="H430" s="9">
        <v>45512</v>
      </c>
      <c r="I430" s="3" t="s">
        <v>37</v>
      </c>
      <c r="J430" s="3" t="str">
        <f>VLOOKUP(A430,'TODOS OS PROCESSOS ATUALIZADOS '!A:I,7,0)</f>
        <v>Cancelada</v>
      </c>
      <c r="K430" s="3" t="s">
        <v>38</v>
      </c>
      <c r="L430" s="3" t="str">
        <f t="shared" si="1"/>
        <v>Item não atualizado</v>
      </c>
      <c r="M430" s="3"/>
      <c r="N430" s="3" t="s">
        <v>605</v>
      </c>
      <c r="O430" s="3"/>
    </row>
    <row r="431" spans="1:17" ht="22.5" customHeight="1" x14ac:dyDescent="0.2">
      <c r="A431" s="3" t="s">
        <v>984</v>
      </c>
      <c r="B431" s="3" t="str">
        <f ca="1">IFERROR(__xludf.DUMMYFUNCTION("REGEXEXTRACT(A431, ""\.(?:GOV|EXT)\.([A-Z0-9\-]+)"")
"),"HUOC")</f>
        <v>HUOC</v>
      </c>
      <c r="C431" s="3" t="s">
        <v>34</v>
      </c>
      <c r="D431" s="3" t="s">
        <v>35</v>
      </c>
      <c r="E431" s="14" t="str">
        <f ca="1">IFERROR(__xludf.DUMMYFUNCTION("REGEXEXTRACT(A431, ""-(.*)"")"),"ARP.0063.04.2024.GOV.HUOC.PE")</f>
        <v>ARP.0063.04.2024.GOV.HUOC.PE</v>
      </c>
      <c r="F431" s="6" t="s">
        <v>877</v>
      </c>
      <c r="G431" s="3"/>
      <c r="H431" s="9">
        <v>45495</v>
      </c>
      <c r="I431" s="3" t="s">
        <v>44</v>
      </c>
      <c r="J431" s="3" t="str">
        <f>VLOOKUP(A431,'TODOS OS PROCESSOS ATUALIZADOS '!A:I,7,0)</f>
        <v>Autorizada Sucesso</v>
      </c>
      <c r="K431" s="3" t="s">
        <v>44</v>
      </c>
      <c r="L431" s="3" t="str">
        <f t="shared" si="1"/>
        <v>Item atualizado</v>
      </c>
      <c r="M431" s="3" t="s">
        <v>9</v>
      </c>
      <c r="N431" s="3" t="s">
        <v>605</v>
      </c>
      <c r="O431" s="3"/>
      <c r="P431" s="3" t="s">
        <v>985</v>
      </c>
      <c r="Q431" s="6" t="s">
        <v>898</v>
      </c>
    </row>
    <row r="432" spans="1:17" ht="22.5" customHeight="1" x14ac:dyDescent="0.2">
      <c r="A432" s="3" t="s">
        <v>986</v>
      </c>
      <c r="B432" s="3" t="str">
        <f ca="1">IFERROR(__xludf.DUMMYFUNCTION("REGEXEXTRACT(A432, ""\.(?:GOV|EXT)\.([A-Z0-9\-]+)"")
"),"HUOC")</f>
        <v>HUOC</v>
      </c>
      <c r="C432" s="3" t="s">
        <v>34</v>
      </c>
      <c r="D432" s="3" t="s">
        <v>35</v>
      </c>
      <c r="E432" s="14" t="str">
        <f ca="1">IFERROR(__xludf.DUMMYFUNCTION("REGEXEXTRACT(A432, ""-(.*)"")"),"ARP.0063.03.2024.GOV.HUOC.PE")</f>
        <v>ARP.0063.03.2024.GOV.HUOC.PE</v>
      </c>
      <c r="F432" s="6" t="s">
        <v>877</v>
      </c>
      <c r="G432" s="3"/>
      <c r="H432" s="9">
        <v>45495</v>
      </c>
      <c r="I432" s="3" t="s">
        <v>44</v>
      </c>
      <c r="J432" s="3" t="str">
        <f>VLOOKUP(A432,'TODOS OS PROCESSOS ATUALIZADOS '!A:I,7,0)</f>
        <v>Autorizada Sucesso</v>
      </c>
      <c r="K432" s="3" t="s">
        <v>44</v>
      </c>
      <c r="L432" s="3" t="str">
        <f t="shared" si="1"/>
        <v>Item atualizado</v>
      </c>
      <c r="M432" s="3" t="s">
        <v>9</v>
      </c>
      <c r="N432" s="3" t="s">
        <v>605</v>
      </c>
      <c r="O432" s="3"/>
      <c r="P432" s="3" t="s">
        <v>987</v>
      </c>
      <c r="Q432" s="3" t="s">
        <v>860</v>
      </c>
    </row>
    <row r="433" spans="1:17" ht="22.5" customHeight="1" x14ac:dyDescent="0.2">
      <c r="A433" s="3" t="s">
        <v>988</v>
      </c>
      <c r="B433" s="3" t="str">
        <f ca="1">IFERROR(__xludf.DUMMYFUNCTION("REGEXEXTRACT(A433, ""\.(?:GOV|EXT)\.([A-Z0-9\-]+)"")
"),"HUOC")</f>
        <v>HUOC</v>
      </c>
      <c r="C433" s="3" t="s">
        <v>34</v>
      </c>
      <c r="D433" s="3" t="s">
        <v>35</v>
      </c>
      <c r="E433" s="14" t="str">
        <f ca="1">IFERROR(__xludf.DUMMYFUNCTION("REGEXEXTRACT(A433, ""-(.*)"")"),"ARP.0059.07.2024.GOV.HUOC.PE")</f>
        <v>ARP.0059.07.2024.GOV.HUOC.PE</v>
      </c>
      <c r="F433" s="6" t="s">
        <v>913</v>
      </c>
      <c r="G433" s="3"/>
      <c r="H433" s="9">
        <v>45488</v>
      </c>
      <c r="I433" s="3" t="s">
        <v>44</v>
      </c>
      <c r="J433" s="3" t="str">
        <f>VLOOKUP(A433,'TODOS OS PROCESSOS ATUALIZADOS '!A:I,7,0)</f>
        <v>Autorizada Sucesso</v>
      </c>
      <c r="K433" s="3" t="s">
        <v>44</v>
      </c>
      <c r="L433" s="3" t="str">
        <f t="shared" si="1"/>
        <v>Item atualizado</v>
      </c>
      <c r="M433" s="3" t="s">
        <v>9</v>
      </c>
      <c r="N433" s="3" t="s">
        <v>605</v>
      </c>
      <c r="O433" s="3"/>
      <c r="P433" s="3" t="s">
        <v>989</v>
      </c>
      <c r="Q433" s="3" t="s">
        <v>860</v>
      </c>
    </row>
    <row r="434" spans="1:17" ht="22.5" customHeight="1" x14ac:dyDescent="0.2">
      <c r="A434" s="3" t="s">
        <v>990</v>
      </c>
      <c r="B434" s="3" t="str">
        <f ca="1">IFERROR(__xludf.DUMMYFUNCTION("REGEXEXTRACT(A434, ""\.(?:GOV|EXT)\.([A-Z0-9\-]+)"")
"),"HUOC")</f>
        <v>HUOC</v>
      </c>
      <c r="C434" s="3" t="s">
        <v>34</v>
      </c>
      <c r="D434" s="3" t="s">
        <v>35</v>
      </c>
      <c r="E434" s="14" t="str">
        <f ca="1">IFERROR(__xludf.DUMMYFUNCTION("REGEXEXTRACT(A434, ""-(.*)"")"),"ARP.0057.09.2024.GOV.HUOC.PE")</f>
        <v>ARP.0057.09.2024.GOV.HUOC.PE</v>
      </c>
      <c r="F434" s="6" t="s">
        <v>948</v>
      </c>
      <c r="G434" s="3"/>
      <c r="H434" s="9">
        <v>45488</v>
      </c>
      <c r="I434" s="3" t="s">
        <v>44</v>
      </c>
      <c r="J434" s="3" t="str">
        <f>VLOOKUP(A434,'TODOS OS PROCESSOS ATUALIZADOS '!A:I,7,0)</f>
        <v>Autorizada Sucesso</v>
      </c>
      <c r="K434" s="3" t="s">
        <v>44</v>
      </c>
      <c r="L434" s="3" t="str">
        <f t="shared" si="1"/>
        <v>Item atualizado</v>
      </c>
      <c r="M434" s="3" t="s">
        <v>9</v>
      </c>
      <c r="N434" s="3" t="s">
        <v>605</v>
      </c>
      <c r="O434" s="3"/>
      <c r="P434" s="3" t="s">
        <v>991</v>
      </c>
      <c r="Q434" s="6" t="s">
        <v>898</v>
      </c>
    </row>
    <row r="435" spans="1:17" ht="22.5" customHeight="1" x14ac:dyDescent="0.2">
      <c r="A435" s="3" t="s">
        <v>992</v>
      </c>
      <c r="B435" s="3" t="str">
        <f ca="1">IFERROR(__xludf.DUMMYFUNCTION("REGEXEXTRACT(A435, ""\.(?:GOV|EXT)\.([A-Z0-9\-]+)"")
"),"HUOC")</f>
        <v>HUOC</v>
      </c>
      <c r="C435" s="3" t="s">
        <v>34</v>
      </c>
      <c r="D435" s="3" t="s">
        <v>35</v>
      </c>
      <c r="E435" s="14" t="str">
        <f ca="1">IFERROR(__xludf.DUMMYFUNCTION("REGEXEXTRACT(A435, ""-(.*)"")"),"ARP.0057.07.2024.GOV.HUOC.PE")</f>
        <v>ARP.0057.07.2024.GOV.HUOC.PE</v>
      </c>
      <c r="F435" s="6" t="s">
        <v>948</v>
      </c>
      <c r="G435" s="3"/>
      <c r="H435" s="9">
        <v>45506</v>
      </c>
      <c r="I435" s="3" t="s">
        <v>44</v>
      </c>
      <c r="J435" s="3" t="str">
        <f>VLOOKUP(A435,'TODOS OS PROCESSOS ATUALIZADOS '!A:I,7,0)</f>
        <v>Autorizada Sucesso</v>
      </c>
      <c r="K435" s="3" t="s">
        <v>44</v>
      </c>
      <c r="L435" s="3" t="str">
        <f t="shared" si="1"/>
        <v>Item atualizado</v>
      </c>
      <c r="M435" s="3" t="s">
        <v>9</v>
      </c>
      <c r="N435" s="3" t="s">
        <v>605</v>
      </c>
      <c r="O435" s="3"/>
      <c r="P435" s="3" t="s">
        <v>993</v>
      </c>
      <c r="Q435" s="6" t="s">
        <v>898</v>
      </c>
    </row>
    <row r="436" spans="1:17" ht="22.5" customHeight="1" x14ac:dyDescent="0.2">
      <c r="A436" s="3" t="s">
        <v>994</v>
      </c>
      <c r="B436" s="3" t="str">
        <f ca="1">IFERROR(__xludf.DUMMYFUNCTION("REGEXEXTRACT(A436, ""\.(?:GOV|EXT)\.([A-Z0-9\-]+)"")
"),"HUOC")</f>
        <v>HUOC</v>
      </c>
      <c r="C436" s="3" t="s">
        <v>34</v>
      </c>
      <c r="D436" s="3" t="s">
        <v>35</v>
      </c>
      <c r="E436" s="14" t="str">
        <f ca="1">IFERROR(__xludf.DUMMYFUNCTION("REGEXEXTRACT(A436, ""-(.*)"")"),"ARP.0057.03.2024.GOV.HUOC.PE")</f>
        <v>ARP.0057.03.2024.GOV.HUOC.PE</v>
      </c>
      <c r="F436" s="6" t="s">
        <v>948</v>
      </c>
      <c r="G436" s="3"/>
      <c r="H436" s="9">
        <v>45485</v>
      </c>
      <c r="I436" s="3" t="s">
        <v>44</v>
      </c>
      <c r="J436" s="3" t="str">
        <f>VLOOKUP(A436,'TODOS OS PROCESSOS ATUALIZADOS '!A:I,7,0)</f>
        <v>Autorizada Sucesso</v>
      </c>
      <c r="K436" s="3" t="s">
        <v>44</v>
      </c>
      <c r="L436" s="3" t="str">
        <f t="shared" si="1"/>
        <v>Item atualizado</v>
      </c>
      <c r="M436" s="3" t="s">
        <v>9</v>
      </c>
      <c r="N436" s="3" t="s">
        <v>605</v>
      </c>
      <c r="O436" s="3" t="s">
        <v>56</v>
      </c>
      <c r="P436" s="3" t="s">
        <v>995</v>
      </c>
      <c r="Q436" s="3" t="s">
        <v>996</v>
      </c>
    </row>
    <row r="437" spans="1:17" ht="22.5" customHeight="1" x14ac:dyDescent="0.2">
      <c r="A437" s="3" t="s">
        <v>997</v>
      </c>
      <c r="B437" s="3" t="str">
        <f ca="1">IFERROR(__xludf.DUMMYFUNCTION("REGEXEXTRACT(A437, ""\.(?:GOV|EXT)\.([A-Z0-9\-]+)"")
"),"HUOC")</f>
        <v>HUOC</v>
      </c>
      <c r="C437" s="3" t="s">
        <v>34</v>
      </c>
      <c r="D437" s="3" t="s">
        <v>35</v>
      </c>
      <c r="E437" s="14" t="str">
        <f ca="1">IFERROR(__xludf.DUMMYFUNCTION("REGEXEXTRACT(A437, ""-(.*)"")"),"ARP.0057.02.2024.GOV.HUOC.PE")</f>
        <v>ARP.0057.02.2024.GOV.HUOC.PE</v>
      </c>
      <c r="F437" s="6" t="s">
        <v>948</v>
      </c>
      <c r="G437" s="3"/>
      <c r="H437" s="9">
        <v>45488</v>
      </c>
      <c r="I437" s="3" t="s">
        <v>44</v>
      </c>
      <c r="J437" s="3" t="str">
        <f>VLOOKUP(A437,'TODOS OS PROCESSOS ATUALIZADOS '!A:I,7,0)</f>
        <v>Autorizada Sucesso</v>
      </c>
      <c r="K437" s="3" t="s">
        <v>44</v>
      </c>
      <c r="L437" s="3" t="str">
        <f t="shared" si="1"/>
        <v>Item atualizado</v>
      </c>
      <c r="M437" s="3" t="s">
        <v>9</v>
      </c>
      <c r="N437" s="3" t="s">
        <v>605</v>
      </c>
      <c r="O437" s="3"/>
      <c r="P437" s="3" t="s">
        <v>998</v>
      </c>
      <c r="Q437" s="6" t="s">
        <v>898</v>
      </c>
    </row>
    <row r="438" spans="1:17" ht="22.5" customHeight="1" x14ac:dyDescent="0.2">
      <c r="A438" s="3" t="s">
        <v>999</v>
      </c>
      <c r="B438" s="3" t="str">
        <f ca="1">IFERROR(__xludf.DUMMYFUNCTION("REGEXEXTRACT(A438, ""\.(?:GOV|EXT)\.([A-Z0-9\-]+)"")
"),"HUOC")</f>
        <v>HUOC</v>
      </c>
      <c r="C438" s="3" t="s">
        <v>34</v>
      </c>
      <c r="D438" s="3" t="s">
        <v>35</v>
      </c>
      <c r="E438" s="14" t="str">
        <f ca="1">IFERROR(__xludf.DUMMYFUNCTION("REGEXEXTRACT(A438, ""-(.*)"")"),"ARP.0057.00.2024.GOV.HUOC.PE")</f>
        <v>ARP.0057.00.2024.GOV.HUOC.PE</v>
      </c>
      <c r="F438" s="6" t="s">
        <v>948</v>
      </c>
      <c r="G438" s="3"/>
      <c r="H438" s="9">
        <v>45506</v>
      </c>
      <c r="I438" s="3" t="s">
        <v>44</v>
      </c>
      <c r="J438" s="3" t="str">
        <f>VLOOKUP(A438,'TODOS OS PROCESSOS ATUALIZADOS '!A:I,7,0)</f>
        <v>Autorizada Sucesso</v>
      </c>
      <c r="K438" s="3" t="s">
        <v>44</v>
      </c>
      <c r="L438" s="3" t="str">
        <f t="shared" si="1"/>
        <v>Item atualizado</v>
      </c>
      <c r="M438" s="3" t="s">
        <v>9</v>
      </c>
      <c r="N438" s="3" t="s">
        <v>605</v>
      </c>
      <c r="O438" s="3"/>
      <c r="P438" s="3" t="s">
        <v>1000</v>
      </c>
      <c r="Q438" s="6" t="s">
        <v>898</v>
      </c>
    </row>
    <row r="439" spans="1:17" ht="22.5" customHeight="1" x14ac:dyDescent="0.2">
      <c r="A439" s="3" t="s">
        <v>1001</v>
      </c>
      <c r="B439" s="3" t="str">
        <f ca="1">IFERROR(__xludf.DUMMYFUNCTION("REGEXEXTRACT(A439, ""\.(?:GOV|EXT)\.([A-Z0-9\-]+)"")
"),"HUOC")</f>
        <v>HUOC</v>
      </c>
      <c r="C439" s="3" t="s">
        <v>34</v>
      </c>
      <c r="D439" s="3" t="s">
        <v>35</v>
      </c>
      <c r="E439" s="14" t="str">
        <f ca="1">IFERROR(__xludf.DUMMYFUNCTION("REGEXEXTRACT(A439, ""-(.*)"")"),"ARP.0050.03.2024.GOV.HUOC.PE")</f>
        <v>ARP.0050.03.2024.GOV.HUOC.PE</v>
      </c>
      <c r="F439" s="6" t="s">
        <v>961</v>
      </c>
      <c r="G439" s="3"/>
      <c r="H439" s="9">
        <v>45502</v>
      </c>
      <c r="I439" s="3" t="s">
        <v>44</v>
      </c>
      <c r="J439" s="3" t="str">
        <f>VLOOKUP(A439,'TODOS OS PROCESSOS ATUALIZADOS '!A:I,7,0)</f>
        <v>Autorizada Sucesso</v>
      </c>
      <c r="K439" s="3" t="s">
        <v>44</v>
      </c>
      <c r="L439" s="3" t="str">
        <f t="shared" si="1"/>
        <v>Item atualizado</v>
      </c>
      <c r="M439" s="3" t="s">
        <v>9</v>
      </c>
      <c r="N439" s="3" t="s">
        <v>605</v>
      </c>
      <c r="O439" s="3"/>
      <c r="P439" s="3" t="s">
        <v>1002</v>
      </c>
      <c r="Q439" s="6" t="s">
        <v>898</v>
      </c>
    </row>
    <row r="440" spans="1:17" ht="22.5" customHeight="1" x14ac:dyDescent="0.2">
      <c r="A440" s="3" t="s">
        <v>1003</v>
      </c>
      <c r="B440" s="3" t="str">
        <f ca="1">IFERROR(__xludf.DUMMYFUNCTION("REGEXEXTRACT(A440, ""\.(?:GOV|EXT)\.([A-Z0-9\-]+)"")
"),"HGV")</f>
        <v>HGV</v>
      </c>
      <c r="C440" s="3" t="s">
        <v>34</v>
      </c>
      <c r="D440" s="3" t="s">
        <v>35</v>
      </c>
      <c r="E440" s="14" t="str">
        <f ca="1">IFERROR(__xludf.DUMMYFUNCTION("REGEXEXTRACT(A440, ""-(.*)"")"),"ARP.0011.07.2024.GOV.HGV.PE")</f>
        <v>ARP.0011.07.2024.GOV.HGV.PE</v>
      </c>
      <c r="F440" s="6" t="s">
        <v>504</v>
      </c>
      <c r="G440" s="3" t="s">
        <v>3</v>
      </c>
      <c r="H440" s="9">
        <v>45510</v>
      </c>
      <c r="I440" s="3" t="s">
        <v>44</v>
      </c>
      <c r="J440" s="3" t="str">
        <f>VLOOKUP(A440,'TODOS OS PROCESSOS ATUALIZADOS '!A:I,7,0)</f>
        <v>Autorizada Sucesso</v>
      </c>
      <c r="K440" s="3" t="s">
        <v>44</v>
      </c>
      <c r="L440" s="3" t="str">
        <f t="shared" si="1"/>
        <v>Item atualizado</v>
      </c>
      <c r="M440" s="3" t="s">
        <v>9</v>
      </c>
      <c r="N440" s="3" t="s">
        <v>605</v>
      </c>
      <c r="O440" s="3" t="s">
        <v>52</v>
      </c>
      <c r="P440" s="3" t="s">
        <v>1004</v>
      </c>
      <c r="Q440" s="3" t="s">
        <v>860</v>
      </c>
    </row>
    <row r="441" spans="1:17" ht="22.5" customHeight="1" x14ac:dyDescent="0.2">
      <c r="A441" s="3" t="s">
        <v>1005</v>
      </c>
      <c r="B441" s="3" t="str">
        <f ca="1">IFERROR(__xludf.DUMMYFUNCTION("REGEXEXTRACT(A441, ""\.(?:GOV|EXT)\.([A-Z0-9\-]+)"")
"),"DASIS")</f>
        <v>DASIS</v>
      </c>
      <c r="C441" s="3" t="s">
        <v>34</v>
      </c>
      <c r="D441" s="3" t="s">
        <v>35</v>
      </c>
      <c r="E441" s="14" t="str">
        <f ca="1">IFERROR(__xludf.DUMMYFUNCTION("REGEXEXTRACT(A441, ""-(.*)"")"),"ARP.0011.01.2024.GOV.DASIS.PE")</f>
        <v>ARP.0011.01.2024.GOV.DASIS.PE</v>
      </c>
      <c r="F441" s="6" t="s">
        <v>1006</v>
      </c>
      <c r="G441" s="3" t="s">
        <v>3</v>
      </c>
      <c r="H441" s="9">
        <v>45510</v>
      </c>
      <c r="I441" s="3" t="s">
        <v>44</v>
      </c>
      <c r="J441" s="3" t="str">
        <f>VLOOKUP(A441,'TODOS OS PROCESSOS ATUALIZADOS '!A:I,7,0)</f>
        <v>Autorizada Sucesso</v>
      </c>
      <c r="K441" s="3" t="s">
        <v>44</v>
      </c>
      <c r="L441" s="3" t="str">
        <f t="shared" si="1"/>
        <v>Item atualizado</v>
      </c>
      <c r="M441" s="3" t="s">
        <v>9</v>
      </c>
      <c r="N441" s="3" t="s">
        <v>605</v>
      </c>
      <c r="O441" s="3" t="s">
        <v>52</v>
      </c>
      <c r="P441" s="3" t="s">
        <v>1007</v>
      </c>
      <c r="Q441" s="3" t="s">
        <v>860</v>
      </c>
    </row>
    <row r="442" spans="1:17" ht="22.5" customHeight="1" x14ac:dyDescent="0.2">
      <c r="A442" s="3" t="s">
        <v>1008</v>
      </c>
      <c r="B442" s="3" t="str">
        <f ca="1">IFERROR(__xludf.DUMMYFUNCTION("REGEXEXTRACT(A442, ""\.(?:GOV|EXT)\.([A-Z0-9\-]+)"")
"),"CISAM")</f>
        <v>CISAM</v>
      </c>
      <c r="C442" s="3" t="s">
        <v>34</v>
      </c>
      <c r="D442" s="3" t="s">
        <v>35</v>
      </c>
      <c r="E442" s="14" t="str">
        <f ca="1">IFERROR(__xludf.DUMMYFUNCTION("REGEXEXTRACT(A442, ""-(.*)"")"),"ARP.0010.00.2024.GOV.CISAM.PE")</f>
        <v>ARP.0010.00.2024.GOV.CISAM.PE</v>
      </c>
      <c r="F442" s="6" t="s">
        <v>1009</v>
      </c>
      <c r="G442" s="3" t="s">
        <v>3</v>
      </c>
      <c r="H442" s="9">
        <v>45495</v>
      </c>
      <c r="I442" s="3" t="s">
        <v>44</v>
      </c>
      <c r="J442" s="3" t="str">
        <f>VLOOKUP(A442,'TODOS OS PROCESSOS ATUALIZADOS '!A:I,7,0)</f>
        <v>Autorizada Sucesso</v>
      </c>
      <c r="K442" s="3" t="s">
        <v>44</v>
      </c>
      <c r="L442" s="3" t="str">
        <f t="shared" si="1"/>
        <v>Item atualizado</v>
      </c>
      <c r="M442" s="3" t="s">
        <v>9</v>
      </c>
      <c r="N442" s="3" t="s">
        <v>605</v>
      </c>
      <c r="O442" s="3" t="s">
        <v>52</v>
      </c>
      <c r="P442" s="3" t="s">
        <v>1010</v>
      </c>
      <c r="Q442" s="3" t="s">
        <v>860</v>
      </c>
    </row>
    <row r="443" spans="1:17" ht="22.5" customHeight="1" x14ac:dyDescent="0.2">
      <c r="A443" s="3" t="s">
        <v>1011</v>
      </c>
      <c r="B443" s="3" t="str">
        <f ca="1">IFERROR(__xludf.DUMMYFUNCTION("REGEXEXTRACT(A443, ""\.(?:GOV|EXT)\.([A-Z0-9\-]+)"")
"),"HUOC")</f>
        <v>HUOC</v>
      </c>
      <c r="C443" s="3" t="s">
        <v>34</v>
      </c>
      <c r="D443" s="3" t="s">
        <v>35</v>
      </c>
      <c r="E443" s="14" t="str">
        <f ca="1">IFERROR(__xludf.DUMMYFUNCTION("REGEXEXTRACT(A443, ""-(.*)"")"),"ARP.0007.00.2024.GOV.HUOC.PE")</f>
        <v>ARP.0007.00.2024.GOV.HUOC.PE</v>
      </c>
      <c r="F443" s="6" t="s">
        <v>1012</v>
      </c>
      <c r="G443" s="3" t="s">
        <v>3</v>
      </c>
      <c r="H443" s="9">
        <v>45497</v>
      </c>
      <c r="I443" s="3" t="s">
        <v>44</v>
      </c>
      <c r="J443" s="3" t="str">
        <f>VLOOKUP(A443,'TODOS OS PROCESSOS ATUALIZADOS '!A:I,7,0)</f>
        <v>Autorizada Sucesso</v>
      </c>
      <c r="K443" s="3" t="s">
        <v>44</v>
      </c>
      <c r="L443" s="3" t="str">
        <f t="shared" si="1"/>
        <v>Item atualizado</v>
      </c>
      <c r="M443" s="3" t="s">
        <v>9</v>
      </c>
      <c r="N443" s="3" t="s">
        <v>605</v>
      </c>
      <c r="O443" s="3" t="s">
        <v>52</v>
      </c>
      <c r="P443" s="3" t="s">
        <v>1013</v>
      </c>
      <c r="Q443" s="3" t="s">
        <v>860</v>
      </c>
    </row>
    <row r="444" spans="1:17" ht="22.5" customHeight="1" x14ac:dyDescent="0.2">
      <c r="A444" s="3" t="s">
        <v>1014</v>
      </c>
      <c r="B444" s="3" t="str">
        <f ca="1">IFERROR(__xludf.DUMMYFUNCTION("REGEXEXTRACT(A444, ""\.(?:GOV|EXT)\.([A-Z0-9\-]+)"")
"),"HUOC")</f>
        <v>HUOC</v>
      </c>
      <c r="C444" s="3" t="s">
        <v>34</v>
      </c>
      <c r="D444" s="3" t="s">
        <v>35</v>
      </c>
      <c r="E444" s="14" t="str">
        <f ca="1">IFERROR(__xludf.DUMMYFUNCTION("REGEXEXTRACT(A444, ""-(.*)"")"),"ARP.0063.05.2024.GOV.HUOC.PE")</f>
        <v>ARP.0063.05.2024.GOV.HUOC.PE</v>
      </c>
      <c r="F444" s="6" t="s">
        <v>877</v>
      </c>
      <c r="G444" s="3"/>
      <c r="H444" s="9">
        <v>45498</v>
      </c>
      <c r="I444" s="3" t="s">
        <v>44</v>
      </c>
      <c r="J444" s="3" t="str">
        <f>VLOOKUP(A444,'TODOS OS PROCESSOS ATUALIZADOS '!A:I,7,0)</f>
        <v>Autorizada Sucesso</v>
      </c>
      <c r="K444" s="3" t="s">
        <v>44</v>
      </c>
      <c r="L444" s="3" t="str">
        <f t="shared" si="1"/>
        <v>Item atualizado</v>
      </c>
      <c r="M444" s="3" t="s">
        <v>9</v>
      </c>
      <c r="N444" s="3" t="s">
        <v>605</v>
      </c>
      <c r="O444" s="3"/>
      <c r="P444" s="3" t="s">
        <v>1015</v>
      </c>
      <c r="Q444" s="6" t="s">
        <v>898</v>
      </c>
    </row>
    <row r="445" spans="1:17" ht="22.5" customHeight="1" x14ac:dyDescent="0.2">
      <c r="A445" s="3" t="s">
        <v>1016</v>
      </c>
      <c r="B445" s="3" t="str">
        <f ca="1">IFERROR(__xludf.DUMMYFUNCTION("REGEXEXTRACT(A445, ""\.(?:GOV|EXT)\.([A-Z0-9\-]+)"")
"),"HUOC")</f>
        <v>HUOC</v>
      </c>
      <c r="C445" s="3" t="s">
        <v>34</v>
      </c>
      <c r="D445" s="3" t="s">
        <v>35</v>
      </c>
      <c r="E445" s="14" t="str">
        <f ca="1">IFERROR(__xludf.DUMMYFUNCTION("REGEXEXTRACT(A445, ""-(.*)"")"),"ARP.0057.06.2024.GOV.HUOC.PE")</f>
        <v>ARP.0057.06.2024.GOV.HUOC.PE</v>
      </c>
      <c r="F445" s="6" t="s">
        <v>948</v>
      </c>
      <c r="G445" s="3"/>
      <c r="H445" s="9">
        <v>45488</v>
      </c>
      <c r="I445" s="3" t="s">
        <v>44</v>
      </c>
      <c r="J445" s="3" t="str">
        <f>VLOOKUP(A445,'TODOS OS PROCESSOS ATUALIZADOS '!A:I,7,0)</f>
        <v>Autorizada Sucesso</v>
      </c>
      <c r="K445" s="3" t="s">
        <v>44</v>
      </c>
      <c r="L445" s="3" t="str">
        <f t="shared" si="1"/>
        <v>Item atualizado</v>
      </c>
      <c r="M445" s="3" t="s">
        <v>9</v>
      </c>
      <c r="N445" s="3" t="s">
        <v>605</v>
      </c>
      <c r="O445" s="3"/>
      <c r="P445" s="3" t="s">
        <v>1017</v>
      </c>
      <c r="Q445" s="6" t="s">
        <v>898</v>
      </c>
    </row>
    <row r="446" spans="1:17" ht="22.5" customHeight="1" x14ac:dyDescent="0.2">
      <c r="A446" s="3" t="s">
        <v>1018</v>
      </c>
      <c r="B446" s="3" t="str">
        <f ca="1">IFERROR(__xludf.DUMMYFUNCTION("REGEXEXTRACT(A446, ""\.(?:GOV|EXT)\.([A-Z0-9\-]+)"")
"),"HUOC")</f>
        <v>HUOC</v>
      </c>
      <c r="C446" s="3" t="s">
        <v>34</v>
      </c>
      <c r="D446" s="3" t="s">
        <v>35</v>
      </c>
      <c r="E446" s="14" t="str">
        <f ca="1">IFERROR(__xludf.DUMMYFUNCTION("REGEXEXTRACT(A446, ""-(.*)"")"),"ARP.0057.05.2024.GOV.HUOC.PE")</f>
        <v>ARP.0057.05.2024.GOV.HUOC.PE</v>
      </c>
      <c r="F446" s="6" t="s">
        <v>948</v>
      </c>
      <c r="G446" s="3"/>
      <c r="H446" s="9">
        <v>45498</v>
      </c>
      <c r="I446" s="3" t="s">
        <v>44</v>
      </c>
      <c r="J446" s="3" t="str">
        <f>VLOOKUP(A446,'TODOS OS PROCESSOS ATUALIZADOS '!A:I,7,0)</f>
        <v>Autorizada Sucesso</v>
      </c>
      <c r="K446" s="3" t="s">
        <v>44</v>
      </c>
      <c r="L446" s="3" t="str">
        <f t="shared" si="1"/>
        <v>Item atualizado</v>
      </c>
      <c r="M446" s="3" t="s">
        <v>9</v>
      </c>
      <c r="N446" s="3" t="s">
        <v>605</v>
      </c>
      <c r="O446" s="3"/>
      <c r="P446" s="3" t="s">
        <v>1017</v>
      </c>
      <c r="Q446" s="6" t="s">
        <v>898</v>
      </c>
    </row>
    <row r="447" spans="1:17" ht="22.5" customHeight="1" x14ac:dyDescent="0.2">
      <c r="A447" s="3" t="s">
        <v>1019</v>
      </c>
      <c r="B447" s="3" t="str">
        <f ca="1">IFERROR(__xludf.DUMMYFUNCTION("REGEXEXTRACT(A447, ""\.(?:GOV|EXT)\.([A-Z0-9\-]+)"")
"),"HUOC")</f>
        <v>HUOC</v>
      </c>
      <c r="C447" s="3" t="s">
        <v>34</v>
      </c>
      <c r="D447" s="3" t="s">
        <v>35</v>
      </c>
      <c r="E447" s="14" t="str">
        <f ca="1">IFERROR(__xludf.DUMMYFUNCTION("REGEXEXTRACT(A447, ""-(.*)"")"),"ARP.0054.01.2024.GOV.HUOC.PE")</f>
        <v>ARP.0054.01.2024.GOV.HUOC.PE</v>
      </c>
      <c r="F447" s="6" t="s">
        <v>1020</v>
      </c>
      <c r="G447" s="3"/>
      <c r="H447" s="9">
        <v>45498</v>
      </c>
      <c r="I447" s="3" t="s">
        <v>44</v>
      </c>
      <c r="J447" s="3" t="str">
        <f>VLOOKUP(A447,'TODOS OS PROCESSOS ATUALIZADOS '!A:I,7,0)</f>
        <v>Autorizada Sucesso</v>
      </c>
      <c r="K447" s="3" t="s">
        <v>44</v>
      </c>
      <c r="L447" s="3" t="str">
        <f t="shared" si="1"/>
        <v>Item atualizado</v>
      </c>
      <c r="M447" s="3" t="s">
        <v>9</v>
      </c>
      <c r="N447" s="3" t="s">
        <v>605</v>
      </c>
      <c r="O447" s="3"/>
      <c r="P447" s="3" t="s">
        <v>1021</v>
      </c>
      <c r="Q447" s="6" t="s">
        <v>898</v>
      </c>
    </row>
    <row r="448" spans="1:17" ht="22.5" customHeight="1" x14ac:dyDescent="0.2">
      <c r="A448" s="3" t="s">
        <v>1022</v>
      </c>
      <c r="B448" s="3" t="str">
        <f ca="1">IFERROR(__xludf.DUMMYFUNCTION("REGEXEXTRACT(A448, ""\.(?:GOV|EXT)\.([A-Z0-9\-]+)"")
"),"HUOC")</f>
        <v>HUOC</v>
      </c>
      <c r="C448" s="3" t="s">
        <v>34</v>
      </c>
      <c r="D448" s="3" t="s">
        <v>35</v>
      </c>
      <c r="E448" s="14" t="str">
        <f ca="1">IFERROR(__xludf.DUMMYFUNCTION("REGEXEXTRACT(A448, ""-(.*)"")"),"ARP.0048.03.2024.GOV.HUOC.PE")</f>
        <v>ARP.0048.03.2024.GOV.HUOC.PE</v>
      </c>
      <c r="F448" s="6" t="s">
        <v>964</v>
      </c>
      <c r="G448" s="3" t="s">
        <v>3</v>
      </c>
      <c r="H448" s="9">
        <v>45502</v>
      </c>
      <c r="I448" s="3" t="s">
        <v>44</v>
      </c>
      <c r="J448" s="3" t="str">
        <f>VLOOKUP(A448,'TODOS OS PROCESSOS ATUALIZADOS '!A:I,7,0)</f>
        <v>Autorizada Sucesso</v>
      </c>
      <c r="K448" s="3" t="s">
        <v>44</v>
      </c>
      <c r="L448" s="3" t="str">
        <f t="shared" si="1"/>
        <v>Item atualizado</v>
      </c>
      <c r="M448" s="3" t="s">
        <v>9</v>
      </c>
      <c r="N448" s="3" t="s">
        <v>605</v>
      </c>
      <c r="O448" s="3" t="s">
        <v>52</v>
      </c>
      <c r="P448" s="3" t="s">
        <v>1023</v>
      </c>
      <c r="Q448" s="3" t="s">
        <v>860</v>
      </c>
    </row>
    <row r="449" spans="1:17" ht="22.5" customHeight="1" x14ac:dyDescent="0.2">
      <c r="A449" s="3" t="s">
        <v>1024</v>
      </c>
      <c r="B449" s="3" t="str">
        <f ca="1">IFERROR(__xludf.DUMMYFUNCTION("REGEXEXTRACT(A449, ""\.(?:GOV|EXT)\.([A-Z0-9\-]+)"")
"),"DASIS")</f>
        <v>DASIS</v>
      </c>
      <c r="C449" s="3" t="s">
        <v>34</v>
      </c>
      <c r="D449" s="3" t="s">
        <v>35</v>
      </c>
      <c r="E449" s="14" t="str">
        <f ca="1">IFERROR(__xludf.DUMMYFUNCTION("REGEXEXTRACT(A449, ""-(.*)"")"),"ARP.0012.01.2024.GOV.DASIS.PE")</f>
        <v>ARP.0012.01.2024.GOV.DASIS.PE</v>
      </c>
      <c r="F449" s="3" t="s">
        <v>666</v>
      </c>
      <c r="G449" s="3"/>
      <c r="H449" s="9">
        <v>45505</v>
      </c>
      <c r="I449" s="3" t="s">
        <v>37</v>
      </c>
      <c r="J449" s="3" t="str">
        <f>VLOOKUP(A449,'TODOS OS PROCESSOS ATUALIZADOS '!A:I,7,0)</f>
        <v>Cancelada Sucesso</v>
      </c>
      <c r="K449" s="3" t="s">
        <v>38</v>
      </c>
      <c r="L449" s="3" t="str">
        <f t="shared" si="1"/>
        <v>Item atualizado</v>
      </c>
      <c r="M449" s="3"/>
      <c r="N449" s="3" t="s">
        <v>605</v>
      </c>
      <c r="O449" s="3"/>
    </row>
    <row r="450" spans="1:17" ht="22.5" customHeight="1" x14ac:dyDescent="0.2">
      <c r="A450" s="3" t="s">
        <v>1025</v>
      </c>
      <c r="B450" s="3" t="str">
        <f ca="1">IFERROR(__xludf.DUMMYFUNCTION("REGEXEXTRACT(A450, ""\.(?:GOV|EXT)\.([A-Z0-9\-]+)"")
"),"HR")</f>
        <v>HR</v>
      </c>
      <c r="C450" s="3" t="s">
        <v>34</v>
      </c>
      <c r="D450" s="3" t="s">
        <v>35</v>
      </c>
      <c r="E450" s="14" t="str">
        <f ca="1">IFERROR(__xludf.DUMMYFUNCTION("REGEXEXTRACT(A450, ""-(.*)"")"),"ARP.0002.00.2024.GOV.HR.PE")</f>
        <v>ARP.0002.00.2024.GOV.HR.PE</v>
      </c>
      <c r="F450" s="3" t="s">
        <v>1026</v>
      </c>
      <c r="G450" s="3"/>
      <c r="H450" s="9">
        <v>45510</v>
      </c>
      <c r="I450" s="3" t="s">
        <v>44</v>
      </c>
      <c r="J450" s="3" t="str">
        <f>VLOOKUP(A450,'TODOS OS PROCESSOS ATUALIZADOS '!A:I,7,0)</f>
        <v>Autorizada Sucesso</v>
      </c>
      <c r="K450" s="3" t="s">
        <v>605</v>
      </c>
      <c r="L450" s="3" t="str">
        <f t="shared" si="1"/>
        <v>Item atualizado</v>
      </c>
      <c r="M450" s="3"/>
      <c r="N450" s="3" t="s">
        <v>605</v>
      </c>
      <c r="O450" s="3"/>
    </row>
    <row r="451" spans="1:17" ht="22.5" customHeight="1" x14ac:dyDescent="0.2">
      <c r="A451" s="3" t="s">
        <v>1027</v>
      </c>
      <c r="B451" s="3" t="str">
        <f ca="1">IFERROR(__xludf.DUMMYFUNCTION("REGEXEXTRACT(A451, ""\.(?:GOV|EXT)\.([A-Z0-9\-]+)"")
"),"HEMOPE")</f>
        <v>HEMOPE</v>
      </c>
      <c r="C451" s="3" t="s">
        <v>34</v>
      </c>
      <c r="D451" s="3" t="s">
        <v>35</v>
      </c>
      <c r="E451" s="14" t="str">
        <f ca="1">IFERROR(__xludf.DUMMYFUNCTION("REGEXEXTRACT(A451, ""-(.*)"")"),"ARP.0001.01.2024.GOV.HEMOPE.PE")</f>
        <v>ARP.0001.01.2024.GOV.HEMOPE.PE</v>
      </c>
      <c r="F451" s="6" t="s">
        <v>821</v>
      </c>
      <c r="G451" s="3" t="s">
        <v>1</v>
      </c>
      <c r="H451" s="9">
        <v>45516</v>
      </c>
      <c r="I451" s="3" t="s">
        <v>44</v>
      </c>
      <c r="J451" s="3" t="str">
        <f>VLOOKUP(A451,'TODOS OS PROCESSOS ATUALIZADOS '!A:I,7,0)</f>
        <v>Autorizada Sucesso</v>
      </c>
      <c r="K451" s="3" t="s">
        <v>44</v>
      </c>
      <c r="L451" s="3" t="str">
        <f t="shared" si="1"/>
        <v>Item atualizado</v>
      </c>
      <c r="M451" s="3" t="s">
        <v>9</v>
      </c>
      <c r="N451" s="3" t="s">
        <v>605</v>
      </c>
      <c r="O451" s="3" t="s">
        <v>52</v>
      </c>
      <c r="P451" s="3" t="s">
        <v>1028</v>
      </c>
      <c r="Q451" s="3" t="s">
        <v>860</v>
      </c>
    </row>
    <row r="452" spans="1:17" ht="22.5" customHeight="1" x14ac:dyDescent="0.2">
      <c r="A452" s="3" t="s">
        <v>1029</v>
      </c>
      <c r="B452" s="3" t="str">
        <f ca="1">IFERROR(__xludf.DUMMYFUNCTION("REGEXEXTRACT(A452, ""\.(?:GOV|EXT)\.([A-Z0-9\-]+)"")
"),"UPEGARANHUNS")</f>
        <v>UPEGARANHUNS</v>
      </c>
      <c r="C452" s="3" t="s">
        <v>34</v>
      </c>
      <c r="D452" s="3" t="s">
        <v>35</v>
      </c>
      <c r="E452" s="14" t="str">
        <f ca="1">IFERROR(__xludf.DUMMYFUNCTION("REGEXEXTRACT(A452, ""-(.*)"")"),"ARP.0011.00.2023.GOV.UPEGARANHUNS.PE")</f>
        <v>ARP.0011.00.2023.GOV.UPEGARANHUNS.PE</v>
      </c>
      <c r="F452" s="3" t="s">
        <v>1030</v>
      </c>
      <c r="G452" s="3"/>
      <c r="H452" s="9">
        <v>45481</v>
      </c>
      <c r="I452" s="3" t="s">
        <v>44</v>
      </c>
      <c r="J452" s="3" t="str">
        <f>VLOOKUP(A452,'TODOS OS PROCESSOS ATUALIZADOS '!A:I,7,0)</f>
        <v>Autorizada Sucesso</v>
      </c>
      <c r="K452" s="3" t="s">
        <v>605</v>
      </c>
      <c r="L452" s="3" t="str">
        <f t="shared" si="1"/>
        <v>Item atualizado</v>
      </c>
      <c r="M452" s="3"/>
      <c r="N452" s="3" t="s">
        <v>605</v>
      </c>
      <c r="O452" s="3"/>
    </row>
    <row r="453" spans="1:17" ht="22.5" customHeight="1" x14ac:dyDescent="0.2">
      <c r="A453" s="3" t="s">
        <v>1031</v>
      </c>
      <c r="B453" s="3" t="str">
        <f ca="1">IFERROR(__xludf.DUMMYFUNCTION("REGEXEXTRACT(A453, ""\.(?:GOV|EXT)\.([A-Z0-9\-]+)"")
"),"HOF")</f>
        <v>HOF</v>
      </c>
      <c r="C453" s="3" t="s">
        <v>34</v>
      </c>
      <c r="D453" s="3" t="s">
        <v>35</v>
      </c>
      <c r="E453" s="14" t="str">
        <f ca="1">IFERROR(__xludf.DUMMYFUNCTION("REGEXEXTRACT(A453, ""-(.*)"")"),"ARP.0001.06.2024.GOV.HOF.PE")</f>
        <v>ARP.0001.06.2024.GOV.HOF.PE</v>
      </c>
      <c r="F453" s="3" t="s">
        <v>935</v>
      </c>
      <c r="G453" s="3"/>
      <c r="H453" s="9">
        <v>45446</v>
      </c>
      <c r="I453" s="3" t="s">
        <v>44</v>
      </c>
      <c r="J453" s="3" t="str">
        <f>VLOOKUP(A453,'TODOS OS PROCESSOS ATUALIZADOS '!A:I,7,0)</f>
        <v>Autorizada Sucesso</v>
      </c>
      <c r="K453" s="3" t="s">
        <v>605</v>
      </c>
      <c r="L453" s="3" t="str">
        <f t="shared" si="1"/>
        <v>Item atualizado</v>
      </c>
      <c r="M453" s="3"/>
      <c r="N453" s="3" t="s">
        <v>605</v>
      </c>
      <c r="O453" s="3"/>
    </row>
    <row r="454" spans="1:17" ht="22.5" customHeight="1" x14ac:dyDescent="0.2">
      <c r="A454" s="3" t="s">
        <v>1032</v>
      </c>
      <c r="B454" s="3" t="str">
        <f ca="1">IFERROR(__xludf.DUMMYFUNCTION("REGEXEXTRACT(A454, ""\.(?:GOV|EXT)\.([A-Z0-9\-]+)"")
"),"UPEGARANHUNS")</f>
        <v>UPEGARANHUNS</v>
      </c>
      <c r="C454" s="3" t="s">
        <v>34</v>
      </c>
      <c r="D454" s="3" t="s">
        <v>35</v>
      </c>
      <c r="E454" s="14" t="str">
        <f ca="1">IFERROR(__xludf.DUMMYFUNCTION("REGEXEXTRACT(A454, ""-(.*)"")"),"ARP.0011.00.2023.GOV.UPEGARANHUNS.PE")</f>
        <v>ARP.0011.00.2023.GOV.UPEGARANHUNS.PE</v>
      </c>
      <c r="F454" s="3" t="s">
        <v>1030</v>
      </c>
      <c r="G454" s="3"/>
      <c r="H454" s="9">
        <v>45478</v>
      </c>
      <c r="I454" s="3" t="s">
        <v>37</v>
      </c>
      <c r="J454" s="3" t="str">
        <f>VLOOKUP(A454,'TODOS OS PROCESSOS ATUALIZADOS '!A:I,7,0)</f>
        <v>Cancelada</v>
      </c>
      <c r="K454" s="3" t="s">
        <v>605</v>
      </c>
      <c r="L454" s="3" t="str">
        <f t="shared" si="1"/>
        <v>Item não atualizado</v>
      </c>
      <c r="M454" s="3"/>
      <c r="N454" s="3" t="s">
        <v>605</v>
      </c>
      <c r="O454" s="3"/>
    </row>
    <row r="455" spans="1:17" ht="22.5" customHeight="1" x14ac:dyDescent="0.2">
      <c r="A455" s="3" t="s">
        <v>1033</v>
      </c>
      <c r="B455" s="3" t="str">
        <f ca="1">IFERROR(__xludf.DUMMYFUNCTION("REGEXEXTRACT(A455, ""\.(?:GOV|EXT)\.([A-Z0-9\-]+)"")
"),"UPEGARANHUNS")</f>
        <v>UPEGARANHUNS</v>
      </c>
      <c r="C455" s="3" t="s">
        <v>34</v>
      </c>
      <c r="D455" s="3" t="s">
        <v>35</v>
      </c>
      <c r="E455" s="14" t="str">
        <f ca="1">IFERROR(__xludf.DUMMYFUNCTION("REGEXEXTRACT(A455, ""-(.*)"")"),"ARP.0011.00.2023.GOV.UPEGARANHUNS.PE")</f>
        <v>ARP.0011.00.2023.GOV.UPEGARANHUNS.PE</v>
      </c>
      <c r="F455" s="3" t="s">
        <v>1030</v>
      </c>
      <c r="G455" s="3"/>
      <c r="H455" s="9">
        <v>45470</v>
      </c>
      <c r="I455" s="3" t="s">
        <v>44</v>
      </c>
      <c r="J455" s="3" t="str">
        <f>VLOOKUP(A455,'TODOS OS PROCESSOS ATUALIZADOS '!A:I,7,0)</f>
        <v>Autorizada Sucesso</v>
      </c>
      <c r="K455" s="3" t="s">
        <v>605</v>
      </c>
      <c r="L455" s="3" t="str">
        <f t="shared" si="1"/>
        <v>Item atualizado</v>
      </c>
      <c r="M455" s="3"/>
      <c r="N455" s="3" t="s">
        <v>605</v>
      </c>
      <c r="O455" s="3"/>
    </row>
    <row r="456" spans="1:17" ht="22.5" customHeight="1" x14ac:dyDescent="0.2">
      <c r="A456" s="3" t="s">
        <v>1034</v>
      </c>
      <c r="B456" s="3" t="str">
        <f ca="1">IFERROR(__xludf.DUMMYFUNCTION("REGEXEXTRACT(A456, ""\.(?:GOV|EXT)\.([A-Z0-9\-]+)"")
"),"HGV")</f>
        <v>HGV</v>
      </c>
      <c r="C456" s="3" t="s">
        <v>34</v>
      </c>
      <c r="D456" s="3" t="s">
        <v>35</v>
      </c>
      <c r="E456" s="14" t="str">
        <f ca="1">IFERROR(__xludf.DUMMYFUNCTION("REGEXEXTRACT(A456, ""-(.*)"")"),"ARP.0004.00.2024.GOV.HGV.PE")</f>
        <v>ARP.0004.00.2024.GOV.HGV.PE</v>
      </c>
      <c r="F456" s="3" t="s">
        <v>743</v>
      </c>
      <c r="G456" s="3"/>
      <c r="H456" s="9">
        <v>45477</v>
      </c>
      <c r="I456" s="3" t="s">
        <v>37</v>
      </c>
      <c r="J456" s="3" t="str">
        <f>VLOOKUP(A456,'TODOS OS PROCESSOS ATUALIZADOS '!A:I,7,0)</f>
        <v>Cancelada</v>
      </c>
      <c r="K456" s="3" t="s">
        <v>38</v>
      </c>
      <c r="L456" s="3" t="str">
        <f t="shared" si="1"/>
        <v>Item não atualizado</v>
      </c>
      <c r="M456" s="3"/>
      <c r="N456" s="3" t="s">
        <v>605</v>
      </c>
      <c r="O456" s="3"/>
    </row>
    <row r="457" spans="1:17" ht="22.5" customHeight="1" x14ac:dyDescent="0.2">
      <c r="A457" s="3" t="s">
        <v>1035</v>
      </c>
      <c r="B457" s="3" t="str">
        <f ca="1">IFERROR(__xludf.DUMMYFUNCTION("REGEXEXTRACT(A457, ""\.(?:GOV|EXT)\.([A-Z0-9\-]+)"")
"),"HEMOPE")</f>
        <v>HEMOPE</v>
      </c>
      <c r="C457" s="3" t="s">
        <v>34</v>
      </c>
      <c r="D457" s="3" t="s">
        <v>35</v>
      </c>
      <c r="E457" s="14" t="str">
        <f ca="1">IFERROR(__xludf.DUMMYFUNCTION("REGEXEXTRACT(A457, ""-(.*)"")"),"ARP.0001.02.2024.GOV.HEMOPE.PE")</f>
        <v>ARP.0001.02.2024.GOV.HEMOPE.PE</v>
      </c>
      <c r="F457" s="6" t="s">
        <v>821</v>
      </c>
      <c r="G457" s="3" t="s">
        <v>3</v>
      </c>
      <c r="H457" s="9">
        <v>45463</v>
      </c>
      <c r="I457" s="3" t="s">
        <v>44</v>
      </c>
      <c r="J457" s="3" t="str">
        <f>VLOOKUP(A457,'TODOS OS PROCESSOS ATUALIZADOS '!A:I,7,0)</f>
        <v>Autorizada Sucesso</v>
      </c>
      <c r="K457" s="3" t="s">
        <v>44</v>
      </c>
      <c r="L457" s="3" t="str">
        <f t="shared" si="1"/>
        <v>Item atualizado</v>
      </c>
      <c r="M457" s="3" t="s">
        <v>9</v>
      </c>
      <c r="N457" s="3" t="s">
        <v>605</v>
      </c>
      <c r="O457" s="3" t="s">
        <v>52</v>
      </c>
      <c r="P457" s="3" t="s">
        <v>1036</v>
      </c>
      <c r="Q457" s="3" t="s">
        <v>860</v>
      </c>
    </row>
    <row r="458" spans="1:17" ht="22.5" customHeight="1" x14ac:dyDescent="0.2">
      <c r="A458" s="3" t="s">
        <v>1037</v>
      </c>
      <c r="B458" s="3" t="str">
        <f ca="1">IFERROR(__xludf.DUMMYFUNCTION("REGEXEXTRACT(A458, ""\.(?:GOV|EXT)\.([A-Z0-9\-]+)"")
"),"HUOC")</f>
        <v>HUOC</v>
      </c>
      <c r="C458" s="3" t="s">
        <v>34</v>
      </c>
      <c r="D458" s="3" t="s">
        <v>35</v>
      </c>
      <c r="E458" s="14" t="str">
        <f ca="1">IFERROR(__xludf.DUMMYFUNCTION("REGEXEXTRACT(A458, ""-(.*)"")"),"ARP.0049.01.2024.GOV.HUOC.PE")</f>
        <v>ARP.0049.01.2024.GOV.HUOC.PE</v>
      </c>
      <c r="F458" s="6" t="s">
        <v>1038</v>
      </c>
      <c r="G458" s="3" t="s">
        <v>1</v>
      </c>
      <c r="H458" s="9">
        <v>45454</v>
      </c>
      <c r="I458" s="3" t="s">
        <v>44</v>
      </c>
      <c r="J458" s="3" t="str">
        <f>VLOOKUP(A458,'TODOS OS PROCESSOS ATUALIZADOS '!A:I,7,0)</f>
        <v>Autorizada Sucesso</v>
      </c>
      <c r="K458" s="3" t="s">
        <v>44</v>
      </c>
      <c r="L458" s="3" t="str">
        <f t="shared" si="1"/>
        <v>Item atualizado</v>
      </c>
      <c r="M458" s="3" t="s">
        <v>9</v>
      </c>
      <c r="N458" s="3" t="s">
        <v>605</v>
      </c>
      <c r="O458" s="3" t="s">
        <v>52</v>
      </c>
      <c r="P458" s="3" t="s">
        <v>1039</v>
      </c>
      <c r="Q458" s="3" t="s">
        <v>860</v>
      </c>
    </row>
    <row r="459" spans="1:17" ht="22.5" customHeight="1" x14ac:dyDescent="0.2">
      <c r="A459" s="3" t="s">
        <v>1040</v>
      </c>
      <c r="B459" s="3" t="str">
        <f ca="1">IFERROR(__xludf.DUMMYFUNCTION("REGEXEXTRACT(A459, ""\.(?:GOV|EXT)\.([A-Z0-9\-]+)"")
"),"HUOC")</f>
        <v>HUOC</v>
      </c>
      <c r="C459" s="3" t="s">
        <v>34</v>
      </c>
      <c r="D459" s="3" t="s">
        <v>35</v>
      </c>
      <c r="E459" s="14" t="str">
        <f ca="1">IFERROR(__xludf.DUMMYFUNCTION("REGEXEXTRACT(A459, ""-(.*)"")"),"ARP.0039.01.2024.GOV.HUOC.PE")</f>
        <v>ARP.0039.01.2024.GOV.HUOC.PE</v>
      </c>
      <c r="F459" s="3" t="s">
        <v>880</v>
      </c>
      <c r="G459" s="3"/>
      <c r="H459" s="9">
        <v>45454</v>
      </c>
      <c r="I459" s="3" t="s">
        <v>37</v>
      </c>
      <c r="J459" s="3" t="str">
        <f>VLOOKUP(A459,'TODOS OS PROCESSOS ATUALIZADOS '!A:I,7,0)</f>
        <v>Cancelada</v>
      </c>
      <c r="K459" s="3" t="s">
        <v>38</v>
      </c>
      <c r="L459" s="3" t="str">
        <f t="shared" si="1"/>
        <v>Item não atualizado</v>
      </c>
      <c r="M459" s="3"/>
      <c r="N459" s="3" t="s">
        <v>605</v>
      </c>
      <c r="O459" s="3"/>
    </row>
    <row r="460" spans="1:17" ht="22.5" customHeight="1" x14ac:dyDescent="0.2">
      <c r="A460" s="3" t="s">
        <v>1041</v>
      </c>
      <c r="B460" s="3" t="str">
        <f ca="1">IFERROR(__xludf.DUMMYFUNCTION("REGEXEXTRACT(A460, ""\.(?:GOV|EXT)\.([A-Z0-9\-]+)"")
"),"HGV")</f>
        <v>HGV</v>
      </c>
      <c r="C460" s="3" t="s">
        <v>34</v>
      </c>
      <c r="D460" s="3" t="s">
        <v>35</v>
      </c>
      <c r="E460" s="14" t="str">
        <f ca="1">IFERROR(__xludf.DUMMYFUNCTION("REGEXEXTRACT(A460, ""-(.*)"")"),"ARP.0004.00.2024.GOV.HGV.PE")</f>
        <v>ARP.0004.00.2024.GOV.HGV.PE</v>
      </c>
      <c r="F460" s="3" t="s">
        <v>743</v>
      </c>
      <c r="G460" s="3"/>
      <c r="H460" s="9">
        <v>45457</v>
      </c>
      <c r="I460" s="3" t="s">
        <v>37</v>
      </c>
      <c r="J460" s="3" t="str">
        <f>VLOOKUP(A460,'TODOS OS PROCESSOS ATUALIZADOS '!A:I,7,0)</f>
        <v>Cancelada</v>
      </c>
      <c r="K460" s="3" t="s">
        <v>38</v>
      </c>
      <c r="L460" s="3" t="str">
        <f t="shared" si="1"/>
        <v>Item não atualizado</v>
      </c>
      <c r="M460" s="3"/>
      <c r="N460" s="3" t="s">
        <v>605</v>
      </c>
      <c r="O460" s="3"/>
    </row>
    <row r="461" spans="1:17" ht="22.5" customHeight="1" x14ac:dyDescent="0.2">
      <c r="A461" s="3" t="s">
        <v>1042</v>
      </c>
      <c r="B461" s="3" t="str">
        <f ca="1">IFERROR(__xludf.DUMMYFUNCTION("REGEXEXTRACT(A461, ""\.(?:GOV|EXT)\.([A-Z0-9\-]+)"")
"),"HMAR")</f>
        <v>HMAR</v>
      </c>
      <c r="C461" s="3" t="s">
        <v>34</v>
      </c>
      <c r="D461" s="3" t="s">
        <v>35</v>
      </c>
      <c r="E461" s="14" t="str">
        <f ca="1">IFERROR(__xludf.DUMMYFUNCTION("REGEXEXTRACT(A461, ""-(.*)"")"),"ARP.0003.01.2024.EXT.HMAR.PE")</f>
        <v>ARP.0003.01.2024.EXT.HMAR.PE</v>
      </c>
      <c r="F461" s="3" t="s">
        <v>816</v>
      </c>
      <c r="G461" s="3"/>
      <c r="H461" s="9">
        <v>45468</v>
      </c>
      <c r="I461" s="3" t="s">
        <v>37</v>
      </c>
      <c r="J461" s="3" t="str">
        <f>VLOOKUP(A461,'TODOS OS PROCESSOS ATUALIZADOS '!A:I,7,0)</f>
        <v>Cancelada</v>
      </c>
      <c r="K461" s="3" t="s">
        <v>38</v>
      </c>
      <c r="L461" s="3" t="str">
        <f t="shared" si="1"/>
        <v>Item não atualizado</v>
      </c>
      <c r="M461" s="3"/>
      <c r="N461" s="3" t="s">
        <v>605</v>
      </c>
      <c r="O461" s="3"/>
    </row>
    <row r="462" spans="1:17" ht="22.5" customHeight="1" x14ac:dyDescent="0.2">
      <c r="A462" s="3" t="s">
        <v>1043</v>
      </c>
      <c r="B462" s="3" t="str">
        <f ca="1">IFERROR(__xludf.DUMMYFUNCTION("REGEXEXTRACT(A462, ""\.(?:GOV|EXT)\.([A-Z0-9\-]+)"")
"),"HOF")</f>
        <v>HOF</v>
      </c>
      <c r="C462" s="3" t="s">
        <v>34</v>
      </c>
      <c r="D462" s="3" t="s">
        <v>35</v>
      </c>
      <c r="E462" s="14" t="str">
        <f ca="1">IFERROR(__xludf.DUMMYFUNCTION("REGEXEXTRACT(A462, ""-(.*)"")"),"ARP.0001.07.2024.GOV.HOF.PE")</f>
        <v>ARP.0001.07.2024.GOV.HOF.PE</v>
      </c>
      <c r="F462" s="3" t="s">
        <v>935</v>
      </c>
      <c r="G462" s="3"/>
      <c r="H462" s="9">
        <v>45440</v>
      </c>
      <c r="I462" s="3" t="s">
        <v>44</v>
      </c>
      <c r="J462" s="3" t="str">
        <f>VLOOKUP(A462,'TODOS OS PROCESSOS ATUALIZADOS '!A:I,7,0)</f>
        <v>Autorizada Sucesso</v>
      </c>
      <c r="K462" s="3" t="s">
        <v>605</v>
      </c>
      <c r="L462" s="3" t="str">
        <f t="shared" si="1"/>
        <v>Item atualizado</v>
      </c>
      <c r="M462" s="3"/>
      <c r="N462" s="3" t="s">
        <v>605</v>
      </c>
      <c r="O462" s="3"/>
    </row>
    <row r="463" spans="1:17" ht="22.5" customHeight="1" x14ac:dyDescent="0.2">
      <c r="A463" s="3" t="s">
        <v>1044</v>
      </c>
      <c r="B463" s="3" t="str">
        <f ca="1">IFERROR(__xludf.DUMMYFUNCTION("REGEXEXTRACT(A463, ""\.(?:GOV|EXT)\.([A-Z0-9\-]+)"")
"),"HUOC")</f>
        <v>HUOC</v>
      </c>
      <c r="C463" s="3" t="s">
        <v>34</v>
      </c>
      <c r="D463" s="3" t="s">
        <v>35</v>
      </c>
      <c r="E463" s="14" t="str">
        <f ca="1">IFERROR(__xludf.DUMMYFUNCTION("REGEXEXTRACT(A463, ""-(.*)"")"),"ARP.0130.08.2023.GOV.HUOC.PE")</f>
        <v>ARP.0130.08.2023.GOV.HUOC.PE</v>
      </c>
      <c r="F463" s="3" t="s">
        <v>875</v>
      </c>
      <c r="G463" s="3"/>
      <c r="H463" s="9">
        <v>45476</v>
      </c>
      <c r="I463" s="3" t="s">
        <v>37</v>
      </c>
      <c r="J463" s="3" t="str">
        <f>VLOOKUP(A463,'TODOS OS PROCESSOS ATUALIZADOS '!A:I,7,0)</f>
        <v>Cancelada</v>
      </c>
      <c r="K463" s="3" t="s">
        <v>605</v>
      </c>
      <c r="L463" s="3" t="str">
        <f t="shared" si="1"/>
        <v>Item não atualizado</v>
      </c>
      <c r="M463" s="3"/>
      <c r="N463" s="3" t="s">
        <v>605</v>
      </c>
      <c r="O463" s="3"/>
    </row>
    <row r="464" spans="1:17" ht="22.5" customHeight="1" x14ac:dyDescent="0.2">
      <c r="A464" s="3" t="s">
        <v>1045</v>
      </c>
      <c r="B464" s="3" t="str">
        <f ca="1">IFERROR(__xludf.DUMMYFUNCTION("REGEXEXTRACT(A464, ""\.(?:GOV|EXT)\.([A-Z0-9\-]+)"")
"),"CISAM")</f>
        <v>CISAM</v>
      </c>
      <c r="C464" s="3" t="s">
        <v>34</v>
      </c>
      <c r="D464" s="3" t="s">
        <v>35</v>
      </c>
      <c r="E464" s="14" t="str">
        <f ca="1">IFERROR(__xludf.DUMMYFUNCTION("REGEXEXTRACT(A464, ""-(.*)"")"),"ARP.0033.01.2024.GOV.CISAM.PE")</f>
        <v>ARP.0033.01.2024.GOV.CISAM.PE</v>
      </c>
      <c r="F464" s="6" t="s">
        <v>750</v>
      </c>
      <c r="G464" s="3"/>
      <c r="H464" s="9">
        <v>45475</v>
      </c>
      <c r="I464" s="3" t="s">
        <v>44</v>
      </c>
      <c r="J464" s="3" t="str">
        <f>VLOOKUP(A464,'TODOS OS PROCESSOS ATUALIZADOS '!A:I,7,0)</f>
        <v>Autorizada Sucesso</v>
      </c>
      <c r="K464" s="3" t="s">
        <v>44</v>
      </c>
      <c r="L464" s="3" t="str">
        <f t="shared" si="1"/>
        <v>Item atualizado</v>
      </c>
      <c r="M464" s="3" t="s">
        <v>9</v>
      </c>
      <c r="N464" s="3" t="s">
        <v>605</v>
      </c>
      <c r="O464" s="3"/>
      <c r="P464" s="3" t="s">
        <v>1046</v>
      </c>
      <c r="Q464" s="3" t="s">
        <v>860</v>
      </c>
    </row>
    <row r="465" spans="1:17" ht="22.5" customHeight="1" x14ac:dyDescent="0.2">
      <c r="A465" s="3" t="s">
        <v>1047</v>
      </c>
      <c r="B465" s="3" t="str">
        <f ca="1">IFERROR(__xludf.DUMMYFUNCTION("REGEXEXTRACT(A465, ""\.(?:GOV|EXT)\.([A-Z0-9\-]+)"")
"),"HR")</f>
        <v>HR</v>
      </c>
      <c r="C465" s="3" t="s">
        <v>34</v>
      </c>
      <c r="D465" s="3" t="s">
        <v>35</v>
      </c>
      <c r="E465" s="14" t="str">
        <f ca="1">IFERROR(__xludf.DUMMYFUNCTION("REGEXEXTRACT(A465, ""-(.*)"")"),"ARP.0008.00.2024.GOV.HR.PE")</f>
        <v>ARP.0008.00.2024.GOV.HR.PE</v>
      </c>
      <c r="F465" s="6" t="s">
        <v>725</v>
      </c>
      <c r="G465" s="3" t="s">
        <v>3</v>
      </c>
      <c r="H465" s="9">
        <v>45453</v>
      </c>
      <c r="I465" s="3" t="s">
        <v>44</v>
      </c>
      <c r="J465" s="3" t="str">
        <f>VLOOKUP(A465,'TODOS OS PROCESSOS ATUALIZADOS '!A:I,7,0)</f>
        <v>Autorizada Sucesso</v>
      </c>
      <c r="K465" s="3" t="s">
        <v>44</v>
      </c>
      <c r="L465" s="3" t="str">
        <f t="shared" si="1"/>
        <v>Item atualizado</v>
      </c>
      <c r="M465" s="3" t="s">
        <v>9</v>
      </c>
      <c r="N465" s="3" t="s">
        <v>605</v>
      </c>
      <c r="O465" s="3" t="s">
        <v>52</v>
      </c>
      <c r="P465" s="3" t="s">
        <v>1048</v>
      </c>
      <c r="Q465" s="3" t="s">
        <v>860</v>
      </c>
    </row>
    <row r="466" spans="1:17" ht="22.5" customHeight="1" x14ac:dyDescent="0.2">
      <c r="A466" s="3" t="s">
        <v>1049</v>
      </c>
      <c r="B466" s="3" t="str">
        <f ca="1">IFERROR(__xludf.DUMMYFUNCTION("REGEXEXTRACT(A466, ""\.(?:GOV|EXT)\.([A-Z0-9\-]+)"")
"),"HGV")</f>
        <v>HGV</v>
      </c>
      <c r="C466" s="3" t="s">
        <v>34</v>
      </c>
      <c r="D466" s="3" t="s">
        <v>35</v>
      </c>
      <c r="E466" s="14" t="str">
        <f ca="1">IFERROR(__xludf.DUMMYFUNCTION("REGEXEXTRACT(A466, ""-(.*)"")"),"ARP.0004.00.2024.GOV.HGV.PE")</f>
        <v>ARP.0004.00.2024.GOV.HGV.PE</v>
      </c>
      <c r="F466" s="6" t="s">
        <v>743</v>
      </c>
      <c r="G466" s="3"/>
      <c r="H466" s="9">
        <v>45432</v>
      </c>
      <c r="I466" s="3" t="s">
        <v>44</v>
      </c>
      <c r="J466" s="3" t="str">
        <f>VLOOKUP(A466,'TODOS OS PROCESSOS ATUALIZADOS '!A:I,7,0)</f>
        <v>Autorizada Sucesso</v>
      </c>
      <c r="K466" s="3" t="s">
        <v>44</v>
      </c>
      <c r="L466" s="3" t="str">
        <f t="shared" si="1"/>
        <v>Item atualizado</v>
      </c>
      <c r="M466" s="3" t="s">
        <v>9</v>
      </c>
      <c r="N466" s="3" t="s">
        <v>605</v>
      </c>
      <c r="O466" s="3" t="s">
        <v>87</v>
      </c>
      <c r="P466" s="3" t="s">
        <v>1050</v>
      </c>
      <c r="Q466" s="6" t="s">
        <v>1051</v>
      </c>
    </row>
    <row r="467" spans="1:17" ht="22.5" customHeight="1" x14ac:dyDescent="0.2">
      <c r="A467" s="3" t="s">
        <v>1052</v>
      </c>
      <c r="B467" s="3" t="str">
        <f ca="1">IFERROR(__xludf.DUMMYFUNCTION("REGEXEXTRACT(A467, ""\.(?:GOV|EXT)\.([A-Z0-9\-]+)"")
"),"HMAR")</f>
        <v>HMAR</v>
      </c>
      <c r="C467" s="3" t="s">
        <v>34</v>
      </c>
      <c r="D467" s="3" t="s">
        <v>35</v>
      </c>
      <c r="E467" s="14" t="str">
        <f ca="1">IFERROR(__xludf.DUMMYFUNCTION("REGEXEXTRACT(A467, ""-(.*)"")"),"ARP.0003.01.2024.EXT.HMAR.PE")</f>
        <v>ARP.0003.01.2024.EXT.HMAR.PE</v>
      </c>
      <c r="F467" s="3" t="s">
        <v>816</v>
      </c>
      <c r="G467" s="3"/>
      <c r="H467" s="9">
        <v>45463</v>
      </c>
      <c r="I467" s="3" t="s">
        <v>37</v>
      </c>
      <c r="J467" s="3" t="str">
        <f>VLOOKUP(A467,'TODOS OS PROCESSOS ATUALIZADOS '!A:I,7,0)</f>
        <v>Cancelada</v>
      </c>
      <c r="K467" s="3" t="s">
        <v>38</v>
      </c>
      <c r="L467" s="3" t="str">
        <f t="shared" si="1"/>
        <v>Item não atualizado</v>
      </c>
      <c r="M467" s="3"/>
      <c r="N467" s="3" t="s">
        <v>605</v>
      </c>
      <c r="O467" s="3"/>
    </row>
    <row r="468" spans="1:17" ht="22.5" customHeight="1" x14ac:dyDescent="0.2">
      <c r="A468" s="3" t="s">
        <v>1053</v>
      </c>
      <c r="B468" s="3" t="str">
        <f ca="1">IFERROR(__xludf.DUMMYFUNCTION("REGEXEXTRACT(A468, ""\.(?:GOV|EXT)\.([A-Z0-9\-]+)"")
"),"HEMOPE")</f>
        <v>HEMOPE</v>
      </c>
      <c r="C468" s="3" t="s">
        <v>34</v>
      </c>
      <c r="D468" s="3" t="s">
        <v>35</v>
      </c>
      <c r="E468" s="14" t="str">
        <f ca="1">IFERROR(__xludf.DUMMYFUNCTION("REGEXEXTRACT(A468, ""-(.*)"")"),"ARP.0001.02.2024.GOV.HEMOPE.PE")</f>
        <v>ARP.0001.02.2024.GOV.HEMOPE.PE</v>
      </c>
      <c r="F468" s="6" t="s">
        <v>821</v>
      </c>
      <c r="G468" s="3"/>
      <c r="H468" s="9">
        <v>45433</v>
      </c>
      <c r="I468" s="3" t="s">
        <v>44</v>
      </c>
      <c r="J468" s="3" t="str">
        <f>VLOOKUP(A468,'TODOS OS PROCESSOS ATUALIZADOS '!A:I,7,0)</f>
        <v>Autorizada Sucesso</v>
      </c>
      <c r="K468" s="3" t="s">
        <v>44</v>
      </c>
      <c r="L468" s="3" t="str">
        <f t="shared" si="1"/>
        <v>Item atualizado</v>
      </c>
      <c r="M468" s="3" t="s">
        <v>9</v>
      </c>
      <c r="N468" s="3" t="s">
        <v>605</v>
      </c>
      <c r="O468" s="3"/>
      <c r="P468" s="3" t="s">
        <v>1054</v>
      </c>
      <c r="Q468" s="3" t="s">
        <v>860</v>
      </c>
    </row>
    <row r="469" spans="1:17" ht="22.5" customHeight="1" x14ac:dyDescent="0.2">
      <c r="A469" s="3" t="s">
        <v>1055</v>
      </c>
      <c r="B469" s="3" t="str">
        <f ca="1">IFERROR(__xludf.DUMMYFUNCTION("REGEXEXTRACT(A469, ""\.(?:GOV|EXT)\.([A-Z0-9\-]+)"")
"),"HUOC")</f>
        <v>HUOC</v>
      </c>
      <c r="C469" s="3" t="s">
        <v>34</v>
      </c>
      <c r="D469" s="3" t="s">
        <v>35</v>
      </c>
      <c r="E469" s="14" t="str">
        <f ca="1">IFERROR(__xludf.DUMMYFUNCTION("REGEXEXTRACT(A469, ""-(.*)"")"),"ARP.0130.08.2023.GOV.HUOC.PE")</f>
        <v>ARP.0130.08.2023.GOV.HUOC.PE</v>
      </c>
      <c r="F469" s="3" t="s">
        <v>875</v>
      </c>
      <c r="G469" s="3"/>
      <c r="H469" s="9">
        <v>45468</v>
      </c>
      <c r="I469" s="3" t="s">
        <v>44</v>
      </c>
      <c r="J469" s="3" t="str">
        <f>VLOOKUP(A469,'TODOS OS PROCESSOS ATUALIZADOS '!A:I,7,0)</f>
        <v>Autorizada Sucesso</v>
      </c>
      <c r="K469" s="3" t="s">
        <v>605</v>
      </c>
      <c r="L469" s="3" t="str">
        <f t="shared" si="1"/>
        <v>Item atualizado</v>
      </c>
      <c r="M469" s="3"/>
      <c r="N469" s="3" t="s">
        <v>605</v>
      </c>
      <c r="O469" s="3"/>
    </row>
    <row r="470" spans="1:17" ht="22.5" customHeight="1" x14ac:dyDescent="0.2">
      <c r="A470" s="3" t="s">
        <v>1056</v>
      </c>
      <c r="B470" s="3" t="str">
        <f ca="1">IFERROR(__xludf.DUMMYFUNCTION("REGEXEXTRACT(A470, ""\.(?:GOV|EXT)\.([A-Z0-9\-]+)"")
"),"HUOC")</f>
        <v>HUOC</v>
      </c>
      <c r="C470" s="3" t="s">
        <v>34</v>
      </c>
      <c r="D470" s="3" t="s">
        <v>35</v>
      </c>
      <c r="E470" s="14" t="str">
        <f ca="1">IFERROR(__xludf.DUMMYFUNCTION("REGEXEXTRACT(A470, ""-(.*)"")"),"ARP.0102.02.2023.GOV.HUOC.PE")</f>
        <v>ARP.0102.02.2023.GOV.HUOC.PE</v>
      </c>
      <c r="F470" s="3" t="s">
        <v>830</v>
      </c>
      <c r="G470" s="3"/>
      <c r="H470" s="9">
        <v>45477</v>
      </c>
      <c r="I470" s="3" t="s">
        <v>37</v>
      </c>
      <c r="J470" s="3" t="str">
        <f>VLOOKUP(A470,'TODOS OS PROCESSOS ATUALIZADOS '!A:I,7,0)</f>
        <v>Cancelada</v>
      </c>
      <c r="K470" s="3" t="s">
        <v>605</v>
      </c>
      <c r="L470" s="3" t="str">
        <f t="shared" si="1"/>
        <v>Item não atualizado</v>
      </c>
      <c r="M470" s="3"/>
      <c r="N470" s="3" t="s">
        <v>605</v>
      </c>
      <c r="O470" s="3"/>
    </row>
    <row r="471" spans="1:17" ht="22.5" customHeight="1" x14ac:dyDescent="0.2">
      <c r="A471" s="3" t="s">
        <v>1057</v>
      </c>
      <c r="B471" s="3" t="str">
        <f ca="1">IFERROR(__xludf.DUMMYFUNCTION("REGEXEXTRACT(A471, ""\.(?:GOV|EXT)\.([A-Z0-9\-]+)"")
"),"HUOC")</f>
        <v>HUOC</v>
      </c>
      <c r="C471" s="3" t="s">
        <v>34</v>
      </c>
      <c r="D471" s="3" t="s">
        <v>35</v>
      </c>
      <c r="E471" s="14" t="str">
        <f ca="1">IFERROR(__xludf.DUMMYFUNCTION("REGEXEXTRACT(A471, ""-(.*)"")"),"ARP.0049.04.2024.GOV.HUOC.PE")</f>
        <v>ARP.0049.04.2024.GOV.HUOC.PE</v>
      </c>
      <c r="F471" s="3" t="s">
        <v>1038</v>
      </c>
      <c r="G471" s="3"/>
      <c r="H471" s="9">
        <v>45443</v>
      </c>
      <c r="I471" s="3" t="s">
        <v>37</v>
      </c>
      <c r="J471" s="3" t="str">
        <f>VLOOKUP(A471,'TODOS OS PROCESSOS ATUALIZADOS '!A:I,7,0)</f>
        <v>Cancelada</v>
      </c>
      <c r="K471" s="3" t="s">
        <v>38</v>
      </c>
      <c r="L471" s="3" t="str">
        <f t="shared" si="1"/>
        <v>Item não atualizado</v>
      </c>
      <c r="M471" s="3"/>
      <c r="N471" s="3" t="s">
        <v>605</v>
      </c>
      <c r="O471" s="3"/>
    </row>
    <row r="472" spans="1:17" ht="22.5" customHeight="1" x14ac:dyDescent="0.2">
      <c r="A472" s="3" t="s">
        <v>1058</v>
      </c>
      <c r="B472" s="3" t="str">
        <f ca="1">IFERROR(__xludf.DUMMYFUNCTION("REGEXEXTRACT(A472, ""\.(?:GOV|EXT)\.([A-Z0-9\-]+)"")
"),"HUOC")</f>
        <v>HUOC</v>
      </c>
      <c r="C472" s="3" t="s">
        <v>34</v>
      </c>
      <c r="D472" s="3" t="s">
        <v>35</v>
      </c>
      <c r="E472" s="14" t="str">
        <f ca="1">IFERROR(__xludf.DUMMYFUNCTION("REGEXEXTRACT(A472, ""-(.*)"")"),"ARP.0049.00.2024.GOV.HUOC.PE")</f>
        <v>ARP.0049.00.2024.GOV.HUOC.PE</v>
      </c>
      <c r="F472" s="6" t="s">
        <v>1038</v>
      </c>
      <c r="G472" s="3" t="s">
        <v>1</v>
      </c>
      <c r="H472" s="9">
        <v>45446</v>
      </c>
      <c r="I472" s="3" t="s">
        <v>44</v>
      </c>
      <c r="J472" s="3" t="str">
        <f>VLOOKUP(A472,'TODOS OS PROCESSOS ATUALIZADOS '!A:I,7,0)</f>
        <v>Autorizada Sucesso</v>
      </c>
      <c r="K472" s="3" t="s">
        <v>44</v>
      </c>
      <c r="L472" s="3" t="str">
        <f t="shared" si="1"/>
        <v>Item atualizado</v>
      </c>
      <c r="M472" s="3" t="s">
        <v>9</v>
      </c>
      <c r="N472" s="3" t="s">
        <v>605</v>
      </c>
      <c r="O472" s="3" t="s">
        <v>52</v>
      </c>
      <c r="P472" s="3" t="s">
        <v>1059</v>
      </c>
      <c r="Q472" s="3" t="s">
        <v>860</v>
      </c>
    </row>
    <row r="473" spans="1:17" ht="22.5" customHeight="1" x14ac:dyDescent="0.2">
      <c r="A473" s="3" t="s">
        <v>1060</v>
      </c>
      <c r="B473" s="3" t="str">
        <f ca="1">IFERROR(__xludf.DUMMYFUNCTION("REGEXEXTRACT(A473, ""\.(?:GOV|EXT)\.([A-Z0-9\-]+)"")
"),"HOF")</f>
        <v>HOF</v>
      </c>
      <c r="C473" s="3" t="s">
        <v>34</v>
      </c>
      <c r="D473" s="3" t="s">
        <v>35</v>
      </c>
      <c r="E473" s="14" t="str">
        <f ca="1">IFERROR(__xludf.DUMMYFUNCTION("REGEXEXTRACT(A473, ""-(.*)"")"),"ARP.0035.00.2023.GOV.HOF.PE")</f>
        <v>ARP.0035.00.2023.GOV.HOF.PE</v>
      </c>
      <c r="F473" s="3" t="s">
        <v>1061</v>
      </c>
      <c r="G473" s="3"/>
      <c r="H473" s="9">
        <v>45443</v>
      </c>
      <c r="I473" s="3" t="s">
        <v>44</v>
      </c>
      <c r="J473" s="3" t="str">
        <f>VLOOKUP(A473,'TODOS OS PROCESSOS ATUALIZADOS '!A:I,7,0)</f>
        <v>Autorizada Sucesso</v>
      </c>
      <c r="K473" s="3" t="s">
        <v>605</v>
      </c>
      <c r="L473" s="3" t="str">
        <f t="shared" si="1"/>
        <v>Item atualizado</v>
      </c>
      <c r="M473" s="3"/>
      <c r="N473" s="3" t="s">
        <v>605</v>
      </c>
      <c r="O473" s="3"/>
    </row>
    <row r="474" spans="1:17" ht="22.5" customHeight="1" x14ac:dyDescent="0.2">
      <c r="A474" s="3" t="s">
        <v>1062</v>
      </c>
      <c r="B474" s="3" t="str">
        <f ca="1">IFERROR(__xludf.DUMMYFUNCTION("REGEXEXTRACT(A474, ""\.(?:GOV|EXT)\.([A-Z0-9\-]+)"")
"),"HR")</f>
        <v>HR</v>
      </c>
      <c r="C474" s="3" t="s">
        <v>34</v>
      </c>
      <c r="D474" s="3" t="s">
        <v>35</v>
      </c>
      <c r="E474" s="14" t="str">
        <f ca="1">IFERROR(__xludf.DUMMYFUNCTION("REGEXEXTRACT(A474, ""-(.*)"")"),"ARP.0032.00.2023.GOV.HR.PE")</f>
        <v>ARP.0032.00.2023.GOV.HR.PE</v>
      </c>
      <c r="F474" s="3" t="s">
        <v>1063</v>
      </c>
      <c r="G474" s="3"/>
      <c r="H474" s="9">
        <v>45475</v>
      </c>
      <c r="I474" s="3" t="s">
        <v>44</v>
      </c>
      <c r="J474" s="3" t="str">
        <f>VLOOKUP(A474,'TODOS OS PROCESSOS ATUALIZADOS '!A:I,7,0)</f>
        <v>Autorizada Sucesso</v>
      </c>
      <c r="K474" s="3" t="s">
        <v>605</v>
      </c>
      <c r="L474" s="3" t="str">
        <f t="shared" si="1"/>
        <v>Item atualizado</v>
      </c>
      <c r="M474" s="3"/>
      <c r="N474" s="3" t="s">
        <v>605</v>
      </c>
      <c r="O474" s="3"/>
    </row>
    <row r="475" spans="1:17" ht="22.5" customHeight="1" x14ac:dyDescent="0.2">
      <c r="A475" s="3" t="s">
        <v>1064</v>
      </c>
      <c r="B475" s="3" t="str">
        <f ca="1">IFERROR(__xludf.DUMMYFUNCTION("REGEXEXTRACT(A475, ""\.(?:GOV|EXT)\.([A-Z0-9\-]+)"")
"),"HR")</f>
        <v>HR</v>
      </c>
      <c r="C475" s="3" t="s">
        <v>34</v>
      </c>
      <c r="D475" s="3" t="s">
        <v>35</v>
      </c>
      <c r="E475" s="14" t="str">
        <f ca="1">IFERROR(__xludf.DUMMYFUNCTION("REGEXEXTRACT(A475, ""-(.*)"")"),"ARP.0021.00.2024.GOV.HR.PE")</f>
        <v>ARP.0021.00.2024.GOV.HR.PE</v>
      </c>
      <c r="F475" s="3" t="s">
        <v>1065</v>
      </c>
      <c r="G475" s="3"/>
      <c r="H475" s="9">
        <v>45456</v>
      </c>
      <c r="I475" s="3" t="s">
        <v>37</v>
      </c>
      <c r="J475" s="3" t="str">
        <f>VLOOKUP(A475,'TODOS OS PROCESSOS ATUALIZADOS '!A:I,7,0)</f>
        <v>Cancelada</v>
      </c>
      <c r="K475" s="3" t="s">
        <v>38</v>
      </c>
      <c r="L475" s="3" t="str">
        <f t="shared" si="1"/>
        <v>Item não atualizado</v>
      </c>
      <c r="M475" s="3"/>
      <c r="N475" s="3" t="s">
        <v>605</v>
      </c>
      <c r="O475" s="3"/>
    </row>
    <row r="476" spans="1:17" ht="22.5" customHeight="1" x14ac:dyDescent="0.2">
      <c r="A476" s="3" t="s">
        <v>1066</v>
      </c>
      <c r="B476" s="3" t="str">
        <f ca="1">IFERROR(__xludf.DUMMYFUNCTION("REGEXEXTRACT(A476, ""\.(?:GOV|EXT)\.([A-Z0-9\-]+)"")
"),"HOF")</f>
        <v>HOF</v>
      </c>
      <c r="C476" s="3" t="s">
        <v>34</v>
      </c>
      <c r="D476" s="3" t="s">
        <v>35</v>
      </c>
      <c r="E476" s="14" t="str">
        <f ca="1">IFERROR(__xludf.DUMMYFUNCTION("REGEXEXTRACT(A476, ""-(.*)"")"),"ARP.0002.04.2024.GOV.HOF.PE")</f>
        <v>ARP.0002.04.2024.GOV.HOF.PE</v>
      </c>
      <c r="F476" s="6" t="s">
        <v>837</v>
      </c>
      <c r="G476" s="3" t="s">
        <v>3</v>
      </c>
      <c r="H476" s="9">
        <v>45471</v>
      </c>
      <c r="I476" s="3" t="s">
        <v>44</v>
      </c>
      <c r="J476" s="3" t="str">
        <f>VLOOKUP(A476,'TODOS OS PROCESSOS ATUALIZADOS '!A:I,7,0)</f>
        <v>Autorizada Sucesso</v>
      </c>
      <c r="K476" s="3" t="s">
        <v>44</v>
      </c>
      <c r="L476" s="3" t="str">
        <f t="shared" si="1"/>
        <v>Item atualizado</v>
      </c>
      <c r="M476" s="3" t="s">
        <v>9</v>
      </c>
      <c r="N476" s="3" t="s">
        <v>605</v>
      </c>
      <c r="O476" s="3" t="s">
        <v>52</v>
      </c>
      <c r="P476" s="3" t="s">
        <v>1067</v>
      </c>
      <c r="Q476" s="3" t="s">
        <v>860</v>
      </c>
    </row>
    <row r="477" spans="1:17" ht="22.5" customHeight="1" x14ac:dyDescent="0.2">
      <c r="A477" s="3" t="s">
        <v>1068</v>
      </c>
      <c r="B477" s="3" t="str">
        <f ca="1">IFERROR(__xludf.DUMMYFUNCTION("REGEXEXTRACT(A477, ""\.(?:GOV|EXT)\.([A-Z0-9\-]+)"")
"),"HEMOPE")</f>
        <v>HEMOPE</v>
      </c>
      <c r="C477" s="3" t="s">
        <v>34</v>
      </c>
      <c r="D477" s="3" t="s">
        <v>35</v>
      </c>
      <c r="E477" s="14" t="str">
        <f ca="1">IFERROR(__xludf.DUMMYFUNCTION("REGEXEXTRACT(A477, ""-(.*)"")"),"ARP.0001.02.2024.GOV.HEMOPE.PE")</f>
        <v>ARP.0001.02.2024.GOV.HEMOPE.PE</v>
      </c>
      <c r="F477" s="3" t="s">
        <v>821</v>
      </c>
      <c r="G477" s="3"/>
      <c r="H477" s="9">
        <v>45433</v>
      </c>
      <c r="I477" s="3" t="s">
        <v>37</v>
      </c>
      <c r="J477" s="3" t="str">
        <f>VLOOKUP(A477,'TODOS OS PROCESSOS ATUALIZADOS '!A:I,7,0)</f>
        <v>Cancelada</v>
      </c>
      <c r="K477" s="3" t="s">
        <v>38</v>
      </c>
      <c r="L477" s="3" t="str">
        <f t="shared" si="1"/>
        <v>Item não atualizado</v>
      </c>
      <c r="M477" s="3"/>
      <c r="N477" s="3" t="s">
        <v>605</v>
      </c>
      <c r="O477" s="3"/>
    </row>
    <row r="478" spans="1:17" ht="22.5" customHeight="1" x14ac:dyDescent="0.2">
      <c r="A478" s="3" t="s">
        <v>1069</v>
      </c>
      <c r="B478" s="3" t="str">
        <f ca="1">IFERROR(__xludf.DUMMYFUNCTION("REGEXEXTRACT(A478, ""\.(?:GOV|EXT)\.([A-Z0-9\-]+)"")
"),"HUOC")</f>
        <v>HUOC</v>
      </c>
      <c r="C478" s="3" t="s">
        <v>34</v>
      </c>
      <c r="D478" s="3" t="s">
        <v>35</v>
      </c>
      <c r="E478" s="14" t="str">
        <f ca="1">IFERROR(__xludf.DUMMYFUNCTION("REGEXEXTRACT(A478, ""-(.*)"")"),"ARP.0130.09.2023.GOV.HUOC.PE")</f>
        <v>ARP.0130.09.2023.GOV.HUOC.PE</v>
      </c>
      <c r="F478" s="3" t="s">
        <v>875</v>
      </c>
      <c r="G478" s="3"/>
      <c r="H478" s="9">
        <v>45470</v>
      </c>
      <c r="I478" s="3" t="s">
        <v>37</v>
      </c>
      <c r="J478" s="3" t="str">
        <f>VLOOKUP(A478,'TODOS OS PROCESSOS ATUALIZADOS '!A:I,7,0)</f>
        <v>Cancelada</v>
      </c>
      <c r="K478" s="3" t="s">
        <v>605</v>
      </c>
      <c r="L478" s="3" t="str">
        <f t="shared" si="1"/>
        <v>Item não atualizado</v>
      </c>
      <c r="M478" s="3"/>
      <c r="N478" s="3" t="s">
        <v>605</v>
      </c>
      <c r="O478" s="3"/>
    </row>
    <row r="479" spans="1:17" ht="22.5" customHeight="1" x14ac:dyDescent="0.2">
      <c r="A479" s="3" t="s">
        <v>1070</v>
      </c>
      <c r="B479" s="3" t="str">
        <f ca="1">IFERROR(__xludf.DUMMYFUNCTION("REGEXEXTRACT(A479, ""\.(?:GOV|EXT)\.([A-Z0-9\-]+)"")
"),"HUOC")</f>
        <v>HUOC</v>
      </c>
      <c r="C479" s="3" t="s">
        <v>34</v>
      </c>
      <c r="D479" s="3" t="s">
        <v>35</v>
      </c>
      <c r="E479" s="14" t="str">
        <f ca="1">IFERROR(__xludf.DUMMYFUNCTION("REGEXEXTRACT(A479, ""-(.*)"")"),"ARP.0102.02.2023.GOV.HUOC.PE")</f>
        <v>ARP.0102.02.2023.GOV.HUOC.PE</v>
      </c>
      <c r="F479" s="3" t="s">
        <v>830</v>
      </c>
      <c r="G479" s="3"/>
      <c r="H479" s="9">
        <v>45476</v>
      </c>
      <c r="I479" s="3" t="s">
        <v>44</v>
      </c>
      <c r="J479" s="3" t="str">
        <f>VLOOKUP(A479,'TODOS OS PROCESSOS ATUALIZADOS '!A:I,7,0)</f>
        <v>Autorizada Sucesso</v>
      </c>
      <c r="K479" s="3" t="s">
        <v>605</v>
      </c>
      <c r="L479" s="3" t="str">
        <f t="shared" si="1"/>
        <v>Item atualizado</v>
      </c>
      <c r="M479" s="3"/>
      <c r="N479" s="3" t="s">
        <v>605</v>
      </c>
      <c r="O479" s="3"/>
    </row>
    <row r="480" spans="1:17" ht="22.5" customHeight="1" x14ac:dyDescent="0.2">
      <c r="A480" s="3" t="s">
        <v>1071</v>
      </c>
      <c r="B480" s="3" t="str">
        <f ca="1">IFERROR(__xludf.DUMMYFUNCTION("REGEXEXTRACT(A480, ""\.(?:GOV|EXT)\.([A-Z0-9\-]+)"")
"),"HUOC")</f>
        <v>HUOC</v>
      </c>
      <c r="C480" s="3" t="s">
        <v>34</v>
      </c>
      <c r="D480" s="3" t="s">
        <v>35</v>
      </c>
      <c r="E480" s="14" t="str">
        <f ca="1">IFERROR(__xludf.DUMMYFUNCTION("REGEXEXTRACT(A480, ""-(.*)"")"),"ARP.0057.08.2024.GOV.HUOC.PE")</f>
        <v>ARP.0057.08.2024.GOV.HUOC.PE</v>
      </c>
      <c r="F480" s="6" t="s">
        <v>948</v>
      </c>
      <c r="G480" s="3"/>
      <c r="H480" s="9">
        <v>45478</v>
      </c>
      <c r="I480" s="3" t="s">
        <v>44</v>
      </c>
      <c r="J480" s="3" t="str">
        <f>VLOOKUP(A480,'TODOS OS PROCESSOS ATUALIZADOS '!A:I,7,0)</f>
        <v>Autorizada Sucesso</v>
      </c>
      <c r="K480" s="3" t="s">
        <v>44</v>
      </c>
      <c r="L480" s="3" t="str">
        <f t="shared" si="1"/>
        <v>Item atualizado</v>
      </c>
      <c r="M480" s="3" t="s">
        <v>9</v>
      </c>
      <c r="N480" s="3" t="s">
        <v>605</v>
      </c>
      <c r="O480" s="3"/>
      <c r="P480" s="3" t="s">
        <v>1072</v>
      </c>
      <c r="Q480" s="3" t="s">
        <v>860</v>
      </c>
    </row>
    <row r="481" spans="1:17" ht="22.5" customHeight="1" x14ac:dyDescent="0.2">
      <c r="A481" s="3" t="s">
        <v>1073</v>
      </c>
      <c r="B481" s="3" t="str">
        <f ca="1">IFERROR(__xludf.DUMMYFUNCTION("REGEXEXTRACT(A481, ""\.(?:GOV|EXT)\.([A-Z0-9\-]+)"")
"),"HUOC")</f>
        <v>HUOC</v>
      </c>
      <c r="C481" s="3" t="s">
        <v>34</v>
      </c>
      <c r="D481" s="3" t="s">
        <v>35</v>
      </c>
      <c r="E481" s="14" t="str">
        <f ca="1">IFERROR(__xludf.DUMMYFUNCTION("REGEXEXTRACT(A481, ""-(.*)"")"),"ARP.0049.04.2024.GOV.HUOC.PE")</f>
        <v>ARP.0049.04.2024.GOV.HUOC.PE</v>
      </c>
      <c r="F481" s="6" t="s">
        <v>1038</v>
      </c>
      <c r="G481" s="3" t="s">
        <v>1</v>
      </c>
      <c r="H481" s="9">
        <v>45442</v>
      </c>
      <c r="I481" s="3" t="s">
        <v>44</v>
      </c>
      <c r="J481" s="3" t="str">
        <f>VLOOKUP(A481,'TODOS OS PROCESSOS ATUALIZADOS '!A:I,7,0)</f>
        <v>Autorizada Sucesso</v>
      </c>
      <c r="K481" s="3" t="s">
        <v>44</v>
      </c>
      <c r="L481" s="3" t="str">
        <f t="shared" si="1"/>
        <v>Item atualizado</v>
      </c>
      <c r="M481" s="3" t="s">
        <v>9</v>
      </c>
      <c r="N481" s="3" t="s">
        <v>605</v>
      </c>
      <c r="O481" s="3" t="s">
        <v>52</v>
      </c>
      <c r="P481" s="3" t="s">
        <v>1074</v>
      </c>
      <c r="Q481" s="3" t="s">
        <v>860</v>
      </c>
    </row>
    <row r="482" spans="1:17" ht="22.5" customHeight="1" x14ac:dyDescent="0.2">
      <c r="A482" s="3" t="s">
        <v>1075</v>
      </c>
      <c r="B482" s="3" t="str">
        <f ca="1">IFERROR(__xludf.DUMMYFUNCTION("REGEXEXTRACT(A482, ""\.(?:GOV|EXT)\.([A-Z0-9\-]+)"")
"),"HUOC")</f>
        <v>HUOC</v>
      </c>
      <c r="C482" s="3" t="s">
        <v>34</v>
      </c>
      <c r="D482" s="3" t="s">
        <v>35</v>
      </c>
      <c r="E482" s="14" t="str">
        <f ca="1">IFERROR(__xludf.DUMMYFUNCTION("REGEXEXTRACT(A482, ""-(.*)"")"),"ARP.0049.03.2024.GOV.HUOC.PE")</f>
        <v>ARP.0049.03.2024.GOV.HUOC.PE</v>
      </c>
      <c r="F482" s="6" t="s">
        <v>1038</v>
      </c>
      <c r="G482" s="3" t="s">
        <v>1</v>
      </c>
      <c r="H482" s="9">
        <v>45442</v>
      </c>
      <c r="I482" s="3" t="s">
        <v>44</v>
      </c>
      <c r="J482" s="3" t="str">
        <f>VLOOKUP(A482,'TODOS OS PROCESSOS ATUALIZADOS '!A:I,7,0)</f>
        <v>Autorizada Sucesso</v>
      </c>
      <c r="K482" s="3" t="s">
        <v>44</v>
      </c>
      <c r="L482" s="3" t="str">
        <f t="shared" si="1"/>
        <v>Item atualizado</v>
      </c>
      <c r="M482" s="3" t="s">
        <v>9</v>
      </c>
      <c r="N482" s="3" t="s">
        <v>605</v>
      </c>
      <c r="O482" s="3" t="s">
        <v>52</v>
      </c>
      <c r="P482" s="3" t="s">
        <v>1076</v>
      </c>
      <c r="Q482" s="3" t="s">
        <v>860</v>
      </c>
    </row>
    <row r="483" spans="1:17" ht="22.5" customHeight="1" x14ac:dyDescent="0.2">
      <c r="A483" s="3" t="s">
        <v>1077</v>
      </c>
      <c r="B483" s="3" t="str">
        <f ca="1">IFERROR(__xludf.DUMMYFUNCTION("REGEXEXTRACT(A483, ""\.(?:GOV|EXT)\.([A-Z0-9\-]+)"")
"),"HR")</f>
        <v>HR</v>
      </c>
      <c r="C483" s="3" t="s">
        <v>34</v>
      </c>
      <c r="D483" s="3" t="s">
        <v>35</v>
      </c>
      <c r="E483" s="14" t="str">
        <f ca="1">IFERROR(__xludf.DUMMYFUNCTION("REGEXEXTRACT(A483, ""-(.*)"")"),"ARP.0032.00.2023.GOV.HR.PE")</f>
        <v>ARP.0032.00.2023.GOV.HR.PE</v>
      </c>
      <c r="F483" s="3" t="s">
        <v>1063</v>
      </c>
      <c r="G483" s="3"/>
      <c r="H483" s="9">
        <v>45433</v>
      </c>
      <c r="I483" s="3" t="s">
        <v>44</v>
      </c>
      <c r="J483" s="3" t="str">
        <f>VLOOKUP(A483,'TODOS OS PROCESSOS ATUALIZADOS '!A:I,7,0)</f>
        <v>Autorizada Sucesso</v>
      </c>
      <c r="K483" s="3" t="s">
        <v>605</v>
      </c>
      <c r="L483" s="3" t="str">
        <f t="shared" si="1"/>
        <v>Item atualizado</v>
      </c>
      <c r="M483" s="3"/>
      <c r="N483" s="3" t="s">
        <v>605</v>
      </c>
      <c r="O483" s="3"/>
    </row>
    <row r="484" spans="1:17" ht="22.5" customHeight="1" x14ac:dyDescent="0.2">
      <c r="A484" s="3" t="s">
        <v>1078</v>
      </c>
      <c r="B484" s="3" t="str">
        <f ca="1">IFERROR(__xludf.DUMMYFUNCTION("REGEXEXTRACT(A484, ""\.(?:GOV|EXT)\.([A-Z0-9\-]+)"")
"),"HUOC")</f>
        <v>HUOC</v>
      </c>
      <c r="C484" s="3" t="s">
        <v>34</v>
      </c>
      <c r="D484" s="3" t="s">
        <v>35</v>
      </c>
      <c r="E484" s="14" t="str">
        <f ca="1">IFERROR(__xludf.DUMMYFUNCTION("REGEXEXTRACT(A484, ""-(.*)"")"),"ARP.0029.01.2024.GOV.HUOC.PE")</f>
        <v>ARP.0029.01.2024.GOV.HUOC.PE</v>
      </c>
      <c r="F484" s="6" t="s">
        <v>1079</v>
      </c>
      <c r="G484" s="3" t="s">
        <v>3</v>
      </c>
      <c r="H484" s="9">
        <v>45456</v>
      </c>
      <c r="I484" s="3" t="s">
        <v>44</v>
      </c>
      <c r="J484" s="3" t="str">
        <f>VLOOKUP(A484,'TODOS OS PROCESSOS ATUALIZADOS '!A:I,7,0)</f>
        <v>Autorizada Sucesso</v>
      </c>
      <c r="K484" s="3" t="s">
        <v>44</v>
      </c>
      <c r="L484" s="3" t="str">
        <f t="shared" si="1"/>
        <v>Item atualizado</v>
      </c>
      <c r="M484" s="3" t="s">
        <v>9</v>
      </c>
      <c r="N484" s="3" t="s">
        <v>605</v>
      </c>
      <c r="O484" s="3" t="s">
        <v>52</v>
      </c>
      <c r="P484" s="3" t="s">
        <v>1080</v>
      </c>
      <c r="Q484" s="3" t="s">
        <v>860</v>
      </c>
    </row>
    <row r="485" spans="1:17" ht="22.5" customHeight="1" x14ac:dyDescent="0.2">
      <c r="A485" s="3" t="s">
        <v>1081</v>
      </c>
      <c r="B485" s="3" t="str">
        <f ca="1">IFERROR(__xludf.DUMMYFUNCTION("REGEXEXTRACT(A485, ""\.(?:GOV|EXT)\.([A-Z0-9\-]+)"")
"),"HR")</f>
        <v>HR</v>
      </c>
      <c r="C485" s="3" t="s">
        <v>34</v>
      </c>
      <c r="D485" s="3" t="s">
        <v>35</v>
      </c>
      <c r="E485" s="14" t="str">
        <f ca="1">IFERROR(__xludf.DUMMYFUNCTION("REGEXEXTRACT(A485, ""-(.*)"")"),"ARP.0022.00.2024.GOV.HR.PE")</f>
        <v>ARP.0022.00.2024.GOV.HR.PE</v>
      </c>
      <c r="F485" s="6" t="s">
        <v>525</v>
      </c>
      <c r="G485" s="3" t="s">
        <v>3</v>
      </c>
      <c r="H485" s="9">
        <v>45477</v>
      </c>
      <c r="I485" s="3" t="s">
        <v>44</v>
      </c>
      <c r="J485" s="3" t="str">
        <f>VLOOKUP(A485,'TODOS OS PROCESSOS ATUALIZADOS '!A:I,7,0)</f>
        <v>Autorizada Sucesso</v>
      </c>
      <c r="K485" s="3" t="s">
        <v>44</v>
      </c>
      <c r="L485" s="3" t="str">
        <f t="shared" si="1"/>
        <v>Item atualizado</v>
      </c>
      <c r="M485" s="3" t="s">
        <v>9</v>
      </c>
      <c r="N485" s="3" t="s">
        <v>605</v>
      </c>
      <c r="O485" s="3" t="s">
        <v>52</v>
      </c>
      <c r="P485" s="3" t="s">
        <v>1082</v>
      </c>
      <c r="Q485" s="3" t="s">
        <v>860</v>
      </c>
    </row>
    <row r="486" spans="1:17" ht="22.5" customHeight="1" x14ac:dyDescent="0.2">
      <c r="A486" s="3" t="s">
        <v>1083</v>
      </c>
      <c r="B486" s="3" t="str">
        <f ca="1">IFERROR(__xludf.DUMMYFUNCTION("REGEXEXTRACT(A486, ""\.(?:GOV|EXT)\.([A-Z0-9\-]+)"")
"),"HR")</f>
        <v>HR</v>
      </c>
      <c r="C486" s="3" t="s">
        <v>34</v>
      </c>
      <c r="D486" s="3" t="s">
        <v>35</v>
      </c>
      <c r="E486" s="14" t="str">
        <f ca="1">IFERROR(__xludf.DUMMYFUNCTION("REGEXEXTRACT(A486, ""-(.*)"")"),"ARP.0021.00.2024.GOV.HR.PE")</f>
        <v>ARP.0021.00.2024.GOV.HR.PE</v>
      </c>
      <c r="F486" s="6" t="s">
        <v>1065</v>
      </c>
      <c r="G486" s="3" t="s">
        <v>3</v>
      </c>
      <c r="H486" s="9">
        <v>45456</v>
      </c>
      <c r="I486" s="3" t="s">
        <v>44</v>
      </c>
      <c r="J486" s="3" t="str">
        <f>VLOOKUP(A486,'TODOS OS PROCESSOS ATUALIZADOS '!A:I,7,0)</f>
        <v>Autorizada Sucesso</v>
      </c>
      <c r="K486" s="3" t="s">
        <v>44</v>
      </c>
      <c r="L486" s="3" t="str">
        <f t="shared" si="1"/>
        <v>Item atualizado</v>
      </c>
      <c r="M486" s="3" t="s">
        <v>9</v>
      </c>
      <c r="N486" s="3" t="s">
        <v>605</v>
      </c>
      <c r="O486" s="3" t="s">
        <v>52</v>
      </c>
      <c r="P486" s="3" t="s">
        <v>1084</v>
      </c>
      <c r="Q486" s="3" t="s">
        <v>860</v>
      </c>
    </row>
    <row r="487" spans="1:17" ht="22.5" customHeight="1" x14ac:dyDescent="0.2">
      <c r="A487" s="3" t="s">
        <v>1085</v>
      </c>
      <c r="B487" s="3" t="str">
        <f ca="1">IFERROR(__xludf.DUMMYFUNCTION("REGEXEXTRACT(A487, ""\.(?:GOV|EXT)\.([A-Z0-9\-]+)"")
"),"HUOC")</f>
        <v>HUOC</v>
      </c>
      <c r="C487" s="3" t="s">
        <v>34</v>
      </c>
      <c r="D487" s="3" t="s">
        <v>35</v>
      </c>
      <c r="E487" s="14" t="str">
        <f ca="1">IFERROR(__xludf.DUMMYFUNCTION("REGEXEXTRACT(A487, ""-(.*)"")"),"ARP.0008.02.2024.GOV.HUOC.PE")</f>
        <v>ARP.0008.02.2024.GOV.HUOC.PE</v>
      </c>
      <c r="F487" s="3" t="s">
        <v>955</v>
      </c>
      <c r="G487" s="3" t="s">
        <v>4</v>
      </c>
      <c r="H487" s="9">
        <v>45435</v>
      </c>
      <c r="I487" s="3" t="s">
        <v>37</v>
      </c>
      <c r="J487" s="3" t="str">
        <f>VLOOKUP(A487,'TODOS OS PROCESSOS ATUALIZADOS '!A:I,7,0)</f>
        <v>Em configuração</v>
      </c>
      <c r="K487" s="3" t="s">
        <v>42</v>
      </c>
      <c r="L487" s="3" t="str">
        <f t="shared" si="1"/>
        <v>Item atualizado</v>
      </c>
      <c r="M487" s="3"/>
      <c r="N487" s="3" t="s">
        <v>42</v>
      </c>
      <c r="O487" s="3"/>
    </row>
    <row r="488" spans="1:17" ht="22.5" customHeight="1" x14ac:dyDescent="0.2">
      <c r="A488" s="3" t="s">
        <v>1086</v>
      </c>
      <c r="B488" s="3" t="str">
        <f ca="1">IFERROR(__xludf.DUMMYFUNCTION("REGEXEXTRACT(A488, ""\.(?:GOV|EXT)\.([A-Z0-9\-]+)"")
"),"HEMOPE")</f>
        <v>HEMOPE</v>
      </c>
      <c r="C488" s="3" t="s">
        <v>34</v>
      </c>
      <c r="D488" s="3" t="s">
        <v>35</v>
      </c>
      <c r="E488" s="14" t="str">
        <f ca="1">IFERROR(__xludf.DUMMYFUNCTION("REGEXEXTRACT(A488, ""-(.*)"")"),"ARP.0001.02.2024.GOV.HEMOPE.PE")</f>
        <v>ARP.0001.02.2024.GOV.HEMOPE.PE</v>
      </c>
      <c r="F488" s="3" t="s">
        <v>821</v>
      </c>
      <c r="G488" s="3"/>
      <c r="H488" s="9">
        <v>45433</v>
      </c>
      <c r="I488" s="3" t="s">
        <v>37</v>
      </c>
      <c r="J488" s="3" t="str">
        <f>VLOOKUP(A488,'TODOS OS PROCESSOS ATUALIZADOS '!A:I,7,0)</f>
        <v>Cancelada</v>
      </c>
      <c r="K488" s="3" t="s">
        <v>38</v>
      </c>
      <c r="L488" s="3" t="str">
        <f t="shared" si="1"/>
        <v>Item não atualizado</v>
      </c>
      <c r="M488" s="3"/>
      <c r="N488" s="3" t="s">
        <v>605</v>
      </c>
      <c r="O488" s="3"/>
    </row>
    <row r="489" spans="1:17" ht="22.5" customHeight="1" x14ac:dyDescent="0.2">
      <c r="A489" s="3" t="s">
        <v>1087</v>
      </c>
      <c r="B489" s="3" t="str">
        <f ca="1">IFERROR(__xludf.DUMMYFUNCTION("REGEXEXTRACT(A489, ""\.(?:GOV|EXT)\.([A-Z0-9\-]+)"")
"),"HUOC")</f>
        <v>HUOC</v>
      </c>
      <c r="C489" s="3" t="s">
        <v>34</v>
      </c>
      <c r="D489" s="3" t="s">
        <v>35</v>
      </c>
      <c r="E489" s="14" t="str">
        <f ca="1">IFERROR(__xludf.DUMMYFUNCTION("REGEXEXTRACT(A489, ""-(.*)"")"),"ARP.0130.09.2023.GOV.HUOC.PE")</f>
        <v>ARP.0130.09.2023.GOV.HUOC.PE</v>
      </c>
      <c r="F489" s="3" t="s">
        <v>875</v>
      </c>
      <c r="G489" s="3"/>
      <c r="H489" s="9">
        <v>45470</v>
      </c>
      <c r="I489" s="3" t="s">
        <v>37</v>
      </c>
      <c r="J489" s="3" t="str">
        <f>VLOOKUP(A489,'TODOS OS PROCESSOS ATUALIZADOS '!A:I,7,0)</f>
        <v>Cancelada</v>
      </c>
      <c r="K489" s="3" t="s">
        <v>605</v>
      </c>
      <c r="L489" s="3" t="str">
        <f t="shared" si="1"/>
        <v>Item não atualizado</v>
      </c>
      <c r="M489" s="3"/>
      <c r="N489" s="3" t="s">
        <v>605</v>
      </c>
      <c r="O489" s="3"/>
    </row>
    <row r="490" spans="1:17" ht="22.5" customHeight="1" x14ac:dyDescent="0.2">
      <c r="A490" s="3" t="s">
        <v>1088</v>
      </c>
      <c r="B490" s="3" t="str">
        <f ca="1">IFERROR(__xludf.DUMMYFUNCTION("REGEXEXTRACT(A490, ""\.(?:GOV|EXT)\.([A-Z0-9\-]+)"")
"),"FES-PE")</f>
        <v>FES-PE</v>
      </c>
      <c r="C490" s="3" t="s">
        <v>34</v>
      </c>
      <c r="D490" s="3" t="s">
        <v>35</v>
      </c>
      <c r="E490" s="14" t="str">
        <f ca="1">IFERROR(__xludf.DUMMYFUNCTION("REGEXEXTRACT(A490, ""-(.*)"")"),"ARP.0114.00.2023.GOV.FES-PE.PE")</f>
        <v>ARP.0114.00.2023.GOV.FES-PE.PE</v>
      </c>
      <c r="F490" s="3" t="s">
        <v>1089</v>
      </c>
      <c r="G490" s="3"/>
      <c r="H490" s="9">
        <v>45454</v>
      </c>
      <c r="I490" s="3" t="s">
        <v>44</v>
      </c>
      <c r="J490" s="3" t="str">
        <f>VLOOKUP(A490,'TODOS OS PROCESSOS ATUALIZADOS '!A:I,7,0)</f>
        <v>Autorizada Sucesso</v>
      </c>
      <c r="K490" s="3" t="s">
        <v>605</v>
      </c>
      <c r="L490" s="3" t="str">
        <f t="shared" si="1"/>
        <v>Item atualizado</v>
      </c>
      <c r="M490" s="3"/>
      <c r="N490" s="3" t="s">
        <v>605</v>
      </c>
      <c r="O490" s="3"/>
    </row>
    <row r="491" spans="1:17" ht="22.5" customHeight="1" x14ac:dyDescent="0.2">
      <c r="A491" s="3" t="s">
        <v>1090</v>
      </c>
      <c r="B491" s="3" t="str">
        <f ca="1">IFERROR(__xludf.DUMMYFUNCTION("REGEXEXTRACT(A491, ""\.(?:GOV|EXT)\.([A-Z0-9\-]+)"")
"),"HUOC")</f>
        <v>HUOC</v>
      </c>
      <c r="C491" s="3" t="s">
        <v>34</v>
      </c>
      <c r="D491" s="3" t="s">
        <v>35</v>
      </c>
      <c r="E491" s="14" t="str">
        <f ca="1">IFERROR(__xludf.DUMMYFUNCTION("REGEXEXTRACT(A491, ""-(.*)"")"),"ARP.0049.02.2024.GOV.HUOC.PE")</f>
        <v>ARP.0049.02.2024.GOV.HUOC.PE</v>
      </c>
      <c r="F491" s="6" t="s">
        <v>1038</v>
      </c>
      <c r="G491" s="3" t="s">
        <v>1</v>
      </c>
      <c r="H491" s="9">
        <v>45442</v>
      </c>
      <c r="I491" s="3" t="s">
        <v>44</v>
      </c>
      <c r="J491" s="3" t="str">
        <f>VLOOKUP(A491,'TODOS OS PROCESSOS ATUALIZADOS '!A:I,7,0)</f>
        <v>Autorizada Sucesso</v>
      </c>
      <c r="K491" s="3" t="s">
        <v>44</v>
      </c>
      <c r="L491" s="3" t="str">
        <f t="shared" si="1"/>
        <v>Item atualizado</v>
      </c>
      <c r="M491" s="3" t="s">
        <v>9</v>
      </c>
      <c r="N491" s="3" t="s">
        <v>605</v>
      </c>
      <c r="O491" s="3" t="s">
        <v>52</v>
      </c>
      <c r="P491" s="3" t="s">
        <v>1091</v>
      </c>
      <c r="Q491" s="3" t="s">
        <v>860</v>
      </c>
    </row>
    <row r="492" spans="1:17" ht="22.5" customHeight="1" x14ac:dyDescent="0.2">
      <c r="A492" s="3" t="s">
        <v>1092</v>
      </c>
      <c r="B492" s="3" t="str">
        <f ca="1">IFERROR(__xludf.DUMMYFUNCTION("REGEXEXTRACT(A492, ""\.(?:GOV|EXT)\.([A-Z0-9\-]+)"")
"),"HUOC")</f>
        <v>HUOC</v>
      </c>
      <c r="C492" s="3" t="s">
        <v>34</v>
      </c>
      <c r="D492" s="3" t="s">
        <v>35</v>
      </c>
      <c r="E492" s="14" t="str">
        <f ca="1">IFERROR(__xludf.DUMMYFUNCTION("REGEXEXTRACT(A492, ""-(.*)"")"),"ARP.0046.06.2024.GOV.HUOC.PE")</f>
        <v>ARP.0046.06.2024.GOV.HUOC.PE</v>
      </c>
      <c r="F492" s="6" t="s">
        <v>730</v>
      </c>
      <c r="G492" s="3" t="s">
        <v>3</v>
      </c>
      <c r="H492" s="9">
        <v>45460</v>
      </c>
      <c r="I492" s="3" t="s">
        <v>44</v>
      </c>
      <c r="J492" s="3" t="str">
        <f>VLOOKUP(A492,'TODOS OS PROCESSOS ATUALIZADOS '!A:I,7,0)</f>
        <v>Autorizada Sucesso</v>
      </c>
      <c r="K492" s="3" t="s">
        <v>44</v>
      </c>
      <c r="L492" s="3" t="str">
        <f t="shared" si="1"/>
        <v>Item atualizado</v>
      </c>
      <c r="M492" s="3" t="s">
        <v>9</v>
      </c>
      <c r="N492" s="3" t="s">
        <v>605</v>
      </c>
      <c r="O492" s="3" t="s">
        <v>52</v>
      </c>
      <c r="P492" s="3" t="s">
        <v>1093</v>
      </c>
      <c r="Q492" s="3" t="s">
        <v>860</v>
      </c>
    </row>
    <row r="493" spans="1:17" ht="22.5" customHeight="1" x14ac:dyDescent="0.2">
      <c r="A493" s="3" t="s">
        <v>1094</v>
      </c>
      <c r="B493" s="3" t="str">
        <f ca="1">IFERROR(__xludf.DUMMYFUNCTION("REGEXEXTRACT(A493, ""\.(?:GOV|EXT)\.([A-Z0-9\-]+)"")
"),"HUOC")</f>
        <v>HUOC</v>
      </c>
      <c r="C493" s="3" t="s">
        <v>34</v>
      </c>
      <c r="D493" s="3" t="s">
        <v>35</v>
      </c>
      <c r="E493" s="14" t="str">
        <f ca="1">IFERROR(__xludf.DUMMYFUNCTION("REGEXEXTRACT(A493, ""-(.*)"")"),"ARP.0046.01.2024.GOV.HUOC.PE")</f>
        <v>ARP.0046.01.2024.GOV.HUOC.PE</v>
      </c>
      <c r="F493" s="6" t="s">
        <v>730</v>
      </c>
      <c r="G493" s="3" t="s">
        <v>3</v>
      </c>
      <c r="H493" s="9">
        <v>45433</v>
      </c>
      <c r="I493" s="3" t="s">
        <v>44</v>
      </c>
      <c r="J493" s="3" t="str">
        <f>VLOOKUP(A493,'TODOS OS PROCESSOS ATUALIZADOS '!A:I,7,0)</f>
        <v>Autorizada Sucesso</v>
      </c>
      <c r="K493" s="3" t="s">
        <v>44</v>
      </c>
      <c r="L493" s="3" t="str">
        <f t="shared" si="1"/>
        <v>Item atualizado</v>
      </c>
      <c r="M493" s="3" t="s">
        <v>9</v>
      </c>
      <c r="N493" s="3" t="s">
        <v>605</v>
      </c>
      <c r="O493" s="3" t="s">
        <v>52</v>
      </c>
      <c r="P493" s="3" t="s">
        <v>1095</v>
      </c>
      <c r="Q493" s="3" t="s">
        <v>860</v>
      </c>
    </row>
    <row r="494" spans="1:17" ht="22.5" customHeight="1" x14ac:dyDescent="0.2">
      <c r="A494" s="3" t="s">
        <v>1096</v>
      </c>
      <c r="B494" s="3" t="str">
        <f ca="1">IFERROR(__xludf.DUMMYFUNCTION("REGEXEXTRACT(A494, ""\.(?:GOV|EXT)\.([A-Z0-9\-]+)"")
"),"PROCAPE")</f>
        <v>PROCAPE</v>
      </c>
      <c r="C494" s="3" t="s">
        <v>34</v>
      </c>
      <c r="D494" s="3" t="s">
        <v>35</v>
      </c>
      <c r="E494" s="14" t="str">
        <f ca="1">IFERROR(__xludf.DUMMYFUNCTION("REGEXEXTRACT(A494, ""-(.*)"")"),"ARP.0043.00.2024.GOV.PROCAPE.PE")</f>
        <v>ARP.0043.00.2024.GOV.PROCAPE.PE</v>
      </c>
      <c r="F494" s="6" t="s">
        <v>79</v>
      </c>
      <c r="G494" s="3" t="s">
        <v>3</v>
      </c>
      <c r="H494" s="9">
        <v>45453</v>
      </c>
      <c r="I494" s="3" t="s">
        <v>44</v>
      </c>
      <c r="J494" s="3" t="str">
        <f>VLOOKUP(A494,'TODOS OS PROCESSOS ATUALIZADOS '!A:I,7,0)</f>
        <v>Autorizada Sucesso</v>
      </c>
      <c r="K494" s="3" t="s">
        <v>44</v>
      </c>
      <c r="L494" s="3" t="str">
        <f t="shared" si="1"/>
        <v>Item atualizado</v>
      </c>
      <c r="M494" s="3" t="s">
        <v>9</v>
      </c>
      <c r="N494" s="3" t="s">
        <v>605</v>
      </c>
      <c r="O494" s="3" t="s">
        <v>52</v>
      </c>
      <c r="P494" s="3" t="s">
        <v>1097</v>
      </c>
      <c r="Q494" s="3" t="s">
        <v>860</v>
      </c>
    </row>
    <row r="495" spans="1:17" ht="22.5" customHeight="1" x14ac:dyDescent="0.2">
      <c r="A495" s="3" t="s">
        <v>1098</v>
      </c>
      <c r="B495" s="3" t="str">
        <f ca="1">IFERROR(__xludf.DUMMYFUNCTION("REGEXEXTRACT(A495, ""\.(?:GOV|EXT)\.([A-Z0-9\-]+)"")
"),"HOF")</f>
        <v>HOF</v>
      </c>
      <c r="C495" s="3" t="s">
        <v>34</v>
      </c>
      <c r="D495" s="3" t="s">
        <v>35</v>
      </c>
      <c r="E495" s="14" t="str">
        <f ca="1">IFERROR(__xludf.DUMMYFUNCTION("REGEXEXTRACT(A495, ""-(.*)"")"),"ARP.0009.10.2024.GOV.HOF.PE")</f>
        <v>ARP.0009.10.2024.GOV.HOF.PE</v>
      </c>
      <c r="F495" s="3" t="s">
        <v>628</v>
      </c>
      <c r="G495" s="3"/>
      <c r="H495" s="9">
        <v>45471</v>
      </c>
      <c r="I495" s="3" t="s">
        <v>37</v>
      </c>
      <c r="J495" s="3" t="str">
        <f>VLOOKUP(A495,'TODOS OS PROCESSOS ATUALIZADOS '!A:I,7,0)</f>
        <v>Cancelada</v>
      </c>
      <c r="K495" s="3" t="s">
        <v>38</v>
      </c>
      <c r="L495" s="3" t="str">
        <f t="shared" si="1"/>
        <v>Item não atualizado</v>
      </c>
      <c r="M495" s="3"/>
      <c r="N495" s="3" t="s">
        <v>605</v>
      </c>
      <c r="O495" s="3"/>
    </row>
    <row r="496" spans="1:17" ht="22.5" customHeight="1" x14ac:dyDescent="0.2">
      <c r="A496" s="3" t="s">
        <v>1099</v>
      </c>
      <c r="B496" s="3" t="str">
        <f ca="1">IFERROR(__xludf.DUMMYFUNCTION("REGEXEXTRACT(A496, ""\.(?:GOV|EXT)\.([A-Z0-9\-]+)"")
"),"HOF")</f>
        <v>HOF</v>
      </c>
      <c r="C496" s="3" t="s">
        <v>34</v>
      </c>
      <c r="D496" s="3" t="s">
        <v>35</v>
      </c>
      <c r="E496" s="14" t="str">
        <f ca="1">IFERROR(__xludf.DUMMYFUNCTION("REGEXEXTRACT(A496, ""-(.*)"")"),"ARP.0009.01.2024.GOV.HOF.PE")</f>
        <v>ARP.0009.01.2024.GOV.HOF.PE</v>
      </c>
      <c r="F496" s="6" t="s">
        <v>628</v>
      </c>
      <c r="G496" s="3" t="s">
        <v>3</v>
      </c>
      <c r="H496" s="9">
        <v>45476</v>
      </c>
      <c r="I496" s="3" t="s">
        <v>44</v>
      </c>
      <c r="J496" s="3" t="str">
        <f>VLOOKUP(A496,'TODOS OS PROCESSOS ATUALIZADOS '!A:I,7,0)</f>
        <v>Autorizada Sucesso</v>
      </c>
      <c r="K496" s="3" t="s">
        <v>44</v>
      </c>
      <c r="L496" s="3" t="str">
        <f t="shared" si="1"/>
        <v>Item atualizado</v>
      </c>
      <c r="M496" s="3" t="s">
        <v>9</v>
      </c>
      <c r="N496" s="3" t="s">
        <v>605</v>
      </c>
      <c r="O496" s="3" t="s">
        <v>52</v>
      </c>
      <c r="P496" s="3" t="s">
        <v>1100</v>
      </c>
      <c r="Q496" s="3" t="s">
        <v>860</v>
      </c>
    </row>
    <row r="497" spans="1:17" ht="22.5" customHeight="1" x14ac:dyDescent="0.2">
      <c r="A497" s="3" t="s">
        <v>1101</v>
      </c>
      <c r="B497" s="3" t="str">
        <f ca="1">IFERROR(__xludf.DUMMYFUNCTION("REGEXEXTRACT(A497, ""\.(?:GOV|EXT)\.([A-Z0-9\-]+)"")
"),"SASSEPE")</f>
        <v>SASSEPE</v>
      </c>
      <c r="C497" s="3" t="s">
        <v>34</v>
      </c>
      <c r="D497" s="3" t="s">
        <v>35</v>
      </c>
      <c r="E497" s="14" t="str">
        <f ca="1">IFERROR(__xludf.DUMMYFUNCTION("REGEXEXTRACT(A497, ""-(.*)"")"),"ARP.0005.01.2024.GOV.SASSEPE.PE")</f>
        <v>ARP.0005.01.2024.GOV.SASSEPE.PE</v>
      </c>
      <c r="F497" s="6" t="s">
        <v>1102</v>
      </c>
      <c r="G497" s="3" t="s">
        <v>3</v>
      </c>
      <c r="H497" s="9">
        <v>45456</v>
      </c>
      <c r="I497" s="3" t="s">
        <v>44</v>
      </c>
      <c r="J497" s="3" t="str">
        <f>VLOOKUP(A497,'TODOS OS PROCESSOS ATUALIZADOS '!A:I,7,0)</f>
        <v>Autorizada Sucesso</v>
      </c>
      <c r="K497" s="3" t="s">
        <v>44</v>
      </c>
      <c r="L497" s="3" t="str">
        <f t="shared" si="1"/>
        <v>Item atualizado</v>
      </c>
      <c r="M497" s="3" t="s">
        <v>9</v>
      </c>
      <c r="N497" s="3" t="s">
        <v>605</v>
      </c>
      <c r="O497" s="3" t="s">
        <v>52</v>
      </c>
      <c r="P497" s="3" t="s">
        <v>1103</v>
      </c>
      <c r="Q497" s="3" t="s">
        <v>860</v>
      </c>
    </row>
    <row r="498" spans="1:17" ht="22.5" customHeight="1" x14ac:dyDescent="0.2">
      <c r="A498" s="3" t="s">
        <v>1104</v>
      </c>
      <c r="B498" s="3" t="str">
        <f ca="1">IFERROR(__xludf.DUMMYFUNCTION("REGEXEXTRACT(A498, ""\.(?:GOV|EXT)\.([A-Z0-9\-]+)"")
"),"HOF")</f>
        <v>HOF</v>
      </c>
      <c r="C498" s="3" t="s">
        <v>34</v>
      </c>
      <c r="D498" s="3" t="s">
        <v>35</v>
      </c>
      <c r="E498" s="14" t="str">
        <f ca="1">IFERROR(__xludf.DUMMYFUNCTION("REGEXEXTRACT(A498, ""-(.*)"")"),"ARP.0002.00.2024.GOV.HOF.PE")</f>
        <v>ARP.0002.00.2024.GOV.HOF.PE</v>
      </c>
      <c r="F498" s="6" t="s">
        <v>837</v>
      </c>
      <c r="G498" s="3" t="s">
        <v>3</v>
      </c>
      <c r="H498" s="9">
        <v>45433</v>
      </c>
      <c r="I498" s="3" t="s">
        <v>44</v>
      </c>
      <c r="J498" s="3" t="str">
        <f>VLOOKUP(A498,'TODOS OS PROCESSOS ATUALIZADOS '!A:I,7,0)</f>
        <v>Autorizada Sucesso</v>
      </c>
      <c r="K498" s="3" t="s">
        <v>44</v>
      </c>
      <c r="L498" s="3" t="str">
        <f t="shared" si="1"/>
        <v>Item atualizado</v>
      </c>
      <c r="M498" s="3" t="s">
        <v>9</v>
      </c>
      <c r="N498" s="3" t="s">
        <v>605</v>
      </c>
      <c r="O498" s="3" t="s">
        <v>52</v>
      </c>
      <c r="P498" s="3" t="s">
        <v>1105</v>
      </c>
      <c r="Q498" s="3" t="s">
        <v>860</v>
      </c>
    </row>
    <row r="499" spans="1:17" ht="22.5" customHeight="1" x14ac:dyDescent="0.2">
      <c r="A499" s="3" t="s">
        <v>1106</v>
      </c>
      <c r="B499" s="3" t="str">
        <f ca="1">IFERROR(__xludf.DUMMYFUNCTION("REGEXEXTRACT(A499, ""\.(?:GOV|EXT)\.([A-Z0-9\-]+)"")
"),"HUOC")</f>
        <v>HUOC</v>
      </c>
      <c r="C499" s="3" t="s">
        <v>34</v>
      </c>
      <c r="D499" s="3" t="s">
        <v>35</v>
      </c>
      <c r="E499" s="14" t="str">
        <f ca="1">IFERROR(__xludf.DUMMYFUNCTION("REGEXEXTRACT(A499, ""-(.*)"")"),"ARP.0130.09.2023.GOV.HUOC.PE")</f>
        <v>ARP.0130.09.2023.GOV.HUOC.PE</v>
      </c>
      <c r="F499" s="3" t="s">
        <v>875</v>
      </c>
      <c r="G499" s="3"/>
      <c r="H499" s="9">
        <v>45470</v>
      </c>
      <c r="I499" s="3" t="s">
        <v>44</v>
      </c>
      <c r="J499" s="3" t="str">
        <f>VLOOKUP(A499,'TODOS OS PROCESSOS ATUALIZADOS '!A:I,7,0)</f>
        <v>Autorizada Sucesso</v>
      </c>
      <c r="K499" s="3" t="s">
        <v>605</v>
      </c>
      <c r="L499" s="3" t="str">
        <f t="shared" si="1"/>
        <v>Item atualizado</v>
      </c>
      <c r="M499" s="3"/>
      <c r="N499" s="3" t="s">
        <v>605</v>
      </c>
      <c r="O499" s="3"/>
    </row>
    <row r="500" spans="1:17" ht="22.5" customHeight="1" x14ac:dyDescent="0.2">
      <c r="A500" s="3" t="s">
        <v>1107</v>
      </c>
      <c r="B500" s="3" t="str">
        <f ca="1">IFERROR(__xludf.DUMMYFUNCTION("REGEXEXTRACT(A500, ""\.(?:GOV|EXT)\.([A-Z0-9\-]+)"")
"),"HUOC")</f>
        <v>HUOC</v>
      </c>
      <c r="C500" s="3" t="s">
        <v>34</v>
      </c>
      <c r="D500" s="3" t="s">
        <v>35</v>
      </c>
      <c r="E500" s="14" t="str">
        <f ca="1">IFERROR(__xludf.DUMMYFUNCTION("REGEXEXTRACT(A500, ""-(.*)"")"),"ARP.0059.02.2024.GOV.HUOC.PE")</f>
        <v>ARP.0059.02.2024.GOV.HUOC.PE</v>
      </c>
      <c r="F500" s="6" t="s">
        <v>913</v>
      </c>
      <c r="G500" s="3"/>
      <c r="H500" s="9">
        <v>45478</v>
      </c>
      <c r="I500" s="3" t="s">
        <v>44</v>
      </c>
      <c r="J500" s="3" t="str">
        <f>VLOOKUP(A500,'TODOS OS PROCESSOS ATUALIZADOS '!A:I,7,0)</f>
        <v>Autorizada Sucesso</v>
      </c>
      <c r="K500" s="3" t="s">
        <v>44</v>
      </c>
      <c r="L500" s="3" t="str">
        <f t="shared" si="1"/>
        <v>Item atualizado</v>
      </c>
      <c r="M500" s="3" t="s">
        <v>9</v>
      </c>
      <c r="N500" s="3" t="s">
        <v>605</v>
      </c>
      <c r="O500" s="3"/>
      <c r="P500" s="3" t="s">
        <v>1108</v>
      </c>
      <c r="Q500" s="6" t="s">
        <v>898</v>
      </c>
    </row>
    <row r="501" spans="1:17" ht="22.5" customHeight="1" x14ac:dyDescent="0.2">
      <c r="A501" s="3" t="s">
        <v>1109</v>
      </c>
      <c r="B501" s="3" t="str">
        <f ca="1">IFERROR(__xludf.DUMMYFUNCTION("REGEXEXTRACT(A501, ""\.(?:GOV|EXT)\.([A-Z0-9\-]+)"")
"),"PROCAPE")</f>
        <v>PROCAPE</v>
      </c>
      <c r="C501" s="3" t="s">
        <v>34</v>
      </c>
      <c r="D501" s="3" t="s">
        <v>35</v>
      </c>
      <c r="E501" s="14" t="str">
        <f ca="1">IFERROR(__xludf.DUMMYFUNCTION("REGEXEXTRACT(A501, ""-(.*)"")"),"ARP.0046.03.2024.GOV.PROCAPE.PE")</f>
        <v>ARP.0046.03.2024.GOV.PROCAPE.PE</v>
      </c>
      <c r="F501" s="6" t="s">
        <v>127</v>
      </c>
      <c r="G501" s="3" t="s">
        <v>3</v>
      </c>
      <c r="H501" s="9">
        <v>45440</v>
      </c>
      <c r="I501" s="3" t="s">
        <v>44</v>
      </c>
      <c r="J501" s="3" t="str">
        <f>VLOOKUP(A501,'TODOS OS PROCESSOS ATUALIZADOS '!A:I,7,0)</f>
        <v>Autorizada Sucesso</v>
      </c>
      <c r="K501" s="3" t="s">
        <v>44</v>
      </c>
      <c r="L501" s="3" t="str">
        <f t="shared" si="1"/>
        <v>Item atualizado</v>
      </c>
      <c r="M501" s="3" t="s">
        <v>9</v>
      </c>
      <c r="N501" s="3" t="s">
        <v>605</v>
      </c>
      <c r="O501" s="3" t="s">
        <v>52</v>
      </c>
      <c r="P501" s="3" t="s">
        <v>1110</v>
      </c>
      <c r="Q501" s="3" t="s">
        <v>860</v>
      </c>
    </row>
    <row r="502" spans="1:17" ht="22.5" customHeight="1" x14ac:dyDescent="0.2">
      <c r="A502" s="3" t="s">
        <v>1111</v>
      </c>
      <c r="B502" s="3" t="str">
        <f ca="1">IFERROR(__xludf.DUMMYFUNCTION("REGEXEXTRACT(A502, ""\.(?:GOV|EXT)\.([A-Z0-9\-]+)"")
"),"SAD")</f>
        <v>SAD</v>
      </c>
      <c r="C502" s="3" t="s">
        <v>34</v>
      </c>
      <c r="D502" s="3" t="s">
        <v>35</v>
      </c>
      <c r="E502" s="14" t="str">
        <f ca="1">IFERROR(__xludf.DUMMYFUNCTION("REGEXEXTRACT(A502, ""-(.*)"")"),"ARPC.0033.00.2023.GOV.SAD.PE")</f>
        <v>ARPC.0033.00.2023.GOV.SAD.PE</v>
      </c>
      <c r="F502" s="3" t="s">
        <v>1112</v>
      </c>
      <c r="G502" s="3"/>
      <c r="H502" s="9">
        <v>45427</v>
      </c>
      <c r="I502" s="3" t="s">
        <v>44</v>
      </c>
      <c r="J502" s="3" t="str">
        <f>VLOOKUP(A502,'TODOS OS PROCESSOS ATUALIZADOS '!A:I,7,0)</f>
        <v>Autorizada Sucesso</v>
      </c>
      <c r="K502" s="3" t="s">
        <v>605</v>
      </c>
      <c r="L502" s="3" t="str">
        <f t="shared" si="1"/>
        <v>Item atualizado</v>
      </c>
      <c r="M502" s="3"/>
      <c r="N502" s="3" t="s">
        <v>605</v>
      </c>
      <c r="O502" s="3"/>
    </row>
    <row r="503" spans="1:17" ht="22.5" customHeight="1" x14ac:dyDescent="0.2">
      <c r="A503" s="3" t="s">
        <v>1113</v>
      </c>
      <c r="B503" s="3" t="str">
        <f ca="1">IFERROR(__xludf.DUMMYFUNCTION("REGEXEXTRACT(A503, ""\.(?:GOV|EXT)\.([A-Z0-9\-]+)"")
"),"HR")</f>
        <v>HR</v>
      </c>
      <c r="C503" s="3" t="s">
        <v>34</v>
      </c>
      <c r="D503" s="3" t="s">
        <v>35</v>
      </c>
      <c r="E503" s="14" t="str">
        <f ca="1">IFERROR(__xludf.DUMMYFUNCTION("REGEXEXTRACT(A503, ""-(.*)"")"),"ARP.0035.00.2023.GOV.HR.PE")</f>
        <v>ARP.0035.00.2023.GOV.HR.PE</v>
      </c>
      <c r="F503" s="3" t="s">
        <v>1114</v>
      </c>
      <c r="G503" s="3"/>
      <c r="H503" s="9">
        <v>45370</v>
      </c>
      <c r="I503" s="3" t="s">
        <v>44</v>
      </c>
      <c r="J503" s="3" t="str">
        <f>VLOOKUP(A503,'TODOS OS PROCESSOS ATUALIZADOS '!A:I,7,0)</f>
        <v>Autorizada Sucesso</v>
      </c>
      <c r="K503" s="3" t="s">
        <v>605</v>
      </c>
      <c r="L503" s="3" t="str">
        <f t="shared" si="1"/>
        <v>Item atualizado</v>
      </c>
      <c r="M503" s="3"/>
      <c r="N503" s="3" t="s">
        <v>605</v>
      </c>
      <c r="O503" s="3"/>
    </row>
    <row r="504" spans="1:17" ht="22.5" customHeight="1" x14ac:dyDescent="0.2">
      <c r="A504" s="3" t="s">
        <v>1115</v>
      </c>
      <c r="B504" s="3" t="str">
        <f ca="1">IFERROR(__xludf.DUMMYFUNCTION("REGEXEXTRACT(A504, ""\.(?:GOV|EXT)\.([A-Z0-9\-]+)"")
"),"HR")</f>
        <v>HR</v>
      </c>
      <c r="C504" s="3" t="s">
        <v>34</v>
      </c>
      <c r="D504" s="3" t="s">
        <v>35</v>
      </c>
      <c r="E504" s="14" t="str">
        <f ca="1">IFERROR(__xludf.DUMMYFUNCTION("REGEXEXTRACT(A504, ""-(.*)"")"),"ARP.0035.00.2023.GOV.HR.PE")</f>
        <v>ARP.0035.00.2023.GOV.HR.PE</v>
      </c>
      <c r="F504" s="3" t="s">
        <v>1114</v>
      </c>
      <c r="G504" s="3"/>
      <c r="H504" s="9">
        <v>45362</v>
      </c>
      <c r="I504" s="3" t="s">
        <v>44</v>
      </c>
      <c r="J504" s="3" t="str">
        <f>VLOOKUP(A504,'TODOS OS PROCESSOS ATUALIZADOS '!A:I,7,0)</f>
        <v>Autorizada Sucesso</v>
      </c>
      <c r="K504" s="3" t="s">
        <v>605</v>
      </c>
      <c r="L504" s="3" t="str">
        <f t="shared" si="1"/>
        <v>Item atualizado</v>
      </c>
      <c r="M504" s="3"/>
      <c r="N504" s="3" t="s">
        <v>605</v>
      </c>
      <c r="O504" s="3"/>
    </row>
    <row r="505" spans="1:17" ht="22.5" customHeight="1" x14ac:dyDescent="0.2">
      <c r="A505" s="3" t="s">
        <v>1116</v>
      </c>
      <c r="B505" s="3" t="str">
        <f ca="1">IFERROR(__xludf.DUMMYFUNCTION("REGEXEXTRACT(A505, ""\.(?:GOV|EXT)\.([A-Z0-9\-]+)"")
"),"SAD")</f>
        <v>SAD</v>
      </c>
      <c r="C505" s="3" t="s">
        <v>34</v>
      </c>
      <c r="D505" s="3" t="s">
        <v>35</v>
      </c>
      <c r="E505" s="14" t="str">
        <f ca="1">IFERROR(__xludf.DUMMYFUNCTION("REGEXEXTRACT(A505, ""-(.*)"")"),"ARPC.0026.00.2023.GOV.SAD.PE")</f>
        <v>ARPC.0026.00.2023.GOV.SAD.PE</v>
      </c>
      <c r="F505" s="3" t="s">
        <v>1117</v>
      </c>
      <c r="G505" s="3"/>
      <c r="H505" s="9">
        <v>45412</v>
      </c>
      <c r="I505" s="3" t="s">
        <v>37</v>
      </c>
      <c r="J505" s="3" t="str">
        <f>VLOOKUP(A505,'TODOS OS PROCESSOS ATUALIZADOS '!A:I,7,0)</f>
        <v>Cancelada</v>
      </c>
      <c r="K505" s="3" t="s">
        <v>605</v>
      </c>
      <c r="L505" s="3" t="str">
        <f t="shared" si="1"/>
        <v>Item não atualizado</v>
      </c>
      <c r="M505" s="3"/>
      <c r="N505" s="3" t="s">
        <v>605</v>
      </c>
      <c r="O505" s="3"/>
    </row>
    <row r="506" spans="1:17" ht="22.5" customHeight="1" x14ac:dyDescent="0.2">
      <c r="A506" s="3" t="s">
        <v>1118</v>
      </c>
      <c r="B506" s="3" t="str">
        <f ca="1">IFERROR(__xludf.DUMMYFUNCTION("REGEXEXTRACT(A506, ""\.(?:GOV|EXT)\.([A-Z0-9\-]+)"")
"),"HUOC")</f>
        <v>HUOC</v>
      </c>
      <c r="C506" s="3" t="s">
        <v>34</v>
      </c>
      <c r="D506" s="3" t="s">
        <v>35</v>
      </c>
      <c r="E506" s="14" t="str">
        <f ca="1">IFERROR(__xludf.DUMMYFUNCTION("REGEXEXTRACT(A506, ""-(.*)"")"),"ARP.0101.05.2023.GOV.HUOC.PE")</f>
        <v>ARP.0101.05.2023.GOV.HUOC.PE</v>
      </c>
      <c r="F506" s="3" t="s">
        <v>1119</v>
      </c>
      <c r="G506" s="3"/>
      <c r="H506" s="9">
        <v>45376</v>
      </c>
      <c r="I506" s="3" t="s">
        <v>44</v>
      </c>
      <c r="J506" s="3" t="str">
        <f>VLOOKUP(A506,'TODOS OS PROCESSOS ATUALIZADOS '!A:I,7,0)</f>
        <v>Autorizada Sucesso</v>
      </c>
      <c r="K506" s="3" t="s">
        <v>605</v>
      </c>
      <c r="L506" s="3" t="str">
        <f t="shared" si="1"/>
        <v>Item atualizado</v>
      </c>
      <c r="M506" s="3"/>
      <c r="N506" s="3" t="s">
        <v>605</v>
      </c>
      <c r="O506" s="3"/>
    </row>
    <row r="507" spans="1:17" ht="22.5" customHeight="1" x14ac:dyDescent="0.2">
      <c r="A507" s="3" t="s">
        <v>1120</v>
      </c>
      <c r="B507" s="3" t="str">
        <f ca="1">IFERROR(__xludf.DUMMYFUNCTION("REGEXEXTRACT(A507, ""\.(?:GOV|EXT)\.([A-Z0-9\-]+)"")
"),"HUOC")</f>
        <v>HUOC</v>
      </c>
      <c r="C507" s="3" t="s">
        <v>34</v>
      </c>
      <c r="D507" s="3" t="s">
        <v>35</v>
      </c>
      <c r="E507" s="14" t="str">
        <f ca="1">IFERROR(__xludf.DUMMYFUNCTION("REGEXEXTRACT(A507, ""-(.*)"")"),"ARP.0064.08.2023.GOV.HUOC.PE")</f>
        <v>ARP.0064.08.2023.GOV.HUOC.PE</v>
      </c>
      <c r="F507" s="3" t="s">
        <v>1121</v>
      </c>
      <c r="G507" s="3"/>
      <c r="H507" s="9">
        <v>45372</v>
      </c>
      <c r="I507" s="3" t="s">
        <v>44</v>
      </c>
      <c r="J507" s="3" t="str">
        <f>VLOOKUP(A507,'TODOS OS PROCESSOS ATUALIZADOS '!A:I,7,0)</f>
        <v>Autorizada Sucesso</v>
      </c>
      <c r="K507" s="3" t="s">
        <v>605</v>
      </c>
      <c r="L507" s="3" t="str">
        <f t="shared" si="1"/>
        <v>Item atualizado</v>
      </c>
      <c r="M507" s="3"/>
      <c r="N507" s="3" t="s">
        <v>605</v>
      </c>
      <c r="O507" s="3"/>
    </row>
    <row r="508" spans="1:17" ht="22.5" customHeight="1" x14ac:dyDescent="0.2">
      <c r="A508" s="3" t="s">
        <v>1122</v>
      </c>
      <c r="B508" s="3" t="str">
        <f ca="1">IFERROR(__xludf.DUMMYFUNCTION("REGEXEXTRACT(A508, ""\.(?:GOV|EXT)\.([A-Z0-9\-]+)"")
"),"HUOC")</f>
        <v>HUOC</v>
      </c>
      <c r="C508" s="3" t="s">
        <v>34</v>
      </c>
      <c r="D508" s="3" t="s">
        <v>35</v>
      </c>
      <c r="E508" s="14" t="str">
        <f ca="1">IFERROR(__xludf.DUMMYFUNCTION("REGEXEXTRACT(A508, ""-(.*)"")"),"ARP.0120.01.2023.GOV.HUOC.PE")</f>
        <v>ARP.0120.01.2023.GOV.HUOC.PE</v>
      </c>
      <c r="F508" s="3" t="s">
        <v>1123</v>
      </c>
      <c r="G508" s="3"/>
      <c r="H508" s="9">
        <v>45399</v>
      </c>
      <c r="I508" s="3" t="s">
        <v>44</v>
      </c>
      <c r="J508" s="3" t="str">
        <f>VLOOKUP(A508,'TODOS OS PROCESSOS ATUALIZADOS '!A:I,7,0)</f>
        <v>Autorizada Sucesso</v>
      </c>
      <c r="K508" s="3" t="s">
        <v>605</v>
      </c>
      <c r="L508" s="3" t="str">
        <f t="shared" si="1"/>
        <v>Item atualizado</v>
      </c>
      <c r="M508" s="3"/>
      <c r="N508" s="3" t="s">
        <v>605</v>
      </c>
      <c r="O508" s="3"/>
    </row>
    <row r="509" spans="1:17" ht="22.5" customHeight="1" x14ac:dyDescent="0.2">
      <c r="A509" s="3" t="s">
        <v>1124</v>
      </c>
      <c r="B509" s="3" t="str">
        <f ca="1">IFERROR(__xludf.DUMMYFUNCTION("REGEXEXTRACT(A509, ""\.(?:GOV|EXT)\.([A-Z0-9\-]+)"")
"),"HUOC")</f>
        <v>HUOC</v>
      </c>
      <c r="C509" s="3" t="s">
        <v>34</v>
      </c>
      <c r="D509" s="3" t="s">
        <v>35</v>
      </c>
      <c r="E509" s="14" t="str">
        <f ca="1">IFERROR(__xludf.DUMMYFUNCTION("REGEXEXTRACT(A509, ""-(.*)"")"),"ARP.0085.05.2023.GOV.HUOC.PE")</f>
        <v>ARP.0085.05.2023.GOV.HUOC.PE</v>
      </c>
      <c r="F509" s="3" t="s">
        <v>1125</v>
      </c>
      <c r="G509" s="3"/>
      <c r="H509" s="9">
        <v>45404</v>
      </c>
      <c r="I509" s="3" t="s">
        <v>44</v>
      </c>
      <c r="J509" s="3" t="str">
        <f>VLOOKUP(A509,'TODOS OS PROCESSOS ATUALIZADOS '!A:I,7,0)</f>
        <v>Autorizada Sucesso</v>
      </c>
      <c r="K509" s="3" t="s">
        <v>605</v>
      </c>
      <c r="L509" s="3" t="str">
        <f t="shared" si="1"/>
        <v>Item atualizado</v>
      </c>
      <c r="M509" s="3"/>
      <c r="N509" s="3" t="s">
        <v>605</v>
      </c>
      <c r="O509" s="3"/>
    </row>
    <row r="510" spans="1:17" ht="22.5" customHeight="1" x14ac:dyDescent="0.2">
      <c r="A510" s="3" t="s">
        <v>1126</v>
      </c>
      <c r="B510" s="3" t="str">
        <f ca="1">IFERROR(__xludf.DUMMYFUNCTION("REGEXEXTRACT(A510, ""\.(?:GOV|EXT)\.([A-Z0-9\-]+)"")
"),"PROCAPE")</f>
        <v>PROCAPE</v>
      </c>
      <c r="C510" s="3" t="s">
        <v>34</v>
      </c>
      <c r="D510" s="3" t="s">
        <v>35</v>
      </c>
      <c r="E510" s="14" t="str">
        <f ca="1">IFERROR(__xludf.DUMMYFUNCTION("REGEXEXTRACT(A510, ""-(.*)"")"),"ARP.0069.00.2023.GOV.PROCAPE.PE")</f>
        <v>ARP.0069.00.2023.GOV.PROCAPE.PE</v>
      </c>
      <c r="F510" s="3" t="s">
        <v>1127</v>
      </c>
      <c r="G510" s="3"/>
      <c r="H510" s="9">
        <v>45427</v>
      </c>
      <c r="I510" s="3" t="s">
        <v>44</v>
      </c>
      <c r="J510" s="3" t="str">
        <f>VLOOKUP(A510,'TODOS OS PROCESSOS ATUALIZADOS '!A:I,7,0)</f>
        <v>Autorizada Sucesso</v>
      </c>
      <c r="K510" s="3" t="s">
        <v>605</v>
      </c>
      <c r="L510" s="3" t="str">
        <f t="shared" si="1"/>
        <v>Item atualizado</v>
      </c>
      <c r="M510" s="3"/>
      <c r="N510" s="3" t="s">
        <v>605</v>
      </c>
      <c r="O510" s="3"/>
    </row>
    <row r="511" spans="1:17" ht="22.5" customHeight="1" x14ac:dyDescent="0.2">
      <c r="A511" s="3" t="s">
        <v>1128</v>
      </c>
      <c r="B511" s="3" t="str">
        <f ca="1">IFERROR(__xludf.DUMMYFUNCTION("REGEXEXTRACT(A511, ""\.(?:GOV|EXT)\.([A-Z0-9\-]+)"")
"),"SAD")</f>
        <v>SAD</v>
      </c>
      <c r="C511" s="3" t="s">
        <v>34</v>
      </c>
      <c r="D511" s="3" t="s">
        <v>35</v>
      </c>
      <c r="E511" s="14" t="str">
        <f ca="1">IFERROR(__xludf.DUMMYFUNCTION("REGEXEXTRACT(A511, ""-(.*)"")"),"ARPC.0007.00.2024.GOV.SAD.PE")</f>
        <v>ARPC.0007.00.2024.GOV.SAD.PE</v>
      </c>
      <c r="F511" s="6" t="s">
        <v>494</v>
      </c>
      <c r="G511" s="3" t="s">
        <v>2</v>
      </c>
      <c r="H511" s="9">
        <v>45405</v>
      </c>
      <c r="I511" s="3" t="s">
        <v>44</v>
      </c>
      <c r="J511" s="3" t="str">
        <f>VLOOKUP(A511,'TODOS OS PROCESSOS ATUALIZADOS '!A:I,7,0)</f>
        <v>Autorizada Sucesso</v>
      </c>
      <c r="K511" s="3" t="s">
        <v>44</v>
      </c>
      <c r="L511" s="3" t="str">
        <f t="shared" si="1"/>
        <v>Item atualizado</v>
      </c>
      <c r="M511" s="3" t="s">
        <v>9</v>
      </c>
      <c r="N511" s="3" t="s">
        <v>605</v>
      </c>
      <c r="O511" s="3" t="s">
        <v>52</v>
      </c>
      <c r="P511" s="3" t="s">
        <v>1129</v>
      </c>
      <c r="Q511" s="3" t="s">
        <v>860</v>
      </c>
    </row>
    <row r="512" spans="1:17" ht="22.5" customHeight="1" x14ac:dyDescent="0.2">
      <c r="A512" s="3" t="s">
        <v>1130</v>
      </c>
      <c r="B512" s="3" t="str">
        <f ca="1">IFERROR(__xludf.DUMMYFUNCTION("REGEXEXTRACT(A512, ""\.(?:GOV|EXT)\.([A-Z0-9\-]+)"")
"),"HUOC")</f>
        <v>HUOC</v>
      </c>
      <c r="C512" s="3" t="s">
        <v>34</v>
      </c>
      <c r="D512" s="3" t="s">
        <v>35</v>
      </c>
      <c r="E512" s="14" t="str">
        <f ca="1">IFERROR(__xludf.DUMMYFUNCTION("REGEXEXTRACT(A512, ""-(.*)"")"),"ARP.0085.12.2023.GOV.HUOC.PE")</f>
        <v>ARP.0085.12.2023.GOV.HUOC.PE</v>
      </c>
      <c r="F512" s="3" t="s">
        <v>1125</v>
      </c>
      <c r="G512" s="3"/>
      <c r="H512" s="9">
        <v>45404</v>
      </c>
      <c r="I512" s="3" t="s">
        <v>44</v>
      </c>
      <c r="J512" s="3" t="str">
        <f>VLOOKUP(A512,'TODOS OS PROCESSOS ATUALIZADOS '!A:I,7,0)</f>
        <v>Autorizada Sucesso</v>
      </c>
      <c r="K512" s="3" t="s">
        <v>605</v>
      </c>
      <c r="L512" s="3" t="str">
        <f t="shared" ref="L512:L766" si="2">IFERROR(IF(J512=I512, "Item não atualizado", "Item atualizado"), "Item não localizado")</f>
        <v>Item atualizado</v>
      </c>
      <c r="M512" s="3"/>
      <c r="N512" s="3" t="s">
        <v>605</v>
      </c>
      <c r="O512" s="3"/>
    </row>
    <row r="513" spans="1:17" ht="22.5" customHeight="1" x14ac:dyDescent="0.2">
      <c r="A513" s="3" t="s">
        <v>1131</v>
      </c>
      <c r="B513" s="3" t="str">
        <f ca="1">IFERROR(__xludf.DUMMYFUNCTION("REGEXEXTRACT(A513, ""\.(?:GOV|EXT)\.([A-Z0-9\-]+)"")
"),"HUOC")</f>
        <v>HUOC</v>
      </c>
      <c r="C513" s="3" t="s">
        <v>34</v>
      </c>
      <c r="D513" s="3" t="s">
        <v>35</v>
      </c>
      <c r="E513" s="14" t="str">
        <f ca="1">IFERROR(__xludf.DUMMYFUNCTION("REGEXEXTRACT(A513, ""-(.*)"")"),"ARP.0085.08.2023.GOV.HUOC.PE")</f>
        <v>ARP.0085.08.2023.GOV.HUOC.PE</v>
      </c>
      <c r="F513" s="3" t="s">
        <v>1125</v>
      </c>
      <c r="G513" s="3"/>
      <c r="H513" s="9">
        <v>45404</v>
      </c>
      <c r="I513" s="3" t="s">
        <v>44</v>
      </c>
      <c r="J513" s="3" t="str">
        <f>VLOOKUP(A513,'TODOS OS PROCESSOS ATUALIZADOS '!A:I,7,0)</f>
        <v>Autorizada Sucesso</v>
      </c>
      <c r="K513" s="3" t="s">
        <v>605</v>
      </c>
      <c r="L513" s="3" t="str">
        <f t="shared" si="2"/>
        <v>Item atualizado</v>
      </c>
      <c r="M513" s="3"/>
      <c r="N513" s="3" t="s">
        <v>605</v>
      </c>
      <c r="O513" s="3"/>
    </row>
    <row r="514" spans="1:17" ht="22.5" customHeight="1" x14ac:dyDescent="0.2">
      <c r="A514" s="3" t="s">
        <v>1132</v>
      </c>
      <c r="B514" s="3" t="str">
        <f ca="1">IFERROR(__xludf.DUMMYFUNCTION("REGEXEXTRACT(A514, ""\.(?:GOV|EXT)\.([A-Z0-9\-]+)"")
"),"SAD")</f>
        <v>SAD</v>
      </c>
      <c r="C514" s="3" t="s">
        <v>34</v>
      </c>
      <c r="D514" s="3" t="s">
        <v>35</v>
      </c>
      <c r="E514" s="14" t="str">
        <f ca="1">IFERROR(__xludf.DUMMYFUNCTION("REGEXEXTRACT(A514, ""-(.*)"")"),"ARPC.0007.00.2024.GOV.SAD.PE")</f>
        <v>ARPC.0007.00.2024.GOV.SAD.PE</v>
      </c>
      <c r="F514" s="6" t="s">
        <v>494</v>
      </c>
      <c r="G514" s="3" t="s">
        <v>2</v>
      </c>
      <c r="H514" s="9">
        <v>45405</v>
      </c>
      <c r="I514" s="3" t="s">
        <v>44</v>
      </c>
      <c r="J514" s="3" t="str">
        <f>VLOOKUP(A514,'TODOS OS PROCESSOS ATUALIZADOS '!A:I,7,0)</f>
        <v>Autorizada Sucesso</v>
      </c>
      <c r="K514" s="3" t="s">
        <v>44</v>
      </c>
      <c r="L514" s="3" t="str">
        <f t="shared" si="2"/>
        <v>Item atualizado</v>
      </c>
      <c r="M514" s="3" t="s">
        <v>9</v>
      </c>
      <c r="N514" s="3" t="s">
        <v>605</v>
      </c>
      <c r="O514" s="3" t="s">
        <v>52</v>
      </c>
      <c r="P514" s="3" t="s">
        <v>1133</v>
      </c>
      <c r="Q514" s="3" t="s">
        <v>860</v>
      </c>
    </row>
    <row r="515" spans="1:17" ht="22.5" customHeight="1" x14ac:dyDescent="0.2">
      <c r="A515" s="3" t="s">
        <v>1134</v>
      </c>
      <c r="B515" s="3" t="str">
        <f ca="1">IFERROR(__xludf.DUMMYFUNCTION("REGEXEXTRACT(A515, ""\.(?:GOV|EXT)\.([A-Z0-9\-]+)"")
"),"HR")</f>
        <v>HR</v>
      </c>
      <c r="C515" s="3" t="s">
        <v>34</v>
      </c>
      <c r="D515" s="3" t="s">
        <v>35</v>
      </c>
      <c r="E515" s="14" t="str">
        <f ca="1">IFERROR(__xludf.DUMMYFUNCTION("REGEXEXTRACT(A515, ""-(.*)"")"),"ARP.0030.05.2023.GOV.HR.PE")</f>
        <v>ARP.0030.05.2023.GOV.HR.PE</v>
      </c>
      <c r="F515" s="3" t="s">
        <v>725</v>
      </c>
      <c r="G515" s="3"/>
      <c r="H515" s="9">
        <v>45398</v>
      </c>
      <c r="I515" s="3" t="s">
        <v>44</v>
      </c>
      <c r="J515" s="3" t="str">
        <f>VLOOKUP(A515,'TODOS OS PROCESSOS ATUALIZADOS '!A:I,7,0)</f>
        <v>Autorizada Sucesso</v>
      </c>
      <c r="K515" s="3" t="s">
        <v>605</v>
      </c>
      <c r="L515" s="3" t="str">
        <f t="shared" si="2"/>
        <v>Item atualizado</v>
      </c>
      <c r="M515" s="3"/>
      <c r="N515" s="3" t="s">
        <v>605</v>
      </c>
      <c r="O515" s="3"/>
    </row>
    <row r="516" spans="1:17" ht="22.5" customHeight="1" x14ac:dyDescent="0.2">
      <c r="A516" s="3" t="s">
        <v>1135</v>
      </c>
      <c r="B516" s="3" t="str">
        <f ca="1">IFERROR(__xludf.DUMMYFUNCTION("REGEXEXTRACT(A516, ""\.(?:GOV|EXT)\.([A-Z0-9\-]+)"")
"),"CISAM")</f>
        <v>CISAM</v>
      </c>
      <c r="C516" s="3" t="s">
        <v>34</v>
      </c>
      <c r="D516" s="3" t="s">
        <v>35</v>
      </c>
      <c r="E516" s="14" t="str">
        <f ca="1">IFERROR(__xludf.DUMMYFUNCTION("REGEXEXTRACT(A516, ""-(.*)"")"),"ARP.0030.01.2024.GOV.CISAM.PE")</f>
        <v>ARP.0030.01.2024.GOV.CISAM.PE</v>
      </c>
      <c r="F516" s="6" t="s">
        <v>603</v>
      </c>
      <c r="G516" s="3" t="s">
        <v>3</v>
      </c>
      <c r="H516" s="9">
        <v>45394</v>
      </c>
      <c r="I516" s="3" t="s">
        <v>44</v>
      </c>
      <c r="J516" s="3" t="str">
        <f>VLOOKUP(A516,'TODOS OS PROCESSOS ATUALIZADOS '!A:I,7,0)</f>
        <v>Autorizada Sucesso</v>
      </c>
      <c r="K516" s="3" t="s">
        <v>44</v>
      </c>
      <c r="L516" s="3" t="str">
        <f t="shared" si="2"/>
        <v>Item atualizado</v>
      </c>
      <c r="M516" s="3" t="s">
        <v>9</v>
      </c>
      <c r="N516" s="3" t="s">
        <v>605</v>
      </c>
      <c r="O516" s="3" t="s">
        <v>52</v>
      </c>
      <c r="P516" s="3" t="s">
        <v>1136</v>
      </c>
      <c r="Q516" s="3" t="s">
        <v>860</v>
      </c>
    </row>
    <row r="517" spans="1:17" ht="22.5" customHeight="1" x14ac:dyDescent="0.2">
      <c r="A517" s="3" t="s">
        <v>1137</v>
      </c>
      <c r="B517" s="3" t="str">
        <f ca="1">IFERROR(__xludf.DUMMYFUNCTION("REGEXEXTRACT(A517, ""\.(?:GOV|EXT)\.([A-Z0-9\-]+)"")
"),"HGV")</f>
        <v>HGV</v>
      </c>
      <c r="C517" s="3" t="s">
        <v>34</v>
      </c>
      <c r="D517" s="3" t="s">
        <v>35</v>
      </c>
      <c r="E517" s="14" t="str">
        <f ca="1">IFERROR(__xludf.DUMMYFUNCTION("REGEXEXTRACT(A517, ""-(.*)"")"),"ARP.0021.00.2023.GOV.HGV.PE")</f>
        <v>ARP.0021.00.2023.GOV.HGV.PE</v>
      </c>
      <c r="F517" s="3" t="s">
        <v>1138</v>
      </c>
      <c r="G517" s="3"/>
      <c r="H517" s="9">
        <v>45400</v>
      </c>
      <c r="I517" s="3" t="s">
        <v>44</v>
      </c>
      <c r="J517" s="3" t="str">
        <f>VLOOKUP(A517,'TODOS OS PROCESSOS ATUALIZADOS '!A:I,7,0)</f>
        <v>Autorizada Sucesso</v>
      </c>
      <c r="K517" s="3" t="s">
        <v>605</v>
      </c>
      <c r="L517" s="3" t="str">
        <f t="shared" si="2"/>
        <v>Item atualizado</v>
      </c>
      <c r="M517" s="3"/>
      <c r="N517" s="3" t="s">
        <v>605</v>
      </c>
      <c r="O517" s="3"/>
    </row>
    <row r="518" spans="1:17" ht="22.5" customHeight="1" x14ac:dyDescent="0.2">
      <c r="A518" s="3" t="s">
        <v>1139</v>
      </c>
      <c r="B518" s="3" t="str">
        <f ca="1">IFERROR(__xludf.DUMMYFUNCTION("REGEXEXTRACT(A518, ""\.(?:GOV|EXT)\.([A-Z0-9\-]+)"")
"),"SASSEPE")</f>
        <v>SASSEPE</v>
      </c>
      <c r="C518" s="3" t="s">
        <v>34</v>
      </c>
      <c r="D518" s="3" t="s">
        <v>35</v>
      </c>
      <c r="E518" s="14" t="str">
        <f ca="1">IFERROR(__xludf.DUMMYFUNCTION("REGEXEXTRACT(A518, ""-(.*)"")"),"ARP.0002.02.2024.GOV.SASSEPE.PE")</f>
        <v>ARP.0002.02.2024.GOV.SASSEPE.PE</v>
      </c>
      <c r="F518" s="6" t="s">
        <v>720</v>
      </c>
      <c r="G518" s="3" t="s">
        <v>3</v>
      </c>
      <c r="H518" s="9">
        <v>45394</v>
      </c>
      <c r="I518" s="3" t="s">
        <v>44</v>
      </c>
      <c r="J518" s="3" t="str">
        <f>VLOOKUP(A518,'TODOS OS PROCESSOS ATUALIZADOS '!A:I,7,0)</f>
        <v>Autorizada Sucesso</v>
      </c>
      <c r="K518" s="3" t="s">
        <v>44</v>
      </c>
      <c r="L518" s="3" t="str">
        <f t="shared" si="2"/>
        <v>Item atualizado</v>
      </c>
      <c r="M518" s="3" t="s">
        <v>9</v>
      </c>
      <c r="N518" s="3" t="s">
        <v>605</v>
      </c>
      <c r="O518" s="3" t="s">
        <v>52</v>
      </c>
      <c r="P518" s="3" t="s">
        <v>1140</v>
      </c>
      <c r="Q518" s="3" t="s">
        <v>860</v>
      </c>
    </row>
    <row r="519" spans="1:17" ht="22.5" customHeight="1" x14ac:dyDescent="0.2">
      <c r="A519" s="3" t="s">
        <v>1141</v>
      </c>
      <c r="B519" s="3" t="str">
        <f ca="1">IFERROR(__xludf.DUMMYFUNCTION("REGEXEXTRACT(A519, ""\.(?:GOV|EXT)\.([A-Z0-9\-]+)"")
"),"HUOC")</f>
        <v>HUOC</v>
      </c>
      <c r="C519" s="3" t="s">
        <v>34</v>
      </c>
      <c r="D519" s="3" t="s">
        <v>35</v>
      </c>
      <c r="E519" s="14" t="str">
        <f ca="1">IFERROR(__xludf.DUMMYFUNCTION("REGEXEXTRACT(A519, ""-(.*)"")"),"ARP.0112.01.2023.GOV.HUOC.PE")</f>
        <v>ARP.0112.01.2023.GOV.HUOC.PE</v>
      </c>
      <c r="F519" s="3" t="s">
        <v>1142</v>
      </c>
      <c r="G519" s="3"/>
      <c r="H519" s="9">
        <v>45406</v>
      </c>
      <c r="I519" s="3" t="s">
        <v>44</v>
      </c>
      <c r="J519" s="3" t="str">
        <f>VLOOKUP(A519,'TODOS OS PROCESSOS ATUALIZADOS '!A:I,7,0)</f>
        <v>Autorizada Sucesso</v>
      </c>
      <c r="K519" s="3" t="s">
        <v>605</v>
      </c>
      <c r="L519" s="3" t="str">
        <f t="shared" si="2"/>
        <v>Item atualizado</v>
      </c>
      <c r="M519" s="3"/>
      <c r="N519" s="3" t="s">
        <v>605</v>
      </c>
      <c r="O519" s="3"/>
    </row>
    <row r="520" spans="1:17" ht="22.5" customHeight="1" x14ac:dyDescent="0.2">
      <c r="A520" s="3" t="s">
        <v>1143</v>
      </c>
      <c r="B520" s="3" t="str">
        <f ca="1">IFERROR(__xludf.DUMMYFUNCTION("REGEXEXTRACT(A520, ""\.(?:GOV|EXT)\.([A-Z0-9\-]+)"")
"),"HUOC")</f>
        <v>HUOC</v>
      </c>
      <c r="C520" s="3" t="s">
        <v>34</v>
      </c>
      <c r="D520" s="3" t="s">
        <v>35</v>
      </c>
      <c r="E520" s="14" t="str">
        <f ca="1">IFERROR(__xludf.DUMMYFUNCTION("REGEXEXTRACT(A520, ""-(.*)"")"),"ARP.0112.00.2023.GOV.HUOC.PE")</f>
        <v>ARP.0112.00.2023.GOV.HUOC.PE</v>
      </c>
      <c r="F520" s="3" t="s">
        <v>1142</v>
      </c>
      <c r="G520" s="3"/>
      <c r="H520" s="9">
        <v>45426</v>
      </c>
      <c r="I520" s="3" t="s">
        <v>44</v>
      </c>
      <c r="J520" s="3" t="str">
        <f>VLOOKUP(A520,'TODOS OS PROCESSOS ATUALIZADOS '!A:I,7,0)</f>
        <v>Autorizada Sucesso</v>
      </c>
      <c r="K520" s="3" t="s">
        <v>605</v>
      </c>
      <c r="L520" s="3" t="str">
        <f t="shared" si="2"/>
        <v>Item atualizado</v>
      </c>
      <c r="M520" s="3"/>
      <c r="N520" s="3" t="s">
        <v>605</v>
      </c>
      <c r="O520" s="3"/>
    </row>
    <row r="521" spans="1:17" ht="22.5" customHeight="1" x14ac:dyDescent="0.2">
      <c r="A521" s="3" t="s">
        <v>1144</v>
      </c>
      <c r="B521" s="3" t="str">
        <f ca="1">IFERROR(__xludf.DUMMYFUNCTION("REGEXEXTRACT(A521, ""\.(?:GOV|EXT)\.([A-Z0-9\-]+)"")
"),"HUOC")</f>
        <v>HUOC</v>
      </c>
      <c r="C521" s="3" t="s">
        <v>34</v>
      </c>
      <c r="D521" s="3" t="s">
        <v>35</v>
      </c>
      <c r="E521" s="14" t="str">
        <f ca="1">IFERROR(__xludf.DUMMYFUNCTION("REGEXEXTRACT(A521, ""-(.*)"")"),"ARP.0039.02.2024.GOV.HUOC.PE")</f>
        <v>ARP.0039.02.2024.GOV.HUOC.PE</v>
      </c>
      <c r="F521" s="6" t="s">
        <v>880</v>
      </c>
      <c r="G521" s="3"/>
      <c r="H521" s="9">
        <v>45422</v>
      </c>
      <c r="I521" s="3" t="s">
        <v>44</v>
      </c>
      <c r="J521" s="3" t="str">
        <f>VLOOKUP(A521,'TODOS OS PROCESSOS ATUALIZADOS '!A:I,7,0)</f>
        <v>Autorizada Sucesso</v>
      </c>
      <c r="K521" s="3" t="s">
        <v>44</v>
      </c>
      <c r="L521" s="3" t="str">
        <f t="shared" si="2"/>
        <v>Item atualizado</v>
      </c>
      <c r="M521" s="3"/>
      <c r="N521" s="3" t="s">
        <v>605</v>
      </c>
      <c r="O521" s="3"/>
    </row>
    <row r="522" spans="1:17" ht="22.5" customHeight="1" x14ac:dyDescent="0.2">
      <c r="A522" s="3" t="s">
        <v>1145</v>
      </c>
      <c r="B522" s="3" t="str">
        <f ca="1">IFERROR(__xludf.DUMMYFUNCTION("REGEXEXTRACT(A522, ""\.(?:GOV|EXT)\.([A-Z0-9\-]+)"")
"),"HUOC")</f>
        <v>HUOC</v>
      </c>
      <c r="C522" s="3" t="s">
        <v>34</v>
      </c>
      <c r="D522" s="3" t="s">
        <v>35</v>
      </c>
      <c r="E522" s="14" t="str">
        <f ca="1">IFERROR(__xludf.DUMMYFUNCTION("REGEXEXTRACT(A522, ""-(.*)"")"),"ARP.0118.00.2023.GOV.HUOC.PE")</f>
        <v>ARP.0118.00.2023.GOV.HUOC.PE</v>
      </c>
      <c r="F522" s="3" t="s">
        <v>1146</v>
      </c>
      <c r="G522" s="3"/>
      <c r="H522" s="9">
        <v>45370</v>
      </c>
      <c r="I522" s="3" t="s">
        <v>44</v>
      </c>
      <c r="J522" s="3" t="str">
        <f>VLOOKUP(A522,'TODOS OS PROCESSOS ATUALIZADOS '!A:I,7,0)</f>
        <v>Autorizada Sucesso</v>
      </c>
      <c r="K522" s="3" t="s">
        <v>605</v>
      </c>
      <c r="L522" s="3" t="str">
        <f t="shared" si="2"/>
        <v>Item atualizado</v>
      </c>
      <c r="M522" s="3"/>
      <c r="N522" s="3" t="s">
        <v>605</v>
      </c>
      <c r="O522" s="3"/>
    </row>
    <row r="523" spans="1:17" ht="22.5" customHeight="1" x14ac:dyDescent="0.2">
      <c r="A523" s="3" t="s">
        <v>1147</v>
      </c>
      <c r="B523" s="3" t="str">
        <f ca="1">IFERROR(__xludf.DUMMYFUNCTION("REGEXEXTRACT(A523, ""\.(?:GOV|EXT)\.([A-Z0-9\-]+)"")
"),"HAM")</f>
        <v>HAM</v>
      </c>
      <c r="C523" s="3" t="s">
        <v>34</v>
      </c>
      <c r="D523" s="3" t="s">
        <v>35</v>
      </c>
      <c r="E523" s="14" t="str">
        <f ca="1">IFERROR(__xludf.DUMMYFUNCTION("REGEXEXTRACT(A523, ""-(.*)"")"),"ARP.0026.10.2023.GOV.HAM.PE")</f>
        <v>ARP.0026.10.2023.GOV.HAM.PE</v>
      </c>
      <c r="F523" s="3" t="s">
        <v>1148</v>
      </c>
      <c r="G523" s="3"/>
      <c r="H523" s="9">
        <v>45397</v>
      </c>
      <c r="I523" s="3" t="s">
        <v>37</v>
      </c>
      <c r="J523" s="3" t="str">
        <f>VLOOKUP(A523,'TODOS OS PROCESSOS ATUALIZADOS '!A:I,7,0)</f>
        <v>Cancelada</v>
      </c>
      <c r="K523" s="3" t="s">
        <v>605</v>
      </c>
      <c r="L523" s="3" t="str">
        <f t="shared" si="2"/>
        <v>Item não atualizado</v>
      </c>
      <c r="M523" s="3"/>
      <c r="N523" s="3" t="s">
        <v>605</v>
      </c>
      <c r="O523" s="3"/>
    </row>
    <row r="524" spans="1:17" ht="22.5" customHeight="1" x14ac:dyDescent="0.2">
      <c r="A524" s="3" t="s">
        <v>1149</v>
      </c>
      <c r="B524" s="3" t="str">
        <f ca="1">IFERROR(__xludf.DUMMYFUNCTION("REGEXEXTRACT(A524, ""\.(?:GOV|EXT)\.([A-Z0-9\-]+)"")
"),"HOF")</f>
        <v>HOF</v>
      </c>
      <c r="C524" s="3" t="s">
        <v>34</v>
      </c>
      <c r="D524" s="3" t="s">
        <v>35</v>
      </c>
      <c r="E524" s="14" t="str">
        <f ca="1">IFERROR(__xludf.DUMMYFUNCTION("REGEXEXTRACT(A524, ""-(.*)"")"),"ARP.0002.03.2024.GOV.HOF.PE")</f>
        <v>ARP.0002.03.2024.GOV.HOF.PE</v>
      </c>
      <c r="F524" s="6" t="s">
        <v>837</v>
      </c>
      <c r="G524" s="3"/>
      <c r="H524" s="9">
        <v>45392</v>
      </c>
      <c r="I524" s="3" t="s">
        <v>44</v>
      </c>
      <c r="J524" s="3" t="str">
        <f>VLOOKUP(A524,'TODOS OS PROCESSOS ATUALIZADOS '!A:I,7,0)</f>
        <v>Autorizada Sucesso</v>
      </c>
      <c r="K524" s="3" t="s">
        <v>44</v>
      </c>
      <c r="L524" s="3" t="str">
        <f t="shared" si="2"/>
        <v>Item atualizado</v>
      </c>
      <c r="M524" s="3"/>
      <c r="N524" s="3" t="s">
        <v>605</v>
      </c>
      <c r="O524" s="3"/>
    </row>
    <row r="525" spans="1:17" ht="22.5" customHeight="1" x14ac:dyDescent="0.2">
      <c r="A525" s="3" t="s">
        <v>1150</v>
      </c>
      <c r="B525" s="3" t="str">
        <f ca="1">IFERROR(__xludf.DUMMYFUNCTION("REGEXEXTRACT(A525, ""\.(?:GOV|EXT)\.([A-Z0-9\-]+)"")
"),"HUOC")</f>
        <v>HUOC</v>
      </c>
      <c r="C525" s="3" t="s">
        <v>34</v>
      </c>
      <c r="D525" s="3" t="s">
        <v>35</v>
      </c>
      <c r="E525" s="14" t="str">
        <f ca="1">IFERROR(__xludf.DUMMYFUNCTION("REGEXEXTRACT(A525, ""-(.*)"")"),"ARP.0112.00.2023.GOV.HUOC.PE")</f>
        <v>ARP.0112.00.2023.GOV.HUOC.PE</v>
      </c>
      <c r="F525" s="3" t="s">
        <v>1142</v>
      </c>
      <c r="G525" s="3"/>
      <c r="H525" s="9">
        <v>45398</v>
      </c>
      <c r="I525" s="3" t="s">
        <v>37</v>
      </c>
      <c r="J525" s="3" t="str">
        <f>VLOOKUP(A525,'TODOS OS PROCESSOS ATUALIZADOS '!A:I,7,0)</f>
        <v>Cancelada</v>
      </c>
      <c r="K525" s="3" t="s">
        <v>605</v>
      </c>
      <c r="L525" s="3" t="str">
        <f t="shared" si="2"/>
        <v>Item não atualizado</v>
      </c>
      <c r="M525" s="3"/>
      <c r="N525" s="3" t="s">
        <v>605</v>
      </c>
      <c r="O525" s="3"/>
    </row>
    <row r="526" spans="1:17" ht="22.5" customHeight="1" x14ac:dyDescent="0.2">
      <c r="A526" s="3" t="s">
        <v>1151</v>
      </c>
      <c r="B526" s="3" t="str">
        <f ca="1">IFERROR(__xludf.DUMMYFUNCTION("REGEXEXTRACT(A526, ""\.(?:GOV|EXT)\.([A-Z0-9\-]+)"")
"),"HUOC")</f>
        <v>HUOC</v>
      </c>
      <c r="C526" s="3" t="s">
        <v>34</v>
      </c>
      <c r="D526" s="3" t="s">
        <v>35</v>
      </c>
      <c r="E526" s="14" t="str">
        <f ca="1">IFERROR(__xludf.DUMMYFUNCTION("REGEXEXTRACT(A526, ""-(.*)"")"),"ARP.0064.07.2023.GOV.HUOC.PE")</f>
        <v>ARP.0064.07.2023.GOV.HUOC.PE</v>
      </c>
      <c r="F526" s="3" t="s">
        <v>1121</v>
      </c>
      <c r="G526" s="3"/>
      <c r="H526" s="9">
        <v>45363</v>
      </c>
      <c r="I526" s="3" t="s">
        <v>44</v>
      </c>
      <c r="J526" s="3" t="str">
        <f>VLOOKUP(A526,'TODOS OS PROCESSOS ATUALIZADOS '!A:I,7,0)</f>
        <v>Autorizada Sucesso</v>
      </c>
      <c r="K526" s="3" t="s">
        <v>605</v>
      </c>
      <c r="L526" s="3" t="str">
        <f t="shared" si="2"/>
        <v>Item atualizado</v>
      </c>
      <c r="M526" s="3"/>
      <c r="N526" s="3" t="s">
        <v>605</v>
      </c>
      <c r="O526" s="3"/>
    </row>
    <row r="527" spans="1:17" ht="22.5" customHeight="1" x14ac:dyDescent="0.2">
      <c r="A527" s="3" t="s">
        <v>1152</v>
      </c>
      <c r="B527" s="3" t="str">
        <f ca="1">IFERROR(__xludf.DUMMYFUNCTION("REGEXEXTRACT(A527, ""\.(?:GOV|EXT)\.([A-Z0-9\-]+)"")
"),"HOF")</f>
        <v>HOF</v>
      </c>
      <c r="C527" s="3" t="s">
        <v>34</v>
      </c>
      <c r="D527" s="3" t="s">
        <v>35</v>
      </c>
      <c r="E527" s="14" t="str">
        <f ca="1">IFERROR(__xludf.DUMMYFUNCTION("REGEXEXTRACT(A527, ""-(.*)"")"),"ARP.0035.04.2023.GOV.HOF.PE")</f>
        <v>ARP.0035.04.2023.GOV.HOF.PE</v>
      </c>
      <c r="F527" s="3" t="s">
        <v>1061</v>
      </c>
      <c r="G527" s="3"/>
      <c r="H527" s="9">
        <v>45422</v>
      </c>
      <c r="I527" s="3" t="s">
        <v>44</v>
      </c>
      <c r="J527" s="3" t="str">
        <f>VLOOKUP(A527,'TODOS OS PROCESSOS ATUALIZADOS '!A:I,7,0)</f>
        <v>Autorizada Sucesso</v>
      </c>
      <c r="K527" s="3" t="s">
        <v>605</v>
      </c>
      <c r="L527" s="3" t="str">
        <f t="shared" si="2"/>
        <v>Item atualizado</v>
      </c>
      <c r="M527" s="3"/>
      <c r="N527" s="3" t="s">
        <v>605</v>
      </c>
      <c r="O527" s="3"/>
    </row>
    <row r="528" spans="1:17" ht="22.5" customHeight="1" x14ac:dyDescent="0.2">
      <c r="A528" s="3" t="s">
        <v>1153</v>
      </c>
      <c r="B528" s="3" t="str">
        <f ca="1">IFERROR(__xludf.DUMMYFUNCTION("REGEXEXTRACT(A528, ""\.(?:GOV|EXT)\.([A-Z0-9\-]+)"")
"),"HOF")</f>
        <v>HOF</v>
      </c>
      <c r="C528" s="3" t="s">
        <v>34</v>
      </c>
      <c r="D528" s="3" t="s">
        <v>35</v>
      </c>
      <c r="E528" s="14" t="str">
        <f ca="1">IFERROR(__xludf.DUMMYFUNCTION("REGEXEXTRACT(A528, ""-(.*)"")"),"ARP.0029.01.2023.GOV.HOF.PE")</f>
        <v>ARP.0029.01.2023.GOV.HOF.PE</v>
      </c>
      <c r="F528" s="3" t="s">
        <v>1154</v>
      </c>
      <c r="G528" s="3"/>
      <c r="H528" s="9">
        <v>45400</v>
      </c>
      <c r="I528" s="3" t="s">
        <v>44</v>
      </c>
      <c r="J528" s="3" t="str">
        <f>VLOOKUP(A528,'TODOS OS PROCESSOS ATUALIZADOS '!A:I,7,0)</f>
        <v>Autorizada Sucesso</v>
      </c>
      <c r="K528" s="3" t="s">
        <v>605</v>
      </c>
      <c r="L528" s="3" t="str">
        <f t="shared" si="2"/>
        <v>Item atualizado</v>
      </c>
      <c r="M528" s="3"/>
      <c r="N528" s="3" t="s">
        <v>605</v>
      </c>
      <c r="O528" s="3"/>
    </row>
    <row r="529" spans="1:15" ht="22.5" customHeight="1" x14ac:dyDescent="0.2">
      <c r="A529" s="3" t="s">
        <v>1155</v>
      </c>
      <c r="B529" s="3" t="str">
        <f ca="1">IFERROR(__xludf.DUMMYFUNCTION("REGEXEXTRACT(A529, ""\.(?:GOV|EXT)\.([A-Z0-9\-]+)"")
"),"HAM")</f>
        <v>HAM</v>
      </c>
      <c r="C529" s="3" t="s">
        <v>34</v>
      </c>
      <c r="D529" s="3" t="s">
        <v>35</v>
      </c>
      <c r="E529" s="14" t="str">
        <f ca="1">IFERROR(__xludf.DUMMYFUNCTION("REGEXEXTRACT(A529, ""-(.*)"")"),"ARP.0026.09.2023.GOV.HAM.PE")</f>
        <v>ARP.0026.09.2023.GOV.HAM.PE</v>
      </c>
      <c r="F529" s="3" t="s">
        <v>1148</v>
      </c>
      <c r="G529" s="3"/>
      <c r="H529" s="9">
        <v>45397</v>
      </c>
      <c r="I529" s="3" t="s">
        <v>44</v>
      </c>
      <c r="J529" s="3" t="str">
        <f>VLOOKUP(A529,'TODOS OS PROCESSOS ATUALIZADOS '!A:I,7,0)</f>
        <v>Autorizada Sucesso</v>
      </c>
      <c r="K529" s="3" t="s">
        <v>605</v>
      </c>
      <c r="L529" s="3" t="str">
        <f t="shared" si="2"/>
        <v>Item atualizado</v>
      </c>
      <c r="M529" s="3"/>
      <c r="N529" s="3" t="s">
        <v>605</v>
      </c>
      <c r="O529" s="3"/>
    </row>
    <row r="530" spans="1:15" ht="22.5" customHeight="1" x14ac:dyDescent="0.2">
      <c r="A530" s="3" t="s">
        <v>1156</v>
      </c>
      <c r="B530" s="3" t="str">
        <f ca="1">IFERROR(__xludf.DUMMYFUNCTION("REGEXEXTRACT(A530, ""\.(?:GOV|EXT)\.([A-Z0-9\-]+)"")
"),"HAM")</f>
        <v>HAM</v>
      </c>
      <c r="C530" s="3" t="s">
        <v>34</v>
      </c>
      <c r="D530" s="3" t="s">
        <v>35</v>
      </c>
      <c r="E530" s="14" t="str">
        <f ca="1">IFERROR(__xludf.DUMMYFUNCTION("REGEXEXTRACT(A530, ""-(.*)"")"),"ARP.0026.07.2023.GOV.HAM.PE")</f>
        <v>ARP.0026.07.2023.GOV.HAM.PE</v>
      </c>
      <c r="F530" s="3" t="s">
        <v>1148</v>
      </c>
      <c r="G530" s="3"/>
      <c r="H530" s="9">
        <v>45398</v>
      </c>
      <c r="I530" s="3" t="s">
        <v>44</v>
      </c>
      <c r="J530" s="3" t="str">
        <f>VLOOKUP(A530,'TODOS OS PROCESSOS ATUALIZADOS '!A:I,7,0)</f>
        <v>Autorizada Sucesso</v>
      </c>
      <c r="K530" s="3" t="s">
        <v>605</v>
      </c>
      <c r="L530" s="3" t="str">
        <f t="shared" si="2"/>
        <v>Item atualizado</v>
      </c>
      <c r="M530" s="3"/>
      <c r="N530" s="3" t="s">
        <v>605</v>
      </c>
      <c r="O530" s="3"/>
    </row>
    <row r="531" spans="1:15" ht="22.5" customHeight="1" x14ac:dyDescent="0.2">
      <c r="A531" s="3" t="s">
        <v>1157</v>
      </c>
      <c r="B531" s="3" t="str">
        <f ca="1">IFERROR(__xludf.DUMMYFUNCTION("REGEXEXTRACT(A531, ""\.(?:GOV|EXT)\.([A-Z0-9\-]+)"")
"),"HAM")</f>
        <v>HAM</v>
      </c>
      <c r="C531" s="3" t="s">
        <v>34</v>
      </c>
      <c r="D531" s="3" t="s">
        <v>35</v>
      </c>
      <c r="E531" s="14" t="str">
        <f ca="1">IFERROR(__xludf.DUMMYFUNCTION("REGEXEXTRACT(A531, ""-(.*)"")"),"ARP.0022.20.2023.GOV.HAM.PE")</f>
        <v>ARP.0022.20.2023.GOV.HAM.PE</v>
      </c>
      <c r="F531" s="3" t="s">
        <v>952</v>
      </c>
      <c r="G531" s="3"/>
      <c r="H531" s="9">
        <v>45383</v>
      </c>
      <c r="I531" s="3" t="s">
        <v>44</v>
      </c>
      <c r="J531" s="3" t="str">
        <f>VLOOKUP(A531,'TODOS OS PROCESSOS ATUALIZADOS '!A:I,7,0)</f>
        <v>Autorizada Sucesso</v>
      </c>
      <c r="K531" s="3" t="s">
        <v>605</v>
      </c>
      <c r="L531" s="3" t="str">
        <f t="shared" si="2"/>
        <v>Item atualizado</v>
      </c>
      <c r="M531" s="3"/>
      <c r="N531" s="3" t="s">
        <v>605</v>
      </c>
      <c r="O531" s="3"/>
    </row>
    <row r="532" spans="1:15" ht="22.5" customHeight="1" x14ac:dyDescent="0.2">
      <c r="A532" s="3" t="s">
        <v>1158</v>
      </c>
      <c r="B532" s="3" t="str">
        <f ca="1">IFERROR(__xludf.DUMMYFUNCTION("REGEXEXTRACT(A532, ""\.(?:GOV|EXT)\.([A-Z0-9\-]+)"")
"),"FES-PE")</f>
        <v>FES-PE</v>
      </c>
      <c r="C532" s="3" t="s">
        <v>34</v>
      </c>
      <c r="D532" s="3" t="s">
        <v>35</v>
      </c>
      <c r="E532" s="14" t="str">
        <f ca="1">IFERROR(__xludf.DUMMYFUNCTION("REGEXEXTRACT(A532, ""-(.*)"")"),"ARP.0119.00.2023.GOV.FES-PE.PE")</f>
        <v>ARP.0119.00.2023.GOV.FES-PE.PE</v>
      </c>
      <c r="F532" s="3" t="s">
        <v>1159</v>
      </c>
      <c r="G532" s="3"/>
      <c r="H532" s="9">
        <v>45406</v>
      </c>
      <c r="I532" s="3" t="s">
        <v>44</v>
      </c>
      <c r="J532" s="3" t="str">
        <f>VLOOKUP(A532,'TODOS OS PROCESSOS ATUALIZADOS '!A:I,7,0)</f>
        <v>Autorizada Sucesso</v>
      </c>
      <c r="K532" s="3" t="s">
        <v>605</v>
      </c>
      <c r="L532" s="3" t="str">
        <f t="shared" si="2"/>
        <v>Item atualizado</v>
      </c>
      <c r="M532" s="3"/>
      <c r="N532" s="3" t="s">
        <v>605</v>
      </c>
      <c r="O532" s="3"/>
    </row>
    <row r="533" spans="1:15" ht="22.5" customHeight="1" x14ac:dyDescent="0.2">
      <c r="A533" s="3" t="s">
        <v>1160</v>
      </c>
      <c r="B533" s="3" t="str">
        <f ca="1">IFERROR(__xludf.DUMMYFUNCTION("REGEXEXTRACT(A533, ""\.(?:GOV|EXT)\.([A-Z0-9\-]+)"")
"),"PROCAPE")</f>
        <v>PROCAPE</v>
      </c>
      <c r="C533" s="3" t="s">
        <v>34</v>
      </c>
      <c r="D533" s="3" t="s">
        <v>35</v>
      </c>
      <c r="E533" s="14" t="str">
        <f ca="1">IFERROR(__xludf.DUMMYFUNCTION("REGEXEXTRACT(A533, ""-(.*)"")"),"ARP.0104.04.2023.GOV.PROCAPE.PE")</f>
        <v>ARP.0104.04.2023.GOV.PROCAPE.PE</v>
      </c>
      <c r="F533" s="3" t="s">
        <v>79</v>
      </c>
      <c r="G533" s="3"/>
      <c r="H533" s="9">
        <v>45404</v>
      </c>
      <c r="I533" s="3" t="s">
        <v>44</v>
      </c>
      <c r="J533" s="3" t="str">
        <f>VLOOKUP(A533,'TODOS OS PROCESSOS ATUALIZADOS '!A:I,7,0)</f>
        <v>Autorizada Sucesso</v>
      </c>
      <c r="K533" s="3" t="s">
        <v>605</v>
      </c>
      <c r="L533" s="3" t="str">
        <f t="shared" si="2"/>
        <v>Item atualizado</v>
      </c>
      <c r="M533" s="3"/>
      <c r="N533" s="3" t="s">
        <v>605</v>
      </c>
      <c r="O533" s="3"/>
    </row>
    <row r="534" spans="1:15" ht="22.5" customHeight="1" x14ac:dyDescent="0.2">
      <c r="A534" s="3" t="s">
        <v>1161</v>
      </c>
      <c r="B534" s="3" t="str">
        <f ca="1">IFERROR(__xludf.DUMMYFUNCTION("REGEXEXTRACT(A534, ""\.(?:GOV|EXT)\.([A-Z0-9\-]+)"")
"),"HUOC")</f>
        <v>HUOC</v>
      </c>
      <c r="C534" s="3" t="s">
        <v>34</v>
      </c>
      <c r="D534" s="3" t="s">
        <v>35</v>
      </c>
      <c r="E534" s="14" t="str">
        <f ca="1">IFERROR(__xludf.DUMMYFUNCTION("REGEXEXTRACT(A534, ""-(.*)"")"),"ARP.0029.02.2024.GOV.HUOC.PE")</f>
        <v>ARP.0029.02.2024.GOV.HUOC.PE</v>
      </c>
      <c r="F534" s="6" t="s">
        <v>1079</v>
      </c>
      <c r="G534" s="3"/>
      <c r="H534" s="9">
        <v>45393</v>
      </c>
      <c r="I534" s="3" t="s">
        <v>44</v>
      </c>
      <c r="J534" s="3" t="str">
        <f>VLOOKUP(A534,'TODOS OS PROCESSOS ATUALIZADOS '!A:I,7,0)</f>
        <v>Autorizada Sucesso</v>
      </c>
      <c r="K534" s="3" t="s">
        <v>44</v>
      </c>
      <c r="L534" s="3" t="str">
        <f t="shared" si="2"/>
        <v>Item atualizado</v>
      </c>
      <c r="M534" s="3"/>
      <c r="N534" s="3" t="s">
        <v>605</v>
      </c>
      <c r="O534" s="3"/>
    </row>
    <row r="535" spans="1:15" ht="22.5" customHeight="1" x14ac:dyDescent="0.2">
      <c r="A535" s="3" t="s">
        <v>1162</v>
      </c>
      <c r="B535" s="3" t="str">
        <f ca="1">IFERROR(__xludf.DUMMYFUNCTION("REGEXEXTRACT(A535, ""\.(?:GOV|EXT)\.([A-Z0-9\-]+)"")
"),"HAM")</f>
        <v>HAM</v>
      </c>
      <c r="C535" s="3" t="s">
        <v>34</v>
      </c>
      <c r="D535" s="3" t="s">
        <v>35</v>
      </c>
      <c r="E535" s="14" t="str">
        <f ca="1">IFERROR(__xludf.DUMMYFUNCTION("REGEXEXTRACT(A535, ""-(.*)"")"),"ARP.0026.07.2023.GOV.HAM.PE")</f>
        <v>ARP.0026.07.2023.GOV.HAM.PE</v>
      </c>
      <c r="F535" s="3" t="s">
        <v>1148</v>
      </c>
      <c r="G535" s="3"/>
      <c r="H535" s="9">
        <v>45398</v>
      </c>
      <c r="I535" s="3" t="s">
        <v>37</v>
      </c>
      <c r="J535" s="3" t="str">
        <f>VLOOKUP(A535,'TODOS OS PROCESSOS ATUALIZADOS '!A:I,7,0)</f>
        <v>Cancelada</v>
      </c>
      <c r="K535" s="3" t="s">
        <v>605</v>
      </c>
      <c r="L535" s="3" t="str">
        <f t="shared" si="2"/>
        <v>Item não atualizado</v>
      </c>
      <c r="M535" s="3"/>
      <c r="N535" s="3" t="s">
        <v>605</v>
      </c>
      <c r="O535" s="3"/>
    </row>
    <row r="536" spans="1:15" ht="22.5" customHeight="1" x14ac:dyDescent="0.2">
      <c r="A536" s="3" t="s">
        <v>1163</v>
      </c>
      <c r="B536" s="3" t="str">
        <f ca="1">IFERROR(__xludf.DUMMYFUNCTION("REGEXEXTRACT(A536, ""\.(?:GOV|EXT)\.([A-Z0-9\-]+)"")
"),"CISAM")</f>
        <v>CISAM</v>
      </c>
      <c r="C536" s="3" t="s">
        <v>34</v>
      </c>
      <c r="D536" s="3" t="s">
        <v>35</v>
      </c>
      <c r="E536" s="14" t="str">
        <f ca="1">IFERROR(__xludf.DUMMYFUNCTION("REGEXEXTRACT(A536, ""-(.*)"")"),"ARP.0022.02.2024.GOV.CISAM.PE")</f>
        <v>ARP.0022.02.2024.GOV.CISAM.PE</v>
      </c>
      <c r="F536" s="6" t="s">
        <v>1164</v>
      </c>
      <c r="G536" s="3"/>
      <c r="H536" s="9">
        <v>45404</v>
      </c>
      <c r="I536" s="3" t="s">
        <v>44</v>
      </c>
      <c r="J536" s="3" t="str">
        <f>VLOOKUP(A536,'TODOS OS PROCESSOS ATUALIZADOS '!A:I,7,0)</f>
        <v>Autorizada Sucesso</v>
      </c>
      <c r="K536" s="3" t="s">
        <v>44</v>
      </c>
      <c r="L536" s="3" t="str">
        <f t="shared" si="2"/>
        <v>Item atualizado</v>
      </c>
      <c r="M536" s="3"/>
      <c r="N536" s="3" t="s">
        <v>605</v>
      </c>
      <c r="O536" s="3"/>
    </row>
    <row r="537" spans="1:15" ht="22.5" customHeight="1" x14ac:dyDescent="0.2">
      <c r="A537" s="3" t="s">
        <v>1165</v>
      </c>
      <c r="B537" s="3" t="str">
        <f ca="1">IFERROR(__xludf.DUMMYFUNCTION("REGEXEXTRACT(A537, ""\.(?:GOV|EXT)\.([A-Z0-9\-]+)"")
"),"HUOC")</f>
        <v>HUOC</v>
      </c>
      <c r="C537" s="3" t="s">
        <v>34</v>
      </c>
      <c r="D537" s="3" t="s">
        <v>35</v>
      </c>
      <c r="E537" s="14" t="str">
        <f ca="1">IFERROR(__xludf.DUMMYFUNCTION("REGEXEXTRACT(A537, ""-(.*)"")"),"ARP.0008.00.2024.GOV.HUOC.PE")</f>
        <v>ARP.0008.00.2024.GOV.HUOC.PE</v>
      </c>
      <c r="F537" s="6" t="s">
        <v>955</v>
      </c>
      <c r="G537" s="3"/>
      <c r="H537" s="9">
        <v>45399</v>
      </c>
      <c r="I537" s="3" t="s">
        <v>44</v>
      </c>
      <c r="J537" s="3" t="str">
        <f>VLOOKUP(A537,'TODOS OS PROCESSOS ATUALIZADOS '!A:I,7,0)</f>
        <v>Autorizada Sucesso</v>
      </c>
      <c r="K537" s="3" t="s">
        <v>44</v>
      </c>
      <c r="L537" s="3" t="str">
        <f t="shared" si="2"/>
        <v>Item atualizado</v>
      </c>
      <c r="M537" s="3"/>
      <c r="N537" s="3" t="s">
        <v>605</v>
      </c>
      <c r="O537" s="3"/>
    </row>
    <row r="538" spans="1:15" ht="22.5" customHeight="1" x14ac:dyDescent="0.2">
      <c r="A538" s="3" t="s">
        <v>1166</v>
      </c>
      <c r="B538" s="3" t="str">
        <f ca="1">IFERROR(__xludf.DUMMYFUNCTION("REGEXEXTRACT(A538, ""\.(?:GOV|EXT)\.([A-Z0-9\-]+)"")
"),"HGV")</f>
        <v>HGV</v>
      </c>
      <c r="C538" s="3" t="s">
        <v>34</v>
      </c>
      <c r="D538" s="3" t="s">
        <v>35</v>
      </c>
      <c r="E538" s="14" t="str">
        <f ca="1">IFERROR(__xludf.DUMMYFUNCTION("REGEXEXTRACT(A538, ""-(.*)"")"),"ARP.0004.02.2024.GOV.HGV.PE")</f>
        <v>ARP.0004.02.2024.GOV.HGV.PE</v>
      </c>
      <c r="F538" s="6" t="s">
        <v>743</v>
      </c>
      <c r="G538" s="3"/>
      <c r="H538" s="9">
        <v>45419</v>
      </c>
      <c r="I538" s="3" t="s">
        <v>44</v>
      </c>
      <c r="J538" s="3" t="str">
        <f>VLOOKUP(A538,'TODOS OS PROCESSOS ATUALIZADOS '!A:I,7,0)</f>
        <v>Autorizada Sucesso</v>
      </c>
      <c r="K538" s="3" t="s">
        <v>44</v>
      </c>
      <c r="L538" s="3" t="str">
        <f t="shared" si="2"/>
        <v>Item atualizado</v>
      </c>
      <c r="M538" s="3"/>
      <c r="N538" s="3" t="s">
        <v>605</v>
      </c>
      <c r="O538" s="3"/>
    </row>
    <row r="539" spans="1:15" ht="22.5" customHeight="1" x14ac:dyDescent="0.2">
      <c r="A539" s="3" t="s">
        <v>1167</v>
      </c>
      <c r="B539" s="3" t="str">
        <f ca="1">IFERROR(__xludf.DUMMYFUNCTION("REGEXEXTRACT(A539, ""\.(?:GOV|EXT)\.([A-Z0-9\-]+)"")
"),"SAD")</f>
        <v>SAD</v>
      </c>
      <c r="C539" s="3" t="s">
        <v>34</v>
      </c>
      <c r="D539" s="3" t="s">
        <v>35</v>
      </c>
      <c r="E539" s="14" t="str">
        <f ca="1">IFERROR(__xludf.DUMMYFUNCTION("REGEXEXTRACT(A539, ""-(.*)"")"),"ARPC.0019.00.2023.GOV.SAD.PE")</f>
        <v>ARPC.0019.00.2023.GOV.SAD.PE</v>
      </c>
      <c r="F539" s="3" t="s">
        <v>1168</v>
      </c>
      <c r="G539" s="3"/>
      <c r="H539" s="9">
        <v>45393</v>
      </c>
      <c r="I539" s="3" t="s">
        <v>44</v>
      </c>
      <c r="J539" s="3" t="str">
        <f>VLOOKUP(A539,'TODOS OS PROCESSOS ATUALIZADOS '!A:I,7,0)</f>
        <v>Autorizada Sucesso</v>
      </c>
      <c r="K539" s="3" t="s">
        <v>605</v>
      </c>
      <c r="L539" s="3" t="str">
        <f t="shared" si="2"/>
        <v>Item atualizado</v>
      </c>
      <c r="M539" s="3"/>
      <c r="N539" s="3" t="s">
        <v>605</v>
      </c>
      <c r="O539" s="3"/>
    </row>
    <row r="540" spans="1:15" ht="22.5" customHeight="1" x14ac:dyDescent="0.2">
      <c r="A540" s="3" t="s">
        <v>1169</v>
      </c>
      <c r="B540" s="3" t="str">
        <f ca="1">IFERROR(__xludf.DUMMYFUNCTION("REGEXEXTRACT(A540, ""\.(?:GOV|EXT)\.([A-Z0-9\-]+)"")
"),"HUOC")</f>
        <v>HUOC</v>
      </c>
      <c r="C540" s="3" t="s">
        <v>34</v>
      </c>
      <c r="D540" s="3" t="s">
        <v>35</v>
      </c>
      <c r="E540" s="14" t="str">
        <f ca="1">IFERROR(__xludf.DUMMYFUNCTION("REGEXEXTRACT(A540, ""-(.*)"")"),"ARP.0131.01.2023.GOV.HUOC.PE")</f>
        <v>ARP.0131.01.2023.GOV.HUOC.PE</v>
      </c>
      <c r="F540" s="3" t="s">
        <v>1170</v>
      </c>
      <c r="G540" s="3"/>
      <c r="H540" s="9">
        <v>45385</v>
      </c>
      <c r="I540" s="3" t="s">
        <v>44</v>
      </c>
      <c r="J540" s="3" t="str">
        <f>VLOOKUP(A540,'TODOS OS PROCESSOS ATUALIZADOS '!A:I,7,0)</f>
        <v>Autorizada Sucesso</v>
      </c>
      <c r="K540" s="3" t="s">
        <v>605</v>
      </c>
      <c r="L540" s="3" t="str">
        <f t="shared" si="2"/>
        <v>Item atualizado</v>
      </c>
      <c r="M540" s="3"/>
      <c r="N540" s="3" t="s">
        <v>605</v>
      </c>
      <c r="O540" s="3"/>
    </row>
    <row r="541" spans="1:15" ht="22.5" customHeight="1" x14ac:dyDescent="0.2">
      <c r="A541" s="3" t="s">
        <v>1171</v>
      </c>
      <c r="B541" s="3" t="str">
        <f ca="1">IFERROR(__xludf.DUMMYFUNCTION("REGEXEXTRACT(A541, ""\.(?:GOV|EXT)\.([A-Z0-9\-]+)"")
"),"HUOC")</f>
        <v>HUOC</v>
      </c>
      <c r="C541" s="3" t="s">
        <v>34</v>
      </c>
      <c r="D541" s="3" t="s">
        <v>35</v>
      </c>
      <c r="E541" s="14" t="str">
        <f ca="1">IFERROR(__xludf.DUMMYFUNCTION("REGEXEXTRACT(A541, ""-(.*)"")"),"ARP.0130.06.2023.GOV.HUOC.PE")</f>
        <v>ARP.0130.06.2023.GOV.HUOC.PE</v>
      </c>
      <c r="F541" s="3" t="s">
        <v>875</v>
      </c>
      <c r="G541" s="3"/>
      <c r="H541" s="9">
        <v>45420</v>
      </c>
      <c r="I541" s="3" t="s">
        <v>44</v>
      </c>
      <c r="J541" s="3" t="str">
        <f>VLOOKUP(A541,'TODOS OS PROCESSOS ATUALIZADOS '!A:I,7,0)</f>
        <v>Autorizada Sucesso</v>
      </c>
      <c r="K541" s="3" t="s">
        <v>605</v>
      </c>
      <c r="L541" s="3" t="str">
        <f t="shared" si="2"/>
        <v>Item atualizado</v>
      </c>
      <c r="M541" s="3"/>
      <c r="N541" s="3" t="s">
        <v>605</v>
      </c>
      <c r="O541" s="3"/>
    </row>
    <row r="542" spans="1:15" ht="22.5" customHeight="1" x14ac:dyDescent="0.2">
      <c r="A542" s="3" t="s">
        <v>1172</v>
      </c>
      <c r="B542" s="3" t="str">
        <f ca="1">IFERROR(__xludf.DUMMYFUNCTION("REGEXEXTRACT(A542, ""\.(?:GOV|EXT)\.([A-Z0-9\-]+)"")
"),"HAM")</f>
        <v>HAM</v>
      </c>
      <c r="C542" s="3" t="s">
        <v>34</v>
      </c>
      <c r="D542" s="3" t="s">
        <v>35</v>
      </c>
      <c r="E542" s="14" t="str">
        <f ca="1">IFERROR(__xludf.DUMMYFUNCTION("REGEXEXTRACT(A542, ""-(.*)"")"),"ARP.0026.03.2023.GOV.HAM.PE")</f>
        <v>ARP.0026.03.2023.GOV.HAM.PE</v>
      </c>
      <c r="F542" s="3" t="s">
        <v>1148</v>
      </c>
      <c r="G542" s="3"/>
      <c r="H542" s="9">
        <v>45400</v>
      </c>
      <c r="I542" s="3" t="s">
        <v>44</v>
      </c>
      <c r="J542" s="3" t="str">
        <f>VLOOKUP(A542,'TODOS OS PROCESSOS ATUALIZADOS '!A:I,7,0)</f>
        <v>Autorizada Sucesso</v>
      </c>
      <c r="K542" s="3" t="s">
        <v>605</v>
      </c>
      <c r="L542" s="3" t="str">
        <f t="shared" si="2"/>
        <v>Item atualizado</v>
      </c>
      <c r="M542" s="3"/>
      <c r="N542" s="3" t="s">
        <v>605</v>
      </c>
      <c r="O542" s="3"/>
    </row>
    <row r="543" spans="1:15" ht="22.5" customHeight="1" x14ac:dyDescent="0.2">
      <c r="A543" s="3" t="s">
        <v>1173</v>
      </c>
      <c r="B543" s="3" t="str">
        <f ca="1">IFERROR(__xludf.DUMMYFUNCTION("REGEXEXTRACT(A543, ""\.(?:GOV|EXT)\.([A-Z0-9\-]+)"")
"),"PROCAPE")</f>
        <v>PROCAPE</v>
      </c>
      <c r="C543" s="3" t="s">
        <v>34</v>
      </c>
      <c r="D543" s="3" t="s">
        <v>35</v>
      </c>
      <c r="E543" s="14" t="str">
        <f ca="1">IFERROR(__xludf.DUMMYFUNCTION("REGEXEXTRACT(A543, ""-(.*)"")"),"ARP.0025.03.2024.GOV.PROCAPE.PE")</f>
        <v>ARP.0025.03.2024.GOV.PROCAPE.PE</v>
      </c>
      <c r="F543" s="6" t="s">
        <v>127</v>
      </c>
      <c r="G543" s="3"/>
      <c r="H543" s="9">
        <v>45404</v>
      </c>
      <c r="I543" s="3" t="s">
        <v>44</v>
      </c>
      <c r="J543" s="3" t="str">
        <f>VLOOKUP(A543,'TODOS OS PROCESSOS ATUALIZADOS '!A:I,7,0)</f>
        <v>Autorizada Sucesso</v>
      </c>
      <c r="K543" s="3" t="s">
        <v>44</v>
      </c>
      <c r="L543" s="3" t="str">
        <f t="shared" si="2"/>
        <v>Item atualizado</v>
      </c>
      <c r="M543" s="3"/>
      <c r="N543" s="3" t="s">
        <v>605</v>
      </c>
      <c r="O543" s="3"/>
    </row>
    <row r="544" spans="1:15" ht="22.5" customHeight="1" x14ac:dyDescent="0.2">
      <c r="A544" s="3" t="s">
        <v>1174</v>
      </c>
      <c r="B544" s="3" t="str">
        <f ca="1">IFERROR(__xludf.DUMMYFUNCTION("REGEXEXTRACT(A544, ""\.(?:GOV|EXT)\.([A-Z0-9\-]+)"")
"),"HR")</f>
        <v>HR</v>
      </c>
      <c r="C544" s="3" t="s">
        <v>34</v>
      </c>
      <c r="D544" s="3" t="s">
        <v>35</v>
      </c>
      <c r="E544" s="14" t="str">
        <f ca="1">IFERROR(__xludf.DUMMYFUNCTION("REGEXEXTRACT(A544, ""-(.*)"")"),"ARP.0013.00.2024.GOV.HR.PE")</f>
        <v>ARP.0013.00.2024.GOV.HR.PE</v>
      </c>
      <c r="F544" s="6" t="s">
        <v>1175</v>
      </c>
      <c r="G544" s="3"/>
      <c r="H544" s="9">
        <v>45428</v>
      </c>
      <c r="I544" s="3" t="s">
        <v>44</v>
      </c>
      <c r="J544" s="3" t="str">
        <f>VLOOKUP(A544,'TODOS OS PROCESSOS ATUALIZADOS '!A:I,7,0)</f>
        <v>Autorizada Sucesso</v>
      </c>
      <c r="K544" s="3" t="s">
        <v>44</v>
      </c>
      <c r="L544" s="3" t="str">
        <f t="shared" si="2"/>
        <v>Item atualizado</v>
      </c>
      <c r="M544" s="3"/>
      <c r="N544" s="3" t="s">
        <v>605</v>
      </c>
      <c r="O544" s="3"/>
    </row>
    <row r="545" spans="1:15" ht="22.5" customHeight="1" x14ac:dyDescent="0.2">
      <c r="A545" s="3" t="s">
        <v>1176</v>
      </c>
      <c r="B545" s="3" t="str">
        <f ca="1">IFERROR(__xludf.DUMMYFUNCTION("REGEXEXTRACT(A545, ""\.(?:GOV|EXT)\.([A-Z0-9\-]+)"")
"),"HGV")</f>
        <v>HGV</v>
      </c>
      <c r="C545" s="3" t="s">
        <v>34</v>
      </c>
      <c r="D545" s="3" t="s">
        <v>35</v>
      </c>
      <c r="E545" s="14" t="str">
        <f ca="1">IFERROR(__xludf.DUMMYFUNCTION("REGEXEXTRACT(A545, ""-(.*)"")"),"ARP.0004.02.2024.GOV.HGV.PE")</f>
        <v>ARP.0004.02.2024.GOV.HGV.PE</v>
      </c>
      <c r="F545" s="6" t="s">
        <v>743</v>
      </c>
      <c r="G545" s="3"/>
      <c r="H545" s="9">
        <v>45407</v>
      </c>
      <c r="I545" s="3" t="s">
        <v>44</v>
      </c>
      <c r="J545" s="3" t="str">
        <f>VLOOKUP(A545,'TODOS OS PROCESSOS ATUALIZADOS '!A:I,7,0)</f>
        <v>Autorizada Sucesso</v>
      </c>
      <c r="K545" s="3" t="s">
        <v>44</v>
      </c>
      <c r="L545" s="3" t="str">
        <f t="shared" si="2"/>
        <v>Item atualizado</v>
      </c>
      <c r="M545" s="3"/>
      <c r="N545" s="3" t="s">
        <v>605</v>
      </c>
      <c r="O545" s="3"/>
    </row>
    <row r="546" spans="1:15" ht="22.5" customHeight="1" x14ac:dyDescent="0.2">
      <c r="A546" s="3" t="s">
        <v>1177</v>
      </c>
      <c r="B546" s="3" t="str">
        <f ca="1">IFERROR(__xludf.DUMMYFUNCTION("REGEXEXTRACT(A546, ""\.(?:GOV|EXT)\.([A-Z0-9\-]+)"")
"),"HUOC")</f>
        <v>HUOC</v>
      </c>
      <c r="C546" s="3" t="s">
        <v>34</v>
      </c>
      <c r="D546" s="3" t="s">
        <v>35</v>
      </c>
      <c r="E546" s="14" t="str">
        <f ca="1">IFERROR(__xludf.DUMMYFUNCTION("REGEXEXTRACT(A546, ""-(.*)"")"),"ARP.0082.04.2023.GOV.HUOC.PE")</f>
        <v>ARP.0082.04.2023.GOV.HUOC.PE</v>
      </c>
      <c r="F546" s="3" t="s">
        <v>1178</v>
      </c>
      <c r="G546" s="3"/>
      <c r="H546" s="9">
        <v>45394</v>
      </c>
      <c r="I546" s="3" t="s">
        <v>44</v>
      </c>
      <c r="J546" s="3" t="str">
        <f>VLOOKUP(A546,'TODOS OS PROCESSOS ATUALIZADOS '!A:I,7,0)</f>
        <v>Autorizada Sucesso</v>
      </c>
      <c r="K546" s="3" t="s">
        <v>605</v>
      </c>
      <c r="L546" s="3" t="str">
        <f t="shared" si="2"/>
        <v>Item atualizado</v>
      </c>
      <c r="M546" s="3"/>
      <c r="N546" s="3" t="s">
        <v>605</v>
      </c>
      <c r="O546" s="3"/>
    </row>
    <row r="547" spans="1:15" ht="22.5" customHeight="1" x14ac:dyDescent="0.2">
      <c r="A547" s="3" t="s">
        <v>1179</v>
      </c>
      <c r="B547" s="3" t="str">
        <f ca="1">IFERROR(__xludf.DUMMYFUNCTION("REGEXEXTRACT(A547, ""\.(?:GOV|EXT)\.([A-Z0-9\-]+)"")
"),"HOF")</f>
        <v>HOF</v>
      </c>
      <c r="C547" s="3" t="s">
        <v>34</v>
      </c>
      <c r="D547" s="3" t="s">
        <v>35</v>
      </c>
      <c r="E547" s="14" t="str">
        <f ca="1">IFERROR(__xludf.DUMMYFUNCTION("REGEXEXTRACT(A547, ""-(.*)"")"),"ARP.0029.00.2023.GOV.HOF.PE")</f>
        <v>ARP.0029.00.2023.GOV.HOF.PE</v>
      </c>
      <c r="F547" s="3" t="s">
        <v>1154</v>
      </c>
      <c r="G547" s="3"/>
      <c r="H547" s="9">
        <v>45421</v>
      </c>
      <c r="I547" s="3" t="s">
        <v>44</v>
      </c>
      <c r="J547" s="3" t="str">
        <f>VLOOKUP(A547,'TODOS OS PROCESSOS ATUALIZADOS '!A:I,7,0)</f>
        <v>Autorizada Sucesso</v>
      </c>
      <c r="K547" s="3" t="s">
        <v>605</v>
      </c>
      <c r="L547" s="3" t="str">
        <f t="shared" si="2"/>
        <v>Item atualizado</v>
      </c>
      <c r="M547" s="3"/>
      <c r="N547" s="3" t="s">
        <v>605</v>
      </c>
      <c r="O547" s="3"/>
    </row>
    <row r="548" spans="1:15" ht="22.5" customHeight="1" x14ac:dyDescent="0.2">
      <c r="A548" s="3" t="s">
        <v>1180</v>
      </c>
      <c r="B548" s="3" t="str">
        <f ca="1">IFERROR(__xludf.DUMMYFUNCTION("REGEXEXTRACT(A548, ""\.(?:GOV|EXT)\.([A-Z0-9\-]+)"")
"),"CISAM")</f>
        <v>CISAM</v>
      </c>
      <c r="C548" s="3" t="s">
        <v>34</v>
      </c>
      <c r="D548" s="3" t="s">
        <v>35</v>
      </c>
      <c r="E548" s="14" t="str">
        <f ca="1">IFERROR(__xludf.DUMMYFUNCTION("REGEXEXTRACT(A548, ""-(.*)"")"),"ARP.0023.00.2024.GOV.CISAM.PE")</f>
        <v>ARP.0023.00.2024.GOV.CISAM.PE</v>
      </c>
      <c r="F548" s="6" t="s">
        <v>1181</v>
      </c>
      <c r="G548" s="3"/>
      <c r="H548" s="9">
        <v>45421</v>
      </c>
      <c r="I548" s="3" t="s">
        <v>44</v>
      </c>
      <c r="J548" s="3" t="str">
        <f>VLOOKUP(A548,'TODOS OS PROCESSOS ATUALIZADOS '!A:I,7,0)</f>
        <v>Autorizada Sucesso</v>
      </c>
      <c r="K548" s="3" t="s">
        <v>44</v>
      </c>
      <c r="L548" s="3" t="str">
        <f t="shared" si="2"/>
        <v>Item atualizado</v>
      </c>
      <c r="M548" s="3"/>
      <c r="N548" s="3" t="s">
        <v>605</v>
      </c>
      <c r="O548" s="3"/>
    </row>
    <row r="549" spans="1:15" ht="22.5" customHeight="1" x14ac:dyDescent="0.2">
      <c r="A549" s="3" t="s">
        <v>1182</v>
      </c>
      <c r="B549" s="3" t="str">
        <f ca="1">IFERROR(__xludf.DUMMYFUNCTION("REGEXEXTRACT(A549, ""\.(?:GOV|EXT)\.([A-Z0-9\-]+)"")
"),"HR")</f>
        <v>HR</v>
      </c>
      <c r="C549" s="3" t="s">
        <v>34</v>
      </c>
      <c r="D549" s="3" t="s">
        <v>35</v>
      </c>
      <c r="E549" s="14" t="str">
        <f ca="1">IFERROR(__xludf.DUMMYFUNCTION("REGEXEXTRACT(A549, ""-(.*)"")"),"ARP.0013.00.2024.GOV.HR.PE")</f>
        <v>ARP.0013.00.2024.GOV.HR.PE</v>
      </c>
      <c r="F549" s="3" t="s">
        <v>1175</v>
      </c>
      <c r="G549" s="3"/>
      <c r="H549" s="9">
        <v>45428</v>
      </c>
      <c r="I549" s="3" t="s">
        <v>37</v>
      </c>
      <c r="J549" s="3" t="str">
        <f>VLOOKUP(A549,'TODOS OS PROCESSOS ATUALIZADOS '!A:I,7,0)</f>
        <v>Cancelada</v>
      </c>
      <c r="K549" s="3" t="s">
        <v>38</v>
      </c>
      <c r="L549" s="3" t="str">
        <f t="shared" si="2"/>
        <v>Item não atualizado</v>
      </c>
      <c r="M549" s="3"/>
      <c r="N549" s="3" t="s">
        <v>605</v>
      </c>
      <c r="O549" s="3"/>
    </row>
    <row r="550" spans="1:15" ht="22.5" customHeight="1" x14ac:dyDescent="0.2">
      <c r="A550" s="3" t="s">
        <v>1183</v>
      </c>
      <c r="B550" s="3" t="str">
        <f ca="1">IFERROR(__xludf.DUMMYFUNCTION("REGEXEXTRACT(A550, ""\.(?:GOV|EXT)\.([A-Z0-9\-]+)"")
"),"PE")</f>
        <v>PE</v>
      </c>
      <c r="C550" s="3" t="s">
        <v>34</v>
      </c>
      <c r="D550" s="3" t="s">
        <v>35</v>
      </c>
      <c r="E550" s="14" t="str">
        <f ca="1">IFERROR(__xludf.DUMMYFUNCTION("REGEXEXTRACT(A550, ""-(.*)"")"),"ARP.0001.00.2024.EXT.PE")</f>
        <v>ARP.0001.00.2024.EXT.PE</v>
      </c>
      <c r="F550" s="3" t="s">
        <v>923</v>
      </c>
      <c r="G550" s="3"/>
      <c r="H550" s="9">
        <v>45425</v>
      </c>
      <c r="I550" s="3" t="s">
        <v>37</v>
      </c>
      <c r="J550" s="3" t="str">
        <f>VLOOKUP(A550,'TODOS OS PROCESSOS ATUALIZADOS '!A:I,7,0)</f>
        <v>Cancelada</v>
      </c>
      <c r="K550" s="3" t="s">
        <v>605</v>
      </c>
      <c r="L550" s="3" t="str">
        <f t="shared" si="2"/>
        <v>Item não atualizado</v>
      </c>
      <c r="M550" s="3"/>
      <c r="N550" s="3" t="s">
        <v>605</v>
      </c>
      <c r="O550" s="3"/>
    </row>
    <row r="551" spans="1:15" ht="22.5" customHeight="1" x14ac:dyDescent="0.2">
      <c r="A551" s="3" t="s">
        <v>1184</v>
      </c>
      <c r="B551" s="3" t="str">
        <f ca="1">IFERROR(__xludf.DUMMYFUNCTION("REGEXEXTRACT(A551, ""\.(?:GOV|EXT)\.([A-Z0-9\-]+)"")
"),"CE")</f>
        <v>CE</v>
      </c>
      <c r="C551" s="3" t="s">
        <v>34</v>
      </c>
      <c r="D551" s="3" t="s">
        <v>35</v>
      </c>
      <c r="E551" s="3" t="str">
        <f ca="1">IFERROR(__xludf.DUMMYFUNCTION("REGEXEXTRACT(A551, ""-(.*)"")"),"ARP.0001.00.2024.EXT.CE")</f>
        <v>ARP.0001.00.2024.EXT.CE</v>
      </c>
      <c r="F551" s="3" t="s">
        <v>1185</v>
      </c>
      <c r="G551" s="3"/>
      <c r="H551" s="9">
        <v>45378</v>
      </c>
      <c r="I551" s="3" t="s">
        <v>44</v>
      </c>
      <c r="J551" s="3" t="str">
        <f>VLOOKUP(A551,'TODOS OS PROCESSOS ATUALIZADOS '!A:I,7,0)</f>
        <v>Autorizada Integrado</v>
      </c>
      <c r="K551" s="3" t="s">
        <v>605</v>
      </c>
      <c r="L551" s="3" t="str">
        <f t="shared" si="2"/>
        <v>Item atualizado</v>
      </c>
      <c r="M551" s="3"/>
      <c r="N551" s="3" t="s">
        <v>605</v>
      </c>
      <c r="O551" s="3"/>
    </row>
    <row r="552" spans="1:15" ht="22.5" customHeight="1" x14ac:dyDescent="0.2">
      <c r="A552" s="3" t="s">
        <v>1186</v>
      </c>
      <c r="B552" s="3" t="str">
        <f ca="1">IFERROR(__xludf.DUMMYFUNCTION("REGEXEXTRACT(A552, ""\.(?:GOV|EXT)\.([A-Z0-9\-]+)"")
"),"HUOC")</f>
        <v>HUOC</v>
      </c>
      <c r="C552" s="3" t="s">
        <v>34</v>
      </c>
      <c r="D552" s="3" t="s">
        <v>35</v>
      </c>
      <c r="E552" s="14" t="str">
        <f ca="1">IFERROR(__xludf.DUMMYFUNCTION("REGEXEXTRACT(A552, ""-(.*)"")"),"ARP.0022.00.2023.GOV.HUOC.PE")</f>
        <v>ARP.0022.00.2023.GOV.HUOC.PE</v>
      </c>
      <c r="F552" s="3" t="s">
        <v>1187</v>
      </c>
      <c r="G552" s="3"/>
      <c r="H552" s="9">
        <v>45295</v>
      </c>
      <c r="I552" s="3" t="s">
        <v>44</v>
      </c>
      <c r="J552" s="3" t="str">
        <f>VLOOKUP(A552,'TODOS OS PROCESSOS ATUALIZADOS '!A:I,7,0)</f>
        <v>Autorizada Sucesso</v>
      </c>
      <c r="K552" s="3" t="s">
        <v>605</v>
      </c>
      <c r="L552" s="3" t="str">
        <f t="shared" si="2"/>
        <v>Item atualizado</v>
      </c>
      <c r="M552" s="3"/>
      <c r="N552" s="3" t="s">
        <v>605</v>
      </c>
      <c r="O552" s="3"/>
    </row>
    <row r="553" spans="1:15" ht="22.5" customHeight="1" x14ac:dyDescent="0.2">
      <c r="A553" s="3" t="s">
        <v>1188</v>
      </c>
      <c r="B553" s="3" t="str">
        <f ca="1">IFERROR(__xludf.DUMMYFUNCTION("REGEXEXTRACT(A553, ""\.(?:GOV|EXT)\.([A-Z0-9\-]+)"")
"),"PROCAPE")</f>
        <v>PROCAPE</v>
      </c>
      <c r="C553" s="3" t="s">
        <v>34</v>
      </c>
      <c r="D553" s="3" t="s">
        <v>35</v>
      </c>
      <c r="E553" s="14" t="str">
        <f ca="1">IFERROR(__xludf.DUMMYFUNCTION("REGEXEXTRACT(A553, ""-(.*)"")"),"ARP.0071.14.2023.GOV.PROCAPE.PE")</f>
        <v>ARP.0071.14.2023.GOV.PROCAPE.PE</v>
      </c>
      <c r="F553" s="3" t="s">
        <v>127</v>
      </c>
      <c r="G553" s="3"/>
      <c r="H553" s="9">
        <v>45341</v>
      </c>
      <c r="I553" s="3" t="s">
        <v>44</v>
      </c>
      <c r="J553" s="3" t="str">
        <f>VLOOKUP(A553,'TODOS OS PROCESSOS ATUALIZADOS '!A:I,7,0)</f>
        <v>Autorizada Sucesso</v>
      </c>
      <c r="K553" s="3" t="s">
        <v>605</v>
      </c>
      <c r="L553" s="3" t="str">
        <f t="shared" si="2"/>
        <v>Item atualizado</v>
      </c>
      <c r="M553" s="3"/>
      <c r="N553" s="3" t="s">
        <v>605</v>
      </c>
      <c r="O553" s="3"/>
    </row>
    <row r="554" spans="1:15" ht="22.5" customHeight="1" x14ac:dyDescent="0.2">
      <c r="A554" s="3" t="s">
        <v>1189</v>
      </c>
      <c r="B554" s="3" t="str">
        <f ca="1">IFERROR(__xludf.DUMMYFUNCTION("REGEXEXTRACT(A554, ""\.(?:GOV|EXT)\.([A-Z0-9\-]+)"")
"),"SASSEPE")</f>
        <v>SASSEPE</v>
      </c>
      <c r="C554" s="3" t="s">
        <v>34</v>
      </c>
      <c r="D554" s="3" t="s">
        <v>35</v>
      </c>
      <c r="E554" s="14" t="str">
        <f ca="1">IFERROR(__xludf.DUMMYFUNCTION("REGEXEXTRACT(A554, ""-(.*)"")"),"ARP.0012.01.2023.GOV.SASSEPE.PE")</f>
        <v>ARP.0012.01.2023.GOV.SASSEPE.PE</v>
      </c>
      <c r="F554" s="3" t="s">
        <v>1190</v>
      </c>
      <c r="G554" s="3"/>
      <c r="H554" s="9">
        <v>45324</v>
      </c>
      <c r="I554" s="3" t="s">
        <v>37</v>
      </c>
      <c r="J554" s="3" t="str">
        <f>VLOOKUP(A554,'TODOS OS PROCESSOS ATUALIZADOS '!A:I,7,0)</f>
        <v>Cancelada</v>
      </c>
      <c r="K554" s="3" t="s">
        <v>605</v>
      </c>
      <c r="L554" s="3" t="str">
        <f t="shared" si="2"/>
        <v>Item não atualizado</v>
      </c>
      <c r="M554" s="3"/>
      <c r="N554" s="3" t="s">
        <v>605</v>
      </c>
      <c r="O554" s="3"/>
    </row>
    <row r="555" spans="1:15" ht="22.5" customHeight="1" x14ac:dyDescent="0.2">
      <c r="A555" s="3" t="s">
        <v>1191</v>
      </c>
      <c r="B555" s="3" t="str">
        <f ca="1">IFERROR(__xludf.DUMMYFUNCTION("REGEXEXTRACT(A555, ""\.(?:GOV|EXT)\.([A-Z0-9\-]+)"")
"),"HR")</f>
        <v>HR</v>
      </c>
      <c r="C555" s="3" t="s">
        <v>34</v>
      </c>
      <c r="D555" s="3" t="s">
        <v>35</v>
      </c>
      <c r="E555" s="14" t="str">
        <f ca="1">IFERROR(__xludf.DUMMYFUNCTION("REGEXEXTRACT(A555, ""-(.*)"")"),"ARP.0025.12.2023.GOV.HR.PE")</f>
        <v>ARP.0025.12.2023.GOV.HR.PE</v>
      </c>
      <c r="F555" s="3" t="s">
        <v>1192</v>
      </c>
      <c r="G555" s="3"/>
      <c r="H555" s="9">
        <v>45358</v>
      </c>
      <c r="I555" s="3" t="s">
        <v>44</v>
      </c>
      <c r="J555" s="3" t="str">
        <f>VLOOKUP(A555,'TODOS OS PROCESSOS ATUALIZADOS '!A:I,7,0)</f>
        <v>Autorizada Sucesso</v>
      </c>
      <c r="K555" s="3" t="s">
        <v>605</v>
      </c>
      <c r="L555" s="3" t="str">
        <f t="shared" si="2"/>
        <v>Item atualizado</v>
      </c>
      <c r="M555" s="3"/>
      <c r="N555" s="3" t="s">
        <v>605</v>
      </c>
      <c r="O555" s="3"/>
    </row>
    <row r="556" spans="1:15" ht="22.5" customHeight="1" x14ac:dyDescent="0.2">
      <c r="A556" s="3" t="s">
        <v>1193</v>
      </c>
      <c r="B556" s="3" t="str">
        <f ca="1">IFERROR(__xludf.DUMMYFUNCTION("REGEXEXTRACT(A556, ""\.(?:GOV|EXT)\.([A-Z0-9\-]+)"")
"),"HUOC")</f>
        <v>HUOC</v>
      </c>
      <c r="C556" s="3" t="s">
        <v>34</v>
      </c>
      <c r="D556" s="3" t="s">
        <v>35</v>
      </c>
      <c r="E556" s="14" t="str">
        <f ca="1">IFERROR(__xludf.DUMMYFUNCTION("REGEXEXTRACT(A556, ""-(.*)"")"),"ARP.0025.04.2023.GOV.HUOC.PE")</f>
        <v>ARP.0025.04.2023.GOV.HUOC.PE</v>
      </c>
      <c r="F556" s="3" t="s">
        <v>1194</v>
      </c>
      <c r="G556" s="3"/>
      <c r="H556" s="9">
        <v>45317</v>
      </c>
      <c r="I556" s="3" t="s">
        <v>44</v>
      </c>
      <c r="J556" s="3" t="str">
        <f>VLOOKUP(A556,'TODOS OS PROCESSOS ATUALIZADOS '!A:I,7,0)</f>
        <v>Autorizada Sucesso</v>
      </c>
      <c r="K556" s="3" t="s">
        <v>605</v>
      </c>
      <c r="L556" s="3" t="str">
        <f t="shared" si="2"/>
        <v>Item atualizado</v>
      </c>
      <c r="M556" s="3"/>
      <c r="N556" s="3" t="s">
        <v>605</v>
      </c>
      <c r="O556" s="3"/>
    </row>
    <row r="557" spans="1:15" ht="22.5" customHeight="1" x14ac:dyDescent="0.2">
      <c r="A557" s="3" t="s">
        <v>1195</v>
      </c>
      <c r="B557" s="3" t="str">
        <f ca="1">IFERROR(__xludf.DUMMYFUNCTION("REGEXEXTRACT(A557, ""\.(?:GOV|EXT)\.([A-Z0-9\-]+)"")
"),"HR")</f>
        <v>HR</v>
      </c>
      <c r="C557" s="3" t="s">
        <v>34</v>
      </c>
      <c r="D557" s="3" t="s">
        <v>35</v>
      </c>
      <c r="E557" s="14" t="str">
        <f ca="1">IFERROR(__xludf.DUMMYFUNCTION("REGEXEXTRACT(A557, ""-(.*)"")"),"ARP.0014.10.2023.GOV.HR.PE")</f>
        <v>ARP.0014.10.2023.GOV.HR.PE</v>
      </c>
      <c r="F557" s="3" t="s">
        <v>1192</v>
      </c>
      <c r="G557" s="3"/>
      <c r="H557" s="9">
        <v>45349</v>
      </c>
      <c r="I557" s="3" t="s">
        <v>44</v>
      </c>
      <c r="J557" s="3" t="str">
        <f>VLOOKUP(A557,'TODOS OS PROCESSOS ATUALIZADOS '!A:I,7,0)</f>
        <v>Autorizada Sucesso</v>
      </c>
      <c r="K557" s="3" t="s">
        <v>605</v>
      </c>
      <c r="L557" s="3" t="str">
        <f t="shared" si="2"/>
        <v>Item atualizado</v>
      </c>
      <c r="M557" s="3"/>
      <c r="N557" s="3" t="s">
        <v>605</v>
      </c>
      <c r="O557" s="3"/>
    </row>
    <row r="558" spans="1:15" ht="22.5" customHeight="1" x14ac:dyDescent="0.2">
      <c r="A558" s="3" t="s">
        <v>1196</v>
      </c>
      <c r="B558" s="3" t="str">
        <f ca="1">IFERROR(__xludf.DUMMYFUNCTION("REGEXEXTRACT(A558, ""\.(?:GOV|EXT)\.([A-Z0-9\-]+)"")
"),"UPEGARANHUNS")</f>
        <v>UPEGARANHUNS</v>
      </c>
      <c r="C558" s="3" t="s">
        <v>34</v>
      </c>
      <c r="D558" s="3" t="s">
        <v>35</v>
      </c>
      <c r="E558" s="14" t="str">
        <f ca="1">IFERROR(__xludf.DUMMYFUNCTION("REGEXEXTRACT(A558, ""-(.*)"")"),"ARP.0003.00.2023.GOV.UPEGARANHUNS.PE")</f>
        <v>ARP.0003.00.2023.GOV.UPEGARANHUNS.PE</v>
      </c>
      <c r="F558" s="3" t="s">
        <v>1197</v>
      </c>
      <c r="G558" s="3"/>
      <c r="H558" s="9">
        <v>45356</v>
      </c>
      <c r="I558" s="3" t="s">
        <v>44</v>
      </c>
      <c r="J558" s="3" t="str">
        <f>VLOOKUP(A558,'TODOS OS PROCESSOS ATUALIZADOS '!A:I,7,0)</f>
        <v>Autorizada Sucesso</v>
      </c>
      <c r="K558" s="3" t="s">
        <v>605</v>
      </c>
      <c r="L558" s="3" t="str">
        <f t="shared" si="2"/>
        <v>Item atualizado</v>
      </c>
      <c r="M558" s="3"/>
      <c r="N558" s="3" t="s">
        <v>605</v>
      </c>
      <c r="O558" s="3"/>
    </row>
    <row r="559" spans="1:15" ht="22.5" customHeight="1" x14ac:dyDescent="0.2">
      <c r="A559" s="3" t="s">
        <v>1198</v>
      </c>
      <c r="B559" s="3" t="str">
        <f ca="1">IFERROR(__xludf.DUMMYFUNCTION("REGEXEXTRACT(A559, ""\.(?:GOV|EXT)\.([A-Z0-9\-]+)"")
"),"HUOC")</f>
        <v>HUOC</v>
      </c>
      <c r="C559" s="3" t="s">
        <v>34</v>
      </c>
      <c r="D559" s="3" t="s">
        <v>35</v>
      </c>
      <c r="E559" s="14" t="str">
        <f ca="1">IFERROR(__xludf.DUMMYFUNCTION("REGEXEXTRACT(A559, ""-(.*)"")"),"ARP.0094.00.2023.GOV.HUOC.PE")</f>
        <v>ARP.0094.00.2023.GOV.HUOC.PE</v>
      </c>
      <c r="F559" s="3" t="s">
        <v>1199</v>
      </c>
      <c r="G559" s="3"/>
      <c r="H559" s="9">
        <v>45338</v>
      </c>
      <c r="I559" s="3" t="s">
        <v>44</v>
      </c>
      <c r="J559" s="3" t="str">
        <f>VLOOKUP(A559,'TODOS OS PROCESSOS ATUALIZADOS '!A:I,7,0)</f>
        <v>Autorizada Sucesso</v>
      </c>
      <c r="K559" s="3" t="s">
        <v>605</v>
      </c>
      <c r="L559" s="3" t="str">
        <f t="shared" si="2"/>
        <v>Item atualizado</v>
      </c>
      <c r="M559" s="3"/>
      <c r="N559" s="3" t="s">
        <v>605</v>
      </c>
      <c r="O559" s="3"/>
    </row>
    <row r="560" spans="1:15" ht="22.5" customHeight="1" x14ac:dyDescent="0.2">
      <c r="A560" s="3" t="s">
        <v>1200</v>
      </c>
      <c r="B560" s="3" t="str">
        <f ca="1">IFERROR(__xludf.DUMMYFUNCTION("REGEXEXTRACT(A560, ""\.(?:GOV|EXT)\.([A-Z0-9\-]+)"")
"),"PROCAPE")</f>
        <v>PROCAPE</v>
      </c>
      <c r="C560" s="3" t="s">
        <v>34</v>
      </c>
      <c r="D560" s="3" t="s">
        <v>35</v>
      </c>
      <c r="E560" s="14" t="str">
        <f ca="1">IFERROR(__xludf.DUMMYFUNCTION("REGEXEXTRACT(A560, ""-(.*)"")"),"ARP.0086.00.2023.GOV.PROCAPE.PE")</f>
        <v>ARP.0086.00.2023.GOV.PROCAPE.PE</v>
      </c>
      <c r="F560" s="3" t="s">
        <v>79</v>
      </c>
      <c r="G560" s="3"/>
      <c r="H560" s="9">
        <v>45341</v>
      </c>
      <c r="I560" s="3" t="s">
        <v>44</v>
      </c>
      <c r="J560" s="3" t="str">
        <f>VLOOKUP(A560,'TODOS OS PROCESSOS ATUALIZADOS '!A:I,7,0)</f>
        <v>Autorizada Sucesso</v>
      </c>
      <c r="K560" s="3" t="s">
        <v>605</v>
      </c>
      <c r="L560" s="3" t="str">
        <f t="shared" si="2"/>
        <v>Item atualizado</v>
      </c>
      <c r="M560" s="3"/>
      <c r="N560" s="3" t="s">
        <v>605</v>
      </c>
      <c r="O560" s="3"/>
    </row>
    <row r="561" spans="1:17" ht="22.5" customHeight="1" x14ac:dyDescent="0.2">
      <c r="A561" s="3" t="s">
        <v>1201</v>
      </c>
      <c r="B561" s="3" t="str">
        <f ca="1">IFERROR(__xludf.DUMMYFUNCTION("REGEXEXTRACT(A561, ""\.(?:GOV|EXT)\.([A-Z0-9\-]+)"")
"),"HUOC")</f>
        <v>HUOC</v>
      </c>
      <c r="C561" s="3" t="s">
        <v>34</v>
      </c>
      <c r="D561" s="3" t="s">
        <v>35</v>
      </c>
      <c r="E561" s="14" t="str">
        <f ca="1">IFERROR(__xludf.DUMMYFUNCTION("REGEXEXTRACT(A561, ""-(.*)"")"),"ARP.0064.07.2023.GOV.HUOC.PE")</f>
        <v>ARP.0064.07.2023.GOV.HUOC.PE</v>
      </c>
      <c r="F561" s="3" t="s">
        <v>1121</v>
      </c>
      <c r="G561" s="3"/>
      <c r="H561" s="9">
        <v>45356</v>
      </c>
      <c r="I561" s="3" t="s">
        <v>37</v>
      </c>
      <c r="J561" s="3" t="str">
        <f>VLOOKUP(A561,'TODOS OS PROCESSOS ATUALIZADOS '!A:I,7,0)</f>
        <v>Cancelada</v>
      </c>
      <c r="K561" s="3" t="s">
        <v>605</v>
      </c>
      <c r="L561" s="3" t="str">
        <f t="shared" si="2"/>
        <v>Item não atualizado</v>
      </c>
      <c r="M561" s="3"/>
      <c r="N561" s="3" t="s">
        <v>605</v>
      </c>
      <c r="O561" s="3"/>
    </row>
    <row r="562" spans="1:17" ht="22.5" customHeight="1" x14ac:dyDescent="0.2">
      <c r="A562" s="3" t="s">
        <v>1202</v>
      </c>
      <c r="B562" s="3" t="str">
        <f ca="1">IFERROR(__xludf.DUMMYFUNCTION("REGEXEXTRACT(A562, ""\.(?:GOV|EXT)\.([A-Z0-9\-]+)"")
"),"BA")</f>
        <v>BA</v>
      </c>
      <c r="C562" s="3" t="s">
        <v>34</v>
      </c>
      <c r="D562" s="3" t="s">
        <v>35</v>
      </c>
      <c r="E562" s="14" t="str">
        <f ca="1">IFERROR(__xludf.DUMMYFUNCTION("REGEXEXTRACT(A562, ""-(.*)"")"),"ARP.0001.00.2024.EXT.BA")</f>
        <v>ARP.0001.00.2024.EXT.BA</v>
      </c>
      <c r="F562" s="3" t="s">
        <v>1203</v>
      </c>
      <c r="G562" s="3"/>
      <c r="H562" s="9">
        <v>45343</v>
      </c>
      <c r="I562" s="3" t="s">
        <v>44</v>
      </c>
      <c r="J562" s="3" t="str">
        <f>VLOOKUP(A562,'TODOS OS PROCESSOS ATUALIZADOS '!A:I,7,0)</f>
        <v>Autorizada Integrado</v>
      </c>
      <c r="K562" s="3" t="s">
        <v>605</v>
      </c>
      <c r="L562" s="3" t="str">
        <f t="shared" si="2"/>
        <v>Item atualizado</v>
      </c>
      <c r="M562" s="3"/>
      <c r="N562" s="3" t="s">
        <v>605</v>
      </c>
      <c r="O562" s="3"/>
    </row>
    <row r="563" spans="1:17" ht="22.5" customHeight="1" x14ac:dyDescent="0.2">
      <c r="A563" s="3" t="s">
        <v>1204</v>
      </c>
      <c r="B563" s="3" t="str">
        <f ca="1">IFERROR(__xludf.DUMMYFUNCTION("REGEXEXTRACT(A563, ""\.(?:GOV|EXT)\.([A-Z0-9\-]+)"")
"),"HUOC")</f>
        <v>HUOC</v>
      </c>
      <c r="C563" s="3" t="s">
        <v>34</v>
      </c>
      <c r="D563" s="3" t="s">
        <v>35</v>
      </c>
      <c r="E563" s="14" t="str">
        <f ca="1">IFERROR(__xludf.DUMMYFUNCTION("REGEXEXTRACT(A563, ""-(.*)"")"),"ARP.0111.00.2023.GOV.HUOC.PE")</f>
        <v>ARP.0111.00.2023.GOV.HUOC.PE</v>
      </c>
      <c r="F563" s="3" t="s">
        <v>1205</v>
      </c>
      <c r="G563" s="3"/>
      <c r="H563" s="9">
        <v>45341</v>
      </c>
      <c r="I563" s="3" t="s">
        <v>44</v>
      </c>
      <c r="J563" s="3" t="str">
        <f>VLOOKUP(A563,'TODOS OS PROCESSOS ATUALIZADOS '!A:I,7,0)</f>
        <v>Autorizada Sucesso</v>
      </c>
      <c r="K563" s="3" t="s">
        <v>605</v>
      </c>
      <c r="L563" s="3" t="str">
        <f t="shared" si="2"/>
        <v>Item atualizado</v>
      </c>
      <c r="M563" s="3"/>
      <c r="N563" s="3" t="s">
        <v>605</v>
      </c>
      <c r="O563" s="3"/>
    </row>
    <row r="564" spans="1:17" ht="22.5" customHeight="1" x14ac:dyDescent="0.2">
      <c r="A564" s="3" t="s">
        <v>1206</v>
      </c>
      <c r="B564" s="3" t="str">
        <f ca="1">IFERROR(__xludf.DUMMYFUNCTION("REGEXEXTRACT(A564, ""\.(?:GOV|EXT)\.([A-Z0-9\-]+)"")
"),"HGV")</f>
        <v>HGV</v>
      </c>
      <c r="C564" s="3" t="s">
        <v>34</v>
      </c>
      <c r="D564" s="3" t="s">
        <v>35</v>
      </c>
      <c r="E564" s="14" t="str">
        <f ca="1">IFERROR(__xludf.DUMMYFUNCTION("REGEXEXTRACT(A564, ""-(.*)"")"),"ARP.0029.03.2023.GOV.HGV.PE")</f>
        <v>ARP.0029.03.2023.GOV.HGV.PE</v>
      </c>
      <c r="F564" s="3" t="s">
        <v>1207</v>
      </c>
      <c r="G564" s="3"/>
      <c r="H564" s="9">
        <v>45338</v>
      </c>
      <c r="I564" s="3" t="s">
        <v>44</v>
      </c>
      <c r="J564" s="3" t="str">
        <f>VLOOKUP(A564,'TODOS OS PROCESSOS ATUALIZADOS '!A:I,7,0)</f>
        <v>Autorizada Sucesso</v>
      </c>
      <c r="K564" s="3" t="s">
        <v>605</v>
      </c>
      <c r="L564" s="3" t="str">
        <f t="shared" si="2"/>
        <v>Item atualizado</v>
      </c>
      <c r="M564" s="3"/>
      <c r="N564" s="3" t="s">
        <v>605</v>
      </c>
      <c r="O564" s="3"/>
    </row>
    <row r="565" spans="1:17" ht="22.5" customHeight="1" x14ac:dyDescent="0.2">
      <c r="A565" s="3" t="s">
        <v>1208</v>
      </c>
      <c r="B565" s="3" t="str">
        <f ca="1">IFERROR(__xludf.DUMMYFUNCTION("REGEXEXTRACT(A565, ""\.(?:GOV|EXT)\.([A-Z0-9\-]+)"")
"),"SASSEPE")</f>
        <v>SASSEPE</v>
      </c>
      <c r="C565" s="3" t="s">
        <v>34</v>
      </c>
      <c r="D565" s="3" t="s">
        <v>35</v>
      </c>
      <c r="E565" s="14" t="str">
        <f ca="1">IFERROR(__xludf.DUMMYFUNCTION("REGEXEXTRACT(A565, ""-(.*)"")"),"ARP.0012.04.2023.GOV.SASSEPE.PE")</f>
        <v>ARP.0012.04.2023.GOV.SASSEPE.PE</v>
      </c>
      <c r="F565" s="3" t="s">
        <v>1190</v>
      </c>
      <c r="G565" s="3"/>
      <c r="H565" s="9">
        <v>45324</v>
      </c>
      <c r="I565" s="3" t="s">
        <v>37</v>
      </c>
      <c r="J565" s="3" t="str">
        <f>VLOOKUP(A565,'TODOS OS PROCESSOS ATUALIZADOS '!A:I,7,0)</f>
        <v>Cancelada</v>
      </c>
      <c r="K565" s="3" t="s">
        <v>605</v>
      </c>
      <c r="L565" s="3" t="str">
        <f t="shared" si="2"/>
        <v>Item não atualizado</v>
      </c>
      <c r="M565" s="3"/>
      <c r="N565" s="3" t="s">
        <v>605</v>
      </c>
      <c r="O565" s="3"/>
    </row>
    <row r="566" spans="1:17" ht="22.5" customHeight="1" x14ac:dyDescent="0.2">
      <c r="A566" s="3" t="s">
        <v>1209</v>
      </c>
      <c r="B566" s="3" t="str">
        <f ca="1">IFERROR(__xludf.DUMMYFUNCTION("REGEXEXTRACT(A566, ""\.(?:GOV|EXT)\.([A-Z0-9\-]+)"")
"),"HGV")</f>
        <v>HGV</v>
      </c>
      <c r="C566" s="3" t="s">
        <v>34</v>
      </c>
      <c r="D566" s="3" t="s">
        <v>35</v>
      </c>
      <c r="E566" s="14" t="str">
        <f ca="1">IFERROR(__xludf.DUMMYFUNCTION("REGEXEXTRACT(A566, ""-(.*)"")"),"ARP.0011.00.2023.GOV.HGV.PE")</f>
        <v>ARP.0011.00.2023.GOV.HGV.PE</v>
      </c>
      <c r="F566" s="3" t="s">
        <v>1210</v>
      </c>
      <c r="G566" s="3"/>
      <c r="H566" s="9">
        <v>45322</v>
      </c>
      <c r="I566" s="3" t="s">
        <v>44</v>
      </c>
      <c r="J566" s="3" t="str">
        <f>VLOOKUP(A566,'TODOS OS PROCESSOS ATUALIZADOS '!A:I,7,0)</f>
        <v>Autorizada Sucesso</v>
      </c>
      <c r="K566" s="3" t="s">
        <v>605</v>
      </c>
      <c r="L566" s="3" t="str">
        <f t="shared" si="2"/>
        <v>Item atualizado</v>
      </c>
      <c r="M566" s="3"/>
      <c r="N566" s="3" t="s">
        <v>605</v>
      </c>
      <c r="O566" s="3"/>
    </row>
    <row r="567" spans="1:17" ht="22.5" customHeight="1" x14ac:dyDescent="0.2">
      <c r="A567" s="3" t="s">
        <v>1211</v>
      </c>
      <c r="B567" s="3" t="str">
        <f ca="1">IFERROR(__xludf.DUMMYFUNCTION("REGEXEXTRACT(A567, ""\.(?:GOV|EXT)\.([A-Z0-9\-]+)"")
"),"BA")</f>
        <v>BA</v>
      </c>
      <c r="C567" s="3" t="s">
        <v>34</v>
      </c>
      <c r="D567" s="3" t="s">
        <v>35</v>
      </c>
      <c r="E567" s="14" t="str">
        <f ca="1">IFERROR(__xludf.DUMMYFUNCTION("REGEXEXTRACT(A567, ""-(.*)"")"),"ARP.0001.00.2024.EXT.BA")</f>
        <v>ARP.0001.00.2024.EXT.BA</v>
      </c>
      <c r="F567" s="3" t="s">
        <v>1203</v>
      </c>
      <c r="G567" s="3"/>
      <c r="H567" s="9">
        <v>45330</v>
      </c>
      <c r="I567" s="3" t="s">
        <v>37</v>
      </c>
      <c r="J567" s="3" t="str">
        <f>VLOOKUP(A567,'TODOS OS PROCESSOS ATUALIZADOS '!A:I,7,0)</f>
        <v>Cancelada</v>
      </c>
      <c r="K567" s="3" t="s">
        <v>605</v>
      </c>
      <c r="L567" s="3" t="str">
        <f t="shared" si="2"/>
        <v>Item não atualizado</v>
      </c>
      <c r="M567" s="3"/>
      <c r="N567" s="3" t="s">
        <v>605</v>
      </c>
      <c r="O567" s="3"/>
    </row>
    <row r="568" spans="1:17" ht="22.5" customHeight="1" x14ac:dyDescent="0.2">
      <c r="A568" s="3" t="s">
        <v>1212</v>
      </c>
      <c r="B568" s="3" t="str">
        <f ca="1">IFERROR(__xludf.DUMMYFUNCTION("REGEXEXTRACT(A568, ""\.(?:GOV|EXT)\.([A-Z0-9\-]+)"")
"),"HGV")</f>
        <v>HGV</v>
      </c>
      <c r="C568" s="3" t="s">
        <v>34</v>
      </c>
      <c r="D568" s="3" t="s">
        <v>35</v>
      </c>
      <c r="E568" s="14" t="str">
        <f ca="1">IFERROR(__xludf.DUMMYFUNCTION("REGEXEXTRACT(A568, ""-(.*)"")"),"ARP.0014.08.2023.GOV.HGV.PE")</f>
        <v>ARP.0014.08.2023.GOV.HGV.PE</v>
      </c>
      <c r="F568" s="3" t="s">
        <v>1213</v>
      </c>
      <c r="G568" s="3"/>
      <c r="H568" s="9">
        <v>45338</v>
      </c>
      <c r="I568" s="3" t="s">
        <v>44</v>
      </c>
      <c r="J568" s="3" t="str">
        <f>VLOOKUP(A568,'TODOS OS PROCESSOS ATUALIZADOS '!A:I,7,0)</f>
        <v>Autorizada Integrado</v>
      </c>
      <c r="K568" s="3" t="s">
        <v>605</v>
      </c>
      <c r="L568" s="3" t="str">
        <f t="shared" si="2"/>
        <v>Item atualizado</v>
      </c>
      <c r="M568" s="3"/>
      <c r="N568" s="3" t="s">
        <v>605</v>
      </c>
      <c r="O568" s="3"/>
    </row>
    <row r="569" spans="1:17" ht="22.5" customHeight="1" x14ac:dyDescent="0.2">
      <c r="A569" s="3" t="s">
        <v>1214</v>
      </c>
      <c r="B569" s="3" t="str">
        <f ca="1">IFERROR(__xludf.DUMMYFUNCTION("REGEXEXTRACT(A569, ""\.(?:GOV|EXT)\.([A-Z0-9\-]+)"")
"),"BA")</f>
        <v>BA</v>
      </c>
      <c r="C569" s="3" t="s">
        <v>34</v>
      </c>
      <c r="D569" s="3" t="s">
        <v>35</v>
      </c>
      <c r="E569" s="14" t="str">
        <f ca="1">IFERROR(__xludf.DUMMYFUNCTION("REGEXEXTRACT(A569, ""-(.*)"")"),"ARP.0001.00.2024.EXT.BA")</f>
        <v>ARP.0001.00.2024.EXT.BA</v>
      </c>
      <c r="F569" s="3" t="s">
        <v>1203</v>
      </c>
      <c r="G569" s="3"/>
      <c r="H569" s="9">
        <v>45327</v>
      </c>
      <c r="I569" s="3" t="s">
        <v>37</v>
      </c>
      <c r="J569" s="3" t="str">
        <f>VLOOKUP(A569,'TODOS OS PROCESSOS ATUALIZADOS '!A:I,7,0)</f>
        <v>Cancelada</v>
      </c>
      <c r="K569" s="3" t="s">
        <v>605</v>
      </c>
      <c r="L569" s="3" t="str">
        <f t="shared" si="2"/>
        <v>Item não atualizado</v>
      </c>
      <c r="M569" s="3"/>
      <c r="N569" s="3" t="s">
        <v>605</v>
      </c>
      <c r="O569" s="3"/>
    </row>
    <row r="570" spans="1:17" ht="22.5" customHeight="1" x14ac:dyDescent="0.2">
      <c r="A570" s="3" t="s">
        <v>1215</v>
      </c>
      <c r="B570" s="3" t="str">
        <f ca="1">IFERROR(__xludf.DUMMYFUNCTION("REGEXEXTRACT(A570, ""\.(?:GOV|EXT)\.([A-Z0-9\-]+)"")
"),"FES-PE")</f>
        <v>FES-PE</v>
      </c>
      <c r="C570" s="3" t="s">
        <v>34</v>
      </c>
      <c r="D570" s="3" t="s">
        <v>1216</v>
      </c>
      <c r="E570" s="14" t="str">
        <f ca="1">IFERROR(__xludf.DUMMYFUNCTION("REGEXEXTRACT(A570, ""-(.*)"")"),"ARP.0003.01.2025.GOV.FES-PE.PE")</f>
        <v>ARP.0003.01.2025.GOV.FES-PE.PE</v>
      </c>
      <c r="F570" s="3" t="s">
        <v>1217</v>
      </c>
      <c r="G570" s="3" t="s">
        <v>3</v>
      </c>
      <c r="H570" s="9">
        <v>45945</v>
      </c>
      <c r="I570" s="3" t="s">
        <v>37</v>
      </c>
      <c r="J570" s="3" t="str">
        <f>VLOOKUP(A570,'TODOS OS PROCESSOS ATUALIZADOS '!A:I,7,0)</f>
        <v>Cancelada</v>
      </c>
      <c r="K570" s="3" t="s">
        <v>38</v>
      </c>
      <c r="L570" s="3" t="str">
        <f t="shared" si="2"/>
        <v>Item não atualizado</v>
      </c>
      <c r="M570" s="3"/>
      <c r="N570" s="3" t="s">
        <v>38</v>
      </c>
      <c r="O570" s="3" t="s">
        <v>39</v>
      </c>
    </row>
    <row r="571" spans="1:17" ht="22.5" customHeight="1" x14ac:dyDescent="0.2">
      <c r="A571" s="3" t="s">
        <v>1218</v>
      </c>
      <c r="B571" s="3" t="str">
        <f ca="1">IFERROR(__xludf.DUMMYFUNCTION("REGEXEXTRACT(A571, ""\.(?:GOV|EXT)\.([A-Z0-9\-]+)"")
"),"FES-PE")</f>
        <v>FES-PE</v>
      </c>
      <c r="C571" s="3" t="s">
        <v>34</v>
      </c>
      <c r="D571" s="3" t="s">
        <v>1216</v>
      </c>
      <c r="E571" s="14" t="str">
        <f ca="1">IFERROR(__xludf.DUMMYFUNCTION("REGEXEXTRACT(A571, ""-(.*)"")"),"ARP.0099.00.2025.GOV.FES-PE.PE")</f>
        <v>ARP.0099.00.2025.GOV.FES-PE.PE</v>
      </c>
      <c r="F571" s="3" t="s">
        <v>1219</v>
      </c>
      <c r="G571" s="3" t="s">
        <v>3</v>
      </c>
      <c r="H571" s="9">
        <v>45940</v>
      </c>
      <c r="I571" s="3" t="s">
        <v>44</v>
      </c>
      <c r="J571" s="3" t="str">
        <f>VLOOKUP(A571,'TODOS OS PROCESSOS ATUALIZADOS '!A:I,7,0)</f>
        <v>Autorizada Sucesso</v>
      </c>
      <c r="K571" s="3" t="s">
        <v>44</v>
      </c>
      <c r="L571" s="3" t="str">
        <f t="shared" si="2"/>
        <v>Item atualizado</v>
      </c>
      <c r="M571" s="3"/>
      <c r="N571" s="3" t="s">
        <v>45</v>
      </c>
      <c r="O571" s="3" t="s">
        <v>56</v>
      </c>
      <c r="P571" s="3" t="s">
        <v>1220</v>
      </c>
      <c r="Q571" s="3"/>
    </row>
    <row r="572" spans="1:17" ht="22.5" customHeight="1" x14ac:dyDescent="0.2">
      <c r="A572" s="3" t="s">
        <v>1221</v>
      </c>
      <c r="B572" s="3" t="str">
        <f ca="1">IFERROR(__xludf.DUMMYFUNCTION("REGEXEXTRACT(A572, ""\.(?:GOV|EXT)\.([A-Z0-9\-]+)"")
"),"SAD")</f>
        <v>SAD</v>
      </c>
      <c r="C572" s="3" t="s">
        <v>34</v>
      </c>
      <c r="D572" s="3" t="s">
        <v>1216</v>
      </c>
      <c r="E572" s="14" t="str">
        <f ca="1">IFERROR(__xludf.DUMMYFUNCTION("REGEXEXTRACT(A572, ""-(.*)"")"),"ARPC.0039.00.2025.GOV.SAD.PE")</f>
        <v>ARPC.0039.00.2025.GOV.SAD.PE</v>
      </c>
      <c r="F572" s="3" t="s">
        <v>1222</v>
      </c>
      <c r="G572" s="3" t="s">
        <v>2</v>
      </c>
      <c r="H572" s="9">
        <v>45937</v>
      </c>
      <c r="I572" s="3" t="s">
        <v>44</v>
      </c>
      <c r="J572" s="3" t="str">
        <f>VLOOKUP(A572,'TODOS OS PROCESSOS ATUALIZADOS '!A:I,7,0)</f>
        <v>Autorizada Sucesso</v>
      </c>
      <c r="K572" s="3" t="s">
        <v>44</v>
      </c>
      <c r="L572" s="3" t="str">
        <f t="shared" si="2"/>
        <v>Item atualizado</v>
      </c>
      <c r="M572" s="3"/>
      <c r="N572" s="3" t="s">
        <v>45</v>
      </c>
      <c r="O572" s="3" t="s">
        <v>46</v>
      </c>
      <c r="P572" s="3" t="s">
        <v>1223</v>
      </c>
      <c r="Q572" s="3"/>
    </row>
    <row r="573" spans="1:17" ht="22.5" customHeight="1" x14ac:dyDescent="0.2">
      <c r="A573" s="3" t="s">
        <v>1224</v>
      </c>
      <c r="B573" s="3" t="str">
        <f ca="1">IFERROR(__xludf.DUMMYFUNCTION("REGEXEXTRACT(A573, ""\.(?:GOV|EXT)\.([A-Z0-9\-]+)"")
"),"FES-PE")</f>
        <v>FES-PE</v>
      </c>
      <c r="C573" s="3" t="s">
        <v>34</v>
      </c>
      <c r="D573" s="3" t="s">
        <v>1216</v>
      </c>
      <c r="E573" s="14" t="str">
        <f ca="1">IFERROR(__xludf.DUMMYFUNCTION("REGEXEXTRACT(A573, ""-(.*)"")"),"ARP.0101.00.2025.GOV.FES-PE.PE")</f>
        <v>ARP.0101.00.2025.GOV.FES-PE.PE</v>
      </c>
      <c r="F573" s="3" t="s">
        <v>1225</v>
      </c>
      <c r="G573" s="3" t="s">
        <v>3</v>
      </c>
      <c r="H573" s="9">
        <v>45926</v>
      </c>
      <c r="I573" s="3" t="s">
        <v>44</v>
      </c>
      <c r="J573" s="3" t="str">
        <f>VLOOKUP(A573,'TODOS OS PROCESSOS ATUALIZADOS '!A:I,7,0)</f>
        <v>Autorizada Sucesso</v>
      </c>
      <c r="K573" s="3" t="s">
        <v>44</v>
      </c>
      <c r="L573" s="3" t="str">
        <f t="shared" si="2"/>
        <v>Item atualizado</v>
      </c>
      <c r="M573" s="3"/>
      <c r="N573" s="3" t="s">
        <v>45</v>
      </c>
      <c r="O573" s="3" t="s">
        <v>87</v>
      </c>
      <c r="P573" s="3" t="s">
        <v>1226</v>
      </c>
      <c r="Q573" s="3"/>
    </row>
    <row r="574" spans="1:17" ht="22.5" customHeight="1" x14ac:dyDescent="0.2">
      <c r="A574" s="3" t="s">
        <v>1227</v>
      </c>
      <c r="B574" s="3" t="str">
        <f ca="1">IFERROR(__xludf.DUMMYFUNCTION("REGEXEXTRACT(A574, ""\.(?:GOV|EXT)\.([A-Z0-9\-]+)"")
"),"FES-PE")</f>
        <v>FES-PE</v>
      </c>
      <c r="C574" s="3" t="s">
        <v>34</v>
      </c>
      <c r="D574" s="3" t="s">
        <v>1216</v>
      </c>
      <c r="E574" s="14" t="str">
        <f ca="1">IFERROR(__xludf.DUMMYFUNCTION("REGEXEXTRACT(A574, ""-(.*)"")"),"ARP.0088.05.2025.GOV.FES-PE.PE")</f>
        <v>ARP.0088.05.2025.GOV.FES-PE.PE</v>
      </c>
      <c r="F574" s="3" t="s">
        <v>1228</v>
      </c>
      <c r="G574" s="3"/>
      <c r="H574" s="9">
        <v>45918</v>
      </c>
      <c r="I574" s="3" t="s">
        <v>37</v>
      </c>
      <c r="J574" s="3" t="str">
        <f>VLOOKUP(A574,'TODOS OS PROCESSOS ATUALIZADOS '!A:I,7,0)</f>
        <v>Cancelada</v>
      </c>
      <c r="K574" s="3" t="s">
        <v>38</v>
      </c>
      <c r="L574" s="3" t="str">
        <f t="shared" si="2"/>
        <v>Item não atualizado</v>
      </c>
      <c r="M574" s="3"/>
      <c r="N574" s="3" t="s">
        <v>38</v>
      </c>
      <c r="O574" s="3" t="s">
        <v>39</v>
      </c>
    </row>
    <row r="575" spans="1:17" ht="22.5" customHeight="1" x14ac:dyDescent="0.2">
      <c r="A575" s="3" t="s">
        <v>1229</v>
      </c>
      <c r="B575" s="3" t="str">
        <f ca="1">IFERROR(__xludf.DUMMYFUNCTION("REGEXEXTRACT(A575, ""\.(?:GOV|EXT)\.([A-Z0-9\-]+)"")
"),"FES-PE")</f>
        <v>FES-PE</v>
      </c>
      <c r="C575" s="3" t="s">
        <v>34</v>
      </c>
      <c r="D575" s="3" t="s">
        <v>1216</v>
      </c>
      <c r="E575" s="14" t="str">
        <f ca="1">IFERROR(__xludf.DUMMYFUNCTION("REGEXEXTRACT(A575, ""-(.*)"")"),"ARP.0049.03.2025.GOV.FES-PE.PE")</f>
        <v>ARP.0049.03.2025.GOV.FES-PE.PE</v>
      </c>
      <c r="F575" s="6" t="s">
        <v>1230</v>
      </c>
      <c r="G575" s="3" t="s">
        <v>3</v>
      </c>
      <c r="H575" s="9">
        <v>45916</v>
      </c>
      <c r="I575" s="3" t="s">
        <v>44</v>
      </c>
      <c r="J575" s="3" t="str">
        <f>VLOOKUP(A575,'TODOS OS PROCESSOS ATUALIZADOS '!A:I,7,0)</f>
        <v>Autorizada Sucesso</v>
      </c>
      <c r="K575" s="3" t="s">
        <v>44</v>
      </c>
      <c r="L575" s="3" t="str">
        <f t="shared" si="2"/>
        <v>Item atualizado</v>
      </c>
      <c r="M575" s="3" t="s">
        <v>5</v>
      </c>
      <c r="N575" s="3" t="s">
        <v>44</v>
      </c>
      <c r="O575" s="3" t="s">
        <v>52</v>
      </c>
      <c r="P575" s="3" t="s">
        <v>1231</v>
      </c>
    </row>
    <row r="576" spans="1:17" ht="22.5" customHeight="1" x14ac:dyDescent="0.2">
      <c r="A576" s="3" t="s">
        <v>1232</v>
      </c>
      <c r="B576" s="3" t="str">
        <f ca="1">IFERROR(__xludf.DUMMYFUNCTION("REGEXEXTRACT(A576, ""\.(?:GOV|EXT)\.([A-Z0-9\-]+)"")
"),"FES-PE")</f>
        <v>FES-PE</v>
      </c>
      <c r="C576" s="3" t="s">
        <v>34</v>
      </c>
      <c r="D576" s="3" t="s">
        <v>1216</v>
      </c>
      <c r="E576" s="14" t="str">
        <f ca="1">IFERROR(__xludf.DUMMYFUNCTION("REGEXEXTRACT(A576, ""-(.*)"")"),"ARP.0049.01.2025.GOV.FES-PE.PE")</f>
        <v>ARP.0049.01.2025.GOV.FES-PE.PE</v>
      </c>
      <c r="F576" s="6" t="s">
        <v>1230</v>
      </c>
      <c r="G576" s="3" t="s">
        <v>3</v>
      </c>
      <c r="H576" s="9">
        <v>45911</v>
      </c>
      <c r="I576" s="3" t="s">
        <v>44</v>
      </c>
      <c r="J576" s="3" t="str">
        <f>VLOOKUP(A576,'TODOS OS PROCESSOS ATUALIZADOS '!A:I,7,0)</f>
        <v>Autorizada Sucesso</v>
      </c>
      <c r="K576" s="3" t="s">
        <v>44</v>
      </c>
      <c r="L576" s="3" t="str">
        <f t="shared" si="2"/>
        <v>Item atualizado</v>
      </c>
      <c r="M576" s="3" t="s">
        <v>9</v>
      </c>
      <c r="N576" s="3" t="s">
        <v>44</v>
      </c>
      <c r="O576" s="3" t="s">
        <v>52</v>
      </c>
      <c r="P576" s="3" t="s">
        <v>1233</v>
      </c>
    </row>
    <row r="577" spans="1:17" ht="22.5" customHeight="1" x14ac:dyDescent="0.2">
      <c r="A577" s="3" t="s">
        <v>1234</v>
      </c>
      <c r="B577" s="3" t="str">
        <f ca="1">IFERROR(__xludf.DUMMYFUNCTION("REGEXEXTRACT(A577, ""\.(?:GOV|EXT)\.([A-Z0-9\-]+)"")
"),"FES-PE")</f>
        <v>FES-PE</v>
      </c>
      <c r="C577" s="3" t="s">
        <v>34</v>
      </c>
      <c r="D577" s="3" t="s">
        <v>1216</v>
      </c>
      <c r="E577" s="14" t="str">
        <f ca="1">IFERROR(__xludf.DUMMYFUNCTION("REGEXEXTRACT(A577, ""-(.*)"")"),"ARP.0049.04.2025.GOV.FES-PE.PE")</f>
        <v>ARP.0049.04.2025.GOV.FES-PE.PE</v>
      </c>
      <c r="F577" s="6" t="s">
        <v>1230</v>
      </c>
      <c r="G577" s="3" t="s">
        <v>3</v>
      </c>
      <c r="H577" s="9">
        <v>45911</v>
      </c>
      <c r="I577" s="3" t="s">
        <v>44</v>
      </c>
      <c r="J577" s="3" t="str">
        <f>VLOOKUP(A577,'TODOS OS PROCESSOS ATUALIZADOS '!A:I,7,0)</f>
        <v>Autorizada Sucesso</v>
      </c>
      <c r="K577" s="3" t="s">
        <v>44</v>
      </c>
      <c r="L577" s="3" t="str">
        <f t="shared" si="2"/>
        <v>Item atualizado</v>
      </c>
      <c r="M577" s="3"/>
      <c r="N577" s="3" t="s">
        <v>45</v>
      </c>
      <c r="O577" s="3" t="s">
        <v>39</v>
      </c>
    </row>
    <row r="578" spans="1:17" ht="22.5" customHeight="1" x14ac:dyDescent="0.2">
      <c r="A578" s="3" t="s">
        <v>1235</v>
      </c>
      <c r="B578" s="3" t="str">
        <f ca="1">IFERROR(__xludf.DUMMYFUNCTION("REGEXEXTRACT(A578, ""\.(?:GOV|EXT)\.([A-Z0-9\-]+)"")
"),"HAM")</f>
        <v>HAM</v>
      </c>
      <c r="C578" s="3" t="s">
        <v>34</v>
      </c>
      <c r="D578" s="3" t="s">
        <v>1216</v>
      </c>
      <c r="E578" s="14" t="str">
        <f ca="1">IFERROR(__xludf.DUMMYFUNCTION("REGEXEXTRACT(A578, ""-(.*)"")"),"ARP.0008.01.2025.GOV.HAM.PE")</f>
        <v>ARP.0008.01.2025.GOV.HAM.PE</v>
      </c>
      <c r="F578" s="6" t="s">
        <v>1236</v>
      </c>
      <c r="G578" s="3" t="s">
        <v>3</v>
      </c>
      <c r="H578" s="9">
        <v>45908</v>
      </c>
      <c r="I578" s="3" t="s">
        <v>44</v>
      </c>
      <c r="J578" s="3" t="str">
        <f>VLOOKUP(A578,'TODOS OS PROCESSOS ATUALIZADOS '!A:I,7,0)</f>
        <v>Autorizada Sucesso</v>
      </c>
      <c r="K578" s="3" t="s">
        <v>44</v>
      </c>
      <c r="L578" s="3" t="str">
        <f t="shared" si="2"/>
        <v>Item atualizado</v>
      </c>
      <c r="M578" s="3"/>
      <c r="N578" s="3" t="s">
        <v>45</v>
      </c>
      <c r="O578" s="3" t="s">
        <v>39</v>
      </c>
    </row>
    <row r="579" spans="1:17" ht="22.5" customHeight="1" x14ac:dyDescent="0.2">
      <c r="A579" s="3" t="s">
        <v>1237</v>
      </c>
      <c r="B579" s="3" t="str">
        <f ca="1">IFERROR(__xludf.DUMMYFUNCTION("REGEXEXTRACT(A579, ""\.(?:GOV|EXT)\.([A-Z0-9\-]+)"")
"),"FES-PE")</f>
        <v>FES-PE</v>
      </c>
      <c r="C579" s="3" t="s">
        <v>34</v>
      </c>
      <c r="D579" s="3" t="s">
        <v>1216</v>
      </c>
      <c r="E579" s="14" t="str">
        <f ca="1">IFERROR(__xludf.DUMMYFUNCTION("REGEXEXTRACT(A579, ""-(.*)"")"),"ARP.0067.01.2025.GOV.FES-PE.PE")</f>
        <v>ARP.0067.01.2025.GOV.FES-PE.PE</v>
      </c>
      <c r="F579" s="6" t="s">
        <v>1238</v>
      </c>
      <c r="G579" s="3" t="s">
        <v>3</v>
      </c>
      <c r="H579" s="9">
        <v>45905</v>
      </c>
      <c r="I579" s="3" t="s">
        <v>44</v>
      </c>
      <c r="J579" s="3" t="str">
        <f>VLOOKUP(A579,'TODOS OS PROCESSOS ATUALIZADOS '!A:I,7,0)</f>
        <v>Autorizada Sucesso</v>
      </c>
      <c r="K579" s="3" t="s">
        <v>44</v>
      </c>
      <c r="L579" s="3" t="str">
        <f t="shared" si="2"/>
        <v>Item atualizado</v>
      </c>
      <c r="M579" s="3"/>
      <c r="N579" s="3" t="s">
        <v>45</v>
      </c>
      <c r="O579" s="3" t="s">
        <v>39</v>
      </c>
    </row>
    <row r="580" spans="1:17" ht="22.5" customHeight="1" x14ac:dyDescent="0.2">
      <c r="A580" s="3" t="s">
        <v>1239</v>
      </c>
      <c r="B580" s="3" t="str">
        <f ca="1">IFERROR(__xludf.DUMMYFUNCTION("REGEXEXTRACT(A580, ""\.(?:GOV|EXT)\.([A-Z0-9\-]+)"")
"),"FES-PE")</f>
        <v>FES-PE</v>
      </c>
      <c r="C580" s="3" t="s">
        <v>34</v>
      </c>
      <c r="D580" s="3" t="s">
        <v>1216</v>
      </c>
      <c r="E580" s="14" t="str">
        <f ca="1">IFERROR(__xludf.DUMMYFUNCTION("REGEXEXTRACT(A580, ""-(.*)"")"),"ARP.0077.01.2025.GOV.FES-PE.PE")</f>
        <v>ARP.0077.01.2025.GOV.FES-PE.PE</v>
      </c>
      <c r="F580" s="6" t="s">
        <v>1240</v>
      </c>
      <c r="G580" s="3"/>
      <c r="H580" s="9">
        <v>45904</v>
      </c>
      <c r="I580" s="3" t="s">
        <v>44</v>
      </c>
      <c r="J580" s="3" t="str">
        <f>VLOOKUP(A580,'TODOS OS PROCESSOS ATUALIZADOS '!A:I,7,0)</f>
        <v>Autorizada Sucesso</v>
      </c>
      <c r="K580" s="3" t="s">
        <v>44</v>
      </c>
      <c r="L580" s="3" t="str">
        <f t="shared" si="2"/>
        <v>Item atualizado</v>
      </c>
      <c r="M580" s="3"/>
      <c r="N580" s="3" t="s">
        <v>45</v>
      </c>
      <c r="O580" s="3" t="s">
        <v>39</v>
      </c>
    </row>
    <row r="581" spans="1:17" ht="22.5" customHeight="1" x14ac:dyDescent="0.2">
      <c r="A581" s="3" t="s">
        <v>1241</v>
      </c>
      <c r="B581" s="3" t="str">
        <f ca="1">IFERROR(__xludf.DUMMYFUNCTION("REGEXEXTRACT(A581, ""\.(?:GOV|EXT)\.([A-Z0-9\-]+)"")
"),"FES-PE")</f>
        <v>FES-PE</v>
      </c>
      <c r="C581" s="3" t="s">
        <v>34</v>
      </c>
      <c r="D581" s="3" t="s">
        <v>1216</v>
      </c>
      <c r="E581" s="14" t="str">
        <f ca="1">IFERROR(__xludf.DUMMYFUNCTION("REGEXEXTRACT(A581, ""-(.*)"")"),"ARP.0044.04.2025.GOV.FES-PE.PE")</f>
        <v>ARP.0044.04.2025.GOV.FES-PE.PE</v>
      </c>
      <c r="F581" s="6" t="s">
        <v>121</v>
      </c>
      <c r="G581" s="3"/>
      <c r="H581" s="9">
        <v>45904</v>
      </c>
      <c r="I581" s="3" t="s">
        <v>44</v>
      </c>
      <c r="J581" s="3" t="str">
        <f>VLOOKUP(A581,'TODOS OS PROCESSOS ATUALIZADOS '!A:I,7,0)</f>
        <v>Autorizada Sucesso</v>
      </c>
      <c r="K581" s="3" t="s">
        <v>44</v>
      </c>
      <c r="L581" s="3" t="str">
        <f t="shared" si="2"/>
        <v>Item atualizado</v>
      </c>
      <c r="M581" s="3" t="s">
        <v>9</v>
      </c>
      <c r="N581" s="3" t="s">
        <v>45</v>
      </c>
      <c r="O581" s="3" t="s">
        <v>56</v>
      </c>
      <c r="P581" s="3" t="s">
        <v>1242</v>
      </c>
    </row>
    <row r="582" spans="1:17" ht="22.5" customHeight="1" x14ac:dyDescent="0.2">
      <c r="A582" s="3" t="s">
        <v>1243</v>
      </c>
      <c r="B582" s="3" t="str">
        <f ca="1">IFERROR(__xludf.DUMMYFUNCTION("REGEXEXTRACT(A582, ""\.(?:GOV|EXT)\.([A-Z0-9\-]+)"")
"),"FES-PE")</f>
        <v>FES-PE</v>
      </c>
      <c r="C582" s="3" t="s">
        <v>34</v>
      </c>
      <c r="D582" s="3" t="s">
        <v>1216</v>
      </c>
      <c r="E582" s="14" t="str">
        <f ca="1">IFERROR(__xludf.DUMMYFUNCTION("REGEXEXTRACT(A582, ""-(.*)"")"),"ARP.0044.02.2025.GOV.FES-PE.PE")</f>
        <v>ARP.0044.02.2025.GOV.FES-PE.PE</v>
      </c>
      <c r="F582" s="6" t="s">
        <v>121</v>
      </c>
      <c r="G582" s="3"/>
      <c r="H582" s="9">
        <v>45904</v>
      </c>
      <c r="I582" s="3" t="s">
        <v>44</v>
      </c>
      <c r="J582" s="3" t="str">
        <f>VLOOKUP(A582,'TODOS OS PROCESSOS ATUALIZADOS '!A:I,7,0)</f>
        <v>Autorizada Integrado</v>
      </c>
      <c r="K582" s="3" t="s">
        <v>44</v>
      </c>
      <c r="L582" s="3" t="str">
        <f t="shared" si="2"/>
        <v>Item atualizado</v>
      </c>
      <c r="M582" s="3" t="s">
        <v>9</v>
      </c>
      <c r="N582" s="3" t="s">
        <v>45</v>
      </c>
      <c r="O582" s="3" t="s">
        <v>56</v>
      </c>
      <c r="P582" s="3" t="s">
        <v>1244</v>
      </c>
    </row>
    <row r="583" spans="1:17" ht="22.5" customHeight="1" x14ac:dyDescent="0.2">
      <c r="A583" s="3" t="s">
        <v>1245</v>
      </c>
      <c r="B583" s="3" t="str">
        <f ca="1">IFERROR(__xludf.DUMMYFUNCTION("REGEXEXTRACT(A583, ""\.(?:GOV|EXT)\.([A-Z0-9\-]+)"")
"),"HOF")</f>
        <v>HOF</v>
      </c>
      <c r="C583" s="3" t="s">
        <v>34</v>
      </c>
      <c r="D583" s="3" t="s">
        <v>1216</v>
      </c>
      <c r="E583" s="14" t="str">
        <f ca="1">IFERROR(__xludf.DUMMYFUNCTION("REGEXEXTRACT(A583, ""-(.*)"")"),"ARP.0022.02.2024.GOV.HOF.PE")</f>
        <v>ARP.0022.02.2024.GOV.HOF.PE</v>
      </c>
      <c r="F583" s="6" t="s">
        <v>1246</v>
      </c>
      <c r="G583" s="3"/>
      <c r="H583" s="9">
        <v>45902</v>
      </c>
      <c r="I583" s="3" t="s">
        <v>44</v>
      </c>
      <c r="J583" s="3" t="str">
        <f>VLOOKUP(A583,'TODOS OS PROCESSOS ATUALIZADOS '!A:I,7,0)</f>
        <v>Autorizada Sucesso</v>
      </c>
      <c r="K583" s="3" t="s">
        <v>44</v>
      </c>
      <c r="L583" s="3" t="str">
        <f t="shared" si="2"/>
        <v>Item atualizado</v>
      </c>
      <c r="M583" s="3"/>
      <c r="N583" s="3" t="s">
        <v>45</v>
      </c>
      <c r="O583" s="3" t="s">
        <v>39</v>
      </c>
    </row>
    <row r="584" spans="1:17" ht="22.5" customHeight="1" x14ac:dyDescent="0.2">
      <c r="A584" s="3" t="s">
        <v>1247</v>
      </c>
      <c r="B584" s="3" t="str">
        <f ca="1">IFERROR(__xludf.DUMMYFUNCTION("REGEXEXTRACT(A584, ""\.(?:GOV|EXT)\.([A-Z0-9\-]+)"")
"),"#N/A")</f>
        <v>#N/A</v>
      </c>
      <c r="C584" s="3" t="s">
        <v>34</v>
      </c>
      <c r="D584" s="3" t="s">
        <v>1216</v>
      </c>
      <c r="E584" s="14" t="str">
        <f ca="1">IFERROR(__xludf.DUMMYFUNCTION("REGEXEXTRACT(A584, ""-(.*)"")"),"ARP.0001.00.2024.FES-PE.PE")</f>
        <v>ARP.0001.00.2024.FES-PE.PE</v>
      </c>
      <c r="F584" s="6" t="s">
        <v>1248</v>
      </c>
      <c r="G584" s="3"/>
      <c r="H584" s="9">
        <v>45898</v>
      </c>
      <c r="I584" s="3" t="s">
        <v>44</v>
      </c>
      <c r="J584" s="3" t="str">
        <f>VLOOKUP(A584,'TODOS OS PROCESSOS ATUALIZADOS '!A:I,7,0)</f>
        <v>Autorizada Sucesso</v>
      </c>
      <c r="K584" s="3" t="s">
        <v>44</v>
      </c>
      <c r="L584" s="3" t="str">
        <f t="shared" si="2"/>
        <v>Item atualizado</v>
      </c>
      <c r="M584" s="3"/>
      <c r="N584" s="3" t="s">
        <v>45</v>
      </c>
      <c r="O584" s="3" t="s">
        <v>39</v>
      </c>
    </row>
    <row r="585" spans="1:17" ht="22.5" customHeight="1" x14ac:dyDescent="0.2">
      <c r="A585" s="3" t="s">
        <v>1249</v>
      </c>
      <c r="B585" s="3" t="str">
        <f ca="1">IFERROR(__xludf.DUMMYFUNCTION("REGEXEXTRACT(A585, ""\.(?:GOV|EXT)\.([A-Z0-9\-]+)"")
"),"FES-PE")</f>
        <v>FES-PE</v>
      </c>
      <c r="C585" s="3" t="s">
        <v>34</v>
      </c>
      <c r="D585" s="3" t="s">
        <v>1216</v>
      </c>
      <c r="E585" s="14" t="str">
        <f ca="1">IFERROR(__xludf.DUMMYFUNCTION("REGEXEXTRACT(A585, ""-(.*)"")"),"ARP.0001.00.2024.GOV.FES-PE.PE")</f>
        <v>ARP.0001.00.2024.GOV.FES-PE.PE</v>
      </c>
      <c r="F585" s="3" t="s">
        <v>1248</v>
      </c>
      <c r="G585" s="3"/>
      <c r="H585" s="9">
        <v>45898</v>
      </c>
      <c r="I585" s="3" t="s">
        <v>37</v>
      </c>
      <c r="J585" s="3" t="e">
        <f>VLOOKUP(A585,'TODOS OS PROCESSOS ATUALIZADOS '!A:I,7,0)</f>
        <v>#N/A</v>
      </c>
      <c r="K585" s="3" t="s">
        <v>38</v>
      </c>
      <c r="L585" s="3" t="str">
        <f t="shared" si="2"/>
        <v>Item não localizado</v>
      </c>
      <c r="M585" s="3"/>
      <c r="N585" s="3" t="s">
        <v>38</v>
      </c>
      <c r="O585" s="3" t="s">
        <v>39</v>
      </c>
    </row>
    <row r="586" spans="1:17" ht="22.5" customHeight="1" x14ac:dyDescent="0.2">
      <c r="A586" s="3" t="s">
        <v>1250</v>
      </c>
      <c r="B586" s="3" t="str">
        <f ca="1">IFERROR(__xludf.DUMMYFUNCTION("REGEXEXTRACT(A586, ""\.(?:GOV|EXT)\.([A-Z0-9\-]+)"")
"),"HOF")</f>
        <v>HOF</v>
      </c>
      <c r="C586" s="3" t="s">
        <v>34</v>
      </c>
      <c r="D586" s="3" t="s">
        <v>1216</v>
      </c>
      <c r="E586" s="14" t="str">
        <f ca="1">IFERROR(__xludf.DUMMYFUNCTION("REGEXEXTRACT(A586, ""-(.*)"")"),"ARP.0021.01.2024.GOV.HOF.PE")</f>
        <v>ARP.0021.01.2024.GOV.HOF.PE</v>
      </c>
      <c r="F586" s="3" t="s">
        <v>184</v>
      </c>
      <c r="G586" s="3" t="s">
        <v>2</v>
      </c>
      <c r="H586" s="9">
        <v>45897</v>
      </c>
      <c r="I586" s="3" t="s">
        <v>44</v>
      </c>
      <c r="J586" s="3" t="str">
        <f>VLOOKUP(A586,'TODOS OS PROCESSOS ATUALIZADOS '!A:I,7,0)</f>
        <v>Autorizada Sucesso</v>
      </c>
      <c r="K586" s="3" t="s">
        <v>44</v>
      </c>
      <c r="L586" s="3" t="str">
        <f t="shared" si="2"/>
        <v>Item atualizado</v>
      </c>
      <c r="M586" s="3"/>
      <c r="N586" s="3" t="s">
        <v>45</v>
      </c>
      <c r="O586" s="3" t="s">
        <v>56</v>
      </c>
      <c r="P586" s="3" t="s">
        <v>1251</v>
      </c>
      <c r="Q586" s="3"/>
    </row>
    <row r="587" spans="1:17" ht="22.5" customHeight="1" x14ac:dyDescent="0.2">
      <c r="A587" s="3" t="s">
        <v>1252</v>
      </c>
      <c r="B587" s="3" t="str">
        <f ca="1">IFERROR(__xludf.DUMMYFUNCTION("REGEXEXTRACT(A587, ""\.(?:GOV|EXT)\.([A-Z0-9\-]+)"")
"),"FES-PE")</f>
        <v>FES-PE</v>
      </c>
      <c r="C587" s="3" t="s">
        <v>34</v>
      </c>
      <c r="D587" s="3" t="s">
        <v>1216</v>
      </c>
      <c r="E587" s="14" t="str">
        <f ca="1">IFERROR(__xludf.DUMMYFUNCTION("REGEXEXTRACT(A587, ""-(.*)"")"),"ARP.0070.01.2025.GOV.FES-PE.PE")</f>
        <v>ARP.0070.01.2025.GOV.FES-PE.PE</v>
      </c>
      <c r="F587" s="3" t="s">
        <v>1253</v>
      </c>
      <c r="G587" s="3" t="s">
        <v>3</v>
      </c>
      <c r="H587" s="9">
        <v>45896</v>
      </c>
      <c r="I587" s="3" t="s">
        <v>1254</v>
      </c>
      <c r="J587" s="3" t="str">
        <f>VLOOKUP(A587,'TODOS OS PROCESSOS ATUALIZADOS '!A:I,7,0)</f>
        <v>Encaminhada para o gestor de ata</v>
      </c>
      <c r="K587" s="3" t="s">
        <v>45</v>
      </c>
      <c r="L587" s="3" t="str">
        <f t="shared" si="2"/>
        <v>Item não atualizado</v>
      </c>
      <c r="M587" s="3" t="s">
        <v>12</v>
      </c>
      <c r="N587" s="3" t="s">
        <v>45</v>
      </c>
      <c r="O587" s="3" t="s">
        <v>56</v>
      </c>
      <c r="P587" s="3" t="s">
        <v>1255</v>
      </c>
      <c r="Q587" s="3" t="s">
        <v>72</v>
      </c>
    </row>
    <row r="588" spans="1:17" ht="22.5" customHeight="1" x14ac:dyDescent="0.2">
      <c r="A588" s="3" t="s">
        <v>1256</v>
      </c>
      <c r="B588" s="3" t="str">
        <f ca="1">IFERROR(__xludf.DUMMYFUNCTION("REGEXEXTRACT(A588, ""\.(?:GOV|EXT)\.([A-Z0-9\-]+)"")
"),"FES-PE")</f>
        <v>FES-PE</v>
      </c>
      <c r="C588" s="3" t="s">
        <v>34</v>
      </c>
      <c r="D588" s="3" t="s">
        <v>1216</v>
      </c>
      <c r="E588" s="14" t="str">
        <f ca="1">IFERROR(__xludf.DUMMYFUNCTION("REGEXEXTRACT(A588, ""-(.*)"")"),"ARP.0059.02.2025.GOV.FES-PE.PE")</f>
        <v>ARP.0059.02.2025.GOV.FES-PE.PE</v>
      </c>
      <c r="F588" s="3" t="s">
        <v>228</v>
      </c>
      <c r="G588" s="3"/>
      <c r="H588" s="9">
        <v>45894</v>
      </c>
      <c r="I588" s="3" t="s">
        <v>37</v>
      </c>
      <c r="J588" s="3" t="str">
        <f>VLOOKUP(A588,'TODOS OS PROCESSOS ATUALIZADOS '!A:I,7,0)</f>
        <v>Cancelada</v>
      </c>
      <c r="K588" s="3" t="s">
        <v>38</v>
      </c>
      <c r="L588" s="3" t="str">
        <f t="shared" si="2"/>
        <v>Item não atualizado</v>
      </c>
      <c r="M588" s="3"/>
      <c r="N588" s="3" t="s">
        <v>38</v>
      </c>
      <c r="O588" s="3" t="s">
        <v>39</v>
      </c>
    </row>
    <row r="589" spans="1:17" ht="22.5" customHeight="1" x14ac:dyDescent="0.2">
      <c r="A589" s="3" t="s">
        <v>1257</v>
      </c>
      <c r="B589" s="3" t="str">
        <f ca="1">IFERROR(__xludf.DUMMYFUNCTION("REGEXEXTRACT(A589, ""\.(?:GOV|EXT)\.([A-Z0-9\-]+)"")
"),"FES-PE")</f>
        <v>FES-PE</v>
      </c>
      <c r="C589" s="3" t="s">
        <v>34</v>
      </c>
      <c r="D589" s="3" t="s">
        <v>1216</v>
      </c>
      <c r="E589" s="14" t="str">
        <f ca="1">IFERROR(__xludf.DUMMYFUNCTION("REGEXEXTRACT(A589, ""-(.*)"")"),"ARP.0070.03.2025.GOV.FES-PE.PE")</f>
        <v>ARP.0070.03.2025.GOV.FES-PE.PE</v>
      </c>
      <c r="F589" s="6" t="s">
        <v>1253</v>
      </c>
      <c r="G589" s="3"/>
      <c r="H589" s="9">
        <v>45891</v>
      </c>
      <c r="I589" s="3" t="s">
        <v>44</v>
      </c>
      <c r="J589" s="3" t="str">
        <f>VLOOKUP(A589,'TODOS OS PROCESSOS ATUALIZADOS '!A:I,7,0)</f>
        <v>Autorizada Sucesso</v>
      </c>
      <c r="K589" s="3" t="s">
        <v>44</v>
      </c>
      <c r="L589" s="3" t="str">
        <f t="shared" si="2"/>
        <v>Item atualizado</v>
      </c>
      <c r="M589" s="3"/>
      <c r="N589" s="3" t="s">
        <v>45</v>
      </c>
      <c r="O589" s="3" t="s">
        <v>39</v>
      </c>
    </row>
    <row r="590" spans="1:17" ht="22.5" customHeight="1" x14ac:dyDescent="0.2">
      <c r="A590" s="3" t="s">
        <v>1258</v>
      </c>
      <c r="B590" s="3" t="str">
        <f ca="1">IFERROR(__xludf.DUMMYFUNCTION("REGEXEXTRACT(A590, ""\.(?:GOV|EXT)\.([A-Z0-9\-]+)"")
"),"FES-PE")</f>
        <v>FES-PE</v>
      </c>
      <c r="C590" s="3" t="s">
        <v>34</v>
      </c>
      <c r="D590" s="3" t="s">
        <v>1216</v>
      </c>
      <c r="E590" s="14" t="str">
        <f ca="1">IFERROR(__xludf.DUMMYFUNCTION("REGEXEXTRACT(A590, ""-(.*)"")"),"ARP.0079.01.2025.GOV.FES-PE.PE")</f>
        <v>ARP.0079.01.2025.GOV.FES-PE.PE</v>
      </c>
      <c r="F590" s="6" t="s">
        <v>1259</v>
      </c>
      <c r="G590" s="3"/>
      <c r="H590" s="9">
        <v>45891</v>
      </c>
      <c r="I590" s="3" t="s">
        <v>44</v>
      </c>
      <c r="J590" s="3" t="str">
        <f>VLOOKUP(A590,'TODOS OS PROCESSOS ATUALIZADOS '!A:I,7,0)</f>
        <v>Autorizada Sucesso</v>
      </c>
      <c r="K590" s="3" t="s">
        <v>44</v>
      </c>
      <c r="L590" s="3" t="str">
        <f t="shared" si="2"/>
        <v>Item atualizado</v>
      </c>
      <c r="M590" s="3"/>
      <c r="N590" s="3" t="s">
        <v>45</v>
      </c>
      <c r="O590" s="3" t="s">
        <v>39</v>
      </c>
    </row>
    <row r="591" spans="1:17" ht="22.5" customHeight="1" x14ac:dyDescent="0.2">
      <c r="A591" s="3" t="s">
        <v>1260</v>
      </c>
      <c r="B591" s="3" t="str">
        <f ca="1">IFERROR(__xludf.DUMMYFUNCTION("REGEXEXTRACT(A591, ""\.(?:GOV|EXT)\.([A-Z0-9\-]+)"")
"),"FES-PE")</f>
        <v>FES-PE</v>
      </c>
      <c r="C591" s="3" t="s">
        <v>34</v>
      </c>
      <c r="D591" s="3" t="s">
        <v>1216</v>
      </c>
      <c r="E591" s="14" t="str">
        <f ca="1">IFERROR(__xludf.DUMMYFUNCTION("REGEXEXTRACT(A591, ""-(.*)"")"),"ARP.0079.00.2025.GOV.FES-PE.PE")</f>
        <v>ARP.0079.00.2025.GOV.FES-PE.PE</v>
      </c>
      <c r="F591" s="3" t="s">
        <v>1259</v>
      </c>
      <c r="G591" s="3"/>
      <c r="H591" s="9">
        <v>45891</v>
      </c>
      <c r="I591" s="3" t="s">
        <v>44</v>
      </c>
      <c r="J591" s="3" t="str">
        <f>VLOOKUP(A591,'TODOS OS PROCESSOS ATUALIZADOS '!A:I,7,0)</f>
        <v>Autorizada Sucesso</v>
      </c>
      <c r="K591" s="3" t="s">
        <v>44</v>
      </c>
      <c r="L591" s="3" t="str">
        <f t="shared" si="2"/>
        <v>Item atualizado</v>
      </c>
      <c r="M591" s="3"/>
      <c r="N591" s="3" t="s">
        <v>44</v>
      </c>
      <c r="O591" s="3" t="s">
        <v>52</v>
      </c>
      <c r="P591" s="3" t="s">
        <v>1261</v>
      </c>
      <c r="Q591" s="3"/>
    </row>
    <row r="592" spans="1:17" ht="22.5" customHeight="1" x14ac:dyDescent="0.2">
      <c r="A592" s="3" t="s">
        <v>1262</v>
      </c>
      <c r="B592" s="3" t="str">
        <f ca="1">IFERROR(__xludf.DUMMYFUNCTION("REGEXEXTRACT(A592, ""\.(?:GOV|EXT)\.([A-Z0-9\-]+)"")
"),"FES-PE")</f>
        <v>FES-PE</v>
      </c>
      <c r="C592" s="3" t="s">
        <v>34</v>
      </c>
      <c r="D592" s="3" t="s">
        <v>1216</v>
      </c>
      <c r="E592" s="14" t="str">
        <f ca="1">IFERROR(__xludf.DUMMYFUNCTION("REGEXEXTRACT(A592, ""-(.*)"")"),"ARP.0070.02.2025.GOV.FES-PE.PE")</f>
        <v>ARP.0070.02.2025.GOV.FES-PE.PE</v>
      </c>
      <c r="F592" s="3" t="s">
        <v>1253</v>
      </c>
      <c r="G592" s="3" t="s">
        <v>3</v>
      </c>
      <c r="H592" s="9">
        <v>45890</v>
      </c>
      <c r="I592" s="3" t="s">
        <v>1254</v>
      </c>
      <c r="J592" s="3" t="str">
        <f>VLOOKUP(A592,'TODOS OS PROCESSOS ATUALIZADOS '!A:I,7,0)</f>
        <v>Encaminhada para o gestor de ata</v>
      </c>
      <c r="K592" s="3" t="s">
        <v>45</v>
      </c>
      <c r="L592" s="3" t="str">
        <f t="shared" si="2"/>
        <v>Item não atualizado</v>
      </c>
      <c r="M592" s="3" t="s">
        <v>12</v>
      </c>
      <c r="N592" s="3" t="s">
        <v>45</v>
      </c>
      <c r="O592" s="3" t="s">
        <v>60</v>
      </c>
      <c r="P592" s="3" t="s">
        <v>1263</v>
      </c>
      <c r="Q592" s="3" t="s">
        <v>72</v>
      </c>
    </row>
    <row r="593" spans="1:17" ht="22.5" customHeight="1" x14ac:dyDescent="0.2">
      <c r="A593" s="3" t="s">
        <v>1264</v>
      </c>
      <c r="B593" s="3" t="str">
        <f ca="1">IFERROR(__xludf.DUMMYFUNCTION("REGEXEXTRACT(A593, ""\.(?:GOV|EXT)\.([A-Z0-9\-]+)"")
"),"FES-PE")</f>
        <v>FES-PE</v>
      </c>
      <c r="C593" s="3" t="s">
        <v>34</v>
      </c>
      <c r="D593" s="3" t="s">
        <v>1216</v>
      </c>
      <c r="E593" s="14" t="str">
        <f ca="1">IFERROR(__xludf.DUMMYFUNCTION("REGEXEXTRACT(A593, ""-(.*)"")"),"ARP.0015.06.2025.GOV.FES-PE.PE")</f>
        <v>ARP.0015.06.2025.GOV.FES-PE.PE</v>
      </c>
      <c r="F593" s="3" t="s">
        <v>1265</v>
      </c>
      <c r="G593" s="3" t="s">
        <v>3</v>
      </c>
      <c r="H593" s="9">
        <v>45889</v>
      </c>
      <c r="I593" s="3" t="s">
        <v>44</v>
      </c>
      <c r="J593" s="3" t="str">
        <f>VLOOKUP(A593,'TODOS OS PROCESSOS ATUALIZADOS '!A:I,7,0)</f>
        <v>Autorizada Sucesso</v>
      </c>
      <c r="K593" s="3" t="s">
        <v>44</v>
      </c>
      <c r="L593" s="3" t="str">
        <f t="shared" si="2"/>
        <v>Item atualizado</v>
      </c>
      <c r="M593" s="3"/>
      <c r="N593" s="3" t="s">
        <v>45</v>
      </c>
      <c r="O593" s="3" t="s">
        <v>56</v>
      </c>
      <c r="P593" s="3" t="s">
        <v>1266</v>
      </c>
      <c r="Q593" s="3"/>
    </row>
    <row r="594" spans="1:17" ht="22.5" customHeight="1" x14ac:dyDescent="0.2">
      <c r="A594" s="3" t="s">
        <v>1267</v>
      </c>
      <c r="B594" s="3" t="str">
        <f ca="1">IFERROR(__xludf.DUMMYFUNCTION("REGEXEXTRACT(A594, ""\.(?:GOV|EXT)\.([A-Z0-9\-]+)"")
"),"FES-PE")</f>
        <v>FES-PE</v>
      </c>
      <c r="C594" s="3" t="s">
        <v>34</v>
      </c>
      <c r="D594" s="3" t="s">
        <v>1216</v>
      </c>
      <c r="E594" s="14" t="str">
        <f ca="1">IFERROR(__xludf.DUMMYFUNCTION("REGEXEXTRACT(A594, ""-(.*)"")"),"ARP.0015.02.2025.GOV.FES-PE.PE")</f>
        <v>ARP.0015.02.2025.GOV.FES-PE.PE</v>
      </c>
      <c r="F594" s="3" t="s">
        <v>1265</v>
      </c>
      <c r="G594" s="3"/>
      <c r="H594" s="9">
        <v>45889</v>
      </c>
      <c r="I594" s="3" t="s">
        <v>37</v>
      </c>
      <c r="J594" s="3" t="str">
        <f>VLOOKUP(A594,'TODOS OS PROCESSOS ATUALIZADOS '!A:I,7,0)</f>
        <v>Cancelada</v>
      </c>
      <c r="K594" s="3" t="s">
        <v>38</v>
      </c>
      <c r="L594" s="3" t="str">
        <f t="shared" si="2"/>
        <v>Item não atualizado</v>
      </c>
      <c r="M594" s="3"/>
      <c r="N594" s="3" t="s">
        <v>38</v>
      </c>
      <c r="O594" s="3" t="s">
        <v>39</v>
      </c>
    </row>
    <row r="595" spans="1:17" ht="22.5" customHeight="1" x14ac:dyDescent="0.2">
      <c r="A595" s="3" t="s">
        <v>1268</v>
      </c>
      <c r="B595" s="3" t="str">
        <f ca="1">IFERROR(__xludf.DUMMYFUNCTION("REGEXEXTRACT(A595, ""\.(?:GOV|EXT)\.([A-Z0-9\-]+)"")
"),"FES-PE")</f>
        <v>FES-PE</v>
      </c>
      <c r="C595" s="3" t="s">
        <v>34</v>
      </c>
      <c r="D595" s="3" t="s">
        <v>1216</v>
      </c>
      <c r="E595" s="14" t="str">
        <f ca="1">IFERROR(__xludf.DUMMYFUNCTION("REGEXEXTRACT(A595, ""-(.*)"")"),"ARP.0070.02.2025.GOV.FES-PE.PE")</f>
        <v>ARP.0070.02.2025.GOV.FES-PE.PE</v>
      </c>
      <c r="F595" s="3" t="s">
        <v>1253</v>
      </c>
      <c r="G595" s="3" t="s">
        <v>3</v>
      </c>
      <c r="H595" s="9">
        <v>45888</v>
      </c>
      <c r="I595" s="3" t="s">
        <v>37</v>
      </c>
      <c r="J595" s="3" t="str">
        <f>VLOOKUP(A595,'TODOS OS PROCESSOS ATUALIZADOS '!A:I,7,0)</f>
        <v>Cancelada</v>
      </c>
      <c r="K595" s="3" t="s">
        <v>38</v>
      </c>
      <c r="L595" s="3" t="str">
        <f t="shared" si="2"/>
        <v>Item não atualizado</v>
      </c>
      <c r="M595" s="3"/>
      <c r="N595" s="3" t="s">
        <v>38</v>
      </c>
      <c r="O595" s="3" t="s">
        <v>39</v>
      </c>
    </row>
    <row r="596" spans="1:17" ht="22.5" customHeight="1" x14ac:dyDescent="0.2">
      <c r="A596" s="3" t="s">
        <v>1269</v>
      </c>
      <c r="B596" s="3" t="str">
        <f ca="1">IFERROR(__xludf.DUMMYFUNCTION("REGEXEXTRACT(A596, ""\.(?:GOV|EXT)\.([A-Z0-9\-]+)"")
"),"FES-PE")</f>
        <v>FES-PE</v>
      </c>
      <c r="C596" s="3" t="s">
        <v>34</v>
      </c>
      <c r="D596" s="3" t="s">
        <v>1216</v>
      </c>
      <c r="E596" s="14" t="str">
        <f ca="1">IFERROR(__xludf.DUMMYFUNCTION("REGEXEXTRACT(A596, ""-(.*)"")"),"ARP.0011.00.2025.GOV.FES-PE.PE")</f>
        <v>ARP.0011.00.2025.GOV.FES-PE.PE</v>
      </c>
      <c r="F596" s="3" t="s">
        <v>323</v>
      </c>
      <c r="G596" s="3" t="s">
        <v>3</v>
      </c>
      <c r="H596" s="9">
        <v>45888</v>
      </c>
      <c r="I596" s="3" t="s">
        <v>37</v>
      </c>
      <c r="J596" s="3" t="str">
        <f>VLOOKUP(A596,'TODOS OS PROCESSOS ATUALIZADOS '!A:I,7,0)</f>
        <v>Cancelada</v>
      </c>
      <c r="K596" s="3" t="s">
        <v>38</v>
      </c>
      <c r="L596" s="3" t="str">
        <f t="shared" si="2"/>
        <v>Item não atualizado</v>
      </c>
      <c r="M596" s="3"/>
      <c r="N596" s="3" t="s">
        <v>38</v>
      </c>
      <c r="O596" s="3" t="s">
        <v>39</v>
      </c>
    </row>
    <row r="597" spans="1:17" ht="22.5" customHeight="1" x14ac:dyDescent="0.2">
      <c r="A597" s="3" t="s">
        <v>1270</v>
      </c>
      <c r="B597" s="3" t="str">
        <f ca="1">IFERROR(__xludf.DUMMYFUNCTION("REGEXEXTRACT(A597, ""\.(?:GOV|EXT)\.([A-Z0-9\-]+)"")
"),"HAM")</f>
        <v>HAM</v>
      </c>
      <c r="C597" s="3" t="s">
        <v>34</v>
      </c>
      <c r="D597" s="3" t="s">
        <v>1216</v>
      </c>
      <c r="E597" s="14" t="str">
        <f ca="1">IFERROR(__xludf.DUMMYFUNCTION("REGEXEXTRACT(A597, ""-(.*)"")"),"ARP.0012.07.2025.GOV.HAM.PE")</f>
        <v>ARP.0012.07.2025.GOV.HAM.PE</v>
      </c>
      <c r="F597" s="3" t="s">
        <v>195</v>
      </c>
      <c r="G597" s="3"/>
      <c r="H597" s="9">
        <v>45888</v>
      </c>
      <c r="I597" s="3" t="s">
        <v>37</v>
      </c>
      <c r="J597" s="3" t="str">
        <f>VLOOKUP(A597,'TODOS OS PROCESSOS ATUALIZADOS '!A:I,7,0)</f>
        <v>Cancelada</v>
      </c>
      <c r="K597" s="3" t="s">
        <v>38</v>
      </c>
      <c r="L597" s="3" t="str">
        <f t="shared" si="2"/>
        <v>Item não atualizado</v>
      </c>
      <c r="M597" s="3"/>
      <c r="N597" s="3" t="s">
        <v>38</v>
      </c>
      <c r="O597" s="3" t="s">
        <v>39</v>
      </c>
    </row>
    <row r="598" spans="1:17" ht="22.5" customHeight="1" x14ac:dyDescent="0.2">
      <c r="A598" s="3" t="s">
        <v>1271</v>
      </c>
      <c r="B598" s="3" t="str">
        <f ca="1">IFERROR(__xludf.DUMMYFUNCTION("REGEXEXTRACT(A598, ""\.(?:GOV|EXT)\.([A-Z0-9\-]+)"")
"),"FES-PE")</f>
        <v>FES-PE</v>
      </c>
      <c r="C598" s="3" t="s">
        <v>34</v>
      </c>
      <c r="D598" s="3" t="s">
        <v>1216</v>
      </c>
      <c r="E598" s="14" t="str">
        <f ca="1">IFERROR(__xludf.DUMMYFUNCTION("REGEXEXTRACT(A598, ""-(.*)"")"),"ARP.0068.04.2025.GOV.FES-PE.PE")</f>
        <v>ARP.0068.04.2025.GOV.FES-PE.PE</v>
      </c>
      <c r="F598" s="6" t="s">
        <v>138</v>
      </c>
      <c r="G598" s="3" t="s">
        <v>1</v>
      </c>
      <c r="H598" s="9">
        <v>45882</v>
      </c>
      <c r="I598" s="3" t="s">
        <v>44</v>
      </c>
      <c r="J598" s="3" t="str">
        <f>VLOOKUP(A598,'TODOS OS PROCESSOS ATUALIZADOS '!A:I,7,0)</f>
        <v>Autorizada Sucesso</v>
      </c>
      <c r="K598" s="3" t="s">
        <v>44</v>
      </c>
      <c r="L598" s="3" t="str">
        <f t="shared" si="2"/>
        <v>Item atualizado</v>
      </c>
      <c r="M598" s="3" t="s">
        <v>11</v>
      </c>
      <c r="N598" s="3" t="s">
        <v>45</v>
      </c>
      <c r="O598" s="3" t="s">
        <v>39</v>
      </c>
      <c r="P598" s="3" t="s">
        <v>1272</v>
      </c>
    </row>
    <row r="599" spans="1:17" ht="22.5" customHeight="1" x14ac:dyDescent="0.2">
      <c r="A599" s="3" t="s">
        <v>1273</v>
      </c>
      <c r="B599" s="3" t="str">
        <f ca="1">IFERROR(__xludf.DUMMYFUNCTION("REGEXEXTRACT(A599, ""\.(?:GOV|EXT)\.([A-Z0-9\-]+)"")
"),"HAM")</f>
        <v>HAM</v>
      </c>
      <c r="C599" s="3" t="s">
        <v>34</v>
      </c>
      <c r="D599" s="3" t="s">
        <v>1216</v>
      </c>
      <c r="E599" s="14" t="str">
        <f ca="1">IFERROR(__xludf.DUMMYFUNCTION("REGEXEXTRACT(A599, ""-(.*)"")"),"ARP.0012.07.2025.GOV.HAM.PE")</f>
        <v>ARP.0012.07.2025.GOV.HAM.PE</v>
      </c>
      <c r="F599" s="3" t="s">
        <v>195</v>
      </c>
      <c r="G599" s="3" t="s">
        <v>2</v>
      </c>
      <c r="H599" s="9">
        <v>45882</v>
      </c>
      <c r="I599" s="3" t="s">
        <v>37</v>
      </c>
      <c r="J599" s="3" t="str">
        <f>VLOOKUP(A599,'TODOS OS PROCESSOS ATUALIZADOS '!A:I,7,0)</f>
        <v>Cancelada</v>
      </c>
      <c r="K599" s="3" t="s">
        <v>38</v>
      </c>
      <c r="L599" s="3" t="str">
        <f t="shared" si="2"/>
        <v>Item não atualizado</v>
      </c>
      <c r="M599" s="3"/>
      <c r="N599" s="3" t="s">
        <v>38</v>
      </c>
      <c r="O599" s="3" t="s">
        <v>39</v>
      </c>
    </row>
    <row r="600" spans="1:17" ht="22.5" customHeight="1" x14ac:dyDescent="0.2">
      <c r="A600" s="3" t="s">
        <v>1274</v>
      </c>
      <c r="B600" s="3" t="str">
        <f ca="1">IFERROR(__xludf.DUMMYFUNCTION("REGEXEXTRACT(A600, ""\.(?:GOV|EXT)\.([A-Z0-9\-]+)"")
"),"HAM")</f>
        <v>HAM</v>
      </c>
      <c r="C600" s="3" t="s">
        <v>34</v>
      </c>
      <c r="D600" s="3" t="s">
        <v>1216</v>
      </c>
      <c r="E600" s="14" t="str">
        <f ca="1">IFERROR(__xludf.DUMMYFUNCTION("REGEXEXTRACT(A600, ""-(.*)"")"),"ARP.0008.01.2025.GOV.HAM.PE")</f>
        <v>ARP.0008.01.2025.GOV.HAM.PE</v>
      </c>
      <c r="F600" s="6" t="s">
        <v>1236</v>
      </c>
      <c r="G600" s="3" t="s">
        <v>3</v>
      </c>
      <c r="H600" s="9">
        <v>45882</v>
      </c>
      <c r="I600" s="3" t="s">
        <v>44</v>
      </c>
      <c r="J600" s="3" t="str">
        <f>VLOOKUP(A600,'TODOS OS PROCESSOS ATUALIZADOS '!A:I,7,0)</f>
        <v>Autorizada Sucesso</v>
      </c>
      <c r="K600" s="3" t="s">
        <v>44</v>
      </c>
      <c r="L600" s="3" t="str">
        <f t="shared" si="2"/>
        <v>Item atualizado</v>
      </c>
      <c r="M600" s="3"/>
      <c r="N600" s="3" t="s">
        <v>45</v>
      </c>
      <c r="O600" s="3" t="s">
        <v>39</v>
      </c>
    </row>
    <row r="601" spans="1:17" ht="22.5" customHeight="1" x14ac:dyDescent="0.2">
      <c r="A601" s="3" t="s">
        <v>1275</v>
      </c>
      <c r="B601" s="3" t="str">
        <f ca="1">IFERROR(__xludf.DUMMYFUNCTION("REGEXEXTRACT(A601, ""\.(?:GOV|EXT)\.([A-Z0-9\-]+)"")
"),"FES-PE")</f>
        <v>FES-PE</v>
      </c>
      <c r="C601" s="3" t="s">
        <v>34</v>
      </c>
      <c r="D601" s="3" t="s">
        <v>1216</v>
      </c>
      <c r="E601" s="14" t="str">
        <f ca="1">IFERROR(__xludf.DUMMYFUNCTION("REGEXEXTRACT(A601, ""-(.*)"")"),"ARP.0044.06.2025.GOV.FES-PE.PE")</f>
        <v>ARP.0044.06.2025.GOV.FES-PE.PE</v>
      </c>
      <c r="F601" s="6" t="s">
        <v>121</v>
      </c>
      <c r="G601" s="3" t="s">
        <v>3</v>
      </c>
      <c r="H601" s="9">
        <v>45881</v>
      </c>
      <c r="I601" s="3" t="s">
        <v>1254</v>
      </c>
      <c r="J601" s="3" t="str">
        <f>VLOOKUP(A601,'TODOS OS PROCESSOS ATUALIZADOS '!A:I,7,0)</f>
        <v>Encaminhada para o gestor de ata</v>
      </c>
      <c r="K601" s="3" t="s">
        <v>45</v>
      </c>
      <c r="L601" s="3" t="str">
        <f t="shared" si="2"/>
        <v>Item não atualizado</v>
      </c>
      <c r="M601" s="3" t="s">
        <v>16</v>
      </c>
      <c r="N601" s="3" t="s">
        <v>45</v>
      </c>
      <c r="O601" s="3" t="s">
        <v>39</v>
      </c>
    </row>
    <row r="602" spans="1:17" ht="22.5" customHeight="1" x14ac:dyDescent="0.2">
      <c r="A602" s="3" t="s">
        <v>1276</v>
      </c>
      <c r="B602" s="3" t="str">
        <f ca="1">IFERROR(__xludf.DUMMYFUNCTION("REGEXEXTRACT(A602, ""\.(?:GOV|EXT)\.([A-Z0-9\-]+)"")
"),"FES-PE")</f>
        <v>FES-PE</v>
      </c>
      <c r="C602" s="3" t="s">
        <v>34</v>
      </c>
      <c r="D602" s="3" t="s">
        <v>1216</v>
      </c>
      <c r="E602" s="14" t="str">
        <f ca="1">IFERROR(__xludf.DUMMYFUNCTION("REGEXEXTRACT(A602, ""-(.*)"")"),"ARP.0015.05.2025.GOV.FES-PE.PE")</f>
        <v>ARP.0015.05.2025.GOV.FES-PE.PE</v>
      </c>
      <c r="F602" s="3" t="s">
        <v>1265</v>
      </c>
      <c r="G602" s="3" t="s">
        <v>3</v>
      </c>
      <c r="H602" s="9">
        <v>45880</v>
      </c>
      <c r="I602" s="3" t="s">
        <v>37</v>
      </c>
      <c r="J602" s="3" t="str">
        <f>VLOOKUP(A602,'TODOS OS PROCESSOS ATUALIZADOS '!A:I,7,0)</f>
        <v>Cancelada</v>
      </c>
      <c r="K602" s="3" t="s">
        <v>38</v>
      </c>
      <c r="L602" s="3" t="str">
        <f t="shared" si="2"/>
        <v>Item não atualizado</v>
      </c>
      <c r="M602" s="3"/>
      <c r="N602" s="3" t="s">
        <v>38</v>
      </c>
      <c r="O602" s="3" t="s">
        <v>39</v>
      </c>
    </row>
    <row r="603" spans="1:17" ht="22.5" customHeight="1" x14ac:dyDescent="0.2">
      <c r="A603" s="3" t="s">
        <v>1277</v>
      </c>
      <c r="B603" s="3" t="str">
        <f ca="1">IFERROR(__xludf.DUMMYFUNCTION("REGEXEXTRACT(A603, ""\.(?:GOV|EXT)\.([A-Z0-9\-]+)"")
"),"FES-PE")</f>
        <v>FES-PE</v>
      </c>
      <c r="C603" s="3" t="s">
        <v>34</v>
      </c>
      <c r="D603" s="3" t="s">
        <v>1216</v>
      </c>
      <c r="E603" s="14" t="str">
        <f ca="1">IFERROR(__xludf.DUMMYFUNCTION("REGEXEXTRACT(A603, ""-(.*)"")"),"ARP.0015.05.2025.GOV.FES-PE.PE")</f>
        <v>ARP.0015.05.2025.GOV.FES-PE.PE</v>
      </c>
      <c r="F603" s="3" t="s">
        <v>1265</v>
      </c>
      <c r="G603" s="3" t="s">
        <v>3</v>
      </c>
      <c r="H603" s="9">
        <v>45880</v>
      </c>
      <c r="I603" s="3" t="s">
        <v>37</v>
      </c>
      <c r="J603" s="3" t="str">
        <f>VLOOKUP(A603,'TODOS OS PROCESSOS ATUALIZADOS '!A:I,7,0)</f>
        <v>Cancelada</v>
      </c>
      <c r="K603" s="3" t="s">
        <v>38</v>
      </c>
      <c r="L603" s="3" t="str">
        <f t="shared" si="2"/>
        <v>Item não atualizado</v>
      </c>
      <c r="M603" s="3"/>
      <c r="N603" s="3" t="s">
        <v>38</v>
      </c>
      <c r="O603" s="3" t="s">
        <v>39</v>
      </c>
    </row>
    <row r="604" spans="1:17" ht="22.5" customHeight="1" x14ac:dyDescent="0.2">
      <c r="A604" s="3" t="s">
        <v>1278</v>
      </c>
      <c r="B604" s="3" t="str">
        <f ca="1">IFERROR(__xludf.DUMMYFUNCTION("REGEXEXTRACT(A604, ""\.(?:GOV|EXT)\.([A-Z0-9\-]+)"")
"),"FES-PE")</f>
        <v>FES-PE</v>
      </c>
      <c r="C604" s="3" t="s">
        <v>34</v>
      </c>
      <c r="D604" s="3" t="s">
        <v>1216</v>
      </c>
      <c r="E604" s="14" t="str">
        <f ca="1">IFERROR(__xludf.DUMMYFUNCTION("REGEXEXTRACT(A604, ""-(.*)"")"),"ARP.0079.14.2025.GOV.FES-PE.PE")</f>
        <v>ARP.0079.14.2025.GOV.FES-PE.PE</v>
      </c>
      <c r="F604" s="3" t="s">
        <v>1259</v>
      </c>
      <c r="G604" s="3" t="s">
        <v>3</v>
      </c>
      <c r="H604" s="9">
        <v>45880</v>
      </c>
      <c r="I604" s="3" t="s">
        <v>44</v>
      </c>
      <c r="J604" s="3" t="str">
        <f>VLOOKUP(A604,'TODOS OS PROCESSOS ATUALIZADOS '!A:I,7,0)</f>
        <v>Autorizada Sucesso</v>
      </c>
      <c r="K604" s="3" t="s">
        <v>44</v>
      </c>
      <c r="L604" s="3" t="str">
        <f t="shared" si="2"/>
        <v>Item atualizado</v>
      </c>
      <c r="M604" s="3"/>
      <c r="N604" s="3" t="s">
        <v>44</v>
      </c>
      <c r="O604" s="3" t="s">
        <v>52</v>
      </c>
      <c r="P604" s="3" t="s">
        <v>1279</v>
      </c>
      <c r="Q604" s="3"/>
    </row>
    <row r="605" spans="1:17" ht="22.5" customHeight="1" x14ac:dyDescent="0.2">
      <c r="A605" s="3" t="s">
        <v>1280</v>
      </c>
      <c r="B605" s="3" t="str">
        <f ca="1">IFERROR(__xludf.DUMMYFUNCTION("REGEXEXTRACT(A605, ""\.(?:GOV|EXT)\.([A-Z0-9\-]+)"")
"),"FES-PE")</f>
        <v>FES-PE</v>
      </c>
      <c r="C605" s="3" t="s">
        <v>34</v>
      </c>
      <c r="D605" s="3" t="s">
        <v>1216</v>
      </c>
      <c r="E605" s="14" t="str">
        <f ca="1">IFERROR(__xludf.DUMMYFUNCTION("REGEXEXTRACT(A605, ""-(.*)"")"),"ARP.0068.00.2025.GOV.FES-PE.PE")</f>
        <v>ARP.0068.00.2025.GOV.FES-PE.PE</v>
      </c>
      <c r="F605" s="6" t="s">
        <v>138</v>
      </c>
      <c r="G605" s="3" t="s">
        <v>3</v>
      </c>
      <c r="H605" s="9">
        <v>45876</v>
      </c>
      <c r="I605" s="3" t="s">
        <v>1254</v>
      </c>
      <c r="J605" s="3" t="str">
        <f>VLOOKUP(A605,'TODOS OS PROCESSOS ATUALIZADOS '!A:I,7,0)</f>
        <v>Encaminhada para o gestor de ata</v>
      </c>
      <c r="K605" s="3" t="s">
        <v>45</v>
      </c>
      <c r="L605" s="3" t="str">
        <f t="shared" si="2"/>
        <v>Item não atualizado</v>
      </c>
      <c r="M605" s="3" t="s">
        <v>16</v>
      </c>
      <c r="N605" s="3" t="s">
        <v>45</v>
      </c>
      <c r="O605" s="3" t="s">
        <v>39</v>
      </c>
    </row>
    <row r="606" spans="1:17" ht="22.5" customHeight="1" x14ac:dyDescent="0.2">
      <c r="A606" s="3" t="s">
        <v>1281</v>
      </c>
      <c r="B606" s="3" t="str">
        <f ca="1">IFERROR(__xludf.DUMMYFUNCTION("REGEXEXTRACT(A606, ""\.(?:GOV|EXT)\.([A-Z0-9\-]+)"")
"),"FES-PE")</f>
        <v>FES-PE</v>
      </c>
      <c r="C606" s="3" t="s">
        <v>34</v>
      </c>
      <c r="D606" s="3" t="s">
        <v>1216</v>
      </c>
      <c r="E606" s="14" t="str">
        <f ca="1">IFERROR(__xludf.DUMMYFUNCTION("REGEXEXTRACT(A606, ""-(.*)"")"),"ARP.0068.04.2025.GOV.FES-PE.PE")</f>
        <v>ARP.0068.04.2025.GOV.FES-PE.PE</v>
      </c>
      <c r="F606" s="6" t="s">
        <v>138</v>
      </c>
      <c r="G606" s="3" t="s">
        <v>1</v>
      </c>
      <c r="H606" s="9">
        <v>45874</v>
      </c>
      <c r="I606" s="3" t="s">
        <v>44</v>
      </c>
      <c r="J606" s="3" t="str">
        <f>VLOOKUP(A606,'TODOS OS PROCESSOS ATUALIZADOS '!A:I,7,0)</f>
        <v>Autorizada Sucesso</v>
      </c>
      <c r="K606" s="3" t="s">
        <v>44</v>
      </c>
      <c r="L606" s="3" t="str">
        <f t="shared" si="2"/>
        <v>Item atualizado</v>
      </c>
      <c r="M606" s="3"/>
      <c r="N606" s="3" t="s">
        <v>45</v>
      </c>
      <c r="O606" s="3" t="s">
        <v>52</v>
      </c>
      <c r="P606" s="3" t="s">
        <v>1282</v>
      </c>
    </row>
    <row r="607" spans="1:17" ht="22.5" customHeight="1" x14ac:dyDescent="0.2">
      <c r="A607" s="3" t="s">
        <v>1283</v>
      </c>
      <c r="B607" s="3" t="str">
        <f ca="1">IFERROR(__xludf.DUMMYFUNCTION("REGEXEXTRACT(A607, ""\.(?:GOV|EXT)\.([A-Z0-9\-]+)"")
"),"FES-PE")</f>
        <v>FES-PE</v>
      </c>
      <c r="C607" s="3" t="s">
        <v>34</v>
      </c>
      <c r="D607" s="3" t="s">
        <v>1216</v>
      </c>
      <c r="E607" s="14" t="str">
        <f ca="1">IFERROR(__xludf.DUMMYFUNCTION("REGEXEXTRACT(A607, ""-(.*)"")"),"ARP.0068.01.2025.GOV.FES-PE.PE")</f>
        <v>ARP.0068.01.2025.GOV.FES-PE.PE</v>
      </c>
      <c r="F607" s="6" t="s">
        <v>138</v>
      </c>
      <c r="G607" s="3" t="s">
        <v>3</v>
      </c>
      <c r="H607" s="9">
        <v>45874</v>
      </c>
      <c r="I607" s="3" t="s">
        <v>1254</v>
      </c>
      <c r="J607" s="3" t="str">
        <f>VLOOKUP(A607,'TODOS OS PROCESSOS ATUALIZADOS '!A:I,7,0)</f>
        <v>Encaminhada para o gestor de ata</v>
      </c>
      <c r="K607" s="3" t="s">
        <v>45</v>
      </c>
      <c r="L607" s="3" t="str">
        <f t="shared" si="2"/>
        <v>Item não atualizado</v>
      </c>
      <c r="M607" s="3" t="s">
        <v>16</v>
      </c>
      <c r="N607" s="3" t="s">
        <v>45</v>
      </c>
      <c r="O607" s="3" t="s">
        <v>39</v>
      </c>
    </row>
    <row r="608" spans="1:17" ht="22.5" customHeight="1" x14ac:dyDescent="0.2">
      <c r="A608" s="3" t="s">
        <v>1284</v>
      </c>
      <c r="B608" s="3" t="str">
        <f ca="1">IFERROR(__xludf.DUMMYFUNCTION("REGEXEXTRACT(A608, ""\.(?:GOV|EXT)\.([A-Z0-9\-]+)"")
"),"FES-PE")</f>
        <v>FES-PE</v>
      </c>
      <c r="C608" s="3" t="s">
        <v>34</v>
      </c>
      <c r="D608" s="3" t="s">
        <v>1216</v>
      </c>
      <c r="E608" s="14" t="str">
        <f ca="1">IFERROR(__xludf.DUMMYFUNCTION("REGEXEXTRACT(A608, ""-(.*)"")"),"ARP.0068.01.2025.GOV.FES-PE.PE")</f>
        <v>ARP.0068.01.2025.GOV.FES-PE.PE</v>
      </c>
      <c r="F608" s="6" t="s">
        <v>138</v>
      </c>
      <c r="G608" s="3" t="s">
        <v>1</v>
      </c>
      <c r="H608" s="9">
        <v>45874</v>
      </c>
      <c r="I608" s="3" t="s">
        <v>44</v>
      </c>
      <c r="J608" s="3" t="str">
        <f>VLOOKUP(A608,'TODOS OS PROCESSOS ATUALIZADOS '!A:I,7,0)</f>
        <v>Autorizada Sucesso</v>
      </c>
      <c r="K608" s="3" t="s">
        <v>44</v>
      </c>
      <c r="L608" s="3" t="str">
        <f t="shared" si="2"/>
        <v>Item atualizado</v>
      </c>
      <c r="M608" s="3"/>
      <c r="N608" s="3" t="s">
        <v>44</v>
      </c>
      <c r="O608" s="3" t="s">
        <v>52</v>
      </c>
      <c r="P608" s="3" t="s">
        <v>1285</v>
      </c>
    </row>
    <row r="609" spans="1:16" ht="22.5" customHeight="1" x14ac:dyDescent="0.2">
      <c r="A609" s="3" t="s">
        <v>1286</v>
      </c>
      <c r="B609" s="3" t="str">
        <f ca="1">IFERROR(__xludf.DUMMYFUNCTION("REGEXEXTRACT(A609, ""\.(?:GOV|EXT)\.([A-Z0-9\-]+)"")
"),"FES-PE")</f>
        <v>FES-PE</v>
      </c>
      <c r="C609" s="3" t="s">
        <v>34</v>
      </c>
      <c r="D609" s="3" t="s">
        <v>1216</v>
      </c>
      <c r="E609" s="14" t="str">
        <f ca="1">IFERROR(__xludf.DUMMYFUNCTION("REGEXEXTRACT(A609, ""-(.*)"")"),"ARP.0068.00.2025.GOV.FES-PE.PE")</f>
        <v>ARP.0068.00.2025.GOV.FES-PE.PE</v>
      </c>
      <c r="F609" s="6" t="s">
        <v>138</v>
      </c>
      <c r="G609" s="3" t="s">
        <v>1</v>
      </c>
      <c r="H609" s="9">
        <v>45874</v>
      </c>
      <c r="I609" s="3" t="s">
        <v>44</v>
      </c>
      <c r="J609" s="3" t="str">
        <f>VLOOKUP(A609,'TODOS OS PROCESSOS ATUALIZADOS '!A:I,7,0)</f>
        <v>Autorizada Sucesso</v>
      </c>
      <c r="K609" s="3" t="s">
        <v>44</v>
      </c>
      <c r="L609" s="3" t="str">
        <f t="shared" si="2"/>
        <v>Item atualizado</v>
      </c>
      <c r="M609" s="3"/>
      <c r="N609" s="3" t="s">
        <v>45</v>
      </c>
      <c r="O609" s="3" t="s">
        <v>52</v>
      </c>
      <c r="P609" s="3" t="s">
        <v>1287</v>
      </c>
    </row>
    <row r="610" spans="1:16" ht="22.5" customHeight="1" x14ac:dyDescent="0.2">
      <c r="A610" s="3" t="s">
        <v>1288</v>
      </c>
      <c r="B610" s="3" t="str">
        <f ca="1">IFERROR(__xludf.DUMMYFUNCTION("REGEXEXTRACT(A610, ""\.(?:GOV|EXT)\.([A-Z0-9\-]+)"")
"),"HGV")</f>
        <v>HGV</v>
      </c>
      <c r="C610" s="3" t="s">
        <v>34</v>
      </c>
      <c r="D610" s="3" t="s">
        <v>1216</v>
      </c>
      <c r="E610" s="14" t="str">
        <f ca="1">IFERROR(__xludf.DUMMYFUNCTION("REGEXEXTRACT(A610, ""-(.*)"")"),"ARP.0011.03.2025.GOV.HGV.PE")</f>
        <v>ARP.0011.03.2025.GOV.HGV.PE</v>
      </c>
      <c r="F610" s="3" t="s">
        <v>165</v>
      </c>
      <c r="G610" s="3" t="s">
        <v>3</v>
      </c>
      <c r="H610" s="9">
        <v>45874</v>
      </c>
      <c r="I610" s="3" t="s">
        <v>44</v>
      </c>
      <c r="J610" s="3" t="str">
        <f>VLOOKUP(A610,'TODOS OS PROCESSOS ATUALIZADOS '!A:I,7,0)</f>
        <v>Autorizada Sucesso</v>
      </c>
      <c r="K610" s="3" t="s">
        <v>44</v>
      </c>
      <c r="L610" s="3" t="str">
        <f t="shared" si="2"/>
        <v>Item atualizado</v>
      </c>
      <c r="M610" s="3"/>
      <c r="N610" s="3" t="s">
        <v>44</v>
      </c>
      <c r="O610" s="3" t="s">
        <v>52</v>
      </c>
      <c r="P610" s="3" t="s">
        <v>1289</v>
      </c>
    </row>
    <row r="611" spans="1:16" ht="22.5" customHeight="1" x14ac:dyDescent="0.2">
      <c r="A611" s="3" t="s">
        <v>1290</v>
      </c>
      <c r="B611" s="3" t="str">
        <f ca="1">IFERROR(__xludf.DUMMYFUNCTION("REGEXEXTRACT(A611, ""\.(?:GOV|EXT)\.([A-Z0-9\-]+)"")
"),"FES-PE")</f>
        <v>FES-PE</v>
      </c>
      <c r="C611" s="3" t="s">
        <v>34</v>
      </c>
      <c r="D611" s="3" t="s">
        <v>1216</v>
      </c>
      <c r="E611" s="14" t="str">
        <f ca="1">IFERROR(__xludf.DUMMYFUNCTION("REGEXEXTRACT(A611, ""-(.*)"")"),"ARP.0079.04.2025.GOV.FES-PE.PE")</f>
        <v>ARP.0079.04.2025.GOV.FES-PE.PE</v>
      </c>
      <c r="F611" s="3" t="s">
        <v>1259</v>
      </c>
      <c r="G611" s="3"/>
      <c r="H611" s="9">
        <v>45869</v>
      </c>
      <c r="I611" s="3" t="s">
        <v>44</v>
      </c>
      <c r="J611" s="3" t="str">
        <f>VLOOKUP(A611,'TODOS OS PROCESSOS ATUALIZADOS '!A:I,7,0)</f>
        <v>Autorizada Sucesso</v>
      </c>
      <c r="K611" s="3" t="s">
        <v>44</v>
      </c>
      <c r="L611" s="3" t="str">
        <f t="shared" si="2"/>
        <v>Item atualizado</v>
      </c>
      <c r="M611" s="3"/>
      <c r="N611" s="3" t="s">
        <v>44</v>
      </c>
      <c r="O611" s="3" t="s">
        <v>52</v>
      </c>
      <c r="P611" s="3" t="s">
        <v>1291</v>
      </c>
    </row>
    <row r="612" spans="1:16" ht="22.5" customHeight="1" x14ac:dyDescent="0.2">
      <c r="A612" s="3" t="s">
        <v>1292</v>
      </c>
      <c r="B612" s="3" t="str">
        <f ca="1">IFERROR(__xludf.DUMMYFUNCTION("REGEXEXTRACT(A612, ""\.(?:GOV|EXT)\.([A-Z0-9\-]+)"")
"),"FES-PE")</f>
        <v>FES-PE</v>
      </c>
      <c r="C612" s="3" t="s">
        <v>34</v>
      </c>
      <c r="D612" s="3" t="s">
        <v>1216</v>
      </c>
      <c r="E612" s="14" t="str">
        <f ca="1">IFERROR(__xludf.DUMMYFUNCTION("REGEXEXTRACT(A612, ""-(.*)"")"),"ARP.0096.02.2024.GOV.FES-PE.PE")</f>
        <v>ARP.0096.02.2024.GOV.FES-PE.PE</v>
      </c>
      <c r="F612" s="3" t="s">
        <v>1293</v>
      </c>
      <c r="G612" s="3"/>
      <c r="H612" s="9">
        <v>45867</v>
      </c>
      <c r="I612" s="3" t="s">
        <v>37</v>
      </c>
      <c r="J612" s="3" t="str">
        <f>VLOOKUP(A612,'TODOS OS PROCESSOS ATUALIZADOS '!A:I,7,0)</f>
        <v>Cancelada</v>
      </c>
      <c r="K612" s="3" t="s">
        <v>38</v>
      </c>
      <c r="L612" s="3" t="str">
        <f t="shared" si="2"/>
        <v>Item não atualizado</v>
      </c>
      <c r="M612" s="3"/>
      <c r="N612" s="3" t="s">
        <v>38</v>
      </c>
      <c r="O612" s="3" t="s">
        <v>39</v>
      </c>
    </row>
    <row r="613" spans="1:16" ht="22.5" customHeight="1" x14ac:dyDescent="0.2">
      <c r="A613" s="3" t="s">
        <v>1294</v>
      </c>
      <c r="B613" s="3" t="str">
        <f ca="1">IFERROR(__xludf.DUMMYFUNCTION("REGEXEXTRACT(A613, ""\.(?:GOV|EXT)\.([A-Z0-9\-]+)"")
"),"FES-PE")</f>
        <v>FES-PE</v>
      </c>
      <c r="C613" s="3" t="s">
        <v>34</v>
      </c>
      <c r="D613" s="3" t="s">
        <v>1216</v>
      </c>
      <c r="E613" s="14" t="str">
        <f ca="1">IFERROR(__xludf.DUMMYFUNCTION("REGEXEXTRACT(A613, ""-(.*)"")"),"ARP.0044.06.2025.GOV.FES-PE.PE")</f>
        <v>ARP.0044.06.2025.GOV.FES-PE.PE</v>
      </c>
      <c r="F613" s="6" t="s">
        <v>121</v>
      </c>
      <c r="G613" s="3"/>
      <c r="H613" s="9">
        <v>45863</v>
      </c>
      <c r="I613" s="3" t="s">
        <v>44</v>
      </c>
      <c r="J613" s="3" t="str">
        <f>VLOOKUP(A613,'TODOS OS PROCESSOS ATUALIZADOS '!A:I,7,0)</f>
        <v>Autorizada Sucesso</v>
      </c>
      <c r="K613" s="3" t="s">
        <v>44</v>
      </c>
      <c r="L613" s="3" t="str">
        <f t="shared" si="2"/>
        <v>Item atualizado</v>
      </c>
      <c r="M613" s="3"/>
      <c r="N613" s="3" t="s">
        <v>45</v>
      </c>
      <c r="O613" s="3" t="s">
        <v>39</v>
      </c>
    </row>
    <row r="614" spans="1:16" ht="22.5" customHeight="1" x14ac:dyDescent="0.2">
      <c r="A614" s="3" t="s">
        <v>1295</v>
      </c>
      <c r="B614" s="3" t="str">
        <f ca="1">IFERROR(__xludf.DUMMYFUNCTION("REGEXEXTRACT(A614, ""\.(?:GOV|EXT)\.([A-Z0-9\-]+)"")
"),"FES-PE")</f>
        <v>FES-PE</v>
      </c>
      <c r="C614" s="3" t="s">
        <v>34</v>
      </c>
      <c r="D614" s="3" t="s">
        <v>1216</v>
      </c>
      <c r="E614" s="14" t="str">
        <f ca="1">IFERROR(__xludf.DUMMYFUNCTION("REGEXEXTRACT(A614, ""-(.*)"")"),"ARP.0044.06.2025.GOV.FES-PE.PE")</f>
        <v>ARP.0044.06.2025.GOV.FES-PE.PE</v>
      </c>
      <c r="F614" s="3" t="s">
        <v>121</v>
      </c>
      <c r="G614" s="3"/>
      <c r="H614" s="9">
        <v>45863</v>
      </c>
      <c r="I614" s="3" t="s">
        <v>37</v>
      </c>
      <c r="J614" s="3" t="str">
        <f>VLOOKUP(A614,'TODOS OS PROCESSOS ATUALIZADOS '!A:I,7,0)</f>
        <v>Cancelada</v>
      </c>
      <c r="K614" s="3" t="s">
        <v>38</v>
      </c>
      <c r="L614" s="3" t="str">
        <f t="shared" si="2"/>
        <v>Item não atualizado</v>
      </c>
      <c r="M614" s="3"/>
      <c r="N614" s="3" t="s">
        <v>38</v>
      </c>
      <c r="O614" s="3" t="s">
        <v>39</v>
      </c>
    </row>
    <row r="615" spans="1:16" ht="22.5" customHeight="1" x14ac:dyDescent="0.2">
      <c r="A615" s="3" t="s">
        <v>1296</v>
      </c>
      <c r="B615" s="3" t="str">
        <f ca="1">IFERROR(__xludf.DUMMYFUNCTION("REGEXEXTRACT(A615, ""\.(?:GOV|EXT)\.([A-Z0-9\-]+)"")
"),"FES-PE")</f>
        <v>FES-PE</v>
      </c>
      <c r="C615" s="3" t="s">
        <v>34</v>
      </c>
      <c r="D615" s="3" t="s">
        <v>1216</v>
      </c>
      <c r="E615" s="14" t="str">
        <f ca="1">IFERROR(__xludf.DUMMYFUNCTION("REGEXEXTRACT(A615, ""-(.*)"")"),"ARP.0044.06.2025.GOV.FES-PE.PE")</f>
        <v>ARP.0044.06.2025.GOV.FES-PE.PE</v>
      </c>
      <c r="F615" s="3" t="s">
        <v>121</v>
      </c>
      <c r="G615" s="3"/>
      <c r="H615" s="9">
        <v>45863</v>
      </c>
      <c r="I615" s="3" t="s">
        <v>37</v>
      </c>
      <c r="J615" s="3" t="str">
        <f>VLOOKUP(A615,'TODOS OS PROCESSOS ATUALIZADOS '!A:I,7,0)</f>
        <v>Cancelada</v>
      </c>
      <c r="K615" s="3" t="s">
        <v>38</v>
      </c>
      <c r="L615" s="3" t="str">
        <f t="shared" si="2"/>
        <v>Item não atualizado</v>
      </c>
      <c r="M615" s="3"/>
      <c r="N615" s="3" t="s">
        <v>38</v>
      </c>
      <c r="O615" s="3" t="s">
        <v>39</v>
      </c>
    </row>
    <row r="616" spans="1:16" ht="22.5" customHeight="1" x14ac:dyDescent="0.2">
      <c r="A616" s="3" t="s">
        <v>1297</v>
      </c>
      <c r="B616" s="3" t="str">
        <f ca="1">IFERROR(__xludf.DUMMYFUNCTION("REGEXEXTRACT(A616, ""\.(?:GOV|EXT)\.([A-Z0-9\-]+)"")
"),"FES-PE")</f>
        <v>FES-PE</v>
      </c>
      <c r="C616" s="3" t="s">
        <v>34</v>
      </c>
      <c r="D616" s="3" t="s">
        <v>1216</v>
      </c>
      <c r="E616" s="14" t="str">
        <f ca="1">IFERROR(__xludf.DUMMYFUNCTION("REGEXEXTRACT(A616, ""-(.*)"")"),"ARP.0016.03.2025.GOV.FES-PE.PE")</f>
        <v>ARP.0016.03.2025.GOV.FES-PE.PE</v>
      </c>
      <c r="F616" s="6" t="s">
        <v>1298</v>
      </c>
      <c r="G616" s="3"/>
      <c r="H616" s="9">
        <v>45862</v>
      </c>
      <c r="I616" s="3" t="s">
        <v>44</v>
      </c>
      <c r="J616" s="3" t="str">
        <f>VLOOKUP(A616,'TODOS OS PROCESSOS ATUALIZADOS '!A:I,7,0)</f>
        <v>Autorizada Sucesso</v>
      </c>
      <c r="K616" s="3" t="s">
        <v>44</v>
      </c>
      <c r="L616" s="3" t="str">
        <f t="shared" si="2"/>
        <v>Item atualizado</v>
      </c>
      <c r="M616" s="3"/>
      <c r="N616" s="3" t="s">
        <v>45</v>
      </c>
      <c r="O616" s="3" t="s">
        <v>39</v>
      </c>
      <c r="P616" s="3">
        <f>VLOOKUP(A616,'PROCESSOS CONCLUIDOS'!A:L,8,0)</f>
        <v>0</v>
      </c>
    </row>
    <row r="617" spans="1:16" ht="22.5" customHeight="1" x14ac:dyDescent="0.2">
      <c r="A617" s="3" t="s">
        <v>1299</v>
      </c>
      <c r="B617" s="3" t="str">
        <f ca="1">IFERROR(__xludf.DUMMYFUNCTION("REGEXEXTRACT(A617, ""\.(?:GOV|EXT)\.([A-Z0-9\-]+)"")
"),"SAD")</f>
        <v>SAD</v>
      </c>
      <c r="C617" s="3" t="s">
        <v>34</v>
      </c>
      <c r="D617" s="3" t="s">
        <v>1216</v>
      </c>
      <c r="E617" s="14" t="str">
        <f ca="1">IFERROR(__xludf.DUMMYFUNCTION("REGEXEXTRACT(A617, ""-(.*)"")"),"ARPC.0019.00.2024.GOV.SAD.PE")</f>
        <v>ARPC.0019.00.2024.GOV.SAD.PE</v>
      </c>
      <c r="F617" s="3" t="s">
        <v>1300</v>
      </c>
      <c r="G617" s="3"/>
      <c r="H617" s="9">
        <v>45861</v>
      </c>
      <c r="I617" s="3" t="s">
        <v>37</v>
      </c>
      <c r="J617" s="3" t="str">
        <f>VLOOKUP(A617,'TODOS OS PROCESSOS ATUALIZADOS '!A:I,7,0)</f>
        <v>Cancelada por fim vigencia ATA</v>
      </c>
      <c r="K617" s="3" t="s">
        <v>38</v>
      </c>
      <c r="L617" s="3" t="str">
        <f t="shared" si="2"/>
        <v>Item atualizado</v>
      </c>
      <c r="M617" s="3"/>
      <c r="N617" s="3" t="s">
        <v>38</v>
      </c>
      <c r="O617" s="3" t="s">
        <v>39</v>
      </c>
    </row>
    <row r="618" spans="1:16" ht="22.5" customHeight="1" x14ac:dyDescent="0.2">
      <c r="A618" s="3" t="s">
        <v>1301</v>
      </c>
      <c r="B618" s="3" t="str">
        <f ca="1">IFERROR(__xludf.DUMMYFUNCTION("REGEXEXTRACT(A618, ""\.(?:GOV|EXT)\.([A-Z0-9\-]+)"")
"),"FES-PE")</f>
        <v>FES-PE</v>
      </c>
      <c r="C618" s="3" t="s">
        <v>34</v>
      </c>
      <c r="D618" s="3" t="s">
        <v>1216</v>
      </c>
      <c r="E618" s="14" t="str">
        <f ca="1">IFERROR(__xludf.DUMMYFUNCTION("REGEXEXTRACT(A618, ""-(.*)"")"),"ARP.0009.00.2025.GOV.FES-PE.PE")</f>
        <v>ARP.0009.00.2025.GOV.FES-PE.PE</v>
      </c>
      <c r="F618" s="3" t="s">
        <v>74</v>
      </c>
      <c r="G618" s="3"/>
      <c r="H618" s="9">
        <v>45861</v>
      </c>
      <c r="I618" s="3" t="s">
        <v>44</v>
      </c>
      <c r="J618" s="3" t="str">
        <f>VLOOKUP(A618,'TODOS OS PROCESSOS ATUALIZADOS '!A:I,7,0)</f>
        <v>Autorizada Sucesso</v>
      </c>
      <c r="K618" s="3" t="s">
        <v>44</v>
      </c>
      <c r="L618" s="3" t="str">
        <f t="shared" si="2"/>
        <v>Item atualizado</v>
      </c>
      <c r="M618" s="3"/>
      <c r="N618" s="3" t="s">
        <v>44</v>
      </c>
      <c r="O618" s="3" t="s">
        <v>52</v>
      </c>
      <c r="P618" s="3" t="s">
        <v>1302</v>
      </c>
    </row>
    <row r="619" spans="1:16" ht="22.5" customHeight="1" x14ac:dyDescent="0.2">
      <c r="A619" s="3" t="s">
        <v>1303</v>
      </c>
      <c r="B619" s="3" t="str">
        <f ca="1">IFERROR(__xludf.DUMMYFUNCTION("REGEXEXTRACT(A619, ""\.(?:GOV|EXT)\.([A-Z0-9\-]+)"")
"),"HGV")</f>
        <v>HGV</v>
      </c>
      <c r="C619" s="3" t="s">
        <v>34</v>
      </c>
      <c r="D619" s="3" t="s">
        <v>1216</v>
      </c>
      <c r="E619" s="14" t="str">
        <f ca="1">IFERROR(__xludf.DUMMYFUNCTION("REGEXEXTRACT(A619, ""-(.*)"")"),"ARP.0011.02.2025.GOV.HGV.PE")</f>
        <v>ARP.0011.02.2025.GOV.HGV.PE</v>
      </c>
      <c r="F619" s="6" t="s">
        <v>165</v>
      </c>
      <c r="G619" s="3"/>
      <c r="H619" s="9">
        <v>45860</v>
      </c>
      <c r="I619" s="3" t="s">
        <v>44</v>
      </c>
      <c r="J619" s="3" t="str">
        <f>VLOOKUP(A619,'TODOS OS PROCESSOS ATUALIZADOS '!A:I,7,0)</f>
        <v>Autorizada Sucesso</v>
      </c>
      <c r="K619" s="3" t="s">
        <v>44</v>
      </c>
      <c r="L619" s="3" t="str">
        <f t="shared" si="2"/>
        <v>Item atualizado</v>
      </c>
      <c r="M619" s="3"/>
      <c r="N619" s="3" t="s">
        <v>45</v>
      </c>
      <c r="O619" s="3" t="s">
        <v>39</v>
      </c>
    </row>
    <row r="620" spans="1:16" ht="22.5" customHeight="1" x14ac:dyDescent="0.2">
      <c r="A620" s="3" t="s">
        <v>1304</v>
      </c>
      <c r="B620" s="3" t="str">
        <f ca="1">IFERROR(__xludf.DUMMYFUNCTION("REGEXEXTRACT(A620, ""\.(?:GOV|EXT)\.([A-Z0-9\-]+)"")
"),"FES-PE")</f>
        <v>FES-PE</v>
      </c>
      <c r="C620" s="3" t="s">
        <v>34</v>
      </c>
      <c r="D620" s="3" t="s">
        <v>1216</v>
      </c>
      <c r="E620" s="14" t="str">
        <f ca="1">IFERROR(__xludf.DUMMYFUNCTION("REGEXEXTRACT(A620, ""-(.*)"")"),"ARP.0077.00.2025.GOV.FES-PE.PE")</f>
        <v>ARP.0077.00.2025.GOV.FES-PE.PE</v>
      </c>
      <c r="F620" s="6" t="s">
        <v>1240</v>
      </c>
      <c r="G620" s="3"/>
      <c r="H620" s="9">
        <v>45859</v>
      </c>
      <c r="I620" s="3" t="s">
        <v>44</v>
      </c>
      <c r="J620" s="3" t="str">
        <f>VLOOKUP(A620,'TODOS OS PROCESSOS ATUALIZADOS '!A:I,7,0)</f>
        <v>Autorizada Sucesso</v>
      </c>
      <c r="K620" s="3" t="s">
        <v>44</v>
      </c>
      <c r="L620" s="3" t="str">
        <f t="shared" si="2"/>
        <v>Item atualizado</v>
      </c>
      <c r="M620" s="3"/>
      <c r="N620" s="3" t="s">
        <v>45</v>
      </c>
      <c r="O620" s="3" t="s">
        <v>39</v>
      </c>
    </row>
    <row r="621" spans="1:16" ht="22.5" customHeight="1" x14ac:dyDescent="0.2">
      <c r="A621" s="3" t="s">
        <v>1305</v>
      </c>
      <c r="B621" s="3" t="str">
        <f ca="1">IFERROR(__xludf.DUMMYFUNCTION("REGEXEXTRACT(A621, ""\.(?:GOV|EXT)\.([A-Z0-9\-]+)"")
"),"SES")</f>
        <v>SES</v>
      </c>
      <c r="C621" s="3" t="s">
        <v>34</v>
      </c>
      <c r="D621" s="3" t="s">
        <v>1216</v>
      </c>
      <c r="E621" s="14" t="str">
        <f ca="1">IFERROR(__xludf.DUMMYFUNCTION("REGEXEXTRACT(A621, ""-(.*)"")"),"ARP.0002.00.2025.GOV.SES.PE")</f>
        <v>ARP.0002.00.2025.GOV.SES.PE</v>
      </c>
      <c r="F621" s="6" t="s">
        <v>1306</v>
      </c>
      <c r="G621" s="3" t="s">
        <v>3</v>
      </c>
      <c r="H621" s="9">
        <v>45856</v>
      </c>
      <c r="I621" s="3" t="s">
        <v>1254</v>
      </c>
      <c r="J621" s="3" t="str">
        <f>VLOOKUP(A621,'TODOS OS PROCESSOS ATUALIZADOS '!A:I,7,0)</f>
        <v>Encaminhada para o gestor de ata</v>
      </c>
      <c r="K621" s="3" t="s">
        <v>45</v>
      </c>
      <c r="L621" s="3" t="str">
        <f t="shared" si="2"/>
        <v>Item não atualizado</v>
      </c>
      <c r="M621" s="3" t="s">
        <v>16</v>
      </c>
      <c r="N621" s="3" t="s">
        <v>45</v>
      </c>
      <c r="O621" s="3" t="s">
        <v>39</v>
      </c>
    </row>
    <row r="622" spans="1:16" ht="22.5" customHeight="1" x14ac:dyDescent="0.2">
      <c r="A622" s="3" t="s">
        <v>1307</v>
      </c>
      <c r="B622" s="3" t="str">
        <f ca="1">IFERROR(__xludf.DUMMYFUNCTION("REGEXEXTRACT(A622, ""\.(?:GOV|EXT)\.([A-Z0-9\-]+)"")
"),"FES-PE")</f>
        <v>FES-PE</v>
      </c>
      <c r="C622" s="3" t="s">
        <v>34</v>
      </c>
      <c r="D622" s="3" t="s">
        <v>1216</v>
      </c>
      <c r="E622" s="14" t="str">
        <f ca="1">IFERROR(__xludf.DUMMYFUNCTION("REGEXEXTRACT(A622, ""-(.*)"")"),"ARP.0053.02.2025.GOV.FES-PE.PE")</f>
        <v>ARP.0053.02.2025.GOV.FES-PE.PE</v>
      </c>
      <c r="F622" s="6" t="s">
        <v>1308</v>
      </c>
      <c r="G622" s="3"/>
      <c r="H622" s="9">
        <v>45853</v>
      </c>
      <c r="I622" s="3" t="s">
        <v>44</v>
      </c>
      <c r="J622" s="3" t="str">
        <f>VLOOKUP(A622,'TODOS OS PROCESSOS ATUALIZADOS '!A:I,7,0)</f>
        <v>Autorizada Sucesso</v>
      </c>
      <c r="K622" s="3" t="s">
        <v>44</v>
      </c>
      <c r="L622" s="3" t="str">
        <f t="shared" si="2"/>
        <v>Item atualizado</v>
      </c>
      <c r="M622" s="3"/>
      <c r="N622" s="3" t="s">
        <v>45</v>
      </c>
      <c r="O622" s="3" t="s">
        <v>39</v>
      </c>
    </row>
    <row r="623" spans="1:16" ht="22.5" customHeight="1" x14ac:dyDescent="0.2">
      <c r="A623" s="3" t="s">
        <v>1309</v>
      </c>
      <c r="B623" s="3" t="str">
        <f ca="1">IFERROR(__xludf.DUMMYFUNCTION("REGEXEXTRACT(A623, ""\.(?:GOV|EXT)\.([A-Z0-9\-]+)"")
"),"HAM")</f>
        <v>HAM</v>
      </c>
      <c r="C623" s="3" t="s">
        <v>34</v>
      </c>
      <c r="D623" s="3" t="s">
        <v>1216</v>
      </c>
      <c r="E623" s="14" t="str">
        <f ca="1">IFERROR(__xludf.DUMMYFUNCTION("REGEXEXTRACT(A623, ""-(.*)"")"),"ARP.0008.01.2025.GOV.HAM.PE")</f>
        <v>ARP.0008.01.2025.GOV.HAM.PE</v>
      </c>
      <c r="F623" s="6" t="s">
        <v>1236</v>
      </c>
      <c r="G623" s="3"/>
      <c r="H623" s="9">
        <v>45849</v>
      </c>
      <c r="I623" s="3" t="s">
        <v>44</v>
      </c>
      <c r="J623" s="3" t="str">
        <f>VLOOKUP(A623,'TODOS OS PROCESSOS ATUALIZADOS '!A:I,7,0)</f>
        <v>Autorizada Sucesso</v>
      </c>
      <c r="K623" s="3" t="s">
        <v>44</v>
      </c>
      <c r="L623" s="3" t="str">
        <f t="shared" si="2"/>
        <v>Item atualizado</v>
      </c>
      <c r="M623" s="3"/>
      <c r="N623" s="3" t="s">
        <v>45</v>
      </c>
      <c r="O623" s="3" t="s">
        <v>39</v>
      </c>
    </row>
    <row r="624" spans="1:16" ht="22.5" customHeight="1" x14ac:dyDescent="0.2">
      <c r="A624" s="3" t="s">
        <v>1310</v>
      </c>
      <c r="B624" s="3" t="str">
        <f ca="1">IFERROR(__xludf.DUMMYFUNCTION("REGEXEXTRACT(A624, ""\.(?:GOV|EXT)\.([A-Z0-9\-]+)"")
"),"FES-PE")</f>
        <v>FES-PE</v>
      </c>
      <c r="C624" s="3" t="s">
        <v>34</v>
      </c>
      <c r="D624" s="3" t="s">
        <v>1216</v>
      </c>
      <c r="E624" s="14" t="str">
        <f ca="1">IFERROR(__xludf.DUMMYFUNCTION("REGEXEXTRACT(A624, ""-(.*)"")"),"ARP.0070.03.2025.GOV.FES-PE.PE")</f>
        <v>ARP.0070.03.2025.GOV.FES-PE.PE</v>
      </c>
      <c r="F624" s="6" t="s">
        <v>1253</v>
      </c>
      <c r="G624" s="3"/>
      <c r="H624" s="9">
        <v>45848</v>
      </c>
      <c r="I624" s="3" t="s">
        <v>44</v>
      </c>
      <c r="J624" s="3" t="str">
        <f>VLOOKUP(A624,'TODOS OS PROCESSOS ATUALIZADOS '!A:I,7,0)</f>
        <v>Autorizada Sucesso</v>
      </c>
      <c r="K624" s="3" t="s">
        <v>44</v>
      </c>
      <c r="L624" s="3" t="str">
        <f t="shared" si="2"/>
        <v>Item atualizado</v>
      </c>
      <c r="M624" s="3"/>
      <c r="N624" s="3" t="s">
        <v>45</v>
      </c>
      <c r="O624" s="3" t="s">
        <v>39</v>
      </c>
    </row>
    <row r="625" spans="1:16" ht="22.5" customHeight="1" x14ac:dyDescent="0.2">
      <c r="A625" s="3" t="s">
        <v>1311</v>
      </c>
      <c r="B625" s="3" t="str">
        <f ca="1">IFERROR(__xludf.DUMMYFUNCTION("REGEXEXTRACT(A625, ""\.(?:GOV|EXT)\.([A-Z0-9\-]+)"")
"),"CISAM")</f>
        <v>CISAM</v>
      </c>
      <c r="C625" s="3" t="s">
        <v>34</v>
      </c>
      <c r="D625" s="3" t="s">
        <v>1216</v>
      </c>
      <c r="E625" s="14" t="str">
        <f ca="1">IFERROR(__xludf.DUMMYFUNCTION("REGEXEXTRACT(A625, ""-(.*)"")"),"ARP.0010.00.2025.GOV.CISAM.PE")</f>
        <v>ARP.0010.00.2025.GOV.CISAM.PE</v>
      </c>
      <c r="F625" s="3" t="s">
        <v>348</v>
      </c>
      <c r="G625" s="3"/>
      <c r="H625" s="9">
        <v>45846</v>
      </c>
      <c r="I625" s="3" t="s">
        <v>37</v>
      </c>
      <c r="J625" s="3" t="str">
        <f>VLOOKUP(A625,'TODOS OS PROCESSOS ATUALIZADOS '!A:I,7,0)</f>
        <v>Cancelada</v>
      </c>
      <c r="K625" s="3" t="s">
        <v>38</v>
      </c>
      <c r="L625" s="3" t="str">
        <f t="shared" si="2"/>
        <v>Item não atualizado</v>
      </c>
      <c r="M625" s="3"/>
      <c r="N625" s="3" t="s">
        <v>38</v>
      </c>
      <c r="O625" s="3" t="s">
        <v>39</v>
      </c>
    </row>
    <row r="626" spans="1:16" ht="22.5" customHeight="1" x14ac:dyDescent="0.2">
      <c r="A626" s="3" t="s">
        <v>1312</v>
      </c>
      <c r="B626" s="3" t="str">
        <f ca="1">IFERROR(__xludf.DUMMYFUNCTION("REGEXEXTRACT(A626, ""\.(?:GOV|EXT)\.([A-Z0-9\-]+)"")
"),"FES-PE")</f>
        <v>FES-PE</v>
      </c>
      <c r="C626" s="3" t="s">
        <v>34</v>
      </c>
      <c r="D626" s="3" t="s">
        <v>1216</v>
      </c>
      <c r="E626" s="14" t="str">
        <f ca="1">IFERROR(__xludf.DUMMYFUNCTION("REGEXEXTRACT(A626, ""-(.*)"")"),"ARP.0003.01.2025.GOV.FES-PE.PE")</f>
        <v>ARP.0003.01.2025.GOV.FES-PE.PE</v>
      </c>
      <c r="F626" s="3" t="s">
        <v>1217</v>
      </c>
      <c r="G626" s="3"/>
      <c r="H626" s="9">
        <v>45842</v>
      </c>
      <c r="I626" s="3" t="s">
        <v>37</v>
      </c>
      <c r="J626" s="3" t="str">
        <f>VLOOKUP(A626,'TODOS OS PROCESSOS ATUALIZADOS '!A:I,7,0)</f>
        <v>Cancelada</v>
      </c>
      <c r="K626" s="3" t="s">
        <v>38</v>
      </c>
      <c r="L626" s="3" t="str">
        <f t="shared" si="2"/>
        <v>Item não atualizado</v>
      </c>
      <c r="M626" s="3"/>
      <c r="N626" s="3" t="s">
        <v>38</v>
      </c>
      <c r="O626" s="3" t="s">
        <v>39</v>
      </c>
    </row>
    <row r="627" spans="1:16" ht="22.5" customHeight="1" x14ac:dyDescent="0.2">
      <c r="A627" s="3" t="s">
        <v>1313</v>
      </c>
      <c r="B627" s="3" t="str">
        <f ca="1">IFERROR(__xludf.DUMMYFUNCTION("REGEXEXTRACT(A627, ""\.(?:GOV|EXT)\.([A-Z0-9\-]+)"")
"),"CISAM")</f>
        <v>CISAM</v>
      </c>
      <c r="C627" s="3" t="s">
        <v>34</v>
      </c>
      <c r="D627" s="3" t="s">
        <v>1216</v>
      </c>
      <c r="E627" s="14" t="str">
        <f ca="1">IFERROR(__xludf.DUMMYFUNCTION("REGEXEXTRACT(A627, ""-(.*)"")"),"ARP.0065.02.2024.GOV.CISAM.PE")</f>
        <v>ARP.0065.02.2024.GOV.CISAM.PE</v>
      </c>
      <c r="F627" s="3" t="s">
        <v>311</v>
      </c>
      <c r="G627" s="3"/>
      <c r="H627" s="9">
        <v>45841</v>
      </c>
      <c r="I627" s="3" t="s">
        <v>37</v>
      </c>
      <c r="J627" s="3" t="str">
        <f>VLOOKUP(A627,'TODOS OS PROCESSOS ATUALIZADOS '!A:I,7,0)</f>
        <v>Cancelada</v>
      </c>
      <c r="K627" s="3" t="s">
        <v>38</v>
      </c>
      <c r="L627" s="3" t="str">
        <f t="shared" si="2"/>
        <v>Item não atualizado</v>
      </c>
      <c r="M627" s="3"/>
      <c r="N627" s="3" t="s">
        <v>38</v>
      </c>
      <c r="O627" s="3" t="s">
        <v>39</v>
      </c>
    </row>
    <row r="628" spans="1:16" ht="22.5" customHeight="1" x14ac:dyDescent="0.2">
      <c r="A628" s="3" t="s">
        <v>1314</v>
      </c>
      <c r="B628" s="3" t="str">
        <f ca="1">IFERROR(__xludf.DUMMYFUNCTION("REGEXEXTRACT(A628, ""\.(?:GOV|EXT)\.([A-Z0-9\-]+)"")
"),"FES-PE")</f>
        <v>FES-PE</v>
      </c>
      <c r="C628" s="3" t="s">
        <v>34</v>
      </c>
      <c r="D628" s="3" t="s">
        <v>1216</v>
      </c>
      <c r="E628" s="14" t="str">
        <f ca="1">IFERROR(__xludf.DUMMYFUNCTION("REGEXEXTRACT(A628, ""-(.*)"")"),"ARP.0015.00.2025.GOV.FES-PE.PE")</f>
        <v>ARP.0015.00.2025.GOV.FES-PE.PE</v>
      </c>
      <c r="F628" s="6" t="s">
        <v>1265</v>
      </c>
      <c r="G628" s="3" t="s">
        <v>3</v>
      </c>
      <c r="H628" s="9">
        <v>45840</v>
      </c>
      <c r="I628" s="3" t="s">
        <v>1254</v>
      </c>
      <c r="J628" s="3" t="str">
        <f>VLOOKUP(A628,'TODOS OS PROCESSOS ATUALIZADOS '!A:I,7,0)</f>
        <v>Encaminhada para o gestor de ata</v>
      </c>
      <c r="K628" s="3" t="s">
        <v>45</v>
      </c>
      <c r="L628" s="3" t="str">
        <f t="shared" si="2"/>
        <v>Item não atualizado</v>
      </c>
      <c r="M628" s="3" t="s">
        <v>16</v>
      </c>
      <c r="N628" s="3" t="s">
        <v>45</v>
      </c>
      <c r="O628" s="3" t="s">
        <v>39</v>
      </c>
    </row>
    <row r="629" spans="1:16" ht="22.5" customHeight="1" x14ac:dyDescent="0.2">
      <c r="A629" s="3" t="s">
        <v>1315</v>
      </c>
      <c r="B629" s="3" t="str">
        <f ca="1">IFERROR(__xludf.DUMMYFUNCTION("REGEXEXTRACT(A629, ""\.(?:GOV|EXT)\.([A-Z0-9\-]+)"")
"),"HGV")</f>
        <v>HGV</v>
      </c>
      <c r="C629" s="3" t="s">
        <v>34</v>
      </c>
      <c r="D629" s="3" t="s">
        <v>1216</v>
      </c>
      <c r="E629" s="14" t="str">
        <f ca="1">IFERROR(__xludf.DUMMYFUNCTION("REGEXEXTRACT(A629, ""-(.*)"")"),"ARP.0011.01.2025.GOV.HGV.PE")</f>
        <v>ARP.0011.01.2025.GOV.HGV.PE</v>
      </c>
      <c r="F629" s="3" t="s">
        <v>165</v>
      </c>
      <c r="G629" s="3"/>
      <c r="H629" s="9">
        <v>45838</v>
      </c>
      <c r="I629" s="3" t="s">
        <v>44</v>
      </c>
      <c r="J629" s="3" t="str">
        <f>VLOOKUP(A629,'TODOS OS PROCESSOS ATUALIZADOS '!A:I,7,0)</f>
        <v>Autorizada Sucesso</v>
      </c>
      <c r="K629" s="3" t="s">
        <v>44</v>
      </c>
      <c r="L629" s="3" t="str">
        <f t="shared" si="2"/>
        <v>Item atualizado</v>
      </c>
      <c r="M629" s="3"/>
      <c r="N629" s="3" t="s">
        <v>44</v>
      </c>
      <c r="O629" s="3" t="s">
        <v>52</v>
      </c>
      <c r="P629" s="3" t="s">
        <v>1316</v>
      </c>
    </row>
    <row r="630" spans="1:16" ht="22.5" customHeight="1" x14ac:dyDescent="0.2">
      <c r="A630" s="3" t="s">
        <v>1317</v>
      </c>
      <c r="B630" s="3" t="str">
        <f ca="1">IFERROR(__xludf.DUMMYFUNCTION("REGEXEXTRACT(A630, ""\.(?:GOV|EXT)\.([A-Z0-9\-]+)"")
"),"CISAM")</f>
        <v>CISAM</v>
      </c>
      <c r="C630" s="3" t="s">
        <v>34</v>
      </c>
      <c r="D630" s="3" t="s">
        <v>1216</v>
      </c>
      <c r="E630" s="14" t="str">
        <f ca="1">IFERROR(__xludf.DUMMYFUNCTION("REGEXEXTRACT(A630, ""-(.*)"")"),"ARP.0087.02.2024.GOV.CISAM.PE")</f>
        <v>ARP.0087.02.2024.GOV.CISAM.PE</v>
      </c>
      <c r="F630" s="3" t="s">
        <v>1318</v>
      </c>
      <c r="G630" s="3"/>
      <c r="H630" s="9">
        <v>45833</v>
      </c>
      <c r="I630" s="3" t="s">
        <v>44</v>
      </c>
      <c r="J630" s="3" t="str">
        <f>VLOOKUP(A630,'TODOS OS PROCESSOS ATUALIZADOS '!A:I,7,0)</f>
        <v>Autorizada Sucesso</v>
      </c>
      <c r="K630" s="3" t="s">
        <v>44</v>
      </c>
      <c r="L630" s="3" t="str">
        <f t="shared" si="2"/>
        <v>Item atualizado</v>
      </c>
      <c r="M630" s="3"/>
      <c r="N630" s="3" t="s">
        <v>45</v>
      </c>
      <c r="O630" s="3" t="s">
        <v>60</v>
      </c>
      <c r="P630" s="3" t="s">
        <v>1319</v>
      </c>
    </row>
    <row r="631" spans="1:16" ht="22.5" customHeight="1" x14ac:dyDescent="0.2">
      <c r="A631" s="3" t="s">
        <v>1320</v>
      </c>
      <c r="B631" s="3" t="str">
        <f ca="1">IFERROR(__xludf.DUMMYFUNCTION("REGEXEXTRACT(A631, ""\.(?:GOV|EXT)\.([A-Z0-9\-]+)"")
"),"CISAM")</f>
        <v>CISAM</v>
      </c>
      <c r="C631" s="3" t="s">
        <v>34</v>
      </c>
      <c r="D631" s="3" t="s">
        <v>1216</v>
      </c>
      <c r="E631" s="14" t="str">
        <f ca="1">IFERROR(__xludf.DUMMYFUNCTION("REGEXEXTRACT(A631, ""-(.*)"")"),"ARP.0063.05.2024.GOV.CISAM.PE")</f>
        <v>ARP.0063.05.2024.GOV.CISAM.PE</v>
      </c>
      <c r="F631" s="3" t="s">
        <v>1321</v>
      </c>
      <c r="G631" s="3"/>
      <c r="H631" s="9">
        <v>45833</v>
      </c>
      <c r="I631" s="3" t="s">
        <v>37</v>
      </c>
      <c r="J631" s="3" t="str">
        <f>VLOOKUP(A631,'TODOS OS PROCESSOS ATUALIZADOS '!A:I,7,0)</f>
        <v>Cancelada por fim vigencia ATA</v>
      </c>
      <c r="K631" s="3" t="s">
        <v>38</v>
      </c>
      <c r="L631" s="3" t="str">
        <f t="shared" si="2"/>
        <v>Item atualizado</v>
      </c>
      <c r="M631" s="3"/>
      <c r="N631" s="3" t="s">
        <v>38</v>
      </c>
      <c r="O631" s="3" t="s">
        <v>39</v>
      </c>
    </row>
    <row r="632" spans="1:16" ht="22.5" customHeight="1" x14ac:dyDescent="0.2">
      <c r="A632" s="3" t="s">
        <v>1322</v>
      </c>
      <c r="B632" s="3" t="str">
        <f ca="1">IFERROR(__xludf.DUMMYFUNCTION("REGEXEXTRACT(A632, ""\.(?:GOV|EXT)\.([A-Z0-9\-]+)"")
"),"FES-PE")</f>
        <v>FES-PE</v>
      </c>
      <c r="C632" s="3" t="s">
        <v>34</v>
      </c>
      <c r="D632" s="3" t="s">
        <v>1216</v>
      </c>
      <c r="E632" s="14" t="str">
        <f ca="1">IFERROR(__xludf.DUMMYFUNCTION("REGEXEXTRACT(A632, ""-(.*)"")"),"ARP.0010.02.2025.GOV.FES-PE.PE")</f>
        <v>ARP.0010.02.2025.GOV.FES-PE.PE</v>
      </c>
      <c r="F632" s="3" t="s">
        <v>391</v>
      </c>
      <c r="G632" s="3"/>
      <c r="H632" s="9">
        <v>45828</v>
      </c>
      <c r="I632" s="3" t="s">
        <v>37</v>
      </c>
      <c r="J632" s="3" t="str">
        <f>VLOOKUP(A632,'TODOS OS PROCESSOS ATUALIZADOS '!A:I,7,0)</f>
        <v>Cancelada</v>
      </c>
      <c r="K632" s="3" t="s">
        <v>38</v>
      </c>
      <c r="L632" s="3" t="str">
        <f t="shared" si="2"/>
        <v>Item não atualizado</v>
      </c>
      <c r="M632" s="3"/>
      <c r="N632" s="3" t="s">
        <v>38</v>
      </c>
      <c r="O632" s="3" t="s">
        <v>39</v>
      </c>
    </row>
    <row r="633" spans="1:16" ht="22.5" customHeight="1" x14ac:dyDescent="0.2">
      <c r="A633" s="3" t="s">
        <v>1323</v>
      </c>
      <c r="B633" s="3" t="str">
        <f ca="1">IFERROR(__xludf.DUMMYFUNCTION("REGEXEXTRACT(A633, ""\.(?:GOV|EXT)\.([A-Z0-9\-]+)"")
"),"CISAM")</f>
        <v>CISAM</v>
      </c>
      <c r="C633" s="3" t="s">
        <v>34</v>
      </c>
      <c r="D633" s="3" t="s">
        <v>1216</v>
      </c>
      <c r="E633" s="14" t="str">
        <f ca="1">IFERROR(__xludf.DUMMYFUNCTION("REGEXEXTRACT(A633, ""-(.*)"")"),"ARP.0006.03.2025.GOV.CISAM.PE")</f>
        <v>ARP.0006.03.2025.GOV.CISAM.PE</v>
      </c>
      <c r="F633" s="3" t="s">
        <v>1324</v>
      </c>
      <c r="G633" s="3"/>
      <c r="H633" s="9">
        <v>45826</v>
      </c>
      <c r="I633" s="3" t="s">
        <v>44</v>
      </c>
      <c r="J633" s="3" t="str">
        <f>VLOOKUP(A633,'TODOS OS PROCESSOS ATUALIZADOS '!A:I,7,0)</f>
        <v>Autorizada Sucesso</v>
      </c>
      <c r="K633" s="3" t="s">
        <v>44</v>
      </c>
      <c r="L633" s="3" t="str">
        <f t="shared" si="2"/>
        <v>Item atualizado</v>
      </c>
      <c r="M633" s="3"/>
      <c r="N633" s="3" t="s">
        <v>45</v>
      </c>
      <c r="O633" s="3" t="s">
        <v>60</v>
      </c>
      <c r="P633" s="3" t="s">
        <v>1325</v>
      </c>
    </row>
    <row r="634" spans="1:16" ht="22.5" customHeight="1" x14ac:dyDescent="0.2">
      <c r="A634" s="3" t="s">
        <v>1326</v>
      </c>
      <c r="B634" s="3" t="str">
        <f ca="1">IFERROR(__xludf.DUMMYFUNCTION("REGEXEXTRACT(A634, ""\.(?:GOV|EXT)\.([A-Z0-9\-]+)"")
"),"CISAM")</f>
        <v>CISAM</v>
      </c>
      <c r="C634" s="3" t="s">
        <v>34</v>
      </c>
      <c r="D634" s="3" t="s">
        <v>1216</v>
      </c>
      <c r="E634" s="14" t="str">
        <f ca="1">IFERROR(__xludf.DUMMYFUNCTION("REGEXEXTRACT(A634, ""-(.*)"")"),"ARP.0006.03.2025.GOV.CISAM.PE")</f>
        <v>ARP.0006.03.2025.GOV.CISAM.PE</v>
      </c>
      <c r="F634" s="3" t="s">
        <v>1324</v>
      </c>
      <c r="G634" s="3"/>
      <c r="H634" s="9">
        <v>45826</v>
      </c>
      <c r="I634" s="3" t="s">
        <v>37</v>
      </c>
      <c r="J634" s="3" t="str">
        <f>VLOOKUP(A634,'TODOS OS PROCESSOS ATUALIZADOS '!A:I,7,0)</f>
        <v>Cancelada</v>
      </c>
      <c r="K634" s="3" t="s">
        <v>38</v>
      </c>
      <c r="L634" s="3" t="str">
        <f t="shared" si="2"/>
        <v>Item não atualizado</v>
      </c>
      <c r="M634" s="3"/>
      <c r="N634" s="3" t="s">
        <v>38</v>
      </c>
      <c r="O634" s="3" t="s">
        <v>39</v>
      </c>
    </row>
    <row r="635" spans="1:16" ht="22.5" customHeight="1" x14ac:dyDescent="0.2">
      <c r="A635" s="3" t="s">
        <v>1327</v>
      </c>
      <c r="B635" s="3" t="str">
        <f ca="1">IFERROR(__xludf.DUMMYFUNCTION("REGEXEXTRACT(A635, ""\.(?:GOV|EXT)\.([A-Z0-9\-]+)"")
"),"FES-PE")</f>
        <v>FES-PE</v>
      </c>
      <c r="C635" s="3" t="s">
        <v>34</v>
      </c>
      <c r="D635" s="3" t="s">
        <v>1216</v>
      </c>
      <c r="E635" s="14" t="str">
        <f ca="1">IFERROR(__xludf.DUMMYFUNCTION("REGEXEXTRACT(A635, ""-(.*)"")"),"ARP.0009.00.2025.GOV.FES-PE.PE")</f>
        <v>ARP.0009.00.2025.GOV.FES-PE.PE</v>
      </c>
      <c r="F635" s="3" t="s">
        <v>74</v>
      </c>
      <c r="G635" s="3"/>
      <c r="H635" s="9">
        <v>45826</v>
      </c>
      <c r="I635" s="3" t="s">
        <v>37</v>
      </c>
      <c r="J635" s="3" t="str">
        <f>VLOOKUP(A635,'TODOS OS PROCESSOS ATUALIZADOS '!A:I,7,0)</f>
        <v>Cancelada</v>
      </c>
      <c r="K635" s="3" t="s">
        <v>38</v>
      </c>
      <c r="L635" s="3" t="str">
        <f t="shared" si="2"/>
        <v>Item não atualizado</v>
      </c>
      <c r="M635" s="3"/>
      <c r="N635" s="3" t="s">
        <v>38</v>
      </c>
      <c r="O635" s="3" t="s">
        <v>39</v>
      </c>
    </row>
    <row r="636" spans="1:16" ht="22.5" customHeight="1" x14ac:dyDescent="0.2">
      <c r="A636" s="3" t="s">
        <v>1328</v>
      </c>
      <c r="B636" s="3" t="str">
        <f ca="1">IFERROR(__xludf.DUMMYFUNCTION("REGEXEXTRACT(A636, ""\.(?:GOV|EXT)\.([A-Z0-9\-]+)"")
"),"HAM")</f>
        <v>HAM</v>
      </c>
      <c r="C636" s="3" t="s">
        <v>34</v>
      </c>
      <c r="D636" s="3" t="s">
        <v>1216</v>
      </c>
      <c r="E636" s="14" t="str">
        <f ca="1">IFERROR(__xludf.DUMMYFUNCTION("REGEXEXTRACT(A636, ""-(.*)"")"),"ARP.0008.01.2025.GOV.HAM.PE")</f>
        <v>ARP.0008.01.2025.GOV.HAM.PE</v>
      </c>
      <c r="F636" s="6" t="s">
        <v>1236</v>
      </c>
      <c r="G636" s="3"/>
      <c r="H636" s="9">
        <v>45824</v>
      </c>
      <c r="I636" s="3" t="s">
        <v>44</v>
      </c>
      <c r="J636" s="3" t="str">
        <f>VLOOKUP(A636,'TODOS OS PROCESSOS ATUALIZADOS '!A:I,7,0)</f>
        <v>Autorizada Sucesso</v>
      </c>
      <c r="K636" s="3" t="s">
        <v>44</v>
      </c>
      <c r="L636" s="3" t="str">
        <f t="shared" si="2"/>
        <v>Item atualizado</v>
      </c>
      <c r="M636" s="3"/>
      <c r="N636" s="3" t="s">
        <v>45</v>
      </c>
      <c r="O636" s="3" t="s">
        <v>39</v>
      </c>
    </row>
    <row r="637" spans="1:16" ht="22.5" customHeight="1" x14ac:dyDescent="0.2">
      <c r="A637" s="3" t="s">
        <v>1329</v>
      </c>
      <c r="B637" s="3" t="str">
        <f ca="1">IFERROR(__xludf.DUMMYFUNCTION("REGEXEXTRACT(A637, ""\.(?:GOV|EXT)\.([A-Z0-9\-]+)"")
"),"FES-PE")</f>
        <v>FES-PE</v>
      </c>
      <c r="C637" s="3" t="s">
        <v>34</v>
      </c>
      <c r="D637" s="3" t="s">
        <v>1216</v>
      </c>
      <c r="E637" s="14" t="str">
        <f ca="1">IFERROR(__xludf.DUMMYFUNCTION("REGEXEXTRACT(A637, ""-(.*)"")"),"ARP.0064.02.2024.GOV.FES-PE.PE")</f>
        <v>ARP.0064.02.2024.GOV.FES-PE.PE</v>
      </c>
      <c r="F637" s="6" t="s">
        <v>1330</v>
      </c>
      <c r="G637" s="3"/>
      <c r="H637" s="9">
        <v>45819</v>
      </c>
      <c r="I637" s="3" t="s">
        <v>44</v>
      </c>
      <c r="J637" s="3" t="str">
        <f>VLOOKUP(A637,'TODOS OS PROCESSOS ATUALIZADOS '!A:I,7,0)</f>
        <v>Autorizada Sucesso</v>
      </c>
      <c r="K637" s="3" t="s">
        <v>44</v>
      </c>
      <c r="L637" s="3" t="str">
        <f t="shared" si="2"/>
        <v>Item atualizado</v>
      </c>
      <c r="M637" s="3"/>
      <c r="N637" s="3" t="s">
        <v>45</v>
      </c>
      <c r="O637" s="3" t="s">
        <v>39</v>
      </c>
    </row>
    <row r="638" spans="1:16" ht="22.5" customHeight="1" x14ac:dyDescent="0.2">
      <c r="A638" s="3" t="s">
        <v>1331</v>
      </c>
      <c r="B638" s="3" t="str">
        <f ca="1">IFERROR(__xludf.DUMMYFUNCTION("REGEXEXTRACT(A638, ""\.(?:GOV|EXT)\.([A-Z0-9\-]+)"")
"),"FES-PE")</f>
        <v>FES-PE</v>
      </c>
      <c r="C638" s="3" t="s">
        <v>34</v>
      </c>
      <c r="D638" s="3" t="s">
        <v>1216</v>
      </c>
      <c r="E638" s="14" t="str">
        <f ca="1">IFERROR(__xludf.DUMMYFUNCTION("REGEXEXTRACT(A638, ""-(.*)"")"),"ARP.0073.01.2025.GOV.FES-PE.PE")</f>
        <v>ARP.0073.01.2025.GOV.FES-PE.PE</v>
      </c>
      <c r="F638" s="6" t="s">
        <v>118</v>
      </c>
      <c r="G638" s="3"/>
      <c r="H638" s="9">
        <v>45818</v>
      </c>
      <c r="I638" s="3" t="s">
        <v>44</v>
      </c>
      <c r="J638" s="3" t="str">
        <f>VLOOKUP(A638,'TODOS OS PROCESSOS ATUALIZADOS '!A:I,7,0)</f>
        <v>Autorizada Sucesso</v>
      </c>
      <c r="K638" s="3" t="s">
        <v>44</v>
      </c>
      <c r="L638" s="3" t="str">
        <f t="shared" si="2"/>
        <v>Item atualizado</v>
      </c>
      <c r="M638" s="3"/>
      <c r="N638" s="3" t="s">
        <v>45</v>
      </c>
      <c r="O638" s="3" t="s">
        <v>39</v>
      </c>
    </row>
    <row r="639" spans="1:16" ht="22.5" customHeight="1" x14ac:dyDescent="0.2">
      <c r="A639" s="3" t="s">
        <v>1332</v>
      </c>
      <c r="B639" s="3" t="str">
        <f ca="1">IFERROR(__xludf.DUMMYFUNCTION("REGEXEXTRACT(A639, ""\.(?:GOV|EXT)\.([A-Z0-9\-]+)"")
"),"FES-PE")</f>
        <v>FES-PE</v>
      </c>
      <c r="C639" s="3" t="s">
        <v>34</v>
      </c>
      <c r="D639" s="3" t="s">
        <v>1216</v>
      </c>
      <c r="E639" s="14" t="str">
        <f ca="1">IFERROR(__xludf.DUMMYFUNCTION("REGEXEXTRACT(A639, ""-(.*)"")"),"ARP.0073.00.2025.GOV.FES-PE.PE")</f>
        <v>ARP.0073.00.2025.GOV.FES-PE.PE</v>
      </c>
      <c r="F639" s="6" t="s">
        <v>118</v>
      </c>
      <c r="G639" s="3"/>
      <c r="H639" s="9">
        <v>45818</v>
      </c>
      <c r="I639" s="3" t="s">
        <v>44</v>
      </c>
      <c r="J639" s="3" t="str">
        <f>VLOOKUP(A639,'TODOS OS PROCESSOS ATUALIZADOS '!A:I,7,0)</f>
        <v>Autorizada Sucesso</v>
      </c>
      <c r="K639" s="3" t="s">
        <v>44</v>
      </c>
      <c r="L639" s="3" t="str">
        <f t="shared" si="2"/>
        <v>Item atualizado</v>
      </c>
      <c r="M639" s="3"/>
      <c r="N639" s="3" t="s">
        <v>45</v>
      </c>
      <c r="O639" s="3" t="s">
        <v>39</v>
      </c>
    </row>
    <row r="640" spans="1:16" ht="22.5" customHeight="1" x14ac:dyDescent="0.2">
      <c r="A640" s="3" t="s">
        <v>1333</v>
      </c>
      <c r="B640" s="3" t="str">
        <f ca="1">IFERROR(__xludf.DUMMYFUNCTION("REGEXEXTRACT(A640, ""\.(?:GOV|EXT)\.([A-Z0-9\-]+)"")
"),"FES-PE")</f>
        <v>FES-PE</v>
      </c>
      <c r="C640" s="3" t="s">
        <v>34</v>
      </c>
      <c r="D640" s="3" t="s">
        <v>1216</v>
      </c>
      <c r="E640" s="14" t="str">
        <f ca="1">IFERROR(__xludf.DUMMYFUNCTION("REGEXEXTRACT(A640, ""-(.*)"")"),"ARP.0074.00.2025.GOV.FES-PE.PE")</f>
        <v>ARP.0074.00.2025.GOV.FES-PE.PE</v>
      </c>
      <c r="F640" s="3" t="s">
        <v>1334</v>
      </c>
      <c r="G640" s="3"/>
      <c r="H640" s="9">
        <v>45818</v>
      </c>
      <c r="I640" s="3" t="s">
        <v>37</v>
      </c>
      <c r="J640" s="3" t="str">
        <f>VLOOKUP(A640,'TODOS OS PROCESSOS ATUALIZADOS '!A:I,7,0)</f>
        <v>Cancelada</v>
      </c>
      <c r="K640" s="3" t="s">
        <v>38</v>
      </c>
      <c r="L640" s="3" t="str">
        <f t="shared" si="2"/>
        <v>Item não atualizado</v>
      </c>
      <c r="M640" s="3"/>
      <c r="N640" s="3" t="s">
        <v>38</v>
      </c>
      <c r="O640" s="3" t="s">
        <v>39</v>
      </c>
    </row>
    <row r="641" spans="1:17" ht="22.5" customHeight="1" x14ac:dyDescent="0.2">
      <c r="A641" s="3" t="s">
        <v>1335</v>
      </c>
      <c r="B641" s="3" t="str">
        <f ca="1">IFERROR(__xludf.DUMMYFUNCTION("REGEXEXTRACT(A641, ""\.(?:GOV|EXT)\.([A-Z0-9\-]+)"")
"),"FES-PE")</f>
        <v>FES-PE</v>
      </c>
      <c r="C641" s="3" t="s">
        <v>34</v>
      </c>
      <c r="D641" s="3" t="s">
        <v>1216</v>
      </c>
      <c r="E641" s="14" t="str">
        <f ca="1">IFERROR(__xludf.DUMMYFUNCTION("REGEXEXTRACT(A641, ""-(.*)"")"),"ARP.0084.02.2024.GOV.FES-PE.PE")</f>
        <v>ARP.0084.02.2024.GOV.FES-PE.PE</v>
      </c>
      <c r="F641" s="3" t="s">
        <v>471</v>
      </c>
      <c r="G641" s="3" t="s">
        <v>2</v>
      </c>
      <c r="H641" s="9">
        <v>45817</v>
      </c>
      <c r="I641" s="3" t="s">
        <v>37</v>
      </c>
      <c r="J641" s="3" t="str">
        <f>VLOOKUP(A641,'TODOS OS PROCESSOS ATUALIZADOS '!A:I,7,0)</f>
        <v>Cancelada por fim vigencia ATA</v>
      </c>
      <c r="K641" s="3" t="s">
        <v>38</v>
      </c>
      <c r="L641" s="3" t="str">
        <f t="shared" si="2"/>
        <v>Item atualizado</v>
      </c>
      <c r="M641" s="3"/>
      <c r="N641" s="3" t="s">
        <v>38</v>
      </c>
      <c r="O641" s="3"/>
      <c r="P641" s="3"/>
      <c r="Q641" s="3"/>
    </row>
    <row r="642" spans="1:17" ht="22.5" customHeight="1" x14ac:dyDescent="0.2">
      <c r="A642" s="3" t="s">
        <v>1336</v>
      </c>
      <c r="B642" s="3" t="str">
        <f ca="1">IFERROR(__xludf.DUMMYFUNCTION("REGEXEXTRACT(A642, ""\.(?:GOV|EXT)\.([A-Z0-9\-]+)"")
"),"FES-PE")</f>
        <v>FES-PE</v>
      </c>
      <c r="C642" s="3" t="s">
        <v>34</v>
      </c>
      <c r="D642" s="3" t="s">
        <v>1216</v>
      </c>
      <c r="E642" s="14" t="str">
        <f ca="1">IFERROR(__xludf.DUMMYFUNCTION("REGEXEXTRACT(A642, ""-(.*)"")"),"ARP.0084.02.2024.GOV.FES-PE.PE")</f>
        <v>ARP.0084.02.2024.GOV.FES-PE.PE</v>
      </c>
      <c r="F642" s="3" t="s">
        <v>471</v>
      </c>
      <c r="G642" s="3" t="s">
        <v>2</v>
      </c>
      <c r="H642" s="9">
        <v>45817</v>
      </c>
      <c r="I642" s="3" t="s">
        <v>37</v>
      </c>
      <c r="J642" s="3" t="str">
        <f>VLOOKUP(A642,'TODOS OS PROCESSOS ATUALIZADOS '!A:I,7,0)</f>
        <v>Cancelada por fim vigencia ATA</v>
      </c>
      <c r="K642" s="3" t="s">
        <v>38</v>
      </c>
      <c r="L642" s="3" t="str">
        <f t="shared" si="2"/>
        <v>Item atualizado</v>
      </c>
      <c r="M642" s="3"/>
      <c r="N642" s="3" t="s">
        <v>38</v>
      </c>
      <c r="O642" s="3" t="s">
        <v>39</v>
      </c>
    </row>
    <row r="643" spans="1:17" ht="22.5" customHeight="1" x14ac:dyDescent="0.2">
      <c r="A643" s="3" t="s">
        <v>1337</v>
      </c>
      <c r="B643" s="3" t="str">
        <f ca="1">IFERROR(__xludf.DUMMYFUNCTION("REGEXEXTRACT(A643, ""\.(?:GOV|EXT)\.([A-Z0-9\-]+)"")
"),"FES-PE")</f>
        <v>FES-PE</v>
      </c>
      <c r="C643" s="3" t="s">
        <v>34</v>
      </c>
      <c r="D643" s="3" t="s">
        <v>1216</v>
      </c>
      <c r="E643" s="14" t="str">
        <f ca="1">IFERROR(__xludf.DUMMYFUNCTION("REGEXEXTRACT(A643, ""-(.*)"")"),"ARP.0045.00.2025.GOV.FES-PE.PE")</f>
        <v>ARP.0045.00.2025.GOV.FES-PE.PE</v>
      </c>
      <c r="F643" s="6" t="s">
        <v>1338</v>
      </c>
      <c r="G643" s="3"/>
      <c r="H643" s="9">
        <v>45813</v>
      </c>
      <c r="I643" s="3" t="s">
        <v>44</v>
      </c>
      <c r="J643" s="3" t="str">
        <f>VLOOKUP(A643,'TODOS OS PROCESSOS ATUALIZADOS '!A:I,7,0)</f>
        <v>Autorizada Sucesso</v>
      </c>
      <c r="K643" s="3" t="s">
        <v>44</v>
      </c>
      <c r="L643" s="3" t="str">
        <f t="shared" si="2"/>
        <v>Item atualizado</v>
      </c>
      <c r="M643" s="3"/>
      <c r="N643" s="3" t="s">
        <v>45</v>
      </c>
      <c r="O643" s="3" t="s">
        <v>39</v>
      </c>
    </row>
    <row r="644" spans="1:17" ht="22.5" customHeight="1" x14ac:dyDescent="0.2">
      <c r="A644" s="3" t="s">
        <v>1339</v>
      </c>
      <c r="B644" s="3" t="str">
        <f ca="1">IFERROR(__xludf.DUMMYFUNCTION("REGEXEXTRACT(A644, ""\.(?:GOV|EXT)\.([A-Z0-9\-]+)"")
"),"FES-PE")</f>
        <v>FES-PE</v>
      </c>
      <c r="C644" s="3" t="s">
        <v>34</v>
      </c>
      <c r="D644" s="3" t="s">
        <v>1216</v>
      </c>
      <c r="E644" s="14" t="str">
        <f ca="1">IFERROR(__xludf.DUMMYFUNCTION("REGEXEXTRACT(A644, ""-(.*)"")"),"ARP.0070.03.2025.GOV.FES-PE.PE")</f>
        <v>ARP.0070.03.2025.GOV.FES-PE.PE</v>
      </c>
      <c r="F644" s="6" t="s">
        <v>1253</v>
      </c>
      <c r="G644" s="3"/>
      <c r="H644" s="9">
        <v>45812</v>
      </c>
      <c r="I644" s="3" t="s">
        <v>44</v>
      </c>
      <c r="J644" s="3" t="str">
        <f>VLOOKUP(A644,'TODOS OS PROCESSOS ATUALIZADOS '!A:I,7,0)</f>
        <v>Autorizada Sucesso</v>
      </c>
      <c r="K644" s="3" t="s">
        <v>44</v>
      </c>
      <c r="L644" s="3" t="str">
        <f t="shared" si="2"/>
        <v>Item atualizado</v>
      </c>
      <c r="M644" s="3"/>
      <c r="N644" s="3" t="s">
        <v>45</v>
      </c>
      <c r="O644" s="3" t="s">
        <v>39</v>
      </c>
    </row>
    <row r="645" spans="1:17" ht="22.5" customHeight="1" x14ac:dyDescent="0.2">
      <c r="A645" s="3" t="s">
        <v>1340</v>
      </c>
      <c r="B645" s="3" t="str">
        <f ca="1">IFERROR(__xludf.DUMMYFUNCTION("REGEXEXTRACT(A645, ""\.(?:GOV|EXT)\.([A-Z0-9\-]+)"")
"),"CISAM")</f>
        <v>CISAM</v>
      </c>
      <c r="C645" s="3" t="s">
        <v>34</v>
      </c>
      <c r="D645" s="3" t="s">
        <v>1216</v>
      </c>
      <c r="E645" s="14" t="str">
        <f ca="1">IFERROR(__xludf.DUMMYFUNCTION("REGEXEXTRACT(A645, ""-(.*)"")"),"ARP.0088.02.2024.GOV.CISAM.PE")</f>
        <v>ARP.0088.02.2024.GOV.CISAM.PE</v>
      </c>
      <c r="F645" s="3" t="s">
        <v>348</v>
      </c>
      <c r="G645" s="3" t="s">
        <v>3</v>
      </c>
      <c r="H645" s="9">
        <v>45807</v>
      </c>
      <c r="I645" s="3" t="s">
        <v>44</v>
      </c>
      <c r="J645" s="3" t="str">
        <f>VLOOKUP(A645,'TODOS OS PROCESSOS ATUALIZADOS '!A:I,7,0)</f>
        <v>Autorizada Sucesso</v>
      </c>
      <c r="K645" s="3" t="s">
        <v>44</v>
      </c>
      <c r="L645" s="3" t="str">
        <f t="shared" si="2"/>
        <v>Item atualizado</v>
      </c>
      <c r="M645" s="3"/>
      <c r="N645" s="3" t="s">
        <v>45</v>
      </c>
      <c r="O645" s="3" t="s">
        <v>87</v>
      </c>
      <c r="P645" s="3" t="s">
        <v>1341</v>
      </c>
      <c r="Q645" s="3"/>
    </row>
    <row r="646" spans="1:17" ht="22.5" customHeight="1" x14ac:dyDescent="0.2">
      <c r="A646" s="3" t="s">
        <v>1342</v>
      </c>
      <c r="B646" s="3" t="str">
        <f ca="1">IFERROR(__xludf.DUMMYFUNCTION("REGEXEXTRACT(A646, ""\.(?:GOV|EXT)\.([A-Z0-9\-]+)"")
"),"CISAM")</f>
        <v>CISAM</v>
      </c>
      <c r="C646" s="3" t="s">
        <v>34</v>
      </c>
      <c r="D646" s="3" t="s">
        <v>1216</v>
      </c>
      <c r="E646" s="14" t="str">
        <f ca="1">IFERROR(__xludf.DUMMYFUNCTION("REGEXEXTRACT(A646, ""-(.*)"")"),"ARP.0010.00.2025.GOV.CISAM.PE")</f>
        <v>ARP.0010.00.2025.GOV.CISAM.PE</v>
      </c>
      <c r="F646" s="3" t="s">
        <v>348</v>
      </c>
      <c r="G646" s="3"/>
      <c r="H646" s="9">
        <v>45807</v>
      </c>
      <c r="I646" s="3" t="s">
        <v>37</v>
      </c>
      <c r="J646" s="3" t="str">
        <f>VLOOKUP(A646,'TODOS OS PROCESSOS ATUALIZADOS '!A:I,7,0)</f>
        <v>Cancelada</v>
      </c>
      <c r="K646" s="3" t="s">
        <v>38</v>
      </c>
      <c r="L646" s="3" t="str">
        <f t="shared" si="2"/>
        <v>Item não atualizado</v>
      </c>
      <c r="M646" s="3"/>
      <c r="N646" s="3" t="s">
        <v>38</v>
      </c>
      <c r="O646" s="3" t="s">
        <v>39</v>
      </c>
    </row>
    <row r="647" spans="1:17" ht="22.5" customHeight="1" x14ac:dyDescent="0.2">
      <c r="A647" s="3" t="s">
        <v>1343</v>
      </c>
      <c r="B647" s="3" t="str">
        <f ca="1">IFERROR(__xludf.DUMMYFUNCTION("REGEXEXTRACT(A647, ""\.(?:GOV|EXT)\.([A-Z0-9\-]+)"")
"),"FES-PE")</f>
        <v>FES-PE</v>
      </c>
      <c r="C647" s="3" t="s">
        <v>34</v>
      </c>
      <c r="D647" s="3" t="s">
        <v>1216</v>
      </c>
      <c r="E647" s="14" t="str">
        <f ca="1">IFERROR(__xludf.DUMMYFUNCTION("REGEXEXTRACT(A647, ""-(.*)"")"),"ARP.0015.06.2025.GOV.FES-PE.PE")</f>
        <v>ARP.0015.06.2025.GOV.FES-PE.PE</v>
      </c>
      <c r="F647" s="6" t="s">
        <v>1265</v>
      </c>
      <c r="G647" s="3"/>
      <c r="H647" s="9">
        <v>45806</v>
      </c>
      <c r="I647" s="3" t="s">
        <v>44</v>
      </c>
      <c r="J647" s="3" t="str">
        <f>VLOOKUP(A647,'TODOS OS PROCESSOS ATUALIZADOS '!A:I,7,0)</f>
        <v>Autorizada Sucesso</v>
      </c>
      <c r="K647" s="3" t="s">
        <v>44</v>
      </c>
      <c r="L647" s="3" t="str">
        <f t="shared" si="2"/>
        <v>Item atualizado</v>
      </c>
      <c r="M647" s="3"/>
      <c r="N647" s="3" t="s">
        <v>45</v>
      </c>
      <c r="O647" s="3" t="s">
        <v>39</v>
      </c>
    </row>
    <row r="648" spans="1:17" ht="22.5" customHeight="1" x14ac:dyDescent="0.2">
      <c r="A648" s="3" t="s">
        <v>1344</v>
      </c>
      <c r="B648" s="3" t="str">
        <f ca="1">IFERROR(__xludf.DUMMYFUNCTION("REGEXEXTRACT(A648, ""\.(?:GOV|EXT)\.([A-Z0-9\-]+)"")
"),"HAM")</f>
        <v>HAM</v>
      </c>
      <c r="C648" s="3" t="s">
        <v>34</v>
      </c>
      <c r="D648" s="3" t="s">
        <v>1216</v>
      </c>
      <c r="E648" s="14" t="str">
        <f ca="1">IFERROR(__xludf.DUMMYFUNCTION("REGEXEXTRACT(A648, ""-(.*)"")"),"ARP.0012.07.2025.GOV.HAM.PE")</f>
        <v>ARP.0012.07.2025.GOV.HAM.PE</v>
      </c>
      <c r="F648" s="6" t="s">
        <v>195</v>
      </c>
      <c r="G648" s="3"/>
      <c r="H648" s="9">
        <v>45806</v>
      </c>
      <c r="I648" s="3" t="s">
        <v>44</v>
      </c>
      <c r="J648" s="3" t="str">
        <f>VLOOKUP(A648,'TODOS OS PROCESSOS ATUALIZADOS '!A:I,7,0)</f>
        <v>Autorizada Sucesso</v>
      </c>
      <c r="K648" s="3" t="s">
        <v>44</v>
      </c>
      <c r="L648" s="3" t="str">
        <f t="shared" si="2"/>
        <v>Item atualizado</v>
      </c>
      <c r="M648" s="3"/>
      <c r="N648" s="3" t="s">
        <v>45</v>
      </c>
      <c r="O648" s="3" t="s">
        <v>39</v>
      </c>
    </row>
    <row r="649" spans="1:17" ht="22.5" customHeight="1" x14ac:dyDescent="0.2">
      <c r="A649" s="3" t="s">
        <v>1345</v>
      </c>
      <c r="B649" s="3" t="str">
        <f ca="1">IFERROR(__xludf.DUMMYFUNCTION("REGEXEXTRACT(A649, ""\.(?:GOV|EXT)\.([A-Z0-9\-]+)"")
"),"FES-PE")</f>
        <v>FES-PE</v>
      </c>
      <c r="C649" s="3" t="s">
        <v>34</v>
      </c>
      <c r="D649" s="3" t="s">
        <v>1216</v>
      </c>
      <c r="E649" s="14" t="str">
        <f ca="1">IFERROR(__xludf.DUMMYFUNCTION("REGEXEXTRACT(A649, ""-(.*)"")"),"ARP.0067.03.2025.GOV.FES-PE.PE")</f>
        <v>ARP.0067.03.2025.GOV.FES-PE.PE</v>
      </c>
      <c r="F649" s="6" t="s">
        <v>1238</v>
      </c>
      <c r="G649" s="3"/>
      <c r="H649" s="9">
        <v>45806</v>
      </c>
      <c r="I649" s="3" t="s">
        <v>44</v>
      </c>
      <c r="J649" s="3" t="str">
        <f>VLOOKUP(A649,'TODOS OS PROCESSOS ATUALIZADOS '!A:I,7,0)</f>
        <v>Autorizada Sucesso</v>
      </c>
      <c r="K649" s="3" t="s">
        <v>44</v>
      </c>
      <c r="L649" s="3" t="str">
        <f t="shared" si="2"/>
        <v>Item atualizado</v>
      </c>
      <c r="M649" s="3"/>
      <c r="N649" s="3" t="s">
        <v>45</v>
      </c>
      <c r="O649" s="3" t="s">
        <v>39</v>
      </c>
    </row>
    <row r="650" spans="1:17" ht="22.5" customHeight="1" x14ac:dyDescent="0.2">
      <c r="A650" s="3" t="s">
        <v>1346</v>
      </c>
      <c r="B650" s="3" t="str">
        <f ca="1">IFERROR(__xludf.DUMMYFUNCTION("REGEXEXTRACT(A650, ""\.(?:GOV|EXT)\.([A-Z0-9\-]+)"")
"),"CISAM")</f>
        <v>CISAM</v>
      </c>
      <c r="C650" s="3" t="s">
        <v>34</v>
      </c>
      <c r="D650" s="3" t="s">
        <v>1216</v>
      </c>
      <c r="E650" s="14" t="str">
        <f ca="1">IFERROR(__xludf.DUMMYFUNCTION("REGEXEXTRACT(A650, ""-(.*)"")"),"ARP.0052.11.2024.GOV.CISAM.PE")</f>
        <v>ARP.0052.11.2024.GOV.CISAM.PE</v>
      </c>
      <c r="F650" s="3" t="s">
        <v>1347</v>
      </c>
      <c r="G650" s="3"/>
      <c r="H650" s="9">
        <v>45804</v>
      </c>
      <c r="I650" s="3" t="s">
        <v>37</v>
      </c>
      <c r="J650" s="3" t="str">
        <f>VLOOKUP(A650,'TODOS OS PROCESSOS ATUALIZADOS '!A:I,7,0)</f>
        <v>Cancelada por fim vigencia ATA</v>
      </c>
      <c r="K650" s="3" t="s">
        <v>38</v>
      </c>
      <c r="L650" s="3" t="str">
        <f t="shared" si="2"/>
        <v>Item atualizado</v>
      </c>
      <c r="M650" s="3"/>
      <c r="N650" s="3" t="s">
        <v>38</v>
      </c>
      <c r="O650" s="3" t="s">
        <v>39</v>
      </c>
    </row>
    <row r="651" spans="1:17" ht="22.5" customHeight="1" x14ac:dyDescent="0.2">
      <c r="A651" s="3" t="s">
        <v>1348</v>
      </c>
      <c r="B651" s="3" t="str">
        <f ca="1">IFERROR(__xludf.DUMMYFUNCTION("REGEXEXTRACT(A651, ""\.(?:GOV|EXT)\.([A-Z0-9\-]+)"")
"),"SAD")</f>
        <v>SAD</v>
      </c>
      <c r="C651" s="3" t="s">
        <v>34</v>
      </c>
      <c r="D651" s="3" t="s">
        <v>1216</v>
      </c>
      <c r="E651" s="14" t="str">
        <f ca="1">IFERROR(__xludf.DUMMYFUNCTION("REGEXEXTRACT(A651, ""-(.*)"")"),"ARPC.0018.00.2024.GOV.SAD.PE")</f>
        <v>ARPC.0018.00.2024.GOV.SAD.PE</v>
      </c>
      <c r="F651" s="3" t="s">
        <v>1349</v>
      </c>
      <c r="G651" s="3"/>
      <c r="H651" s="9">
        <v>45804</v>
      </c>
      <c r="I651" s="3" t="s">
        <v>37</v>
      </c>
      <c r="J651" s="3" t="str">
        <f>VLOOKUP(A651,'TODOS OS PROCESSOS ATUALIZADOS '!A:I,7,0)</f>
        <v>Cancelada</v>
      </c>
      <c r="K651" s="3" t="s">
        <v>38</v>
      </c>
      <c r="L651" s="3" t="str">
        <f t="shared" si="2"/>
        <v>Item não atualizado</v>
      </c>
      <c r="M651" s="3"/>
      <c r="N651" s="3" t="s">
        <v>38</v>
      </c>
      <c r="O651" s="3" t="s">
        <v>39</v>
      </c>
    </row>
    <row r="652" spans="1:17" ht="22.5" customHeight="1" x14ac:dyDescent="0.2">
      <c r="A652" s="3" t="s">
        <v>1350</v>
      </c>
      <c r="B652" s="3" t="str">
        <f ca="1">IFERROR(__xludf.DUMMYFUNCTION("REGEXEXTRACT(A652, ""\.(?:GOV|EXT)\.([A-Z0-9\-]+)"")
"),"FES-PE")</f>
        <v>FES-PE</v>
      </c>
      <c r="C652" s="3" t="s">
        <v>34</v>
      </c>
      <c r="D652" s="3" t="s">
        <v>1216</v>
      </c>
      <c r="E652" s="14" t="str">
        <f ca="1">IFERROR(__xludf.DUMMYFUNCTION("REGEXEXTRACT(A652, ""-(.*)"")"),"ARP.0049.02.2025.GOV.FES-PE.PE")</f>
        <v>ARP.0049.02.2025.GOV.FES-PE.PE</v>
      </c>
      <c r="F652" s="6" t="s">
        <v>1230</v>
      </c>
      <c r="G652" s="3"/>
      <c r="H652" s="9">
        <v>45803</v>
      </c>
      <c r="I652" s="3" t="s">
        <v>44</v>
      </c>
      <c r="J652" s="3" t="str">
        <f>VLOOKUP(A652,'TODOS OS PROCESSOS ATUALIZADOS '!A:I,7,0)</f>
        <v>Autorizada Sucesso</v>
      </c>
      <c r="K652" s="3" t="s">
        <v>44</v>
      </c>
      <c r="L652" s="3" t="str">
        <f t="shared" si="2"/>
        <v>Item atualizado</v>
      </c>
      <c r="M652" s="3"/>
      <c r="N652" s="3" t="s">
        <v>45</v>
      </c>
      <c r="O652" s="3" t="s">
        <v>39</v>
      </c>
    </row>
    <row r="653" spans="1:17" ht="22.5" customHeight="1" x14ac:dyDescent="0.2">
      <c r="A653" s="3" t="s">
        <v>1351</v>
      </c>
      <c r="B653" s="3" t="str">
        <f ca="1">IFERROR(__xludf.DUMMYFUNCTION("REGEXEXTRACT(A653, ""\.(?:GOV|EXT)\.([A-Z0-9\-]+)"")
"),"FES-PE")</f>
        <v>FES-PE</v>
      </c>
      <c r="C653" s="3" t="s">
        <v>34</v>
      </c>
      <c r="D653" s="3" t="s">
        <v>1216</v>
      </c>
      <c r="E653" s="14" t="str">
        <f ca="1">IFERROR(__xludf.DUMMYFUNCTION("REGEXEXTRACT(A653, ""-(.*)"")"),"ARP.0036.07.2025.GOV.FES-PE.PE")</f>
        <v>ARP.0036.07.2025.GOV.FES-PE.PE</v>
      </c>
      <c r="F653" s="3" t="s">
        <v>1352</v>
      </c>
      <c r="G653" s="3"/>
      <c r="H653" s="9">
        <v>45803</v>
      </c>
      <c r="I653" s="3" t="s">
        <v>37</v>
      </c>
      <c r="J653" s="3" t="str">
        <f>VLOOKUP(A653,'TODOS OS PROCESSOS ATUALIZADOS '!A:I,7,0)</f>
        <v>Cancelada</v>
      </c>
      <c r="K653" s="3" t="s">
        <v>38</v>
      </c>
      <c r="L653" s="3" t="str">
        <f t="shared" si="2"/>
        <v>Item não atualizado</v>
      </c>
      <c r="M653" s="3"/>
      <c r="N653" s="3" t="s">
        <v>38</v>
      </c>
      <c r="O653" s="3" t="s">
        <v>39</v>
      </c>
    </row>
    <row r="654" spans="1:17" ht="22.5" customHeight="1" x14ac:dyDescent="0.2">
      <c r="A654" s="3" t="s">
        <v>1353</v>
      </c>
      <c r="B654" s="3" t="str">
        <f ca="1">IFERROR(__xludf.DUMMYFUNCTION("REGEXEXTRACT(A654, ""\.(?:GOV|EXT)\.([A-Z0-9\-]+)"")
"),"FES-PE")</f>
        <v>FES-PE</v>
      </c>
      <c r="C654" s="3" t="s">
        <v>34</v>
      </c>
      <c r="D654" s="3" t="s">
        <v>1216</v>
      </c>
      <c r="E654" s="14" t="str">
        <f ca="1">IFERROR(__xludf.DUMMYFUNCTION("REGEXEXTRACT(A654, ""-(.*)"")"),"ARP.0067.06.2025.GOV.FES-PE.PE")</f>
        <v>ARP.0067.06.2025.GOV.FES-PE.PE</v>
      </c>
      <c r="F654" s="6" t="s">
        <v>1238</v>
      </c>
      <c r="G654" s="3"/>
      <c r="H654" s="9">
        <v>45803</v>
      </c>
      <c r="I654" s="3" t="s">
        <v>44</v>
      </c>
      <c r="J654" s="3" t="str">
        <f>VLOOKUP(A654,'TODOS OS PROCESSOS ATUALIZADOS '!A:I,7,0)</f>
        <v>Autorizada Sucesso</v>
      </c>
      <c r="K654" s="3" t="s">
        <v>44</v>
      </c>
      <c r="L654" s="3" t="str">
        <f t="shared" si="2"/>
        <v>Item atualizado</v>
      </c>
      <c r="M654" s="3"/>
      <c r="N654" s="3" t="s">
        <v>45</v>
      </c>
      <c r="O654" s="3" t="s">
        <v>39</v>
      </c>
    </row>
    <row r="655" spans="1:17" ht="22.5" customHeight="1" x14ac:dyDescent="0.2">
      <c r="A655" s="3" t="s">
        <v>1354</v>
      </c>
      <c r="B655" s="3" t="str">
        <f ca="1">IFERROR(__xludf.DUMMYFUNCTION("REGEXEXTRACT(A655, ""\.(?:GOV|EXT)\.([A-Z0-9\-]+)"")
"),"FES-PE")</f>
        <v>FES-PE</v>
      </c>
      <c r="C655" s="3" t="s">
        <v>34</v>
      </c>
      <c r="D655" s="3" t="s">
        <v>1216</v>
      </c>
      <c r="E655" s="14" t="str">
        <f ca="1">IFERROR(__xludf.DUMMYFUNCTION("REGEXEXTRACT(A655, ""-(.*)"")"),"ARP.0067.06.2025.GOV.FES-PE.PE")</f>
        <v>ARP.0067.06.2025.GOV.FES-PE.PE</v>
      </c>
      <c r="F655" s="3" t="s">
        <v>1238</v>
      </c>
      <c r="G655" s="3"/>
      <c r="H655" s="9">
        <v>45803</v>
      </c>
      <c r="I655" s="3" t="s">
        <v>37</v>
      </c>
      <c r="J655" s="3" t="str">
        <f>VLOOKUP(A655,'TODOS OS PROCESSOS ATUALIZADOS '!A:I,7,0)</f>
        <v>Cancelada</v>
      </c>
      <c r="K655" s="3" t="s">
        <v>38</v>
      </c>
      <c r="L655" s="3" t="str">
        <f t="shared" si="2"/>
        <v>Item não atualizado</v>
      </c>
      <c r="M655" s="3"/>
      <c r="N655" s="3" t="s">
        <v>38</v>
      </c>
      <c r="O655" s="3" t="s">
        <v>39</v>
      </c>
    </row>
    <row r="656" spans="1:17" ht="22.5" customHeight="1" x14ac:dyDescent="0.2">
      <c r="A656" s="3" t="s">
        <v>1355</v>
      </c>
      <c r="B656" s="3" t="str">
        <f ca="1">IFERROR(__xludf.DUMMYFUNCTION("REGEXEXTRACT(A656, ""\.(?:GOV|EXT)\.([A-Z0-9\-]+)"")
"),"FES-PE")</f>
        <v>FES-PE</v>
      </c>
      <c r="C656" s="3" t="s">
        <v>34</v>
      </c>
      <c r="D656" s="3" t="s">
        <v>1216</v>
      </c>
      <c r="E656" s="14" t="str">
        <f ca="1">IFERROR(__xludf.DUMMYFUNCTION("REGEXEXTRACT(A656, ""-(.*)"")"),"ARP.0067.01.2025.GOV.FES-PE.PE")</f>
        <v>ARP.0067.01.2025.GOV.FES-PE.PE</v>
      </c>
      <c r="F656" s="6" t="s">
        <v>1238</v>
      </c>
      <c r="G656" s="3"/>
      <c r="H656" s="9">
        <v>45803</v>
      </c>
      <c r="I656" s="3" t="s">
        <v>44</v>
      </c>
      <c r="J656" s="3" t="str">
        <f>VLOOKUP(A656,'TODOS OS PROCESSOS ATUALIZADOS '!A:I,7,0)</f>
        <v>Autorizada Sucesso</v>
      </c>
      <c r="K656" s="3" t="s">
        <v>44</v>
      </c>
      <c r="L656" s="3" t="str">
        <f t="shared" si="2"/>
        <v>Item atualizado</v>
      </c>
      <c r="M656" s="3"/>
      <c r="N656" s="3" t="s">
        <v>45</v>
      </c>
      <c r="O656" s="3" t="s">
        <v>39</v>
      </c>
    </row>
    <row r="657" spans="1:17" ht="22.5" customHeight="1" x14ac:dyDescent="0.2">
      <c r="A657" s="3" t="s">
        <v>1356</v>
      </c>
      <c r="B657" s="3" t="str">
        <f ca="1">IFERROR(__xludf.DUMMYFUNCTION("REGEXEXTRACT(A657, ""\.(?:GOV|EXT)\.([A-Z0-9\-]+)"")
"),"FES-PE")</f>
        <v>FES-PE</v>
      </c>
      <c r="C657" s="3" t="s">
        <v>34</v>
      </c>
      <c r="D657" s="3" t="s">
        <v>1216</v>
      </c>
      <c r="E657" s="14" t="str">
        <f ca="1">IFERROR(__xludf.DUMMYFUNCTION("REGEXEXTRACT(A657, ""-(.*)"")"),"ARP.0010.05.2025.GOV.FES-PE.PE")</f>
        <v>ARP.0010.05.2025.GOV.FES-PE.PE</v>
      </c>
      <c r="F657" s="6" t="s">
        <v>391</v>
      </c>
      <c r="G657" s="3"/>
      <c r="H657" s="9">
        <v>45800</v>
      </c>
      <c r="I657" s="3" t="s">
        <v>44</v>
      </c>
      <c r="J657" s="3" t="str">
        <f>VLOOKUP(A657,'TODOS OS PROCESSOS ATUALIZADOS '!A:I,7,0)</f>
        <v>Autorizada Sucesso</v>
      </c>
      <c r="K657" s="3" t="s">
        <v>44</v>
      </c>
      <c r="L657" s="3" t="str">
        <f t="shared" si="2"/>
        <v>Item atualizado</v>
      </c>
      <c r="M657" s="3"/>
      <c r="N657" s="3" t="s">
        <v>45</v>
      </c>
      <c r="O657" s="3" t="s">
        <v>39</v>
      </c>
    </row>
    <row r="658" spans="1:17" ht="22.5" customHeight="1" x14ac:dyDescent="0.2">
      <c r="A658" s="3" t="s">
        <v>1357</v>
      </c>
      <c r="B658" s="3" t="str">
        <f ca="1">IFERROR(__xludf.DUMMYFUNCTION("REGEXEXTRACT(A658, ""\.(?:GOV|EXT)\.([A-Z0-9\-]+)"")
"),"CISAM")</f>
        <v>CISAM</v>
      </c>
      <c r="C658" s="3" t="s">
        <v>34</v>
      </c>
      <c r="D658" s="3" t="s">
        <v>1216</v>
      </c>
      <c r="E658" s="14" t="str">
        <f ca="1">IFERROR(__xludf.DUMMYFUNCTION("REGEXEXTRACT(A658, ""-(.*)"")"),"ARP.0006.00.2025.GOV.CISAM.PE")</f>
        <v>ARP.0006.00.2025.GOV.CISAM.PE</v>
      </c>
      <c r="F658" s="3" t="s">
        <v>1324</v>
      </c>
      <c r="G658" s="3"/>
      <c r="H658" s="9">
        <v>45799</v>
      </c>
      <c r="I658" s="3" t="s">
        <v>44</v>
      </c>
      <c r="J658" s="3" t="str">
        <f>VLOOKUP(A658,'TODOS OS PROCESSOS ATUALIZADOS '!A:I,7,0)</f>
        <v>Autorizada Sucesso</v>
      </c>
      <c r="K658" s="3" t="s">
        <v>44</v>
      </c>
      <c r="L658" s="3" t="str">
        <f t="shared" si="2"/>
        <v>Item atualizado</v>
      </c>
      <c r="M658" s="3"/>
      <c r="N658" s="3" t="s">
        <v>44</v>
      </c>
      <c r="O658" s="3" t="s">
        <v>52</v>
      </c>
      <c r="P658" s="3" t="s">
        <v>1358</v>
      </c>
    </row>
    <row r="659" spans="1:17" ht="22.5" customHeight="1" x14ac:dyDescent="0.2">
      <c r="A659" s="3" t="s">
        <v>1359</v>
      </c>
      <c r="B659" s="3" t="str">
        <f ca="1">IFERROR(__xludf.DUMMYFUNCTION("REGEXEXTRACT(A659, ""\.(?:GOV|EXT)\.([A-Z0-9\-]+)"")
"),"CISAM")</f>
        <v>CISAM</v>
      </c>
      <c r="C659" s="3" t="s">
        <v>34</v>
      </c>
      <c r="D659" s="3" t="s">
        <v>1216</v>
      </c>
      <c r="E659" s="14" t="str">
        <f ca="1">IFERROR(__xludf.DUMMYFUNCTION("REGEXEXTRACT(A659, ""-(.*)"")"),"ARP.0006.01.2025.GOV.CISAM.PE")</f>
        <v>ARP.0006.01.2025.GOV.CISAM.PE</v>
      </c>
      <c r="F659" s="3" t="s">
        <v>1324</v>
      </c>
      <c r="G659" s="3"/>
      <c r="H659" s="9">
        <v>45799</v>
      </c>
      <c r="I659" s="3" t="s">
        <v>44</v>
      </c>
      <c r="J659" s="3" t="str">
        <f>VLOOKUP(A659,'TODOS OS PROCESSOS ATUALIZADOS '!A:I,7,0)</f>
        <v>Autorizada Sucesso</v>
      </c>
      <c r="K659" s="3" t="s">
        <v>44</v>
      </c>
      <c r="L659" s="3" t="str">
        <f t="shared" si="2"/>
        <v>Item atualizado</v>
      </c>
      <c r="M659" s="3"/>
      <c r="N659" s="3" t="s">
        <v>44</v>
      </c>
      <c r="O659" s="3" t="s">
        <v>52</v>
      </c>
      <c r="P659" s="3" t="s">
        <v>1360</v>
      </c>
    </row>
    <row r="660" spans="1:17" ht="22.5" customHeight="1" x14ac:dyDescent="0.2">
      <c r="A660" s="3" t="s">
        <v>1361</v>
      </c>
      <c r="B660" s="3" t="str">
        <f ca="1">IFERROR(__xludf.DUMMYFUNCTION("REGEXEXTRACT(A660, ""\.(?:GOV|EXT)\.([A-Z0-9\-]+)"")
"),"HOF")</f>
        <v>HOF</v>
      </c>
      <c r="C660" s="3" t="s">
        <v>34</v>
      </c>
      <c r="D660" s="3" t="s">
        <v>1216</v>
      </c>
      <c r="E660" s="14" t="str">
        <f ca="1">IFERROR(__xludf.DUMMYFUNCTION("REGEXEXTRACT(A660, ""-(.*)"")"),"ARP.0021.01.2024.GOV.HOF.PE")</f>
        <v>ARP.0021.01.2024.GOV.HOF.PE</v>
      </c>
      <c r="F660" s="3" t="s">
        <v>184</v>
      </c>
      <c r="G660" s="3"/>
      <c r="H660" s="9">
        <v>45798</v>
      </c>
      <c r="I660" s="3" t="s">
        <v>44</v>
      </c>
      <c r="J660" s="3" t="str">
        <f>VLOOKUP(A660,'TODOS OS PROCESSOS ATUALIZADOS '!A:I,7,0)</f>
        <v>Autorizada Sucesso</v>
      </c>
      <c r="K660" s="3" t="s">
        <v>44</v>
      </c>
      <c r="L660" s="3" t="str">
        <f t="shared" si="2"/>
        <v>Item atualizado</v>
      </c>
      <c r="M660" s="3"/>
      <c r="N660" s="3" t="s">
        <v>45</v>
      </c>
      <c r="O660" s="3" t="s">
        <v>46</v>
      </c>
      <c r="P660" s="3" t="s">
        <v>1362</v>
      </c>
    </row>
    <row r="661" spans="1:17" ht="22.5" customHeight="1" x14ac:dyDescent="0.2">
      <c r="A661" s="3" t="s">
        <v>1363</v>
      </c>
      <c r="B661" s="3" t="str">
        <f ca="1">IFERROR(__xludf.DUMMYFUNCTION("REGEXEXTRACT(A661, ""\.(?:GOV|EXT)\.([A-Z0-9\-]+)"")
"),"HOF")</f>
        <v>HOF</v>
      </c>
      <c r="C661" s="3" t="s">
        <v>34</v>
      </c>
      <c r="D661" s="3" t="s">
        <v>1216</v>
      </c>
      <c r="E661" s="14" t="str">
        <f ca="1">IFERROR(__xludf.DUMMYFUNCTION("REGEXEXTRACT(A661, ""-(.*)"")"),"ARP.0021.01.2024.GOV.HOF.PE")</f>
        <v>ARP.0021.01.2024.GOV.HOF.PE</v>
      </c>
      <c r="F661" s="3" t="s">
        <v>184</v>
      </c>
      <c r="G661" s="3" t="s">
        <v>3</v>
      </c>
      <c r="H661" s="9">
        <v>45798</v>
      </c>
      <c r="I661" s="3" t="s">
        <v>37</v>
      </c>
      <c r="J661" s="3" t="str">
        <f>VLOOKUP(A661,'TODOS OS PROCESSOS ATUALIZADOS '!A:I,7,0)</f>
        <v>Em configuração</v>
      </c>
      <c r="K661" s="3" t="s">
        <v>42</v>
      </c>
      <c r="L661" s="3" t="str">
        <f t="shared" si="2"/>
        <v>Item atualizado</v>
      </c>
      <c r="M661" s="3"/>
      <c r="N661" s="3" t="s">
        <v>42</v>
      </c>
      <c r="O661" s="3" t="s">
        <v>39</v>
      </c>
      <c r="P661" s="3"/>
      <c r="Q661" s="3"/>
    </row>
    <row r="662" spans="1:17" ht="22.5" customHeight="1" x14ac:dyDescent="0.2">
      <c r="A662" s="3" t="s">
        <v>1364</v>
      </c>
      <c r="B662" s="3" t="str">
        <f ca="1">IFERROR(__xludf.DUMMYFUNCTION("REGEXEXTRACT(A662, ""\.(?:GOV|EXT)\.([A-Z0-9\-]+)"")
"),"FES-PE")</f>
        <v>FES-PE</v>
      </c>
      <c r="C662" s="3" t="s">
        <v>34</v>
      </c>
      <c r="D662" s="3" t="s">
        <v>1216</v>
      </c>
      <c r="E662" s="14" t="str">
        <f ca="1">IFERROR(__xludf.DUMMYFUNCTION("REGEXEXTRACT(A662, ""-(.*)"")"),"ARP.0083.06.2024.GOV.FES-PE.PE")</f>
        <v>ARP.0083.06.2024.GOV.FES-PE.PE</v>
      </c>
      <c r="F662" s="6" t="s">
        <v>1365</v>
      </c>
      <c r="G662" s="3"/>
      <c r="H662" s="9">
        <v>45797</v>
      </c>
      <c r="I662" s="3" t="s">
        <v>44</v>
      </c>
      <c r="J662" s="3" t="str">
        <f>VLOOKUP(A662,'TODOS OS PROCESSOS ATUALIZADOS '!A:I,7,0)</f>
        <v>Autorizada Sucesso</v>
      </c>
      <c r="K662" s="3" t="s">
        <v>44</v>
      </c>
      <c r="L662" s="3" t="str">
        <f t="shared" si="2"/>
        <v>Item atualizado</v>
      </c>
      <c r="M662" s="3"/>
      <c r="N662" s="3" t="s">
        <v>45</v>
      </c>
      <c r="O662" s="3" t="s">
        <v>39</v>
      </c>
    </row>
    <row r="663" spans="1:17" ht="22.5" customHeight="1" x14ac:dyDescent="0.2">
      <c r="A663" s="3" t="s">
        <v>1366</v>
      </c>
      <c r="B663" s="3" t="str">
        <f ca="1">IFERROR(__xludf.DUMMYFUNCTION("REGEXEXTRACT(A663, ""\.(?:GOV|EXT)\.([A-Z0-9\-]+)"")
"),"HOF")</f>
        <v>HOF</v>
      </c>
      <c r="C663" s="3" t="s">
        <v>34</v>
      </c>
      <c r="D663" s="3" t="s">
        <v>1216</v>
      </c>
      <c r="E663" s="14" t="str">
        <f ca="1">IFERROR(__xludf.DUMMYFUNCTION("REGEXEXTRACT(A663, ""-(.*)"")"),"ARP.0021.06.2024.GOV.HOF.PE")</f>
        <v>ARP.0021.06.2024.GOV.HOF.PE</v>
      </c>
      <c r="F663" s="6" t="s">
        <v>184</v>
      </c>
      <c r="G663" s="3"/>
      <c r="H663" s="9">
        <v>45797</v>
      </c>
      <c r="I663" s="3" t="s">
        <v>44</v>
      </c>
      <c r="J663" s="3" t="str">
        <f>VLOOKUP(A663,'TODOS OS PROCESSOS ATUALIZADOS '!A:I,7,0)</f>
        <v>Autorizada Sucesso</v>
      </c>
      <c r="K663" s="3" t="s">
        <v>44</v>
      </c>
      <c r="L663" s="3" t="str">
        <f t="shared" si="2"/>
        <v>Item atualizado</v>
      </c>
      <c r="M663" s="3"/>
      <c r="N663" s="3" t="s">
        <v>45</v>
      </c>
      <c r="O663" s="3" t="s">
        <v>39</v>
      </c>
    </row>
    <row r="664" spans="1:17" ht="22.5" customHeight="1" x14ac:dyDescent="0.2">
      <c r="A664" s="3" t="s">
        <v>1367</v>
      </c>
      <c r="B664" s="3" t="str">
        <f ca="1">IFERROR(__xludf.DUMMYFUNCTION("REGEXEXTRACT(A664, ""\.(?:GOV|EXT)\.([A-Z0-9\-]+)"")
"),"HOF")</f>
        <v>HOF</v>
      </c>
      <c r="C664" s="3" t="s">
        <v>34</v>
      </c>
      <c r="D664" s="3" t="s">
        <v>1216</v>
      </c>
      <c r="E664" s="14" t="str">
        <f ca="1">IFERROR(__xludf.DUMMYFUNCTION("REGEXEXTRACT(A664, ""-(.*)"")"),"ARP.0021.11.2024.GOV.HOF.PE")</f>
        <v>ARP.0021.11.2024.GOV.HOF.PE</v>
      </c>
      <c r="F664" s="6" t="s">
        <v>184</v>
      </c>
      <c r="G664" s="3"/>
      <c r="H664" s="9">
        <v>45797</v>
      </c>
      <c r="I664" s="3" t="s">
        <v>44</v>
      </c>
      <c r="J664" s="3" t="str">
        <f>VLOOKUP(A664,'TODOS OS PROCESSOS ATUALIZADOS '!A:I,7,0)</f>
        <v>Autorizada Sucesso</v>
      </c>
      <c r="K664" s="3" t="s">
        <v>44</v>
      </c>
      <c r="L664" s="3" t="str">
        <f t="shared" si="2"/>
        <v>Item atualizado</v>
      </c>
      <c r="M664" s="3"/>
      <c r="N664" s="3" t="s">
        <v>45</v>
      </c>
      <c r="O664" s="3" t="s">
        <v>39</v>
      </c>
    </row>
    <row r="665" spans="1:17" ht="22.5" customHeight="1" x14ac:dyDescent="0.2">
      <c r="A665" s="3" t="s">
        <v>1368</v>
      </c>
      <c r="B665" s="3" t="str">
        <f ca="1">IFERROR(__xludf.DUMMYFUNCTION("REGEXEXTRACT(A665, ""\.(?:GOV|EXT)\.([A-Z0-9\-]+)"")
"),"HOF")</f>
        <v>HOF</v>
      </c>
      <c r="C665" s="3" t="s">
        <v>34</v>
      </c>
      <c r="D665" s="3" t="s">
        <v>1216</v>
      </c>
      <c r="E665" s="14" t="str">
        <f ca="1">IFERROR(__xludf.DUMMYFUNCTION("REGEXEXTRACT(A665, ""-(.*)"")"),"ARP.0021.11.2024.GOV.HOF.PE")</f>
        <v>ARP.0021.11.2024.GOV.HOF.PE</v>
      </c>
      <c r="F665" s="3" t="s">
        <v>184</v>
      </c>
      <c r="G665" s="3" t="s">
        <v>3</v>
      </c>
      <c r="H665" s="9">
        <v>45797</v>
      </c>
      <c r="I665" s="3" t="s">
        <v>37</v>
      </c>
      <c r="J665" s="3" t="str">
        <f>VLOOKUP(A665,'TODOS OS PROCESSOS ATUALIZADOS '!A:I,7,0)</f>
        <v>Em configuração</v>
      </c>
      <c r="K665" s="3" t="s">
        <v>42</v>
      </c>
      <c r="L665" s="3" t="str">
        <f t="shared" si="2"/>
        <v>Item atualizado</v>
      </c>
      <c r="M665" s="3"/>
      <c r="N665" s="3" t="s">
        <v>42</v>
      </c>
      <c r="O665" s="3" t="s">
        <v>39</v>
      </c>
      <c r="P665" s="3"/>
      <c r="Q665" s="3"/>
    </row>
    <row r="666" spans="1:17" ht="22.5" customHeight="1" x14ac:dyDescent="0.2">
      <c r="A666" s="3" t="s">
        <v>1369</v>
      </c>
      <c r="B666" s="3" t="str">
        <f ca="1">IFERROR(__xludf.DUMMYFUNCTION("REGEXEXTRACT(A666, ""\.(?:GOV|EXT)\.([A-Z0-9\-]+)"")
"),"HOF")</f>
        <v>HOF</v>
      </c>
      <c r="C666" s="3" t="s">
        <v>34</v>
      </c>
      <c r="D666" s="3" t="s">
        <v>1216</v>
      </c>
      <c r="E666" s="14" t="str">
        <f ca="1">IFERROR(__xludf.DUMMYFUNCTION("REGEXEXTRACT(A666, ""-(.*)"")"),"ARP.0021.11.2024.GOV.HOF.PE")</f>
        <v>ARP.0021.11.2024.GOV.HOF.PE</v>
      </c>
      <c r="F666" s="3" t="s">
        <v>184</v>
      </c>
      <c r="G666" s="3" t="s">
        <v>3</v>
      </c>
      <c r="H666" s="9">
        <v>45797</v>
      </c>
      <c r="I666" s="3" t="s">
        <v>37</v>
      </c>
      <c r="J666" s="3" t="str">
        <f>VLOOKUP(A666,'TODOS OS PROCESSOS ATUALIZADOS '!A:I,7,0)</f>
        <v>Em configuração</v>
      </c>
      <c r="K666" s="3" t="s">
        <v>42</v>
      </c>
      <c r="L666" s="3" t="str">
        <f t="shared" si="2"/>
        <v>Item atualizado</v>
      </c>
      <c r="M666" s="3"/>
      <c r="N666" s="3" t="s">
        <v>42</v>
      </c>
      <c r="O666" s="3" t="s">
        <v>39</v>
      </c>
      <c r="P666" s="3"/>
      <c r="Q666" s="3"/>
    </row>
    <row r="667" spans="1:17" ht="22.5" customHeight="1" x14ac:dyDescent="0.2">
      <c r="A667" s="3" t="s">
        <v>1370</v>
      </c>
      <c r="B667" s="3" t="str">
        <f ca="1">IFERROR(__xludf.DUMMYFUNCTION("REGEXEXTRACT(A667, ""\.(?:GOV|EXT)\.([A-Z0-9\-]+)"")
"),"FES-PE")</f>
        <v>FES-PE</v>
      </c>
      <c r="C667" s="3" t="s">
        <v>34</v>
      </c>
      <c r="D667" s="3" t="s">
        <v>1216</v>
      </c>
      <c r="E667" s="14" t="str">
        <f ca="1">IFERROR(__xludf.DUMMYFUNCTION("REGEXEXTRACT(A667, ""-(.*)"")"),"ARP.0067.03.2025.GOV.FES-PE.PE")</f>
        <v>ARP.0067.03.2025.GOV.FES-PE.PE</v>
      </c>
      <c r="F667" s="6" t="s">
        <v>1238</v>
      </c>
      <c r="G667" s="3"/>
      <c r="H667" s="9">
        <v>45797</v>
      </c>
      <c r="I667" s="3" t="s">
        <v>44</v>
      </c>
      <c r="J667" s="3" t="str">
        <f>VLOOKUP(A667,'TODOS OS PROCESSOS ATUALIZADOS '!A:I,7,0)</f>
        <v>Autorizada Sucesso</v>
      </c>
      <c r="K667" s="3" t="s">
        <v>44</v>
      </c>
      <c r="L667" s="3" t="str">
        <f t="shared" si="2"/>
        <v>Item atualizado</v>
      </c>
      <c r="M667" s="3"/>
      <c r="N667" s="3" t="s">
        <v>45</v>
      </c>
      <c r="O667" s="3" t="s">
        <v>39</v>
      </c>
    </row>
    <row r="668" spans="1:17" ht="22.5" customHeight="1" x14ac:dyDescent="0.2">
      <c r="A668" s="3" t="s">
        <v>1371</v>
      </c>
      <c r="B668" s="3" t="str">
        <f ca="1">IFERROR(__xludf.DUMMYFUNCTION("REGEXEXTRACT(A668, ""\.(?:GOV|EXT)\.([A-Z0-9\-]+)"")
"),"FES-PE")</f>
        <v>FES-PE</v>
      </c>
      <c r="C668" s="3" t="s">
        <v>34</v>
      </c>
      <c r="D668" s="3" t="s">
        <v>1216</v>
      </c>
      <c r="E668" s="14" t="str">
        <f ca="1">IFERROR(__xludf.DUMMYFUNCTION("REGEXEXTRACT(A668, ""-(.*)"")"),"ARP.0019.02.2025.GOV.FES-PE.PE")</f>
        <v>ARP.0019.02.2025.GOV.FES-PE.PE</v>
      </c>
      <c r="F668" s="3" t="s">
        <v>1372</v>
      </c>
      <c r="G668" s="3"/>
      <c r="H668" s="9">
        <v>45796</v>
      </c>
      <c r="I668" s="3" t="s">
        <v>37</v>
      </c>
      <c r="J668" s="3" t="str">
        <f>VLOOKUP(A668,'TODOS OS PROCESSOS ATUALIZADOS '!A:I,7,0)</f>
        <v>Cancelada</v>
      </c>
      <c r="K668" s="3" t="s">
        <v>38</v>
      </c>
      <c r="L668" s="3" t="str">
        <f t="shared" si="2"/>
        <v>Item não atualizado</v>
      </c>
      <c r="M668" s="3"/>
      <c r="N668" s="3" t="s">
        <v>38</v>
      </c>
      <c r="O668" s="3" t="s">
        <v>39</v>
      </c>
    </row>
    <row r="669" spans="1:17" ht="22.5" customHeight="1" x14ac:dyDescent="0.2">
      <c r="A669" s="3" t="s">
        <v>1373</v>
      </c>
      <c r="B669" s="3" t="str">
        <f ca="1">IFERROR(__xludf.DUMMYFUNCTION("REGEXEXTRACT(A669, ""\.(?:GOV|EXT)\.([A-Z0-9\-]+)"")
"),"FES-PE")</f>
        <v>FES-PE</v>
      </c>
      <c r="C669" s="3" t="s">
        <v>34</v>
      </c>
      <c r="D669" s="3" t="s">
        <v>1216</v>
      </c>
      <c r="E669" s="14" t="str">
        <f ca="1">IFERROR(__xludf.DUMMYFUNCTION("REGEXEXTRACT(A669, ""-(.*)"")"),"ARP.0009.01.2025.GOV.FES-PE.PE")</f>
        <v>ARP.0009.01.2025.GOV.FES-PE.PE</v>
      </c>
      <c r="F669" s="6" t="s">
        <v>74</v>
      </c>
      <c r="G669" s="3"/>
      <c r="H669" s="9">
        <v>45796</v>
      </c>
      <c r="I669" s="3" t="s">
        <v>44</v>
      </c>
      <c r="J669" s="3" t="str">
        <f>VLOOKUP(A669,'TODOS OS PROCESSOS ATUALIZADOS '!A:I,7,0)</f>
        <v>Autorizada Sucesso</v>
      </c>
      <c r="K669" s="3" t="s">
        <v>44</v>
      </c>
      <c r="L669" s="3" t="str">
        <f t="shared" si="2"/>
        <v>Item atualizado</v>
      </c>
      <c r="M669" s="3"/>
      <c r="N669" s="3" t="s">
        <v>45</v>
      </c>
      <c r="O669" s="3" t="s">
        <v>39</v>
      </c>
    </row>
    <row r="670" spans="1:17" ht="22.5" customHeight="1" x14ac:dyDescent="0.2">
      <c r="A670" s="3" t="s">
        <v>1374</v>
      </c>
      <c r="B670" s="3" t="str">
        <f ca="1">IFERROR(__xludf.DUMMYFUNCTION("REGEXEXTRACT(A670, ""\.(?:GOV|EXT)\.([A-Z0-9\-]+)"")
"),"FES-PE")</f>
        <v>FES-PE</v>
      </c>
      <c r="C670" s="3" t="s">
        <v>34</v>
      </c>
      <c r="D670" s="3" t="s">
        <v>1216</v>
      </c>
      <c r="E670" s="14" t="str">
        <f ca="1">IFERROR(__xludf.DUMMYFUNCTION("REGEXEXTRACT(A670, ""-(.*)"")"),"ARP.0053.02.2025.GOV.FES-PE.PE")</f>
        <v>ARP.0053.02.2025.GOV.FES-PE.PE</v>
      </c>
      <c r="F670" s="6" t="s">
        <v>1308</v>
      </c>
      <c r="G670" s="3"/>
      <c r="H670" s="9">
        <v>45796</v>
      </c>
      <c r="I670" s="3" t="s">
        <v>44</v>
      </c>
      <c r="J670" s="3" t="str">
        <f>VLOOKUP(A670,'TODOS OS PROCESSOS ATUALIZADOS '!A:I,7,0)</f>
        <v>Autorizada Sucesso</v>
      </c>
      <c r="K670" s="3" t="s">
        <v>44</v>
      </c>
      <c r="L670" s="3" t="str">
        <f t="shared" si="2"/>
        <v>Item atualizado</v>
      </c>
      <c r="M670" s="3"/>
      <c r="N670" s="3" t="s">
        <v>45</v>
      </c>
      <c r="O670" s="3" t="s">
        <v>39</v>
      </c>
    </row>
    <row r="671" spans="1:17" ht="22.5" customHeight="1" x14ac:dyDescent="0.2">
      <c r="A671" s="3" t="s">
        <v>1375</v>
      </c>
      <c r="B671" s="3" t="str">
        <f ca="1">IFERROR(__xludf.DUMMYFUNCTION("REGEXEXTRACT(A671, ""\.(?:GOV|EXT)\.([A-Z0-9\-]+)"")
"),"FES-PE")</f>
        <v>FES-PE</v>
      </c>
      <c r="C671" s="3" t="s">
        <v>34</v>
      </c>
      <c r="D671" s="3" t="s">
        <v>1216</v>
      </c>
      <c r="E671" s="14" t="str">
        <f ca="1">IFERROR(__xludf.DUMMYFUNCTION("REGEXEXTRACT(A671, ""-(.*)"")"),"ARP.0092.04.2024.GOV.FES-PE.PE")</f>
        <v>ARP.0092.04.2024.GOV.FES-PE.PE</v>
      </c>
      <c r="F671" s="3" t="s">
        <v>1376</v>
      </c>
      <c r="G671" s="3"/>
      <c r="H671" s="9">
        <v>45796</v>
      </c>
      <c r="I671" s="3" t="s">
        <v>37</v>
      </c>
      <c r="J671" s="3" t="str">
        <f>VLOOKUP(A671,'TODOS OS PROCESSOS ATUALIZADOS '!A:I,7,0)</f>
        <v>Cancelada</v>
      </c>
      <c r="K671" s="3" t="s">
        <v>38</v>
      </c>
      <c r="L671" s="3" t="str">
        <f t="shared" si="2"/>
        <v>Item não atualizado</v>
      </c>
      <c r="M671" s="3"/>
      <c r="N671" s="3" t="s">
        <v>38</v>
      </c>
      <c r="O671" s="3" t="s">
        <v>39</v>
      </c>
    </row>
    <row r="672" spans="1:17" ht="22.5" customHeight="1" x14ac:dyDescent="0.2">
      <c r="A672" s="3" t="s">
        <v>1377</v>
      </c>
      <c r="B672" s="3" t="str">
        <f ca="1">IFERROR(__xludf.DUMMYFUNCTION("REGEXEXTRACT(A672, ""\.(?:GOV|EXT)\.([A-Z0-9\-]+)"")
"),"FES-PE")</f>
        <v>FES-PE</v>
      </c>
      <c r="C672" s="3" t="s">
        <v>34</v>
      </c>
      <c r="D672" s="3" t="s">
        <v>1216</v>
      </c>
      <c r="E672" s="14" t="str">
        <f ca="1">IFERROR(__xludf.DUMMYFUNCTION("REGEXEXTRACT(A672, ""-(.*)"")"),"ARP.0092.04.2024.GOV.FES-PE.PE")</f>
        <v>ARP.0092.04.2024.GOV.FES-PE.PE</v>
      </c>
      <c r="F672" s="3" t="s">
        <v>1376</v>
      </c>
      <c r="G672" s="3"/>
      <c r="H672" s="9">
        <v>45796</v>
      </c>
      <c r="I672" s="3" t="s">
        <v>37</v>
      </c>
      <c r="J672" s="3" t="str">
        <f>VLOOKUP(A672,'TODOS OS PROCESSOS ATUALIZADOS '!A:I,7,0)</f>
        <v>Cancelada</v>
      </c>
      <c r="K672" s="3" t="s">
        <v>38</v>
      </c>
      <c r="L672" s="3" t="str">
        <f t="shared" si="2"/>
        <v>Item não atualizado</v>
      </c>
      <c r="M672" s="3"/>
      <c r="N672" s="3" t="s">
        <v>38</v>
      </c>
      <c r="O672" s="3" t="s">
        <v>39</v>
      </c>
    </row>
    <row r="673" spans="1:17" ht="22.5" customHeight="1" x14ac:dyDescent="0.2">
      <c r="A673" s="3" t="s">
        <v>1378</v>
      </c>
      <c r="B673" s="3" t="str">
        <f ca="1">IFERROR(__xludf.DUMMYFUNCTION("REGEXEXTRACT(A673, ""\.(?:GOV|EXT)\.([A-Z0-9\-]+)"")
"),"FES-PE")</f>
        <v>FES-PE</v>
      </c>
      <c r="C673" s="3" t="s">
        <v>34</v>
      </c>
      <c r="D673" s="3" t="s">
        <v>1216</v>
      </c>
      <c r="E673" s="14" t="str">
        <f ca="1">IFERROR(__xludf.DUMMYFUNCTION("REGEXEXTRACT(A673, ""-(.*)"")"),"ARP.0092.04.2024.GOV.FES-PE.PE")</f>
        <v>ARP.0092.04.2024.GOV.FES-PE.PE</v>
      </c>
      <c r="F673" s="3" t="s">
        <v>1376</v>
      </c>
      <c r="G673" s="3"/>
      <c r="H673" s="9">
        <v>45796</v>
      </c>
      <c r="I673" s="3" t="s">
        <v>37</v>
      </c>
      <c r="J673" s="3" t="str">
        <f>VLOOKUP(A673,'TODOS OS PROCESSOS ATUALIZADOS '!A:I,7,0)</f>
        <v>Cancelada</v>
      </c>
      <c r="K673" s="3" t="s">
        <v>38</v>
      </c>
      <c r="L673" s="3" t="str">
        <f t="shared" si="2"/>
        <v>Item não atualizado</v>
      </c>
      <c r="M673" s="3"/>
      <c r="N673" s="3" t="s">
        <v>38</v>
      </c>
      <c r="O673" s="3" t="s">
        <v>39</v>
      </c>
    </row>
    <row r="674" spans="1:17" ht="22.5" customHeight="1" x14ac:dyDescent="0.2">
      <c r="A674" s="3" t="s">
        <v>1379</v>
      </c>
      <c r="B674" s="3" t="str">
        <f ca="1">IFERROR(__xludf.DUMMYFUNCTION("REGEXEXTRACT(A674, ""\.(?:GOV|EXT)\.([A-Z0-9\-]+)"")
"),"FES-PE")</f>
        <v>FES-PE</v>
      </c>
      <c r="C674" s="3" t="s">
        <v>34</v>
      </c>
      <c r="D674" s="3" t="s">
        <v>1216</v>
      </c>
      <c r="E674" s="14" t="str">
        <f ca="1">IFERROR(__xludf.DUMMYFUNCTION("REGEXEXTRACT(A674, ""-(.*)"")"),"ARP.0083.05.2024.GOV.FES-PE.PE")</f>
        <v>ARP.0083.05.2024.GOV.FES-PE.PE</v>
      </c>
      <c r="F674" s="3" t="s">
        <v>1365</v>
      </c>
      <c r="G674" s="3"/>
      <c r="H674" s="9">
        <v>45796</v>
      </c>
      <c r="I674" s="3" t="s">
        <v>37</v>
      </c>
      <c r="J674" s="3" t="str">
        <f>VLOOKUP(A674,'TODOS OS PROCESSOS ATUALIZADOS '!A:I,7,0)</f>
        <v>Cancelada</v>
      </c>
      <c r="K674" s="3" t="s">
        <v>38</v>
      </c>
      <c r="L674" s="3" t="str">
        <f t="shared" si="2"/>
        <v>Item não atualizado</v>
      </c>
      <c r="M674" s="3"/>
      <c r="N674" s="3" t="s">
        <v>38</v>
      </c>
      <c r="O674" s="3" t="s">
        <v>39</v>
      </c>
    </row>
    <row r="675" spans="1:17" ht="22.5" customHeight="1" x14ac:dyDescent="0.2">
      <c r="A675" s="3" t="s">
        <v>1380</v>
      </c>
      <c r="B675" s="3" t="str">
        <f ca="1">IFERROR(__xludf.DUMMYFUNCTION("REGEXEXTRACT(A675, ""\.(?:GOV|EXT)\.([A-Z0-9\-]+)"")
"),"FES-PE")</f>
        <v>FES-PE</v>
      </c>
      <c r="C675" s="3" t="s">
        <v>34</v>
      </c>
      <c r="D675" s="3" t="s">
        <v>1216</v>
      </c>
      <c r="E675" s="14" t="str">
        <f ca="1">IFERROR(__xludf.DUMMYFUNCTION("REGEXEXTRACT(A675, ""-(.*)"")"),"ARP.0083.05.2024.GOV.FES-PE.PE")</f>
        <v>ARP.0083.05.2024.GOV.FES-PE.PE</v>
      </c>
      <c r="F675" s="3" t="s">
        <v>1365</v>
      </c>
      <c r="G675" s="3"/>
      <c r="H675" s="9">
        <v>45796</v>
      </c>
      <c r="I675" s="3" t="s">
        <v>37</v>
      </c>
      <c r="J675" s="3" t="str">
        <f>VLOOKUP(A675,'TODOS OS PROCESSOS ATUALIZADOS '!A:I,7,0)</f>
        <v>Cancelada</v>
      </c>
      <c r="K675" s="3" t="s">
        <v>38</v>
      </c>
      <c r="L675" s="3" t="str">
        <f t="shared" si="2"/>
        <v>Item não atualizado</v>
      </c>
      <c r="M675" s="3"/>
      <c r="N675" s="3" t="s">
        <v>38</v>
      </c>
      <c r="O675" s="3" t="s">
        <v>39</v>
      </c>
    </row>
    <row r="676" spans="1:17" ht="22.5" customHeight="1" x14ac:dyDescent="0.2">
      <c r="A676" s="3" t="s">
        <v>1381</v>
      </c>
      <c r="B676" s="3" t="str">
        <f ca="1">IFERROR(__xludf.DUMMYFUNCTION("REGEXEXTRACT(A676, ""\.(?:GOV|EXT)\.([A-Z0-9\-]+)"")
"),"FES-PE")</f>
        <v>FES-PE</v>
      </c>
      <c r="C676" s="3" t="s">
        <v>34</v>
      </c>
      <c r="D676" s="3" t="s">
        <v>1216</v>
      </c>
      <c r="E676" s="14" t="str">
        <f ca="1">IFERROR(__xludf.DUMMYFUNCTION("REGEXEXTRACT(A676, ""-(.*)"")"),"ARP.0083.05.2024.GOV.FES-PE.PE")</f>
        <v>ARP.0083.05.2024.GOV.FES-PE.PE</v>
      </c>
      <c r="F676" s="3" t="s">
        <v>1365</v>
      </c>
      <c r="G676" s="3"/>
      <c r="H676" s="9">
        <v>45796</v>
      </c>
      <c r="I676" s="3" t="s">
        <v>37</v>
      </c>
      <c r="J676" s="3" t="str">
        <f>VLOOKUP(A676,'TODOS OS PROCESSOS ATUALIZADOS '!A:I,7,0)</f>
        <v>Cancelada</v>
      </c>
      <c r="K676" s="3" t="s">
        <v>38</v>
      </c>
      <c r="L676" s="3" t="str">
        <f t="shared" si="2"/>
        <v>Item não atualizado</v>
      </c>
      <c r="M676" s="3"/>
      <c r="N676" s="3" t="s">
        <v>38</v>
      </c>
      <c r="O676" s="3" t="s">
        <v>39</v>
      </c>
    </row>
    <row r="677" spans="1:17" ht="22.5" customHeight="1" x14ac:dyDescent="0.2">
      <c r="A677" s="3" t="s">
        <v>1382</v>
      </c>
      <c r="B677" s="3" t="str">
        <f ca="1">IFERROR(__xludf.DUMMYFUNCTION("REGEXEXTRACT(A677, ""\.(?:GOV|EXT)\.([A-Z0-9\-]+)"")
"),"FES-PE")</f>
        <v>FES-PE</v>
      </c>
      <c r="C677" s="3" t="s">
        <v>34</v>
      </c>
      <c r="D677" s="3" t="s">
        <v>1216</v>
      </c>
      <c r="E677" s="14" t="str">
        <f ca="1">IFERROR(__xludf.DUMMYFUNCTION("REGEXEXTRACT(A677, ""-(.*)"")"),"ARP.0083.05.2024.GOV.FES-PE.PE")</f>
        <v>ARP.0083.05.2024.GOV.FES-PE.PE</v>
      </c>
      <c r="F677" s="6" t="s">
        <v>1365</v>
      </c>
      <c r="G677" s="3"/>
      <c r="H677" s="9">
        <v>45796</v>
      </c>
      <c r="I677" s="3" t="s">
        <v>44</v>
      </c>
      <c r="J677" s="3" t="str">
        <f>VLOOKUP(A677,'TODOS OS PROCESSOS ATUALIZADOS '!A:I,7,0)</f>
        <v>Autorizada Sucesso</v>
      </c>
      <c r="K677" s="3" t="s">
        <v>44</v>
      </c>
      <c r="L677" s="3" t="str">
        <f t="shared" si="2"/>
        <v>Item atualizado</v>
      </c>
      <c r="M677" s="3"/>
      <c r="N677" s="3" t="s">
        <v>45</v>
      </c>
      <c r="O677" s="3" t="s">
        <v>39</v>
      </c>
    </row>
    <row r="678" spans="1:17" ht="22.5" customHeight="1" x14ac:dyDescent="0.2">
      <c r="A678" s="3" t="s">
        <v>1383</v>
      </c>
      <c r="B678" s="3" t="str">
        <f ca="1">IFERROR(__xludf.DUMMYFUNCTION("REGEXEXTRACT(A678, ""\.(?:GOV|EXT)\.([A-Z0-9\-]+)"")
"),"FES-PE")</f>
        <v>FES-PE</v>
      </c>
      <c r="C678" s="3" t="s">
        <v>34</v>
      </c>
      <c r="D678" s="3" t="s">
        <v>1216</v>
      </c>
      <c r="E678" s="14" t="str">
        <f ca="1">IFERROR(__xludf.DUMMYFUNCTION("REGEXEXTRACT(A678, ""-(.*)"")"),"ARP.0075.01.2024.GOV.FES-PE.PE")</f>
        <v>ARP.0075.01.2024.GOV.FES-PE.PE</v>
      </c>
      <c r="F678" s="3" t="s">
        <v>1384</v>
      </c>
      <c r="G678" s="3"/>
      <c r="H678" s="9">
        <v>45796</v>
      </c>
      <c r="I678" s="3" t="s">
        <v>37</v>
      </c>
      <c r="J678" s="3" t="str">
        <f>VLOOKUP(A678,'TODOS OS PROCESSOS ATUALIZADOS '!A:I,7,0)</f>
        <v>Cancelada</v>
      </c>
      <c r="K678" s="3" t="s">
        <v>38</v>
      </c>
      <c r="L678" s="3" t="str">
        <f t="shared" si="2"/>
        <v>Item não atualizado</v>
      </c>
      <c r="M678" s="3"/>
      <c r="N678" s="3" t="s">
        <v>38</v>
      </c>
      <c r="O678" s="3" t="s">
        <v>39</v>
      </c>
    </row>
    <row r="679" spans="1:17" ht="22.5" customHeight="1" x14ac:dyDescent="0.2">
      <c r="A679" s="3" t="s">
        <v>1385</v>
      </c>
      <c r="B679" s="3" t="str">
        <f ca="1">IFERROR(__xludf.DUMMYFUNCTION("REGEXEXTRACT(A679, ""\.(?:GOV|EXT)\.([A-Z0-9\-]+)"")
"),"FES-PE")</f>
        <v>FES-PE</v>
      </c>
      <c r="C679" s="3" t="s">
        <v>34</v>
      </c>
      <c r="D679" s="3" t="s">
        <v>1216</v>
      </c>
      <c r="E679" s="14" t="str">
        <f ca="1">IFERROR(__xludf.DUMMYFUNCTION("REGEXEXTRACT(A679, ""-(.*)"")"),"ARP.0063.00.2024.GOV.FES-PE.PE")</f>
        <v>ARP.0063.00.2024.GOV.FES-PE.PE</v>
      </c>
      <c r="F679" s="6" t="s">
        <v>1386</v>
      </c>
      <c r="G679" s="3"/>
      <c r="H679" s="9">
        <v>45796</v>
      </c>
      <c r="I679" s="3" t="s">
        <v>44</v>
      </c>
      <c r="J679" s="3" t="str">
        <f>VLOOKUP(A679,'TODOS OS PROCESSOS ATUALIZADOS '!A:I,7,0)</f>
        <v>Autorizada Sucesso</v>
      </c>
      <c r="K679" s="3" t="s">
        <v>44</v>
      </c>
      <c r="L679" s="3" t="str">
        <f t="shared" si="2"/>
        <v>Item atualizado</v>
      </c>
      <c r="M679" s="3"/>
      <c r="N679" s="3" t="s">
        <v>45</v>
      </c>
      <c r="O679" s="3" t="s">
        <v>39</v>
      </c>
    </row>
    <row r="680" spans="1:17" ht="22.5" customHeight="1" x14ac:dyDescent="0.2">
      <c r="A680" s="3" t="s">
        <v>1387</v>
      </c>
      <c r="B680" s="3" t="str">
        <f ca="1">IFERROR(__xludf.DUMMYFUNCTION("REGEXEXTRACT(A680, ""\.(?:GOV|EXT)\.([A-Z0-9\-]+)"")
"),"FES-PE")</f>
        <v>FES-PE</v>
      </c>
      <c r="C680" s="3" t="s">
        <v>34</v>
      </c>
      <c r="D680" s="3" t="s">
        <v>1216</v>
      </c>
      <c r="E680" s="14" t="str">
        <f ca="1">IFERROR(__xludf.DUMMYFUNCTION("REGEXEXTRACT(A680, ""-(.*)"")"),"ARP.0010.05.2025.GOV.FES-PE.PE")</f>
        <v>ARP.0010.05.2025.GOV.FES-PE.PE</v>
      </c>
      <c r="F680" s="3" t="s">
        <v>391</v>
      </c>
      <c r="G680" s="3" t="s">
        <v>3</v>
      </c>
      <c r="H680" s="9">
        <v>45793</v>
      </c>
      <c r="I680" s="3" t="s">
        <v>37</v>
      </c>
      <c r="J680" s="3" t="str">
        <f>VLOOKUP(A680,'TODOS OS PROCESSOS ATUALIZADOS '!A:I,7,0)</f>
        <v>Cancelada</v>
      </c>
      <c r="K680" s="3" t="s">
        <v>38</v>
      </c>
      <c r="L680" s="3" t="str">
        <f t="shared" si="2"/>
        <v>Item não atualizado</v>
      </c>
      <c r="M680" s="3"/>
      <c r="N680" s="3" t="s">
        <v>38</v>
      </c>
      <c r="O680" s="3" t="s">
        <v>39</v>
      </c>
    </row>
    <row r="681" spans="1:17" ht="22.5" customHeight="1" x14ac:dyDescent="0.2">
      <c r="A681" s="3" t="s">
        <v>1388</v>
      </c>
      <c r="B681" s="3" t="str">
        <f ca="1">IFERROR(__xludf.DUMMYFUNCTION("REGEXEXTRACT(A681, ""\.(?:GOV|EXT)\.([A-Z0-9\-]+)"")
"),"FES-PE")</f>
        <v>FES-PE</v>
      </c>
      <c r="C681" s="3" t="s">
        <v>34</v>
      </c>
      <c r="D681" s="3" t="s">
        <v>1216</v>
      </c>
      <c r="E681" s="14" t="str">
        <f ca="1">IFERROR(__xludf.DUMMYFUNCTION("REGEXEXTRACT(A681, ""-(.*)"")"),"ARP.0019.02.2025.GOV.FES-PE.PE")</f>
        <v>ARP.0019.02.2025.GOV.FES-PE.PE</v>
      </c>
      <c r="F681" s="3" t="s">
        <v>1372</v>
      </c>
      <c r="G681" s="3" t="s">
        <v>3</v>
      </c>
      <c r="H681" s="9">
        <v>45793</v>
      </c>
      <c r="I681" s="3" t="s">
        <v>37</v>
      </c>
      <c r="J681" s="3" t="str">
        <f>VLOOKUP(A681,'TODOS OS PROCESSOS ATUALIZADOS '!A:I,7,0)</f>
        <v>Cancelada</v>
      </c>
      <c r="K681" s="3" t="s">
        <v>38</v>
      </c>
      <c r="L681" s="3" t="str">
        <f t="shared" si="2"/>
        <v>Item não atualizado</v>
      </c>
      <c r="M681" s="3"/>
      <c r="N681" s="3" t="s">
        <v>38</v>
      </c>
      <c r="O681" s="3" t="s">
        <v>39</v>
      </c>
    </row>
    <row r="682" spans="1:17" ht="22.5" customHeight="1" x14ac:dyDescent="0.2">
      <c r="A682" s="3" t="s">
        <v>1389</v>
      </c>
      <c r="B682" s="3" t="str">
        <f ca="1">IFERROR(__xludf.DUMMYFUNCTION("REGEXEXTRACT(A682, ""\.(?:GOV|EXT)\.([A-Z0-9\-]+)"")
"),"FES-PE")</f>
        <v>FES-PE</v>
      </c>
      <c r="C682" s="3" t="s">
        <v>34</v>
      </c>
      <c r="D682" s="3" t="s">
        <v>1216</v>
      </c>
      <c r="E682" s="14" t="str">
        <f ca="1">IFERROR(__xludf.DUMMYFUNCTION("REGEXEXTRACT(A682, ""-(.*)"")"),"ARP.0094.03.2024.GOV.FES-PE.PE")</f>
        <v>ARP.0094.03.2024.GOV.FES-PE.PE</v>
      </c>
      <c r="F682" s="3" t="s">
        <v>1390</v>
      </c>
      <c r="G682" s="3" t="s">
        <v>3</v>
      </c>
      <c r="H682" s="9">
        <v>45793</v>
      </c>
      <c r="I682" s="3" t="s">
        <v>37</v>
      </c>
      <c r="J682" s="3" t="str">
        <f>VLOOKUP(A682,'TODOS OS PROCESSOS ATUALIZADOS '!A:I,7,0)</f>
        <v>Cancelada</v>
      </c>
      <c r="K682" s="3" t="s">
        <v>38</v>
      </c>
      <c r="L682" s="3" t="str">
        <f t="shared" si="2"/>
        <v>Item não atualizado</v>
      </c>
      <c r="M682" s="3"/>
      <c r="N682" s="3" t="s">
        <v>38</v>
      </c>
      <c r="O682" s="3" t="s">
        <v>39</v>
      </c>
    </row>
    <row r="683" spans="1:17" ht="22.5" customHeight="1" x14ac:dyDescent="0.2">
      <c r="A683" s="3" t="s">
        <v>1391</v>
      </c>
      <c r="B683" s="3" t="str">
        <f ca="1">IFERROR(__xludf.DUMMYFUNCTION("REGEXEXTRACT(A683, ""\.(?:GOV|EXT)\.([A-Z0-9\-]+)"")
"),"FES-PE")</f>
        <v>FES-PE</v>
      </c>
      <c r="C683" s="3" t="s">
        <v>34</v>
      </c>
      <c r="D683" s="3" t="s">
        <v>1216</v>
      </c>
      <c r="E683" s="14" t="str">
        <f ca="1">IFERROR(__xludf.DUMMYFUNCTION("REGEXEXTRACT(A683, ""-(.*)"")"),"ARP.0061.02.2024.GOV.FES-PE.PE")</f>
        <v>ARP.0061.02.2024.GOV.FES-PE.PE</v>
      </c>
      <c r="F683" s="6" t="s">
        <v>1392</v>
      </c>
      <c r="G683" s="3"/>
      <c r="H683" s="9">
        <v>45793</v>
      </c>
      <c r="I683" s="3" t="s">
        <v>44</v>
      </c>
      <c r="J683" s="3" t="str">
        <f>VLOOKUP(A683,'TODOS OS PROCESSOS ATUALIZADOS '!A:I,7,0)</f>
        <v>Autorizada Sucesso</v>
      </c>
      <c r="K683" s="3" t="s">
        <v>44</v>
      </c>
      <c r="L683" s="3" t="str">
        <f t="shared" si="2"/>
        <v>Item atualizado</v>
      </c>
      <c r="M683" s="3"/>
      <c r="N683" s="3" t="s">
        <v>45</v>
      </c>
      <c r="O683" s="3"/>
    </row>
    <row r="684" spans="1:17" ht="22.5" customHeight="1" x14ac:dyDescent="0.2">
      <c r="A684" s="3" t="s">
        <v>1393</v>
      </c>
      <c r="B684" s="3" t="str">
        <f ca="1">IFERROR(__xludf.DUMMYFUNCTION("REGEXEXTRACT(A684, ""\.(?:GOV|EXT)\.([A-Z0-9\-]+)"")
"),"HOF")</f>
        <v>HOF</v>
      </c>
      <c r="C684" s="3" t="s">
        <v>34</v>
      </c>
      <c r="D684" s="3" t="s">
        <v>1216</v>
      </c>
      <c r="E684" s="14" t="str">
        <f ca="1">IFERROR(__xludf.DUMMYFUNCTION("REGEXEXTRACT(A684, ""-(.*)"")"),"ARP.0021.00.2024.GOV.HOF.PE")</f>
        <v>ARP.0021.00.2024.GOV.HOF.PE</v>
      </c>
      <c r="F684" s="3" t="s">
        <v>184</v>
      </c>
      <c r="G684" s="3" t="s">
        <v>3</v>
      </c>
      <c r="H684" s="9">
        <v>45792</v>
      </c>
      <c r="I684" s="3" t="s">
        <v>37</v>
      </c>
      <c r="J684" s="3" t="str">
        <f>VLOOKUP(A684,'TODOS OS PROCESSOS ATUALIZADOS '!A:I,7,0)</f>
        <v>Em configuração</v>
      </c>
      <c r="K684" s="3" t="s">
        <v>42</v>
      </c>
      <c r="L684" s="3" t="str">
        <f t="shared" si="2"/>
        <v>Item atualizado</v>
      </c>
      <c r="M684" s="3"/>
      <c r="N684" s="3" t="s">
        <v>42</v>
      </c>
      <c r="O684" s="3" t="s">
        <v>39</v>
      </c>
      <c r="P684" s="3"/>
      <c r="Q684" s="3"/>
    </row>
    <row r="685" spans="1:17" ht="22.5" customHeight="1" x14ac:dyDescent="0.2">
      <c r="A685" s="3" t="s">
        <v>1394</v>
      </c>
      <c r="B685" s="3" t="str">
        <f ca="1">IFERROR(__xludf.DUMMYFUNCTION("REGEXEXTRACT(A685, ""\.(?:GOV|EXT)\.([A-Z0-9\-]+)"")
"),"FES-PE")</f>
        <v>FES-PE</v>
      </c>
      <c r="C685" s="3" t="s">
        <v>34</v>
      </c>
      <c r="D685" s="3" t="s">
        <v>1216</v>
      </c>
      <c r="E685" s="14" t="str">
        <f ca="1">IFERROR(__xludf.DUMMYFUNCTION("REGEXEXTRACT(A685, ""-(.*)"")"),"ARP.0010.04.2025.GOV.FES-PE.PE")</f>
        <v>ARP.0010.04.2025.GOV.FES-PE.PE</v>
      </c>
      <c r="F685" s="6" t="s">
        <v>391</v>
      </c>
      <c r="G685" s="3" t="s">
        <v>3</v>
      </c>
      <c r="H685" s="9">
        <v>45792</v>
      </c>
      <c r="I685" s="3" t="s">
        <v>1254</v>
      </c>
      <c r="J685" s="3" t="str">
        <f>VLOOKUP(A685,'TODOS OS PROCESSOS ATUALIZADOS '!A:I,7,0)</f>
        <v>Encaminhada para o gestor de ata</v>
      </c>
      <c r="K685" s="3" t="s">
        <v>45</v>
      </c>
      <c r="L685" s="3" t="str">
        <f t="shared" si="2"/>
        <v>Item não atualizado</v>
      </c>
      <c r="M685" s="3" t="s">
        <v>9</v>
      </c>
      <c r="N685" s="3" t="s">
        <v>45</v>
      </c>
      <c r="O685" s="3" t="s">
        <v>39</v>
      </c>
    </row>
    <row r="686" spans="1:17" ht="22.5" customHeight="1" x14ac:dyDescent="0.2">
      <c r="A686" s="3" t="s">
        <v>1395</v>
      </c>
      <c r="B686" s="3" t="str">
        <f ca="1">IFERROR(__xludf.DUMMYFUNCTION("REGEXEXTRACT(A686, ""\.(?:GOV|EXT)\.([A-Z0-9\-]+)"")
"),"FES-PE")</f>
        <v>FES-PE</v>
      </c>
      <c r="C686" s="3" t="s">
        <v>34</v>
      </c>
      <c r="D686" s="3" t="s">
        <v>1216</v>
      </c>
      <c r="E686" s="14" t="str">
        <f ca="1">IFERROR(__xludf.DUMMYFUNCTION("REGEXEXTRACT(A686, ""-(.*)"")"),"ARP.0010.02.2025.GOV.FES-PE.PE")</f>
        <v>ARP.0010.02.2025.GOV.FES-PE.PE</v>
      </c>
      <c r="F686" s="6" t="s">
        <v>391</v>
      </c>
      <c r="G686" s="3" t="s">
        <v>3</v>
      </c>
      <c r="H686" s="9">
        <v>45792</v>
      </c>
      <c r="I686" s="3" t="s">
        <v>1254</v>
      </c>
      <c r="J686" s="3" t="str">
        <f>VLOOKUP(A686,'TODOS OS PROCESSOS ATUALIZADOS '!A:I,7,0)</f>
        <v>Encaminhada para o gestor de ata</v>
      </c>
      <c r="K686" s="3" t="s">
        <v>45</v>
      </c>
      <c r="L686" s="3" t="str">
        <f t="shared" si="2"/>
        <v>Item não atualizado</v>
      </c>
      <c r="M686" s="3" t="s">
        <v>9</v>
      </c>
      <c r="N686" s="3" t="s">
        <v>45</v>
      </c>
      <c r="O686" s="3" t="s">
        <v>39</v>
      </c>
    </row>
    <row r="687" spans="1:17" ht="22.5" customHeight="1" x14ac:dyDescent="0.2">
      <c r="A687" s="3" t="s">
        <v>1396</v>
      </c>
      <c r="B687" s="3" t="str">
        <f ca="1">IFERROR(__xludf.DUMMYFUNCTION("REGEXEXTRACT(A687, ""\.(?:GOV|EXT)\.([A-Z0-9\-]+)"")
"),"FES-PE")</f>
        <v>FES-PE</v>
      </c>
      <c r="C687" s="3" t="s">
        <v>34</v>
      </c>
      <c r="D687" s="3" t="s">
        <v>1216</v>
      </c>
      <c r="E687" s="14" t="str">
        <f ca="1">IFERROR(__xludf.DUMMYFUNCTION("REGEXEXTRACT(A687, ""-(.*)"")"),"ARP.0010.05.2025.GOV.FES-PE.PE")</f>
        <v>ARP.0010.05.2025.GOV.FES-PE.PE</v>
      </c>
      <c r="F687" s="3" t="s">
        <v>391</v>
      </c>
      <c r="G687" s="3" t="s">
        <v>3</v>
      </c>
      <c r="H687" s="9">
        <v>45791</v>
      </c>
      <c r="I687" s="3" t="s">
        <v>37</v>
      </c>
      <c r="J687" s="3" t="str">
        <f>VLOOKUP(A687,'TODOS OS PROCESSOS ATUALIZADOS '!A:I,7,0)</f>
        <v>Cancelada</v>
      </c>
      <c r="K687" s="3" t="s">
        <v>38</v>
      </c>
      <c r="L687" s="3" t="str">
        <f t="shared" si="2"/>
        <v>Item não atualizado</v>
      </c>
      <c r="M687" s="3"/>
      <c r="N687" s="3" t="s">
        <v>38</v>
      </c>
      <c r="O687" s="3" t="s">
        <v>39</v>
      </c>
    </row>
    <row r="688" spans="1:17" ht="22.5" customHeight="1" x14ac:dyDescent="0.2">
      <c r="A688" s="3" t="s">
        <v>1397</v>
      </c>
      <c r="B688" s="3" t="str">
        <f ca="1">IFERROR(__xludf.DUMMYFUNCTION("REGEXEXTRACT(A688, ""\.(?:GOV|EXT)\.([A-Z0-9\-]+)"")
"),"FES-PE")</f>
        <v>FES-PE</v>
      </c>
      <c r="C688" s="3" t="s">
        <v>34</v>
      </c>
      <c r="D688" s="3" t="s">
        <v>1216</v>
      </c>
      <c r="E688" s="14" t="str">
        <f ca="1">IFERROR(__xludf.DUMMYFUNCTION("REGEXEXTRACT(A688, ""-(.*)"")"),"ARP.0063.10.2024.GOV.FES-PE.PE")</f>
        <v>ARP.0063.10.2024.GOV.FES-PE.PE</v>
      </c>
      <c r="F688" s="6" t="s">
        <v>1386</v>
      </c>
      <c r="G688" s="3"/>
      <c r="H688" s="9">
        <v>45785</v>
      </c>
      <c r="I688" s="3" t="s">
        <v>44</v>
      </c>
      <c r="J688" s="3" t="str">
        <f>VLOOKUP(A688,'TODOS OS PROCESSOS ATUALIZADOS '!A:I,7,0)</f>
        <v>Autorizada Sucesso</v>
      </c>
      <c r="K688" s="3" t="s">
        <v>44</v>
      </c>
      <c r="L688" s="3" t="str">
        <f t="shared" si="2"/>
        <v>Item atualizado</v>
      </c>
      <c r="M688" s="3"/>
      <c r="N688" s="3" t="s">
        <v>45</v>
      </c>
      <c r="O688" s="3" t="s">
        <v>39</v>
      </c>
    </row>
    <row r="689" spans="1:17" ht="22.5" customHeight="1" x14ac:dyDescent="0.2">
      <c r="A689" s="3" t="s">
        <v>1398</v>
      </c>
      <c r="B689" s="3" t="str">
        <f ca="1">IFERROR(__xludf.DUMMYFUNCTION("REGEXEXTRACT(A689, ""\.(?:GOV|EXT)\.([A-Z0-9\-]+)"")
"),"FES-PE")</f>
        <v>FES-PE</v>
      </c>
      <c r="C689" s="3" t="s">
        <v>34</v>
      </c>
      <c r="D689" s="3" t="s">
        <v>1216</v>
      </c>
      <c r="E689" s="14" t="str">
        <f ca="1">IFERROR(__xludf.DUMMYFUNCTION("REGEXEXTRACT(A689, ""-(.*)"")"),"ARP.0067.03.2025.GOV.FES-PE.PE")</f>
        <v>ARP.0067.03.2025.GOV.FES-PE.PE</v>
      </c>
      <c r="F689" s="3" t="s">
        <v>1238</v>
      </c>
      <c r="G689" s="3" t="s">
        <v>3</v>
      </c>
      <c r="H689" s="9">
        <v>45784</v>
      </c>
      <c r="I689" s="3" t="s">
        <v>37</v>
      </c>
      <c r="J689" s="3" t="str">
        <f>VLOOKUP(A689,'TODOS OS PROCESSOS ATUALIZADOS '!A:I,7,0)</f>
        <v>Cancelada</v>
      </c>
      <c r="K689" s="3" t="s">
        <v>38</v>
      </c>
      <c r="L689" s="3" t="str">
        <f t="shared" si="2"/>
        <v>Item não atualizado</v>
      </c>
      <c r="M689" s="3"/>
      <c r="N689" s="3" t="s">
        <v>38</v>
      </c>
      <c r="O689" s="3" t="s">
        <v>39</v>
      </c>
    </row>
    <row r="690" spans="1:17" ht="22.5" customHeight="1" x14ac:dyDescent="0.2">
      <c r="A690" s="3" t="s">
        <v>1399</v>
      </c>
      <c r="B690" s="3" t="str">
        <f ca="1">IFERROR(__xludf.DUMMYFUNCTION("REGEXEXTRACT(A690, ""\.(?:GOV|EXT)\.([A-Z0-9\-]+)"")
"),"FES-PE")</f>
        <v>FES-PE</v>
      </c>
      <c r="C690" s="3" t="s">
        <v>34</v>
      </c>
      <c r="D690" s="3" t="s">
        <v>1216</v>
      </c>
      <c r="E690" s="14" t="str">
        <f ca="1">IFERROR(__xludf.DUMMYFUNCTION("REGEXEXTRACT(A690, ""-(.*)"")"),"ARP.0084.02.2024.GOV.FES-PE.PE")</f>
        <v>ARP.0084.02.2024.GOV.FES-PE.PE</v>
      </c>
      <c r="F690" s="3" t="s">
        <v>471</v>
      </c>
      <c r="G690" s="3" t="s">
        <v>2</v>
      </c>
      <c r="H690" s="9">
        <v>45784</v>
      </c>
      <c r="I690" s="3" t="s">
        <v>37</v>
      </c>
      <c r="J690" s="3" t="str">
        <f>VLOOKUP(A690,'TODOS OS PROCESSOS ATUALIZADOS '!A:I,7,0)</f>
        <v>Cancelada por fim vigencia ATA</v>
      </c>
      <c r="K690" s="3" t="s">
        <v>38</v>
      </c>
      <c r="L690" s="3" t="str">
        <f t="shared" si="2"/>
        <v>Item atualizado</v>
      </c>
      <c r="M690" s="3"/>
      <c r="N690" s="3" t="s">
        <v>38</v>
      </c>
      <c r="O690" s="3" t="s">
        <v>39</v>
      </c>
    </row>
    <row r="691" spans="1:17" ht="22.5" customHeight="1" x14ac:dyDescent="0.2">
      <c r="A691" s="3" t="s">
        <v>1400</v>
      </c>
      <c r="B691" s="3" t="str">
        <f ca="1">IFERROR(__xludf.DUMMYFUNCTION("REGEXEXTRACT(A691, ""\.(?:GOV|EXT)\.([A-Z0-9\-]+)"")
"),"FES-PE")</f>
        <v>FES-PE</v>
      </c>
      <c r="C691" s="3" t="s">
        <v>34</v>
      </c>
      <c r="D691" s="3" t="s">
        <v>1216</v>
      </c>
      <c r="E691" s="14" t="str">
        <f ca="1">IFERROR(__xludf.DUMMYFUNCTION("REGEXEXTRACT(A691, ""-(.*)"")"),"ARP.0067.03.2025.GOV.FES-PE.PE")</f>
        <v>ARP.0067.03.2025.GOV.FES-PE.PE</v>
      </c>
      <c r="F691" s="3" t="s">
        <v>1238</v>
      </c>
      <c r="G691" s="3" t="s">
        <v>3</v>
      </c>
      <c r="H691" s="9">
        <v>45784</v>
      </c>
      <c r="I691" s="3" t="s">
        <v>37</v>
      </c>
      <c r="J691" s="3" t="str">
        <f>VLOOKUP(A691,'TODOS OS PROCESSOS ATUALIZADOS '!A:I,7,0)</f>
        <v>Cancelada</v>
      </c>
      <c r="K691" s="3" t="s">
        <v>38</v>
      </c>
      <c r="L691" s="3" t="str">
        <f t="shared" si="2"/>
        <v>Item não atualizado</v>
      </c>
      <c r="M691" s="3"/>
      <c r="N691" s="3" t="s">
        <v>38</v>
      </c>
      <c r="O691" s="3" t="s">
        <v>39</v>
      </c>
    </row>
    <row r="692" spans="1:17" ht="22.5" customHeight="1" x14ac:dyDescent="0.2">
      <c r="A692" s="3" t="s">
        <v>1401</v>
      </c>
      <c r="B692" s="3" t="str">
        <f ca="1">IFERROR(__xludf.DUMMYFUNCTION("REGEXEXTRACT(A692, ""\.(?:GOV|EXT)\.([A-Z0-9\-]+)"")
"),"HOF")</f>
        <v>HOF</v>
      </c>
      <c r="C692" s="3" t="s">
        <v>34</v>
      </c>
      <c r="D692" s="3" t="s">
        <v>1216</v>
      </c>
      <c r="E692" s="14" t="str">
        <f ca="1">IFERROR(__xludf.DUMMYFUNCTION("REGEXEXTRACT(A692, ""-(.*)"")"),"ARP.0017.03.2024.GOV.HOF.PE")</f>
        <v>ARP.0017.03.2024.GOV.HOF.PE</v>
      </c>
      <c r="F692" s="6" t="s">
        <v>1402</v>
      </c>
      <c r="G692" s="3"/>
      <c r="H692" s="9">
        <v>45783</v>
      </c>
      <c r="I692" s="3" t="s">
        <v>44</v>
      </c>
      <c r="J692" s="3" t="str">
        <f>VLOOKUP(A692,'TODOS OS PROCESSOS ATUALIZADOS '!A:I,7,0)</f>
        <v>Autorizada Sucesso</v>
      </c>
      <c r="K692" s="3" t="s">
        <v>44</v>
      </c>
      <c r="L692" s="3" t="str">
        <f t="shared" si="2"/>
        <v>Item atualizado</v>
      </c>
      <c r="M692" s="3"/>
      <c r="N692" s="3" t="s">
        <v>45</v>
      </c>
      <c r="O692" s="3" t="s">
        <v>39</v>
      </c>
    </row>
    <row r="693" spans="1:17" ht="22.5" customHeight="1" x14ac:dyDescent="0.2">
      <c r="A693" s="3" t="s">
        <v>1403</v>
      </c>
      <c r="B693" s="3" t="str">
        <f ca="1">IFERROR(__xludf.DUMMYFUNCTION("REGEXEXTRACT(A693, ""\.(?:GOV|EXT)\.([A-Z0-9\-]+)"")
"),"FES-PE")</f>
        <v>FES-PE</v>
      </c>
      <c r="C693" s="3" t="s">
        <v>34</v>
      </c>
      <c r="D693" s="3" t="s">
        <v>1216</v>
      </c>
      <c r="E693" s="14" t="str">
        <f ca="1">IFERROR(__xludf.DUMMYFUNCTION("REGEXEXTRACT(A693, ""-(.*)"")"),"ARP.0061.00.2024.GOV.FES-PE.PE")</f>
        <v>ARP.0061.00.2024.GOV.FES-PE.PE</v>
      </c>
      <c r="F693" s="6" t="s">
        <v>1392</v>
      </c>
      <c r="G693" s="3"/>
      <c r="H693" s="9">
        <v>45783</v>
      </c>
      <c r="I693" s="3" t="s">
        <v>44</v>
      </c>
      <c r="J693" s="3" t="str">
        <f>VLOOKUP(A693,'TODOS OS PROCESSOS ATUALIZADOS '!A:I,7,0)</f>
        <v>Autorizada Sucesso</v>
      </c>
      <c r="K693" s="3" t="s">
        <v>44</v>
      </c>
      <c r="L693" s="3" t="str">
        <f t="shared" si="2"/>
        <v>Item atualizado</v>
      </c>
      <c r="M693" s="3"/>
      <c r="N693" s="3" t="s">
        <v>45</v>
      </c>
      <c r="O693" s="3" t="s">
        <v>39</v>
      </c>
    </row>
    <row r="694" spans="1:17" ht="22.5" customHeight="1" x14ac:dyDescent="0.2">
      <c r="A694" s="3" t="s">
        <v>1404</v>
      </c>
      <c r="B694" s="3" t="str">
        <f ca="1">IFERROR(__xludf.DUMMYFUNCTION("REGEXEXTRACT(A694, ""\.(?:GOV|EXT)\.([A-Z0-9\-]+)"")
"),"FES-PE")</f>
        <v>FES-PE</v>
      </c>
      <c r="C694" s="3" t="s">
        <v>34</v>
      </c>
      <c r="D694" s="3" t="s">
        <v>1216</v>
      </c>
      <c r="E694" s="14" t="str">
        <f ca="1">IFERROR(__xludf.DUMMYFUNCTION("REGEXEXTRACT(A694, ""-(.*)"")"),"ARP.0061.00.2024.GOV.FES-PE.PE")</f>
        <v>ARP.0061.00.2024.GOV.FES-PE.PE</v>
      </c>
      <c r="F694" s="3" t="s">
        <v>1392</v>
      </c>
      <c r="G694" s="3"/>
      <c r="H694" s="9">
        <v>45783</v>
      </c>
      <c r="I694" s="3" t="s">
        <v>37</v>
      </c>
      <c r="J694" s="3" t="str">
        <f>VLOOKUP(A694,'TODOS OS PROCESSOS ATUALIZADOS '!A:I,7,0)</f>
        <v>Cancelada</v>
      </c>
      <c r="K694" s="3" t="s">
        <v>38</v>
      </c>
      <c r="L694" s="3" t="str">
        <f t="shared" si="2"/>
        <v>Item não atualizado</v>
      </c>
      <c r="M694" s="3"/>
      <c r="N694" s="3" t="s">
        <v>38</v>
      </c>
      <c r="O694" s="3" t="s">
        <v>39</v>
      </c>
    </row>
    <row r="695" spans="1:17" ht="22.5" customHeight="1" x14ac:dyDescent="0.2">
      <c r="A695" s="3" t="s">
        <v>1405</v>
      </c>
      <c r="B695" s="3" t="str">
        <f ca="1">IFERROR(__xludf.DUMMYFUNCTION("REGEXEXTRACT(A695, ""\.(?:GOV|EXT)\.([A-Z0-9\-]+)"")
"),"FES-PE")</f>
        <v>FES-PE</v>
      </c>
      <c r="C695" s="3" t="s">
        <v>34</v>
      </c>
      <c r="D695" s="3" t="s">
        <v>1216</v>
      </c>
      <c r="E695" s="14" t="str">
        <f ca="1">IFERROR(__xludf.DUMMYFUNCTION("REGEXEXTRACT(A695, ""-(.*)"")"),"ARP.0047.00.2025.GOV.FES-PE.PE")</f>
        <v>ARP.0047.00.2025.GOV.FES-PE.PE</v>
      </c>
      <c r="F695" s="3" t="s">
        <v>1406</v>
      </c>
      <c r="G695" s="3"/>
      <c r="H695" s="9">
        <v>45783</v>
      </c>
      <c r="I695" s="3" t="s">
        <v>44</v>
      </c>
      <c r="J695" s="3" t="str">
        <f>VLOOKUP(A695,'TODOS OS PROCESSOS ATUALIZADOS '!A:I,7,0)</f>
        <v>Autorizada Sucesso</v>
      </c>
      <c r="K695" s="3" t="s">
        <v>44</v>
      </c>
      <c r="L695" s="3" t="str">
        <f t="shared" si="2"/>
        <v>Item atualizado</v>
      </c>
      <c r="M695" s="3"/>
      <c r="N695" s="3" t="s">
        <v>44</v>
      </c>
      <c r="O695" s="3" t="s">
        <v>52</v>
      </c>
      <c r="P695" s="3" t="s">
        <v>1407</v>
      </c>
    </row>
    <row r="696" spans="1:17" ht="22.5" customHeight="1" x14ac:dyDescent="0.2">
      <c r="A696" s="3" t="s">
        <v>1408</v>
      </c>
      <c r="B696" s="3" t="str">
        <f ca="1">IFERROR(__xludf.DUMMYFUNCTION("REGEXEXTRACT(A696, ""\.(?:GOV|EXT)\.([A-Z0-9\-]+)"")
"),"FES-PE")</f>
        <v>FES-PE</v>
      </c>
      <c r="C696" s="3" t="s">
        <v>34</v>
      </c>
      <c r="D696" s="3" t="s">
        <v>1216</v>
      </c>
      <c r="E696" s="14" t="str">
        <f ca="1">IFERROR(__xludf.DUMMYFUNCTION("REGEXEXTRACT(A696, ""-(.*)"")"),"ARP.0052.03.2024.GOV.FES-PE.PE")</f>
        <v>ARP.0052.03.2024.GOV.FES-PE.PE</v>
      </c>
      <c r="F696" s="6" t="s">
        <v>1409</v>
      </c>
      <c r="G696" s="3"/>
      <c r="H696" s="9">
        <v>45783</v>
      </c>
      <c r="I696" s="3" t="s">
        <v>44</v>
      </c>
      <c r="J696" s="3" t="str">
        <f>VLOOKUP(A696,'TODOS OS PROCESSOS ATUALIZADOS '!A:I,7,0)</f>
        <v>Autorizada Sucesso</v>
      </c>
      <c r="K696" s="3" t="s">
        <v>44</v>
      </c>
      <c r="L696" s="3" t="str">
        <f t="shared" si="2"/>
        <v>Item atualizado</v>
      </c>
      <c r="M696" s="3"/>
      <c r="N696" s="3" t="s">
        <v>45</v>
      </c>
      <c r="O696" s="3" t="s">
        <v>39</v>
      </c>
    </row>
    <row r="697" spans="1:17" ht="22.5" customHeight="1" x14ac:dyDescent="0.2">
      <c r="A697" s="3" t="s">
        <v>1410</v>
      </c>
      <c r="B697" s="3" t="str">
        <f ca="1">IFERROR(__xludf.DUMMYFUNCTION("REGEXEXTRACT(A697, ""\.(?:GOV|EXT)\.([A-Z0-9\-]+)"")
"),"HOF")</f>
        <v>HOF</v>
      </c>
      <c r="C697" s="3" t="s">
        <v>34</v>
      </c>
      <c r="D697" s="3" t="s">
        <v>1216</v>
      </c>
      <c r="E697" s="14" t="str">
        <f ca="1">IFERROR(__xludf.DUMMYFUNCTION("REGEXEXTRACT(A697, ""-(.*)"")"),"ARP.0021.01.2024.GOV.HOF.PE")</f>
        <v>ARP.0021.01.2024.GOV.HOF.PE</v>
      </c>
      <c r="F697" s="3" t="s">
        <v>184</v>
      </c>
      <c r="G697" s="3" t="s">
        <v>3</v>
      </c>
      <c r="H697" s="9">
        <v>45782</v>
      </c>
      <c r="I697" s="3" t="s">
        <v>37</v>
      </c>
      <c r="J697" s="3" t="str">
        <f>VLOOKUP(A697,'TODOS OS PROCESSOS ATUALIZADOS '!A:I,7,0)</f>
        <v>Em configuração</v>
      </c>
      <c r="K697" s="3" t="s">
        <v>42</v>
      </c>
      <c r="L697" s="3" t="str">
        <f t="shared" si="2"/>
        <v>Item atualizado</v>
      </c>
      <c r="M697" s="3"/>
      <c r="N697" s="3" t="s">
        <v>42</v>
      </c>
      <c r="O697" s="3" t="s">
        <v>39</v>
      </c>
      <c r="P697" s="3"/>
      <c r="Q697" s="3"/>
    </row>
    <row r="698" spans="1:17" ht="22.5" customHeight="1" x14ac:dyDescent="0.2">
      <c r="A698" s="3" t="s">
        <v>1411</v>
      </c>
      <c r="B698" s="3" t="str">
        <f ca="1">IFERROR(__xludf.DUMMYFUNCTION("REGEXEXTRACT(A698, ""\.(?:GOV|EXT)\.([A-Z0-9\-]+)"")
"),"FES-PE")</f>
        <v>FES-PE</v>
      </c>
      <c r="C698" s="3" t="s">
        <v>34</v>
      </c>
      <c r="D698" s="3" t="s">
        <v>1216</v>
      </c>
      <c r="E698" s="14" t="str">
        <f ca="1">IFERROR(__xludf.DUMMYFUNCTION("REGEXEXTRACT(A698, ""-(.*)"")"),"ARP.0058.00.2024.GOV.FES-PE.PE")</f>
        <v>ARP.0058.00.2024.GOV.FES-PE.PE</v>
      </c>
      <c r="F698" s="6" t="s">
        <v>1412</v>
      </c>
      <c r="G698" s="3"/>
      <c r="H698" s="9">
        <v>45782</v>
      </c>
      <c r="I698" s="3" t="s">
        <v>44</v>
      </c>
      <c r="J698" s="3" t="str">
        <f>VLOOKUP(A698,'TODOS OS PROCESSOS ATUALIZADOS '!A:I,7,0)</f>
        <v>Autorizada Sucesso</v>
      </c>
      <c r="K698" s="3" t="s">
        <v>44</v>
      </c>
      <c r="L698" s="3" t="str">
        <f t="shared" si="2"/>
        <v>Item atualizado</v>
      </c>
      <c r="M698" s="3"/>
      <c r="N698" s="3" t="s">
        <v>45</v>
      </c>
      <c r="O698" s="3" t="s">
        <v>39</v>
      </c>
    </row>
    <row r="699" spans="1:17" ht="22.5" customHeight="1" x14ac:dyDescent="0.2">
      <c r="A699" s="3" t="s">
        <v>1413</v>
      </c>
      <c r="B699" s="3" t="str">
        <f ca="1">IFERROR(__xludf.DUMMYFUNCTION("REGEXEXTRACT(A699, ""\.(?:GOV|EXT)\.([A-Z0-9\-]+)"")
"),"FES-PE")</f>
        <v>FES-PE</v>
      </c>
      <c r="C699" s="3" t="s">
        <v>34</v>
      </c>
      <c r="D699" s="3" t="s">
        <v>1216</v>
      </c>
      <c r="E699" s="14" t="str">
        <f ca="1">IFERROR(__xludf.DUMMYFUNCTION("REGEXEXTRACT(A699, ""-(.*)"")"),"ARP.0068.09.2024.GOV.FES-PE.PE")</f>
        <v>ARP.0068.09.2024.GOV.FES-PE.PE</v>
      </c>
      <c r="F699" s="3" t="s">
        <v>662</v>
      </c>
      <c r="G699" s="3"/>
      <c r="H699" s="9">
        <v>45776</v>
      </c>
      <c r="I699" s="3" t="s">
        <v>37</v>
      </c>
      <c r="J699" s="3" t="str">
        <f>VLOOKUP(A699,'TODOS OS PROCESSOS ATUALIZADOS '!A:I,7,0)</f>
        <v>Cancelada por fim vigencia ATA</v>
      </c>
      <c r="K699" s="3" t="s">
        <v>38</v>
      </c>
      <c r="L699" s="3" t="str">
        <f t="shared" si="2"/>
        <v>Item atualizado</v>
      </c>
      <c r="M699" s="3"/>
      <c r="N699" s="3" t="s">
        <v>38</v>
      </c>
      <c r="O699" s="3" t="s">
        <v>39</v>
      </c>
    </row>
    <row r="700" spans="1:17" ht="22.5" customHeight="1" x14ac:dyDescent="0.2">
      <c r="A700" s="3" t="s">
        <v>1414</v>
      </c>
      <c r="B700" s="3" t="str">
        <f ca="1">IFERROR(__xludf.DUMMYFUNCTION("REGEXEXTRACT(A700, ""\.(?:GOV|EXT)\.([A-Z0-9\-]+)"")
"),"FES-PE")</f>
        <v>FES-PE</v>
      </c>
      <c r="C700" s="3" t="s">
        <v>34</v>
      </c>
      <c r="D700" s="3" t="s">
        <v>1216</v>
      </c>
      <c r="E700" s="14" t="str">
        <f ca="1">IFERROR(__xludf.DUMMYFUNCTION("REGEXEXTRACT(A700, ""-(.*)"")"),"ARP.0097.04.2024.GOV.FES-PE.PE")</f>
        <v>ARP.0097.04.2024.GOV.FES-PE.PE</v>
      </c>
      <c r="F700" s="6" t="s">
        <v>1415</v>
      </c>
      <c r="G700" s="3"/>
      <c r="H700" s="9">
        <v>45774</v>
      </c>
      <c r="I700" s="3" t="s">
        <v>44</v>
      </c>
      <c r="J700" s="3" t="str">
        <f>VLOOKUP(A700,'TODOS OS PROCESSOS ATUALIZADOS '!A:I,7,0)</f>
        <v>Autorizada Sucesso</v>
      </c>
      <c r="K700" s="3" t="s">
        <v>44</v>
      </c>
      <c r="L700" s="3" t="str">
        <f t="shared" si="2"/>
        <v>Item atualizado</v>
      </c>
      <c r="M700" s="3"/>
      <c r="N700" s="3" t="s">
        <v>45</v>
      </c>
      <c r="O700" s="3" t="s">
        <v>39</v>
      </c>
    </row>
    <row r="701" spans="1:17" ht="22.5" customHeight="1" x14ac:dyDescent="0.2">
      <c r="A701" s="3" t="s">
        <v>1416</v>
      </c>
      <c r="B701" s="3" t="str">
        <f ca="1">IFERROR(__xludf.DUMMYFUNCTION("REGEXEXTRACT(A701, ""\.(?:GOV|EXT)\.([A-Z0-9\-]+)"")
"),"CISAM")</f>
        <v>CISAM</v>
      </c>
      <c r="C701" s="3" t="s">
        <v>34</v>
      </c>
      <c r="D701" s="3" t="s">
        <v>1216</v>
      </c>
      <c r="E701" s="14" t="str">
        <f ca="1">IFERROR(__xludf.DUMMYFUNCTION("REGEXEXTRACT(A701, ""-(.*)"")"),"ARP.0052.12.2024.GOV.CISAM.PE")</f>
        <v>ARP.0052.12.2024.GOV.CISAM.PE</v>
      </c>
      <c r="F701" s="3" t="s">
        <v>1347</v>
      </c>
      <c r="G701" s="3"/>
      <c r="H701" s="9">
        <v>45774</v>
      </c>
      <c r="I701" s="3" t="s">
        <v>44</v>
      </c>
      <c r="J701" s="3" t="str">
        <f>VLOOKUP(A701,'TODOS OS PROCESSOS ATUALIZADOS '!A:I,7,0)</f>
        <v>Autorizada Sucesso</v>
      </c>
      <c r="K701" s="3" t="s">
        <v>44</v>
      </c>
      <c r="L701" s="3" t="str">
        <f t="shared" si="2"/>
        <v>Item atualizado</v>
      </c>
      <c r="M701" s="3"/>
      <c r="N701" s="3" t="s">
        <v>44</v>
      </c>
      <c r="O701" s="3" t="s">
        <v>52</v>
      </c>
      <c r="P701" s="3" t="s">
        <v>1417</v>
      </c>
    </row>
    <row r="702" spans="1:17" ht="22.5" customHeight="1" x14ac:dyDescent="0.2">
      <c r="A702" s="3" t="s">
        <v>1418</v>
      </c>
      <c r="B702" s="3" t="str">
        <f ca="1">IFERROR(__xludf.DUMMYFUNCTION("REGEXEXTRACT(A702, ""\.(?:GOV|EXT)\.([A-Z0-9\-]+)"")
"),"FES-PE")</f>
        <v>FES-PE</v>
      </c>
      <c r="C702" s="3" t="s">
        <v>34</v>
      </c>
      <c r="D702" s="3" t="s">
        <v>1216</v>
      </c>
      <c r="E702" s="14" t="str">
        <f ca="1">IFERROR(__xludf.DUMMYFUNCTION("REGEXEXTRACT(A702, ""-(.*)"")"),"ARP.0054.04.2025.GOV.FES-PE.PE")</f>
        <v>ARP.0054.04.2025.GOV.FES-PE.PE</v>
      </c>
      <c r="F702" s="6" t="s">
        <v>1419</v>
      </c>
      <c r="G702" s="3" t="s">
        <v>2</v>
      </c>
      <c r="H702" s="9">
        <v>45774</v>
      </c>
      <c r="I702" s="3" t="s">
        <v>1254</v>
      </c>
      <c r="J702" s="3" t="str">
        <f>VLOOKUP(A702,'TODOS OS PROCESSOS ATUALIZADOS '!A:I,7,0)</f>
        <v>Encaminhada para o gestor de ata</v>
      </c>
      <c r="K702" s="3" t="s">
        <v>45</v>
      </c>
      <c r="L702" s="3" t="str">
        <f t="shared" si="2"/>
        <v>Item não atualizado</v>
      </c>
      <c r="M702" s="3" t="s">
        <v>16</v>
      </c>
      <c r="N702" s="3" t="s">
        <v>45</v>
      </c>
      <c r="O702" s="3" t="s">
        <v>39</v>
      </c>
    </row>
    <row r="703" spans="1:17" ht="22.5" customHeight="1" x14ac:dyDescent="0.2">
      <c r="A703" s="3" t="s">
        <v>1420</v>
      </c>
      <c r="B703" s="3" t="str">
        <f ca="1">IFERROR(__xludf.DUMMYFUNCTION("REGEXEXTRACT(A703, ""\.(?:GOV|EXT)\.([A-Z0-9\-]+)"")
"),"SES")</f>
        <v>SES</v>
      </c>
      <c r="C703" s="3" t="s">
        <v>34</v>
      </c>
      <c r="D703" s="3" t="s">
        <v>1216</v>
      </c>
      <c r="E703" s="14" t="str">
        <f ca="1">IFERROR(__xludf.DUMMYFUNCTION("REGEXEXTRACT(A703, ""-(.*)"")"),"ARP.0002.00.2025.GOV.SES.PE")</f>
        <v>ARP.0002.00.2025.GOV.SES.PE</v>
      </c>
      <c r="F703" s="6" t="s">
        <v>1306</v>
      </c>
      <c r="G703" s="3" t="s">
        <v>3</v>
      </c>
      <c r="H703" s="9">
        <v>45770</v>
      </c>
      <c r="I703" s="3" t="s">
        <v>1254</v>
      </c>
      <c r="J703" s="3" t="str">
        <f>VLOOKUP(A703,'TODOS OS PROCESSOS ATUALIZADOS '!A:I,7,0)</f>
        <v>Encaminhada para o gestor de ata</v>
      </c>
      <c r="K703" s="3" t="s">
        <v>45</v>
      </c>
      <c r="L703" s="3" t="str">
        <f t="shared" si="2"/>
        <v>Item não atualizado</v>
      </c>
      <c r="M703" s="3" t="s">
        <v>16</v>
      </c>
      <c r="N703" s="3" t="s">
        <v>45</v>
      </c>
      <c r="O703" s="3" t="s">
        <v>39</v>
      </c>
    </row>
    <row r="704" spans="1:17" ht="22.5" customHeight="1" x14ac:dyDescent="0.2">
      <c r="A704" s="3" t="s">
        <v>1421</v>
      </c>
      <c r="B704" s="3" t="str">
        <f ca="1">IFERROR(__xludf.DUMMYFUNCTION("REGEXEXTRACT(A704, ""\.(?:GOV|EXT)\.([A-Z0-9\-]+)"")
"),"CISAM")</f>
        <v>CISAM</v>
      </c>
      <c r="C704" s="3" t="s">
        <v>34</v>
      </c>
      <c r="D704" s="3" t="s">
        <v>1216</v>
      </c>
      <c r="E704" s="14" t="str">
        <f ca="1">IFERROR(__xludf.DUMMYFUNCTION("REGEXEXTRACT(A704, ""-(.*)"")"),"ARP.0052.11.2024.GOV.CISAM.PE")</f>
        <v>ARP.0052.11.2024.GOV.CISAM.PE</v>
      </c>
      <c r="F704" s="6" t="s">
        <v>1347</v>
      </c>
      <c r="G704" s="3"/>
      <c r="H704" s="9">
        <v>45770</v>
      </c>
      <c r="I704" s="3" t="s">
        <v>44</v>
      </c>
      <c r="J704" s="3" t="str">
        <f>VLOOKUP(A704,'TODOS OS PROCESSOS ATUALIZADOS '!A:I,7,0)</f>
        <v>Autorizada Sucesso</v>
      </c>
      <c r="K704" s="3" t="s">
        <v>44</v>
      </c>
      <c r="L704" s="3" t="str">
        <f t="shared" si="2"/>
        <v>Item atualizado</v>
      </c>
      <c r="M704" s="3"/>
      <c r="N704" s="3" t="s">
        <v>45</v>
      </c>
      <c r="O704" s="3" t="s">
        <v>39</v>
      </c>
    </row>
    <row r="705" spans="1:17" ht="22.5" customHeight="1" x14ac:dyDescent="0.2">
      <c r="A705" s="3" t="s">
        <v>1422</v>
      </c>
      <c r="B705" s="3" t="str">
        <f ca="1">IFERROR(__xludf.DUMMYFUNCTION("REGEXEXTRACT(A705, ""\.(?:GOV|EXT)\.([A-Z0-9\-]+)"")
"),"CISAM")</f>
        <v>CISAM</v>
      </c>
      <c r="C705" s="3" t="s">
        <v>34</v>
      </c>
      <c r="D705" s="3" t="s">
        <v>1216</v>
      </c>
      <c r="E705" s="14" t="str">
        <f ca="1">IFERROR(__xludf.DUMMYFUNCTION("REGEXEXTRACT(A705, ""-(.*)"")"),"ARP.0052.11.2024.GOV.CISAM.PE")</f>
        <v>ARP.0052.11.2024.GOV.CISAM.PE</v>
      </c>
      <c r="F705" s="6" t="s">
        <v>1347</v>
      </c>
      <c r="G705" s="3"/>
      <c r="H705" s="9">
        <v>45770</v>
      </c>
      <c r="I705" s="3" t="s">
        <v>44</v>
      </c>
      <c r="J705" s="3" t="str">
        <f>VLOOKUP(A705,'TODOS OS PROCESSOS ATUALIZADOS '!A:I,7,0)</f>
        <v>Autorizada Sucesso</v>
      </c>
      <c r="K705" s="3" t="s">
        <v>44</v>
      </c>
      <c r="L705" s="3" t="str">
        <f t="shared" si="2"/>
        <v>Item atualizado</v>
      </c>
      <c r="M705" s="3"/>
      <c r="N705" s="3" t="s">
        <v>45</v>
      </c>
      <c r="O705" s="3" t="s">
        <v>39</v>
      </c>
    </row>
    <row r="706" spans="1:17" ht="22.5" customHeight="1" x14ac:dyDescent="0.2">
      <c r="A706" s="3" t="s">
        <v>1423</v>
      </c>
      <c r="B706" s="3" t="str">
        <f ca="1">IFERROR(__xludf.DUMMYFUNCTION("REGEXEXTRACT(A706, ""\.(?:GOV|EXT)\.([A-Z0-9\-]+)"")
"),"FES-PE")</f>
        <v>FES-PE</v>
      </c>
      <c r="C706" s="3" t="s">
        <v>34</v>
      </c>
      <c r="D706" s="3" t="s">
        <v>1216</v>
      </c>
      <c r="E706" s="14" t="str">
        <f ca="1">IFERROR(__xludf.DUMMYFUNCTION("REGEXEXTRACT(A706, ""-(.*)"")"),"ARP.0050.00.2025.GOV.FES-PE.PE")</f>
        <v>ARP.0050.00.2025.GOV.FES-PE.PE</v>
      </c>
      <c r="F706" s="3" t="s">
        <v>1424</v>
      </c>
      <c r="G706" s="3"/>
      <c r="H706" s="9">
        <v>45770</v>
      </c>
      <c r="I706" s="3" t="s">
        <v>37</v>
      </c>
      <c r="J706" s="3" t="str">
        <f>VLOOKUP(A706,'TODOS OS PROCESSOS ATUALIZADOS '!A:I,7,0)</f>
        <v>Cancelada</v>
      </c>
      <c r="K706" s="3" t="s">
        <v>38</v>
      </c>
      <c r="L706" s="3" t="str">
        <f t="shared" si="2"/>
        <v>Item não atualizado</v>
      </c>
      <c r="M706" s="3"/>
      <c r="N706" s="3" t="s">
        <v>38</v>
      </c>
      <c r="O706" s="3" t="s">
        <v>39</v>
      </c>
    </row>
    <row r="707" spans="1:17" ht="22.5" customHeight="1" x14ac:dyDescent="0.2">
      <c r="A707" s="3" t="s">
        <v>1425</v>
      </c>
      <c r="B707" s="3" t="str">
        <f ca="1">IFERROR(__xludf.DUMMYFUNCTION("REGEXEXTRACT(A707, ""\.(?:GOV|EXT)\.([A-Z0-9\-]+)"")
"),"FES-PE")</f>
        <v>FES-PE</v>
      </c>
      <c r="C707" s="3" t="s">
        <v>34</v>
      </c>
      <c r="D707" s="3" t="s">
        <v>1216</v>
      </c>
      <c r="E707" s="14" t="str">
        <f ca="1">IFERROR(__xludf.DUMMYFUNCTION("REGEXEXTRACT(A707, ""-(.*)"")"),"ARP.0063.00.2024.GOV.FES-PE.PE")</f>
        <v>ARP.0063.00.2024.GOV.FES-PE.PE</v>
      </c>
      <c r="F707" s="3" t="s">
        <v>1386</v>
      </c>
      <c r="G707" s="3"/>
      <c r="H707" s="9">
        <v>45763</v>
      </c>
      <c r="I707" s="3" t="s">
        <v>37</v>
      </c>
      <c r="J707" s="3" t="str">
        <f>VLOOKUP(A707,'TODOS OS PROCESSOS ATUALIZADOS '!A:I,7,0)</f>
        <v>Cancelada por fim vigencia ATA</v>
      </c>
      <c r="K707" s="3" t="s">
        <v>38</v>
      </c>
      <c r="L707" s="3" t="str">
        <f t="shared" si="2"/>
        <v>Item atualizado</v>
      </c>
      <c r="M707" s="3"/>
      <c r="N707" s="3" t="s">
        <v>38</v>
      </c>
      <c r="O707" s="3" t="s">
        <v>39</v>
      </c>
    </row>
    <row r="708" spans="1:17" ht="22.5" customHeight="1" x14ac:dyDescent="0.2">
      <c r="A708" s="3" t="s">
        <v>1426</v>
      </c>
      <c r="B708" s="3" t="str">
        <f ca="1">IFERROR(__xludf.DUMMYFUNCTION("REGEXEXTRACT(A708, ""\.(?:GOV|EXT)\.([A-Z0-9\-]+)"")
"),"HOF")</f>
        <v>HOF</v>
      </c>
      <c r="C708" s="3" t="s">
        <v>34</v>
      </c>
      <c r="D708" s="3" t="s">
        <v>1216</v>
      </c>
      <c r="E708" s="14" t="str">
        <f ca="1">IFERROR(__xludf.DUMMYFUNCTION("REGEXEXTRACT(A708, ""-(.*)"")"),"ARP.0021.12.2024.GOV.HOF.PE")</f>
        <v>ARP.0021.12.2024.GOV.HOF.PE</v>
      </c>
      <c r="F708" s="3" t="s">
        <v>184</v>
      </c>
      <c r="G708" s="3"/>
      <c r="H708" s="9">
        <v>45763</v>
      </c>
      <c r="I708" s="3" t="s">
        <v>44</v>
      </c>
      <c r="J708" s="3" t="str">
        <f>VLOOKUP(A708,'TODOS OS PROCESSOS ATUALIZADOS '!A:I,7,0)</f>
        <v>Autorizada Sucesso</v>
      </c>
      <c r="K708" s="3" t="s">
        <v>44</v>
      </c>
      <c r="L708" s="3" t="str">
        <f t="shared" si="2"/>
        <v>Item atualizado</v>
      </c>
      <c r="M708" s="3"/>
      <c r="N708" s="3" t="s">
        <v>45</v>
      </c>
      <c r="O708" s="3" t="s">
        <v>46</v>
      </c>
      <c r="P708" s="3" t="s">
        <v>1427</v>
      </c>
      <c r="Q708" s="3"/>
    </row>
    <row r="709" spans="1:17" ht="22.5" customHeight="1" x14ac:dyDescent="0.2">
      <c r="A709" s="3" t="s">
        <v>1428</v>
      </c>
      <c r="B709" s="3" t="str">
        <f ca="1">IFERROR(__xludf.DUMMYFUNCTION("REGEXEXTRACT(A709, ""\.(?:GOV|EXT)\.([A-Z0-9\-]+)"")
"),"SAD")</f>
        <v>SAD</v>
      </c>
      <c r="C709" s="3" t="s">
        <v>34</v>
      </c>
      <c r="D709" s="3" t="s">
        <v>1216</v>
      </c>
      <c r="E709" s="14" t="str">
        <f ca="1">IFERROR(__xludf.DUMMYFUNCTION("REGEXEXTRACT(A709, ""-(.*)"")"),"ARPC.0006.00.2025.GOV.SAD.PE")</f>
        <v>ARPC.0006.00.2025.GOV.SAD.PE</v>
      </c>
      <c r="F709" s="3" t="s">
        <v>1429</v>
      </c>
      <c r="G709" s="3"/>
      <c r="H709" s="9">
        <v>45762</v>
      </c>
      <c r="I709" s="3" t="s">
        <v>37</v>
      </c>
      <c r="J709" s="3" t="str">
        <f>VLOOKUP(A709,'TODOS OS PROCESSOS ATUALIZADOS '!A:I,7,0)</f>
        <v>Cancelada</v>
      </c>
      <c r="K709" s="3" t="s">
        <v>38</v>
      </c>
      <c r="L709" s="3" t="str">
        <f t="shared" si="2"/>
        <v>Item não atualizado</v>
      </c>
      <c r="M709" s="3"/>
      <c r="N709" s="3" t="s">
        <v>38</v>
      </c>
      <c r="O709" s="3" t="s">
        <v>39</v>
      </c>
    </row>
    <row r="710" spans="1:17" ht="22.5" customHeight="1" x14ac:dyDescent="0.2">
      <c r="A710" s="3" t="s">
        <v>1430</v>
      </c>
      <c r="B710" s="3" t="str">
        <f ca="1">IFERROR(__xludf.DUMMYFUNCTION("REGEXEXTRACT(A710, ""\.(?:GOV|EXT)\.([A-Z0-9\-]+)"")
"),"FES-PE")</f>
        <v>FES-PE</v>
      </c>
      <c r="C710" s="3" t="s">
        <v>34</v>
      </c>
      <c r="D710" s="3" t="s">
        <v>1216</v>
      </c>
      <c r="E710" s="14" t="str">
        <f ca="1">IFERROR(__xludf.DUMMYFUNCTION("REGEXEXTRACT(A710, ""-(.*)"")"),"ARP.0053.05.2025.GOV.FES-PE.PE")</f>
        <v>ARP.0053.05.2025.GOV.FES-PE.PE</v>
      </c>
      <c r="F710" s="6" t="s">
        <v>1308</v>
      </c>
      <c r="G710" s="3" t="s">
        <v>3</v>
      </c>
      <c r="H710" s="9">
        <v>45762</v>
      </c>
      <c r="I710" s="3" t="s">
        <v>1254</v>
      </c>
      <c r="J710" s="3" t="str">
        <f>VLOOKUP(A710,'TODOS OS PROCESSOS ATUALIZADOS '!A:I,7,0)</f>
        <v>Encaminhada para o gestor de ata</v>
      </c>
      <c r="K710" s="3" t="s">
        <v>45</v>
      </c>
      <c r="L710" s="3" t="str">
        <f t="shared" si="2"/>
        <v>Item não atualizado</v>
      </c>
      <c r="M710" s="3" t="s">
        <v>9</v>
      </c>
      <c r="N710" s="3" t="s">
        <v>45</v>
      </c>
      <c r="O710" s="3" t="s">
        <v>39</v>
      </c>
    </row>
    <row r="711" spans="1:17" ht="22.5" customHeight="1" x14ac:dyDescent="0.2">
      <c r="A711" s="3" t="s">
        <v>1431</v>
      </c>
      <c r="B711" s="3" t="str">
        <f ca="1">IFERROR(__xludf.DUMMYFUNCTION("REGEXEXTRACT(A711, ""\.(?:GOV|EXT)\.([A-Z0-9\-]+)"")
"),"FES-PE")</f>
        <v>FES-PE</v>
      </c>
      <c r="C711" s="3" t="s">
        <v>34</v>
      </c>
      <c r="D711" s="3" t="s">
        <v>1216</v>
      </c>
      <c r="E711" s="14" t="str">
        <f ca="1">IFERROR(__xludf.DUMMYFUNCTION("REGEXEXTRACT(A711, ""-(.*)"")"),"ARP.0049.00.2024.GOV.FES-PE.PE")</f>
        <v>ARP.0049.00.2024.GOV.FES-PE.PE</v>
      </c>
      <c r="F711" s="3" t="s">
        <v>1432</v>
      </c>
      <c r="G711" s="3"/>
      <c r="H711" s="9">
        <v>45761</v>
      </c>
      <c r="I711" s="3" t="s">
        <v>37</v>
      </c>
      <c r="J711" s="3" t="str">
        <f>VLOOKUP(A711,'TODOS OS PROCESSOS ATUALIZADOS '!A:I,7,0)</f>
        <v>Cancelada</v>
      </c>
      <c r="K711" s="3" t="s">
        <v>38</v>
      </c>
      <c r="L711" s="3" t="str">
        <f t="shared" si="2"/>
        <v>Item não atualizado</v>
      </c>
      <c r="M711" s="3"/>
      <c r="N711" s="3" t="s">
        <v>38</v>
      </c>
      <c r="O711" s="3" t="s">
        <v>39</v>
      </c>
    </row>
    <row r="712" spans="1:17" ht="22.5" customHeight="1" x14ac:dyDescent="0.2">
      <c r="A712" s="3" t="s">
        <v>1433</v>
      </c>
      <c r="B712" s="3" t="str">
        <f ca="1">IFERROR(__xludf.DUMMYFUNCTION("REGEXEXTRACT(A712, ""\.(?:GOV|EXT)\.([A-Z0-9\-]+)"")
"),"DASIS")</f>
        <v>DASIS</v>
      </c>
      <c r="C712" s="3" t="s">
        <v>34</v>
      </c>
      <c r="D712" s="3" t="s">
        <v>1216</v>
      </c>
      <c r="E712" s="14" t="str">
        <f ca="1">IFERROR(__xludf.DUMMYFUNCTION("REGEXEXTRACT(A712, ""-(.*)"")"),"ARP.0003.00.2025.GOV.DASIS.PE")</f>
        <v>ARP.0003.00.2025.GOV.DASIS.PE</v>
      </c>
      <c r="F712" s="6" t="s">
        <v>1434</v>
      </c>
      <c r="G712" s="3"/>
      <c r="H712" s="9">
        <v>45761</v>
      </c>
      <c r="I712" s="3" t="s">
        <v>44</v>
      </c>
      <c r="J712" s="3" t="str">
        <f>VLOOKUP(A712,'TODOS OS PROCESSOS ATUALIZADOS '!A:I,7,0)</f>
        <v>Autorizada Sucesso</v>
      </c>
      <c r="K712" s="3" t="s">
        <v>44</v>
      </c>
      <c r="L712" s="3" t="str">
        <f t="shared" si="2"/>
        <v>Item atualizado</v>
      </c>
      <c r="M712" s="3"/>
      <c r="N712" s="3" t="s">
        <v>45</v>
      </c>
      <c r="O712" s="3" t="s">
        <v>39</v>
      </c>
    </row>
    <row r="713" spans="1:17" ht="22.5" customHeight="1" x14ac:dyDescent="0.2">
      <c r="A713" s="3" t="s">
        <v>1435</v>
      </c>
      <c r="B713" s="3" t="str">
        <f ca="1">IFERROR(__xludf.DUMMYFUNCTION("REGEXEXTRACT(A713, ""\.(?:GOV|EXT)\.([A-Z0-9\-]+)"")
"),"FES-PE")</f>
        <v>FES-PE</v>
      </c>
      <c r="C713" s="3" t="s">
        <v>34</v>
      </c>
      <c r="D713" s="3" t="s">
        <v>1216</v>
      </c>
      <c r="E713" s="14" t="str">
        <f ca="1">IFERROR(__xludf.DUMMYFUNCTION("REGEXEXTRACT(A713, ""-(.*)"")"),"ARP.0046.01.2024.GOV.FES-PE.PE")</f>
        <v>ARP.0046.01.2024.GOV.FES-PE.PE</v>
      </c>
      <c r="F713" s="6" t="s">
        <v>1436</v>
      </c>
      <c r="G713" s="3"/>
      <c r="H713" s="9">
        <v>45761</v>
      </c>
      <c r="I713" s="3" t="s">
        <v>44</v>
      </c>
      <c r="J713" s="3" t="str">
        <f>VLOOKUP(A713,'TODOS OS PROCESSOS ATUALIZADOS '!A:I,7,0)</f>
        <v>Autorizada Sucesso</v>
      </c>
      <c r="K713" s="3" t="s">
        <v>44</v>
      </c>
      <c r="L713" s="3" t="str">
        <f t="shared" si="2"/>
        <v>Item atualizado</v>
      </c>
      <c r="M713" s="3"/>
      <c r="N713" s="3" t="s">
        <v>45</v>
      </c>
      <c r="O713" s="3" t="s">
        <v>39</v>
      </c>
    </row>
    <row r="714" spans="1:17" ht="22.5" customHeight="1" x14ac:dyDescent="0.2">
      <c r="A714" s="3" t="s">
        <v>1437</v>
      </c>
      <c r="B714" s="3" t="str">
        <f ca="1">IFERROR(__xludf.DUMMYFUNCTION("REGEXEXTRACT(A714, ""\.(?:GOV|EXT)\.([A-Z0-9\-]+)"")
"),"FES-PE")</f>
        <v>FES-PE</v>
      </c>
      <c r="C714" s="3" t="s">
        <v>34</v>
      </c>
      <c r="D714" s="3" t="s">
        <v>1216</v>
      </c>
      <c r="E714" s="14" t="str">
        <f ca="1">IFERROR(__xludf.DUMMYFUNCTION("REGEXEXTRACT(A714, ""-(.*)"")"),"ARP.0046.02.2024.GOV.FES-PE.PE")</f>
        <v>ARP.0046.02.2024.GOV.FES-PE.PE</v>
      </c>
      <c r="F714" s="6" t="s">
        <v>1436</v>
      </c>
      <c r="G714" s="3"/>
      <c r="H714" s="9">
        <v>45761</v>
      </c>
      <c r="I714" s="3" t="s">
        <v>44</v>
      </c>
      <c r="J714" s="3" t="str">
        <f>VLOOKUP(A714,'TODOS OS PROCESSOS ATUALIZADOS '!A:I,7,0)</f>
        <v>Autorizada Sucesso</v>
      </c>
      <c r="K714" s="3" t="s">
        <v>44</v>
      </c>
      <c r="L714" s="3" t="str">
        <f t="shared" si="2"/>
        <v>Item atualizado</v>
      </c>
      <c r="M714" s="3"/>
      <c r="N714" s="3" t="s">
        <v>45</v>
      </c>
      <c r="O714" s="3" t="s">
        <v>39</v>
      </c>
    </row>
    <row r="715" spans="1:17" ht="22.5" customHeight="1" x14ac:dyDescent="0.2">
      <c r="A715" s="3" t="s">
        <v>1438</v>
      </c>
      <c r="B715" s="3" t="str">
        <f ca="1">IFERROR(__xludf.DUMMYFUNCTION("REGEXEXTRACT(A715, ""\.(?:GOV|EXT)\.([A-Z0-9\-]+)"")
"),"FES-PE")</f>
        <v>FES-PE</v>
      </c>
      <c r="C715" s="3" t="s">
        <v>34</v>
      </c>
      <c r="D715" s="3" t="s">
        <v>1216</v>
      </c>
      <c r="E715" s="14" t="str">
        <f ca="1">IFERROR(__xludf.DUMMYFUNCTION("REGEXEXTRACT(A715, ""-(.*)"")"),"ARP.0044.04.2025.GOV.FES-PE.PE")</f>
        <v>ARP.0044.04.2025.GOV.FES-PE.PE</v>
      </c>
      <c r="F715" s="6" t="s">
        <v>121</v>
      </c>
      <c r="G715" s="3"/>
      <c r="H715" s="9">
        <v>45761</v>
      </c>
      <c r="I715" s="3" t="s">
        <v>44</v>
      </c>
      <c r="J715" s="3" t="str">
        <f>VLOOKUP(A715,'TODOS OS PROCESSOS ATUALIZADOS '!A:I,7,0)</f>
        <v>Autorizada Sucesso</v>
      </c>
      <c r="K715" s="3" t="s">
        <v>44</v>
      </c>
      <c r="L715" s="3" t="str">
        <f t="shared" si="2"/>
        <v>Item atualizado</v>
      </c>
      <c r="M715" s="3"/>
      <c r="N715" s="3" t="s">
        <v>45</v>
      </c>
      <c r="O715" s="3" t="s">
        <v>39</v>
      </c>
    </row>
    <row r="716" spans="1:17" ht="22.5" customHeight="1" x14ac:dyDescent="0.2">
      <c r="A716" s="3" t="s">
        <v>1439</v>
      </c>
      <c r="B716" s="3" t="str">
        <f ca="1">IFERROR(__xludf.DUMMYFUNCTION("REGEXEXTRACT(A716, ""\.(?:GOV|EXT)\.([A-Z0-9\-]+)"")
"),"FES-PE")</f>
        <v>FES-PE</v>
      </c>
      <c r="C716" s="3" t="s">
        <v>34</v>
      </c>
      <c r="D716" s="3" t="s">
        <v>1216</v>
      </c>
      <c r="E716" s="14" t="str">
        <f ca="1">IFERROR(__xludf.DUMMYFUNCTION("REGEXEXTRACT(A716, ""-(.*)"")"),"ARP.0059.02.2025.GOV.FES-PE.PE")</f>
        <v>ARP.0059.02.2025.GOV.FES-PE.PE</v>
      </c>
      <c r="F716" s="6" t="s">
        <v>228</v>
      </c>
      <c r="G716" s="3" t="s">
        <v>1</v>
      </c>
      <c r="H716" s="9">
        <v>45757</v>
      </c>
      <c r="I716" s="3" t="s">
        <v>44</v>
      </c>
      <c r="J716" s="3" t="str">
        <f>VLOOKUP(A716,'TODOS OS PROCESSOS ATUALIZADOS '!A:I,7,0)</f>
        <v>Autorizada Sucesso</v>
      </c>
      <c r="K716" s="3" t="s">
        <v>44</v>
      </c>
      <c r="L716" s="3" t="str">
        <f t="shared" si="2"/>
        <v>Item atualizado</v>
      </c>
      <c r="M716" s="3"/>
      <c r="N716" s="3" t="s">
        <v>44</v>
      </c>
      <c r="O716" s="3" t="s">
        <v>52</v>
      </c>
      <c r="P716" s="3" t="s">
        <v>1440</v>
      </c>
    </row>
    <row r="717" spans="1:17" ht="22.5" customHeight="1" x14ac:dyDescent="0.2">
      <c r="A717" s="3" t="s">
        <v>1441</v>
      </c>
      <c r="B717" s="3" t="str">
        <f ca="1">IFERROR(__xludf.DUMMYFUNCTION("REGEXEXTRACT(A717, ""\.(?:GOV|EXT)\.([A-Z0-9\-]+)"")
"),"DASIS")</f>
        <v>DASIS</v>
      </c>
      <c r="C717" s="3" t="s">
        <v>34</v>
      </c>
      <c r="D717" s="3" t="s">
        <v>1216</v>
      </c>
      <c r="E717" s="14" t="str">
        <f ca="1">IFERROR(__xludf.DUMMYFUNCTION("REGEXEXTRACT(A717, ""-(.*)"")"),"ARP.0003.00.2025.GOV.DASIS.PE")</f>
        <v>ARP.0003.00.2025.GOV.DASIS.PE</v>
      </c>
      <c r="F717" s="3" t="s">
        <v>1434</v>
      </c>
      <c r="G717" s="3" t="s">
        <v>1</v>
      </c>
      <c r="H717" s="9">
        <v>45756</v>
      </c>
      <c r="I717" s="3" t="s">
        <v>37</v>
      </c>
      <c r="J717" s="3" t="str">
        <f>VLOOKUP(A717,'TODOS OS PROCESSOS ATUALIZADOS '!A:I,7,0)</f>
        <v>Em configuração</v>
      </c>
      <c r="K717" s="3" t="s">
        <v>42</v>
      </c>
      <c r="L717" s="3" t="str">
        <f t="shared" si="2"/>
        <v>Item atualizado</v>
      </c>
      <c r="M717" s="3"/>
      <c r="N717" s="3" t="s">
        <v>42</v>
      </c>
      <c r="O717" s="3" t="s">
        <v>39</v>
      </c>
    </row>
    <row r="718" spans="1:17" ht="22.5" customHeight="1" x14ac:dyDescent="0.2">
      <c r="A718" s="3" t="s">
        <v>1442</v>
      </c>
      <c r="B718" s="3" t="str">
        <f ca="1">IFERROR(__xludf.DUMMYFUNCTION("REGEXEXTRACT(A718, ""\.(?:GOV|EXT)\.([A-Z0-9\-]+)"")
"),"FES-PE")</f>
        <v>FES-PE</v>
      </c>
      <c r="C718" s="3" t="s">
        <v>34</v>
      </c>
      <c r="D718" s="3" t="s">
        <v>1216</v>
      </c>
      <c r="E718" s="14" t="str">
        <f ca="1">IFERROR(__xludf.DUMMYFUNCTION("REGEXEXTRACT(A718, ""-(.*)"")"),"ARP.0059.00.2025.GOV.FES-PE.PE")</f>
        <v>ARP.0059.00.2025.GOV.FES-PE.PE</v>
      </c>
      <c r="F718" s="6" t="s">
        <v>228</v>
      </c>
      <c r="G718" s="3" t="s">
        <v>1</v>
      </c>
      <c r="H718" s="9">
        <v>45756</v>
      </c>
      <c r="I718" s="3" t="s">
        <v>44</v>
      </c>
      <c r="J718" s="3" t="str">
        <f>VLOOKUP(A718,'TODOS OS PROCESSOS ATUALIZADOS '!A:I,7,0)</f>
        <v>Autorizada Sucesso</v>
      </c>
      <c r="K718" s="3" t="s">
        <v>44</v>
      </c>
      <c r="L718" s="3" t="str">
        <f t="shared" si="2"/>
        <v>Item atualizado</v>
      </c>
      <c r="M718" s="3"/>
      <c r="N718" s="3" t="s">
        <v>44</v>
      </c>
      <c r="O718" s="3" t="s">
        <v>52</v>
      </c>
      <c r="P718" s="3" t="s">
        <v>1443</v>
      </c>
    </row>
    <row r="719" spans="1:17" ht="22.5" customHeight="1" x14ac:dyDescent="0.2">
      <c r="A719" s="3" t="s">
        <v>1444</v>
      </c>
      <c r="B719" s="3" t="str">
        <f ca="1">IFERROR(__xludf.DUMMYFUNCTION("REGEXEXTRACT(A719, ""\.(?:GOV|EXT)\.([A-Z0-9\-]+)"")
"),"HOF")</f>
        <v>HOF</v>
      </c>
      <c r="C719" s="3" t="s">
        <v>34</v>
      </c>
      <c r="D719" s="3" t="s">
        <v>1216</v>
      </c>
      <c r="E719" s="14" t="str">
        <f ca="1">IFERROR(__xludf.DUMMYFUNCTION("REGEXEXTRACT(A719, ""-(.*)"")"),"ARP.0021.03.2024.GOV.HOF.PE")</f>
        <v>ARP.0021.03.2024.GOV.HOF.PE</v>
      </c>
      <c r="F719" s="6" t="s">
        <v>184</v>
      </c>
      <c r="G719" s="3"/>
      <c r="H719" s="9">
        <v>45756</v>
      </c>
      <c r="I719" s="3" t="s">
        <v>44</v>
      </c>
      <c r="J719" s="3" t="str">
        <f>VLOOKUP(A719,'TODOS OS PROCESSOS ATUALIZADOS '!A:I,7,0)</f>
        <v>Autorizada Sucesso</v>
      </c>
      <c r="K719" s="3" t="s">
        <v>44</v>
      </c>
      <c r="L719" s="3" t="str">
        <f t="shared" si="2"/>
        <v>Item atualizado</v>
      </c>
      <c r="M719" s="3"/>
      <c r="N719" s="3" t="s">
        <v>45</v>
      </c>
      <c r="O719" s="3" t="s">
        <v>39</v>
      </c>
    </row>
    <row r="720" spans="1:17" ht="22.5" customHeight="1" x14ac:dyDescent="0.2">
      <c r="A720" s="3" t="s">
        <v>1445</v>
      </c>
      <c r="B720" s="3" t="str">
        <f ca="1">IFERROR(__xludf.DUMMYFUNCTION("REGEXEXTRACT(A720, ""\.(?:GOV|EXT)\.([A-Z0-9\-]+)"")
"),"FES-PE")</f>
        <v>FES-PE</v>
      </c>
      <c r="C720" s="3" t="s">
        <v>34</v>
      </c>
      <c r="D720" s="3" t="s">
        <v>1216</v>
      </c>
      <c r="E720" s="14" t="str">
        <f ca="1">IFERROR(__xludf.DUMMYFUNCTION("REGEXEXTRACT(A720, ""-(.*)"")"),"ARP.0010.05.2025.GOV.FES-PE.PE")</f>
        <v>ARP.0010.05.2025.GOV.FES-PE.PE</v>
      </c>
      <c r="F720" s="6" t="s">
        <v>391</v>
      </c>
      <c r="G720" s="3"/>
      <c r="H720" s="9">
        <v>45756</v>
      </c>
      <c r="I720" s="3" t="s">
        <v>44</v>
      </c>
      <c r="J720" s="3" t="str">
        <f>VLOOKUP(A720,'TODOS OS PROCESSOS ATUALIZADOS '!A:I,7,0)</f>
        <v>Autorizada Sucesso</v>
      </c>
      <c r="K720" s="3" t="s">
        <v>44</v>
      </c>
      <c r="L720" s="3" t="str">
        <f t="shared" si="2"/>
        <v>Item atualizado</v>
      </c>
      <c r="M720" s="3"/>
      <c r="N720" s="3" t="s">
        <v>45</v>
      </c>
      <c r="O720" s="3" t="s">
        <v>39</v>
      </c>
    </row>
    <row r="721" spans="1:17" ht="22.5" customHeight="1" x14ac:dyDescent="0.2">
      <c r="A721" s="3" t="s">
        <v>1446</v>
      </c>
      <c r="B721" s="3" t="str">
        <f ca="1">IFERROR(__xludf.DUMMYFUNCTION("REGEXEXTRACT(A721, ""\.(?:GOV|EXT)\.([A-Z0-9\-]+)"")
"),"FES-PE")</f>
        <v>FES-PE</v>
      </c>
      <c r="C721" s="3" t="s">
        <v>34</v>
      </c>
      <c r="D721" s="3" t="s">
        <v>1216</v>
      </c>
      <c r="E721" s="14" t="str">
        <f ca="1">IFERROR(__xludf.DUMMYFUNCTION("REGEXEXTRACT(A721, ""-(.*)"")"),"ARP.0010.01.2025.GOV.FES-PE.PE")</f>
        <v>ARP.0010.01.2025.GOV.FES-PE.PE</v>
      </c>
      <c r="F721" s="3" t="s">
        <v>391</v>
      </c>
      <c r="G721" s="3"/>
      <c r="H721" s="9">
        <v>45756</v>
      </c>
      <c r="I721" s="3" t="s">
        <v>37</v>
      </c>
      <c r="J721" s="3" t="str">
        <f>VLOOKUP(A721,'TODOS OS PROCESSOS ATUALIZADOS '!A:I,7,0)</f>
        <v>Cancelada</v>
      </c>
      <c r="K721" s="3" t="s">
        <v>38</v>
      </c>
      <c r="L721" s="3" t="str">
        <f t="shared" si="2"/>
        <v>Item não atualizado</v>
      </c>
      <c r="M721" s="3"/>
      <c r="N721" s="3" t="s">
        <v>38</v>
      </c>
      <c r="O721" s="3" t="s">
        <v>39</v>
      </c>
    </row>
    <row r="722" spans="1:17" ht="22.5" customHeight="1" x14ac:dyDescent="0.2">
      <c r="A722" s="3" t="s">
        <v>1447</v>
      </c>
      <c r="B722" s="3" t="str">
        <f ca="1">IFERROR(__xludf.DUMMYFUNCTION("REGEXEXTRACT(A722, ""\.(?:GOV|EXT)\.([A-Z0-9\-]+)"")
"),"HOF")</f>
        <v>HOF</v>
      </c>
      <c r="C722" s="3" t="s">
        <v>34</v>
      </c>
      <c r="D722" s="3" t="s">
        <v>1216</v>
      </c>
      <c r="E722" s="14" t="str">
        <f ca="1">IFERROR(__xludf.DUMMYFUNCTION("REGEXEXTRACT(A722, ""-(.*)"")"),"ARP.0021.00.2024.GOV.HOF.PE")</f>
        <v>ARP.0021.00.2024.GOV.HOF.PE</v>
      </c>
      <c r="F722" s="3" t="s">
        <v>184</v>
      </c>
      <c r="G722" s="3"/>
      <c r="H722" s="9">
        <v>45756</v>
      </c>
      <c r="I722" s="3" t="s">
        <v>44</v>
      </c>
      <c r="J722" s="3" t="str">
        <f>VLOOKUP(A722,'TODOS OS PROCESSOS ATUALIZADOS '!A:I,7,0)</f>
        <v>Autorizada Sucesso</v>
      </c>
      <c r="K722" s="3" t="s">
        <v>44</v>
      </c>
      <c r="L722" s="3" t="str">
        <f t="shared" si="2"/>
        <v>Item atualizado</v>
      </c>
      <c r="M722" s="3"/>
      <c r="N722" s="3" t="s">
        <v>44</v>
      </c>
      <c r="O722" s="3" t="s">
        <v>52</v>
      </c>
      <c r="P722" s="3" t="s">
        <v>1448</v>
      </c>
    </row>
    <row r="723" spans="1:17" ht="22.5" customHeight="1" x14ac:dyDescent="0.2">
      <c r="A723" s="3" t="s">
        <v>1449</v>
      </c>
      <c r="B723" s="3" t="str">
        <f ca="1">IFERROR(__xludf.DUMMYFUNCTION("REGEXEXTRACT(A723, ""\.(?:GOV|EXT)\.([A-Z0-9\-]+)"")
"),"FES-PE")</f>
        <v>FES-PE</v>
      </c>
      <c r="C723" s="3" t="s">
        <v>34</v>
      </c>
      <c r="D723" s="3" t="s">
        <v>1216</v>
      </c>
      <c r="E723" s="14" t="str">
        <f ca="1">IFERROR(__xludf.DUMMYFUNCTION("REGEXEXTRACT(A723, ""-(.*)"")"),"ARP.0017.02.2025.GOV.FES-PE.PE")</f>
        <v>ARP.0017.02.2025.GOV.FES-PE.PE</v>
      </c>
      <c r="F723" s="3" t="s">
        <v>1450</v>
      </c>
      <c r="G723" s="3" t="s">
        <v>3</v>
      </c>
      <c r="H723" s="9">
        <v>45755</v>
      </c>
      <c r="I723" s="3" t="s">
        <v>37</v>
      </c>
      <c r="J723" s="3" t="str">
        <f>VLOOKUP(A723,'TODOS OS PROCESSOS ATUALIZADOS '!A:I,7,0)</f>
        <v>Em revisão</v>
      </c>
      <c r="K723" s="3" t="s">
        <v>42</v>
      </c>
      <c r="L723" s="3" t="str">
        <f t="shared" si="2"/>
        <v>Item atualizado</v>
      </c>
      <c r="M723" s="3"/>
      <c r="N723" s="3" t="s">
        <v>42</v>
      </c>
      <c r="O723" s="3" t="s">
        <v>39</v>
      </c>
      <c r="P723" s="3"/>
      <c r="Q723" s="3"/>
    </row>
    <row r="724" spans="1:17" ht="22.5" customHeight="1" x14ac:dyDescent="0.2">
      <c r="A724" s="3" t="s">
        <v>1451</v>
      </c>
      <c r="B724" s="3" t="str">
        <f ca="1">IFERROR(__xludf.DUMMYFUNCTION("REGEXEXTRACT(A724, ""\.(?:GOV|EXT)\.([A-Z0-9\-]+)"")
"),"FES-PE")</f>
        <v>FES-PE</v>
      </c>
      <c r="C724" s="3" t="s">
        <v>34</v>
      </c>
      <c r="D724" s="3" t="s">
        <v>1216</v>
      </c>
      <c r="E724" s="14" t="str">
        <f ca="1">IFERROR(__xludf.DUMMYFUNCTION("REGEXEXTRACT(A724, ""-(.*)"")"),"ARP.0052.07.2025.GOV.FES-PE.PE")</f>
        <v>ARP.0052.07.2025.GOV.FES-PE.PE</v>
      </c>
      <c r="F724" s="6" t="s">
        <v>1452</v>
      </c>
      <c r="G724" s="3" t="s">
        <v>3</v>
      </c>
      <c r="H724" s="9">
        <v>45751</v>
      </c>
      <c r="I724" s="3" t="s">
        <v>1254</v>
      </c>
      <c r="J724" s="3" t="str">
        <f>VLOOKUP(A724,'TODOS OS PROCESSOS ATUALIZADOS '!A:I,7,0)</f>
        <v>Encaminhada para o gestor de ata</v>
      </c>
      <c r="K724" s="3" t="s">
        <v>45</v>
      </c>
      <c r="L724" s="3" t="str">
        <f t="shared" si="2"/>
        <v>Item não atualizado</v>
      </c>
      <c r="M724" s="3" t="s">
        <v>16</v>
      </c>
      <c r="N724" s="3" t="s">
        <v>45</v>
      </c>
      <c r="O724" s="3" t="s">
        <v>39</v>
      </c>
      <c r="P724" s="3"/>
      <c r="Q724" s="3"/>
    </row>
    <row r="725" spans="1:17" ht="22.5" customHeight="1" x14ac:dyDescent="0.2">
      <c r="A725" s="3" t="s">
        <v>1453</v>
      </c>
      <c r="B725" s="3" t="str">
        <f ca="1">IFERROR(__xludf.DUMMYFUNCTION("REGEXEXTRACT(A725, ""\.(?:GOV|EXT)\.([A-Z0-9\-]+)"")
"),"FES-PE")</f>
        <v>FES-PE</v>
      </c>
      <c r="C725" s="3" t="s">
        <v>34</v>
      </c>
      <c r="D725" s="3" t="s">
        <v>1216</v>
      </c>
      <c r="E725" s="14" t="str">
        <f ca="1">IFERROR(__xludf.DUMMYFUNCTION("REGEXEXTRACT(A725, ""-(.*)"")"),"ARP.0052.06.2025.GOV.FES-PE.PE")</f>
        <v>ARP.0052.06.2025.GOV.FES-PE.PE</v>
      </c>
      <c r="F725" s="3" t="s">
        <v>1452</v>
      </c>
      <c r="G725" s="3" t="s">
        <v>3</v>
      </c>
      <c r="H725" s="9">
        <v>45751</v>
      </c>
      <c r="I725" s="3" t="s">
        <v>37</v>
      </c>
      <c r="J725" s="3" t="str">
        <f>VLOOKUP(A725,'TODOS OS PROCESSOS ATUALIZADOS '!A:I,7,0)</f>
        <v>Em revisão</v>
      </c>
      <c r="K725" s="3" t="s">
        <v>42</v>
      </c>
      <c r="L725" s="3" t="str">
        <f t="shared" si="2"/>
        <v>Item atualizado</v>
      </c>
      <c r="M725" s="3"/>
      <c r="N725" s="3" t="s">
        <v>42</v>
      </c>
      <c r="O725" s="3" t="s">
        <v>39</v>
      </c>
      <c r="P725" s="3"/>
      <c r="Q725" s="3"/>
    </row>
    <row r="726" spans="1:17" ht="22.5" customHeight="1" x14ac:dyDescent="0.2">
      <c r="A726" s="3" t="s">
        <v>1454</v>
      </c>
      <c r="B726" s="3" t="str">
        <f ca="1">IFERROR(__xludf.DUMMYFUNCTION("REGEXEXTRACT(A726, ""\.(?:GOV|EXT)\.([A-Z0-9\-]+)"")
"),"FES-PE")</f>
        <v>FES-PE</v>
      </c>
      <c r="C726" s="3" t="s">
        <v>34</v>
      </c>
      <c r="D726" s="3" t="s">
        <v>1216</v>
      </c>
      <c r="E726" s="14" t="str">
        <f ca="1">IFERROR(__xludf.DUMMYFUNCTION("REGEXEXTRACT(A726, ""-(.*)"")"),"ARP.0052.05.2025.GOV.FES-PE.PE")</f>
        <v>ARP.0052.05.2025.GOV.FES-PE.PE</v>
      </c>
      <c r="F726" s="3" t="s">
        <v>1452</v>
      </c>
      <c r="G726" s="3" t="s">
        <v>3</v>
      </c>
      <c r="H726" s="9">
        <v>45751</v>
      </c>
      <c r="I726" s="3" t="s">
        <v>37</v>
      </c>
      <c r="J726" s="3" t="str">
        <f>VLOOKUP(A726,'TODOS OS PROCESSOS ATUALIZADOS '!A:I,7,0)</f>
        <v>Cancelada</v>
      </c>
      <c r="K726" s="3" t="s">
        <v>38</v>
      </c>
      <c r="L726" s="3" t="str">
        <f t="shared" si="2"/>
        <v>Item não atualizado</v>
      </c>
      <c r="M726" s="3"/>
      <c r="N726" s="3" t="s">
        <v>38</v>
      </c>
      <c r="O726" s="3" t="s">
        <v>39</v>
      </c>
    </row>
    <row r="727" spans="1:17" ht="22.5" customHeight="1" x14ac:dyDescent="0.2">
      <c r="A727" s="3" t="s">
        <v>1455</v>
      </c>
      <c r="B727" s="3" t="str">
        <f ca="1">IFERROR(__xludf.DUMMYFUNCTION("REGEXEXTRACT(A727, ""\.(?:GOV|EXT)\.([A-Z0-9\-]+)"")
"),"FES-PE")</f>
        <v>FES-PE</v>
      </c>
      <c r="C727" s="3" t="s">
        <v>34</v>
      </c>
      <c r="D727" s="3" t="s">
        <v>1216</v>
      </c>
      <c r="E727" s="14" t="str">
        <f ca="1">IFERROR(__xludf.DUMMYFUNCTION("REGEXEXTRACT(A727, ""-(.*)"")"),"ARP.0052.04.2025.GOV.FES-PE.PE")</f>
        <v>ARP.0052.04.2025.GOV.FES-PE.PE</v>
      </c>
      <c r="F727" s="3" t="s">
        <v>1452</v>
      </c>
      <c r="G727" s="3" t="s">
        <v>3</v>
      </c>
      <c r="H727" s="9">
        <v>45751</v>
      </c>
      <c r="I727" s="3" t="s">
        <v>37</v>
      </c>
      <c r="J727" s="3" t="str">
        <f>VLOOKUP(A727,'TODOS OS PROCESSOS ATUALIZADOS '!A:I,7,0)</f>
        <v>Cancelada</v>
      </c>
      <c r="K727" s="3" t="s">
        <v>38</v>
      </c>
      <c r="L727" s="3" t="str">
        <f t="shared" si="2"/>
        <v>Item não atualizado</v>
      </c>
      <c r="M727" s="3"/>
      <c r="N727" s="3" t="s">
        <v>38</v>
      </c>
      <c r="O727" s="3" t="s">
        <v>39</v>
      </c>
    </row>
    <row r="728" spans="1:17" ht="22.5" customHeight="1" x14ac:dyDescent="0.2">
      <c r="A728" s="3" t="s">
        <v>1456</v>
      </c>
      <c r="B728" s="3" t="str">
        <f ca="1">IFERROR(__xludf.DUMMYFUNCTION("REGEXEXTRACT(A728, ""\.(?:GOV|EXT)\.([A-Z0-9\-]+)"")
"),"FES-PE")</f>
        <v>FES-PE</v>
      </c>
      <c r="C728" s="3" t="s">
        <v>34</v>
      </c>
      <c r="D728" s="3" t="s">
        <v>1216</v>
      </c>
      <c r="E728" s="14" t="str">
        <f ca="1">IFERROR(__xludf.DUMMYFUNCTION("REGEXEXTRACT(A728, ""-(.*)"")"),"ARP.0052.03.2025.GOV.FES-PE.PE")</f>
        <v>ARP.0052.03.2025.GOV.FES-PE.PE</v>
      </c>
      <c r="F728" s="3" t="s">
        <v>1452</v>
      </c>
      <c r="G728" s="3" t="s">
        <v>3</v>
      </c>
      <c r="H728" s="9">
        <v>45751</v>
      </c>
      <c r="I728" s="3" t="s">
        <v>37</v>
      </c>
      <c r="J728" s="3" t="str">
        <f>VLOOKUP(A728,'TODOS OS PROCESSOS ATUALIZADOS '!A:I,7,0)</f>
        <v>Cancelada</v>
      </c>
      <c r="K728" s="3" t="s">
        <v>38</v>
      </c>
      <c r="L728" s="3" t="str">
        <f t="shared" si="2"/>
        <v>Item não atualizado</v>
      </c>
      <c r="M728" s="3"/>
      <c r="N728" s="3" t="s">
        <v>38</v>
      </c>
      <c r="O728" s="3" t="s">
        <v>39</v>
      </c>
    </row>
    <row r="729" spans="1:17" ht="22.5" customHeight="1" x14ac:dyDescent="0.2">
      <c r="A729" s="3" t="s">
        <v>1457</v>
      </c>
      <c r="B729" s="3" t="str">
        <f ca="1">IFERROR(__xludf.DUMMYFUNCTION("REGEXEXTRACT(A729, ""\.(?:GOV|EXT)\.([A-Z0-9\-]+)"")
"),"FES-PE")</f>
        <v>FES-PE</v>
      </c>
      <c r="C729" s="3" t="s">
        <v>34</v>
      </c>
      <c r="D729" s="3" t="s">
        <v>1216</v>
      </c>
      <c r="E729" s="14" t="str">
        <f ca="1">IFERROR(__xludf.DUMMYFUNCTION("REGEXEXTRACT(A729, ""-(.*)"")"),"ARP.0052.02.2025.GOV.FES-PE.PE")</f>
        <v>ARP.0052.02.2025.GOV.FES-PE.PE</v>
      </c>
      <c r="F729" s="3" t="s">
        <v>1452</v>
      </c>
      <c r="G729" s="3" t="s">
        <v>3</v>
      </c>
      <c r="H729" s="9">
        <v>45751</v>
      </c>
      <c r="I729" s="3" t="s">
        <v>37</v>
      </c>
      <c r="J729" s="3" t="str">
        <f>VLOOKUP(A729,'TODOS OS PROCESSOS ATUALIZADOS '!A:I,7,0)</f>
        <v>Cancelada</v>
      </c>
      <c r="K729" s="3" t="s">
        <v>38</v>
      </c>
      <c r="L729" s="3" t="str">
        <f t="shared" si="2"/>
        <v>Item não atualizado</v>
      </c>
      <c r="M729" s="3"/>
      <c r="N729" s="3" t="s">
        <v>38</v>
      </c>
      <c r="O729" s="3" t="s">
        <v>39</v>
      </c>
    </row>
    <row r="730" spans="1:17" ht="22.5" customHeight="1" x14ac:dyDescent="0.2">
      <c r="A730" s="3" t="s">
        <v>1458</v>
      </c>
      <c r="B730" s="3" t="str">
        <f ca="1">IFERROR(__xludf.DUMMYFUNCTION("REGEXEXTRACT(A730, ""\.(?:GOV|EXT)\.([A-Z0-9\-]+)"")
"),"FES-PE")</f>
        <v>FES-PE</v>
      </c>
      <c r="C730" s="3" t="s">
        <v>34</v>
      </c>
      <c r="D730" s="3" t="s">
        <v>1216</v>
      </c>
      <c r="E730" s="14" t="str">
        <f ca="1">IFERROR(__xludf.DUMMYFUNCTION("REGEXEXTRACT(A730, ""-(.*)"")"),"ARP.0052.01.2025.GOV.FES-PE.PE")</f>
        <v>ARP.0052.01.2025.GOV.FES-PE.PE</v>
      </c>
      <c r="F730" s="3" t="s">
        <v>1452</v>
      </c>
      <c r="G730" s="3" t="s">
        <v>3</v>
      </c>
      <c r="H730" s="9">
        <v>45751</v>
      </c>
      <c r="I730" s="3" t="s">
        <v>37</v>
      </c>
      <c r="J730" s="3" t="str">
        <f>VLOOKUP(A730,'TODOS OS PROCESSOS ATUALIZADOS '!A:I,7,0)</f>
        <v>Em revisão</v>
      </c>
      <c r="K730" s="3" t="s">
        <v>42</v>
      </c>
      <c r="L730" s="3" t="str">
        <f t="shared" si="2"/>
        <v>Item atualizado</v>
      </c>
      <c r="M730" s="3"/>
      <c r="N730" s="3" t="s">
        <v>42</v>
      </c>
      <c r="O730" s="3" t="s">
        <v>39</v>
      </c>
      <c r="P730" s="3"/>
      <c r="Q730" s="3"/>
    </row>
    <row r="731" spans="1:17" ht="22.5" customHeight="1" x14ac:dyDescent="0.2">
      <c r="A731" s="3" t="s">
        <v>1459</v>
      </c>
      <c r="B731" s="3" t="str">
        <f ca="1">IFERROR(__xludf.DUMMYFUNCTION("REGEXEXTRACT(A731, ""\.(?:GOV|EXT)\.([A-Z0-9\-]+)"")
"),"FES-PE")</f>
        <v>FES-PE</v>
      </c>
      <c r="C731" s="3" t="s">
        <v>34</v>
      </c>
      <c r="D731" s="3" t="s">
        <v>1216</v>
      </c>
      <c r="E731" s="14" t="str">
        <f ca="1">IFERROR(__xludf.DUMMYFUNCTION("REGEXEXTRACT(A731, ""-(.*)"")"),"ARP.0052.00.2025.GOV.FES-PE.PE")</f>
        <v>ARP.0052.00.2025.GOV.FES-PE.PE</v>
      </c>
      <c r="F731" s="3" t="s">
        <v>1452</v>
      </c>
      <c r="G731" s="3" t="s">
        <v>3</v>
      </c>
      <c r="H731" s="9">
        <v>45751</v>
      </c>
      <c r="I731" s="3" t="s">
        <v>37</v>
      </c>
      <c r="J731" s="3" t="str">
        <f>VLOOKUP(A731,'TODOS OS PROCESSOS ATUALIZADOS '!A:I,7,0)</f>
        <v>Cancelada</v>
      </c>
      <c r="K731" s="3" t="s">
        <v>38</v>
      </c>
      <c r="L731" s="3" t="str">
        <f t="shared" si="2"/>
        <v>Item não atualizado</v>
      </c>
      <c r="M731" s="3"/>
      <c r="N731" s="3" t="s">
        <v>38</v>
      </c>
      <c r="O731" s="3" t="s">
        <v>39</v>
      </c>
    </row>
    <row r="732" spans="1:17" ht="22.5" customHeight="1" x14ac:dyDescent="0.2">
      <c r="A732" s="3" t="s">
        <v>1460</v>
      </c>
      <c r="B732" s="3" t="str">
        <f ca="1">IFERROR(__xludf.DUMMYFUNCTION("REGEXEXTRACT(A732, ""\.(?:GOV|EXT)\.([A-Z0-9\-]+)"")
"),"FES-PE")</f>
        <v>FES-PE</v>
      </c>
      <c r="C732" s="3" t="s">
        <v>34</v>
      </c>
      <c r="D732" s="3" t="s">
        <v>1216</v>
      </c>
      <c r="E732" s="14" t="str">
        <f ca="1">IFERROR(__xludf.DUMMYFUNCTION("REGEXEXTRACT(A732, ""-(.*)"")"),"ARP.0043.04.2025.GOV.FES-PE.PE")</f>
        <v>ARP.0043.04.2025.GOV.FES-PE.PE</v>
      </c>
      <c r="F732" s="3" t="s">
        <v>1461</v>
      </c>
      <c r="G732" s="3" t="s">
        <v>3</v>
      </c>
      <c r="H732" s="9">
        <v>45751</v>
      </c>
      <c r="I732" s="3" t="s">
        <v>37</v>
      </c>
      <c r="J732" s="3" t="str">
        <f>VLOOKUP(A732,'TODOS OS PROCESSOS ATUALIZADOS '!A:I,7,0)</f>
        <v>Em revisão</v>
      </c>
      <c r="K732" s="3" t="s">
        <v>42</v>
      </c>
      <c r="L732" s="3" t="str">
        <f t="shared" si="2"/>
        <v>Item atualizado</v>
      </c>
      <c r="M732" s="3"/>
      <c r="N732" s="3" t="s">
        <v>42</v>
      </c>
      <c r="O732" s="3" t="s">
        <v>39</v>
      </c>
      <c r="P732" s="3"/>
      <c r="Q732" s="3"/>
    </row>
    <row r="733" spans="1:17" ht="22.5" customHeight="1" x14ac:dyDescent="0.2">
      <c r="A733" s="3" t="s">
        <v>1462</v>
      </c>
      <c r="B733" s="3" t="str">
        <f ca="1">IFERROR(__xludf.DUMMYFUNCTION("REGEXEXTRACT(A733, ""\.(?:GOV|EXT)\.([A-Z0-9\-]+)"")
"),"FES-PE")</f>
        <v>FES-PE</v>
      </c>
      <c r="C733" s="3" t="s">
        <v>34</v>
      </c>
      <c r="D733" s="3" t="s">
        <v>1216</v>
      </c>
      <c r="E733" s="14" t="str">
        <f ca="1">IFERROR(__xludf.DUMMYFUNCTION("REGEXEXTRACT(A733, ""-(.*)"")"),"ARP.0043.03.2025.GOV.FES-PE.PE")</f>
        <v>ARP.0043.03.2025.GOV.FES-PE.PE</v>
      </c>
      <c r="F733" s="3" t="s">
        <v>1461</v>
      </c>
      <c r="G733" s="3" t="s">
        <v>3</v>
      </c>
      <c r="H733" s="9">
        <v>45751</v>
      </c>
      <c r="I733" s="3" t="s">
        <v>37</v>
      </c>
      <c r="J733" s="3" t="str">
        <f>VLOOKUP(A733,'TODOS OS PROCESSOS ATUALIZADOS '!A:I,7,0)</f>
        <v>Em revisão</v>
      </c>
      <c r="K733" s="3" t="s">
        <v>42</v>
      </c>
      <c r="L733" s="3" t="str">
        <f t="shared" si="2"/>
        <v>Item atualizado</v>
      </c>
      <c r="M733" s="3"/>
      <c r="N733" s="3" t="s">
        <v>42</v>
      </c>
      <c r="O733" s="3" t="s">
        <v>39</v>
      </c>
      <c r="P733" s="3"/>
      <c r="Q733" s="3"/>
    </row>
    <row r="734" spans="1:17" ht="22.5" customHeight="1" x14ac:dyDescent="0.2">
      <c r="A734" s="3" t="s">
        <v>1463</v>
      </c>
      <c r="B734" s="3" t="str">
        <f ca="1">IFERROR(__xludf.DUMMYFUNCTION("REGEXEXTRACT(A734, ""\.(?:GOV|EXT)\.([A-Z0-9\-]+)"")
"),"FES-PE")</f>
        <v>FES-PE</v>
      </c>
      <c r="C734" s="3" t="s">
        <v>34</v>
      </c>
      <c r="D734" s="3" t="s">
        <v>1216</v>
      </c>
      <c r="E734" s="14" t="str">
        <f ca="1">IFERROR(__xludf.DUMMYFUNCTION("REGEXEXTRACT(A734, ""-(.*)"")"),"ARP.0043.02.2025.GOV.FES-PE.PE")</f>
        <v>ARP.0043.02.2025.GOV.FES-PE.PE</v>
      </c>
      <c r="F734" s="3" t="s">
        <v>1461</v>
      </c>
      <c r="G734" s="3" t="s">
        <v>3</v>
      </c>
      <c r="H734" s="9">
        <v>45751</v>
      </c>
      <c r="I734" s="3" t="s">
        <v>37</v>
      </c>
      <c r="J734" s="3" t="str">
        <f>VLOOKUP(A734,'TODOS OS PROCESSOS ATUALIZADOS '!A:I,7,0)</f>
        <v>Em revisão</v>
      </c>
      <c r="K734" s="3" t="s">
        <v>42</v>
      </c>
      <c r="L734" s="3" t="str">
        <f t="shared" si="2"/>
        <v>Item atualizado</v>
      </c>
      <c r="M734" s="3"/>
      <c r="N734" s="3" t="s">
        <v>42</v>
      </c>
      <c r="O734" s="3" t="s">
        <v>39</v>
      </c>
      <c r="P734" s="3"/>
      <c r="Q734" s="3"/>
    </row>
    <row r="735" spans="1:17" ht="22.5" customHeight="1" x14ac:dyDescent="0.2">
      <c r="A735" s="3" t="s">
        <v>1464</v>
      </c>
      <c r="B735" s="3" t="str">
        <f ca="1">IFERROR(__xludf.DUMMYFUNCTION("REGEXEXTRACT(A735, ""\.(?:GOV|EXT)\.([A-Z0-9\-]+)"")
"),"FES-PE")</f>
        <v>FES-PE</v>
      </c>
      <c r="C735" s="3" t="s">
        <v>34</v>
      </c>
      <c r="D735" s="3" t="s">
        <v>1216</v>
      </c>
      <c r="E735" s="14" t="str">
        <f ca="1">IFERROR(__xludf.DUMMYFUNCTION("REGEXEXTRACT(A735, ""-(.*)"")"),"ARP.0043.01.2025.GOV.FES-PE.PE")</f>
        <v>ARP.0043.01.2025.GOV.FES-PE.PE</v>
      </c>
      <c r="F735" s="3" t="s">
        <v>1461</v>
      </c>
      <c r="G735" s="3" t="s">
        <v>3</v>
      </c>
      <c r="H735" s="9">
        <v>45751</v>
      </c>
      <c r="I735" s="3" t="s">
        <v>37</v>
      </c>
      <c r="J735" s="3" t="str">
        <f>VLOOKUP(A735,'TODOS OS PROCESSOS ATUALIZADOS '!A:I,7,0)</f>
        <v>Em revisão</v>
      </c>
      <c r="K735" s="3" t="s">
        <v>42</v>
      </c>
      <c r="L735" s="3" t="str">
        <f t="shared" si="2"/>
        <v>Item atualizado</v>
      </c>
      <c r="M735" s="3"/>
      <c r="N735" s="3" t="s">
        <v>42</v>
      </c>
      <c r="O735" s="3" t="s">
        <v>39</v>
      </c>
      <c r="P735" s="3"/>
      <c r="Q735" s="3"/>
    </row>
    <row r="736" spans="1:17" ht="22.5" customHeight="1" x14ac:dyDescent="0.2">
      <c r="A736" s="3" t="s">
        <v>1465</v>
      </c>
      <c r="B736" s="3" t="str">
        <f ca="1">IFERROR(__xludf.DUMMYFUNCTION("REGEXEXTRACT(A736, ""\.(?:GOV|EXT)\.([A-Z0-9\-]+)"")
"),"FES-PE")</f>
        <v>FES-PE</v>
      </c>
      <c r="C736" s="3" t="s">
        <v>34</v>
      </c>
      <c r="D736" s="3" t="s">
        <v>1216</v>
      </c>
      <c r="E736" s="14" t="str">
        <f ca="1">IFERROR(__xludf.DUMMYFUNCTION("REGEXEXTRACT(A736, ""-(.*)"")"),"ARP.0043.00.2025.GOV.FES-PE.PE")</f>
        <v>ARP.0043.00.2025.GOV.FES-PE.PE</v>
      </c>
      <c r="F736" s="3" t="s">
        <v>1461</v>
      </c>
      <c r="G736" s="3" t="s">
        <v>3</v>
      </c>
      <c r="H736" s="9">
        <v>45751</v>
      </c>
      <c r="I736" s="3" t="s">
        <v>37</v>
      </c>
      <c r="J736" s="3" t="str">
        <f>VLOOKUP(A736,'TODOS OS PROCESSOS ATUALIZADOS '!A:I,7,0)</f>
        <v>Cancelada</v>
      </c>
      <c r="K736" s="3" t="s">
        <v>38</v>
      </c>
      <c r="L736" s="3" t="str">
        <f t="shared" si="2"/>
        <v>Item não atualizado</v>
      </c>
      <c r="M736" s="3"/>
      <c r="N736" s="3" t="s">
        <v>38</v>
      </c>
      <c r="O736" s="3" t="s">
        <v>39</v>
      </c>
    </row>
    <row r="737" spans="1:17" ht="22.5" customHeight="1" x14ac:dyDescent="0.2">
      <c r="A737" s="3" t="s">
        <v>1466</v>
      </c>
      <c r="B737" s="3" t="str">
        <f ca="1">IFERROR(__xludf.DUMMYFUNCTION("REGEXEXTRACT(A737, ""\.(?:GOV|EXT)\.([A-Z0-9\-]+)"")
"),"SAD")</f>
        <v>SAD</v>
      </c>
      <c r="C737" s="3" t="s">
        <v>34</v>
      </c>
      <c r="D737" s="3" t="s">
        <v>1216</v>
      </c>
      <c r="E737" s="14" t="str">
        <f ca="1">IFERROR(__xludf.DUMMYFUNCTION("REGEXEXTRACT(A737, ""-(.*)"")"),"ARPC.0019.00.2024.GOV.SAD.PE")</f>
        <v>ARPC.0019.00.2024.GOV.SAD.PE</v>
      </c>
      <c r="F737" s="3" t="s">
        <v>1300</v>
      </c>
      <c r="G737" s="3"/>
      <c r="H737" s="9">
        <v>45751</v>
      </c>
      <c r="I737" s="3" t="s">
        <v>37</v>
      </c>
      <c r="J737" s="3" t="str">
        <f>VLOOKUP(A737,'TODOS OS PROCESSOS ATUALIZADOS '!A:I,7,0)</f>
        <v>Cancelada por fim vigencia ATA</v>
      </c>
      <c r="K737" s="3" t="s">
        <v>38</v>
      </c>
      <c r="L737" s="3" t="str">
        <f t="shared" si="2"/>
        <v>Item atualizado</v>
      </c>
      <c r="M737" s="3"/>
      <c r="N737" s="3" t="s">
        <v>38</v>
      </c>
      <c r="O737" s="3" t="s">
        <v>39</v>
      </c>
    </row>
    <row r="738" spans="1:17" ht="22.5" customHeight="1" x14ac:dyDescent="0.2">
      <c r="A738" s="3" t="s">
        <v>1467</v>
      </c>
      <c r="B738" s="3" t="str">
        <f ca="1">IFERROR(__xludf.DUMMYFUNCTION("REGEXEXTRACT(A738, ""\.(?:GOV|EXT)\.([A-Z0-9\-]+)"")
"),"FES-PE")</f>
        <v>FES-PE</v>
      </c>
      <c r="C738" s="3" t="s">
        <v>34</v>
      </c>
      <c r="D738" s="3" t="s">
        <v>1216</v>
      </c>
      <c r="E738" s="14" t="str">
        <f ca="1">IFERROR(__xludf.DUMMYFUNCTION("REGEXEXTRACT(A738, ""-(.*)"")"),"ARP.0036.10.2025.GOV.FES-PE.PE")</f>
        <v>ARP.0036.10.2025.GOV.FES-PE.PE</v>
      </c>
      <c r="F738" s="6" t="s">
        <v>1352</v>
      </c>
      <c r="G738" s="3"/>
      <c r="H738" s="9">
        <v>45750</v>
      </c>
      <c r="I738" s="3" t="s">
        <v>44</v>
      </c>
      <c r="J738" s="3" t="str">
        <f>VLOOKUP(A738,'TODOS OS PROCESSOS ATUALIZADOS '!A:I,7,0)</f>
        <v>Autorizada Sucesso</v>
      </c>
      <c r="K738" s="3" t="s">
        <v>44</v>
      </c>
      <c r="L738" s="3" t="str">
        <f t="shared" si="2"/>
        <v>Item atualizado</v>
      </c>
      <c r="M738" s="3"/>
      <c r="N738" s="3" t="s">
        <v>45</v>
      </c>
      <c r="O738" s="3" t="s">
        <v>39</v>
      </c>
    </row>
    <row r="739" spans="1:17" ht="22.5" customHeight="1" x14ac:dyDescent="0.2">
      <c r="A739" s="3" t="s">
        <v>1468</v>
      </c>
      <c r="B739" s="3" t="str">
        <f ca="1">IFERROR(__xludf.DUMMYFUNCTION("REGEXEXTRACT(A739, ""\.(?:GOV|EXT)\.([A-Z0-9\-]+)"")
"),"FES-PE")</f>
        <v>FES-PE</v>
      </c>
      <c r="C739" s="3" t="s">
        <v>34</v>
      </c>
      <c r="D739" s="3" t="s">
        <v>1216</v>
      </c>
      <c r="E739" s="14" t="str">
        <f ca="1">IFERROR(__xludf.DUMMYFUNCTION("REGEXEXTRACT(A739, ""-(.*)"")"),"ARP.0036.09.2025.GOV.FES-PE.PE")</f>
        <v>ARP.0036.09.2025.GOV.FES-PE.PE</v>
      </c>
      <c r="F739" s="3" t="s">
        <v>1352</v>
      </c>
      <c r="G739" s="3" t="s">
        <v>3</v>
      </c>
      <c r="H739" s="9">
        <v>45750</v>
      </c>
      <c r="I739" s="3" t="s">
        <v>37</v>
      </c>
      <c r="J739" s="3" t="str">
        <f>VLOOKUP(A739,'TODOS OS PROCESSOS ATUALIZADOS '!A:I,7,0)</f>
        <v>Cancelada</v>
      </c>
      <c r="K739" s="3" t="s">
        <v>38</v>
      </c>
      <c r="L739" s="3" t="str">
        <f t="shared" si="2"/>
        <v>Item não atualizado</v>
      </c>
      <c r="M739" s="3"/>
      <c r="N739" s="3" t="s">
        <v>38</v>
      </c>
      <c r="O739" s="3" t="s">
        <v>39</v>
      </c>
    </row>
    <row r="740" spans="1:17" ht="22.5" customHeight="1" x14ac:dyDescent="0.2">
      <c r="A740" s="3" t="s">
        <v>1469</v>
      </c>
      <c r="B740" s="3" t="str">
        <f ca="1">IFERROR(__xludf.DUMMYFUNCTION("REGEXEXTRACT(A740, ""\.(?:GOV|EXT)\.([A-Z0-9\-]+)"")
"),"FES-PE")</f>
        <v>FES-PE</v>
      </c>
      <c r="C740" s="3" t="s">
        <v>34</v>
      </c>
      <c r="D740" s="3" t="s">
        <v>1216</v>
      </c>
      <c r="E740" s="14" t="str">
        <f ca="1">IFERROR(__xludf.DUMMYFUNCTION("REGEXEXTRACT(A740, ""-(.*)"")"),"ARP.0036.08.2025.GOV.FES-PE.PE")</f>
        <v>ARP.0036.08.2025.GOV.FES-PE.PE</v>
      </c>
      <c r="F740" s="3" t="s">
        <v>1352</v>
      </c>
      <c r="G740" s="3" t="s">
        <v>3</v>
      </c>
      <c r="H740" s="9">
        <v>45750</v>
      </c>
      <c r="I740" s="3" t="s">
        <v>37</v>
      </c>
      <c r="J740" s="3" t="str">
        <f>VLOOKUP(A740,'TODOS OS PROCESSOS ATUALIZADOS '!A:I,7,0)</f>
        <v>Cancelada</v>
      </c>
      <c r="K740" s="3" t="s">
        <v>38</v>
      </c>
      <c r="L740" s="3" t="str">
        <f t="shared" si="2"/>
        <v>Item não atualizado</v>
      </c>
      <c r="M740" s="3"/>
      <c r="N740" s="3" t="s">
        <v>38</v>
      </c>
      <c r="O740" s="3" t="s">
        <v>39</v>
      </c>
    </row>
    <row r="741" spans="1:17" ht="22.5" customHeight="1" x14ac:dyDescent="0.2">
      <c r="A741" s="3" t="s">
        <v>1470</v>
      </c>
      <c r="B741" s="3" t="str">
        <f ca="1">IFERROR(__xludf.DUMMYFUNCTION("REGEXEXTRACT(A741, ""\.(?:GOV|EXT)\.([A-Z0-9\-]+)"")
"),"FES-PE")</f>
        <v>FES-PE</v>
      </c>
      <c r="C741" s="3" t="s">
        <v>34</v>
      </c>
      <c r="D741" s="3" t="s">
        <v>1216</v>
      </c>
      <c r="E741" s="14" t="str">
        <f ca="1">IFERROR(__xludf.DUMMYFUNCTION("REGEXEXTRACT(A741, ""-(.*)"")"),"ARP.0036.07.2025.GOV.FES-PE.PE")</f>
        <v>ARP.0036.07.2025.GOV.FES-PE.PE</v>
      </c>
      <c r="F741" s="3" t="s">
        <v>1352</v>
      </c>
      <c r="G741" s="3" t="s">
        <v>3</v>
      </c>
      <c r="H741" s="9">
        <v>45750</v>
      </c>
      <c r="I741" s="3" t="s">
        <v>37</v>
      </c>
      <c r="J741" s="3" t="str">
        <f>VLOOKUP(A741,'TODOS OS PROCESSOS ATUALIZADOS '!A:I,7,0)</f>
        <v>Em revisão</v>
      </c>
      <c r="K741" s="3" t="s">
        <v>42</v>
      </c>
      <c r="L741" s="3" t="str">
        <f t="shared" si="2"/>
        <v>Item atualizado</v>
      </c>
      <c r="M741" s="3"/>
      <c r="N741" s="3" t="s">
        <v>42</v>
      </c>
      <c r="O741" s="3" t="s">
        <v>39</v>
      </c>
      <c r="P741" s="3"/>
      <c r="Q741" s="3"/>
    </row>
    <row r="742" spans="1:17" ht="22.5" customHeight="1" x14ac:dyDescent="0.2">
      <c r="A742" s="3" t="s">
        <v>1471</v>
      </c>
      <c r="B742" s="3" t="str">
        <f ca="1">IFERROR(__xludf.DUMMYFUNCTION("REGEXEXTRACT(A742, ""\.(?:GOV|EXT)\.([A-Z0-9\-]+)"")
"),"FES-PE")</f>
        <v>FES-PE</v>
      </c>
      <c r="C742" s="3" t="s">
        <v>34</v>
      </c>
      <c r="D742" s="3" t="s">
        <v>1216</v>
      </c>
      <c r="E742" s="14" t="str">
        <f ca="1">IFERROR(__xludf.DUMMYFUNCTION("REGEXEXTRACT(A742, ""-(.*)"")"),"ARP.0036.06.2025.GOV.FES-PE.PE")</f>
        <v>ARP.0036.06.2025.GOV.FES-PE.PE</v>
      </c>
      <c r="F742" s="3" t="s">
        <v>1352</v>
      </c>
      <c r="G742" s="3" t="s">
        <v>3</v>
      </c>
      <c r="H742" s="9">
        <v>45750</v>
      </c>
      <c r="I742" s="3" t="s">
        <v>37</v>
      </c>
      <c r="J742" s="3" t="str">
        <f>VLOOKUP(A742,'TODOS OS PROCESSOS ATUALIZADOS '!A:I,7,0)</f>
        <v>Em revisão</v>
      </c>
      <c r="K742" s="3" t="s">
        <v>42</v>
      </c>
      <c r="L742" s="3" t="str">
        <f t="shared" si="2"/>
        <v>Item atualizado</v>
      </c>
      <c r="M742" s="3"/>
      <c r="N742" s="3" t="s">
        <v>42</v>
      </c>
      <c r="O742" s="3" t="s">
        <v>39</v>
      </c>
      <c r="P742" s="3"/>
      <c r="Q742" s="3"/>
    </row>
    <row r="743" spans="1:17" ht="22.5" customHeight="1" x14ac:dyDescent="0.2">
      <c r="A743" s="3" t="s">
        <v>1472</v>
      </c>
      <c r="B743" s="3" t="str">
        <f ca="1">IFERROR(__xludf.DUMMYFUNCTION("REGEXEXTRACT(A743, ""\.(?:GOV|EXT)\.([A-Z0-9\-]+)"")
"),"FES-PE")</f>
        <v>FES-PE</v>
      </c>
      <c r="C743" s="3" t="s">
        <v>34</v>
      </c>
      <c r="D743" s="3" t="s">
        <v>1216</v>
      </c>
      <c r="E743" s="14" t="str">
        <f ca="1">IFERROR(__xludf.DUMMYFUNCTION("REGEXEXTRACT(A743, ""-(.*)"")"),"ARP.0036.05.2025.GOV.FES-PE.PE")</f>
        <v>ARP.0036.05.2025.GOV.FES-PE.PE</v>
      </c>
      <c r="F743" s="3" t="s">
        <v>1352</v>
      </c>
      <c r="G743" s="3" t="s">
        <v>3</v>
      </c>
      <c r="H743" s="9">
        <v>45750</v>
      </c>
      <c r="I743" s="3" t="s">
        <v>37</v>
      </c>
      <c r="J743" s="3" t="str">
        <f>VLOOKUP(A743,'TODOS OS PROCESSOS ATUALIZADOS '!A:I,7,0)</f>
        <v>Em revisão</v>
      </c>
      <c r="K743" s="3" t="s">
        <v>42</v>
      </c>
      <c r="L743" s="3" t="str">
        <f t="shared" si="2"/>
        <v>Item atualizado</v>
      </c>
      <c r="M743" s="3"/>
      <c r="N743" s="3" t="s">
        <v>42</v>
      </c>
      <c r="O743" s="3" t="s">
        <v>39</v>
      </c>
      <c r="P743" s="3"/>
      <c r="Q743" s="3"/>
    </row>
    <row r="744" spans="1:17" ht="22.5" customHeight="1" x14ac:dyDescent="0.2">
      <c r="A744" s="3" t="s">
        <v>1473</v>
      </c>
      <c r="B744" s="3" t="str">
        <f ca="1">IFERROR(__xludf.DUMMYFUNCTION("REGEXEXTRACT(A744, ""\.(?:GOV|EXT)\.([A-Z0-9\-]+)"")
"),"FES-PE")</f>
        <v>FES-PE</v>
      </c>
      <c r="C744" s="3" t="s">
        <v>34</v>
      </c>
      <c r="D744" s="3" t="s">
        <v>1216</v>
      </c>
      <c r="E744" s="14" t="str">
        <f ca="1">IFERROR(__xludf.DUMMYFUNCTION("REGEXEXTRACT(A744, ""-(.*)"")"),"ARP.0036.03.2025.GOV.FES-PE.PE")</f>
        <v>ARP.0036.03.2025.GOV.FES-PE.PE</v>
      </c>
      <c r="F744" s="3" t="s">
        <v>1352</v>
      </c>
      <c r="G744" s="3" t="s">
        <v>3</v>
      </c>
      <c r="H744" s="9">
        <v>45750</v>
      </c>
      <c r="I744" s="3" t="s">
        <v>37</v>
      </c>
      <c r="J744" s="3" t="str">
        <f>VLOOKUP(A744,'TODOS OS PROCESSOS ATUALIZADOS '!A:I,7,0)</f>
        <v>Em revisão</v>
      </c>
      <c r="K744" s="3" t="s">
        <v>42</v>
      </c>
      <c r="L744" s="3" t="str">
        <f t="shared" si="2"/>
        <v>Item atualizado</v>
      </c>
      <c r="M744" s="3"/>
      <c r="N744" s="3" t="s">
        <v>42</v>
      </c>
      <c r="O744" s="3" t="s">
        <v>39</v>
      </c>
      <c r="P744" s="3"/>
      <c r="Q744" s="3"/>
    </row>
    <row r="745" spans="1:17" ht="22.5" customHeight="1" x14ac:dyDescent="0.2">
      <c r="A745" s="3" t="s">
        <v>1474</v>
      </c>
      <c r="B745" s="3" t="str">
        <f ca="1">IFERROR(__xludf.DUMMYFUNCTION("REGEXEXTRACT(A745, ""\.(?:GOV|EXT)\.([A-Z0-9\-]+)"")
"),"FES-PE")</f>
        <v>FES-PE</v>
      </c>
      <c r="C745" s="3" t="s">
        <v>34</v>
      </c>
      <c r="D745" s="3" t="s">
        <v>1216</v>
      </c>
      <c r="E745" s="14" t="str">
        <f ca="1">IFERROR(__xludf.DUMMYFUNCTION("REGEXEXTRACT(A745, ""-(.*)"")"),"ARP.0036.01.2025.GOV.FES-PE.PE")</f>
        <v>ARP.0036.01.2025.GOV.FES-PE.PE</v>
      </c>
      <c r="F745" s="3" t="s">
        <v>1352</v>
      </c>
      <c r="G745" s="3" t="s">
        <v>3</v>
      </c>
      <c r="H745" s="9">
        <v>45750</v>
      </c>
      <c r="I745" s="3" t="s">
        <v>37</v>
      </c>
      <c r="J745" s="3" t="str">
        <f>VLOOKUP(A745,'TODOS OS PROCESSOS ATUALIZADOS '!A:I,7,0)</f>
        <v>Em revisão</v>
      </c>
      <c r="K745" s="3" t="s">
        <v>42</v>
      </c>
      <c r="L745" s="3" t="str">
        <f t="shared" si="2"/>
        <v>Item atualizado</v>
      </c>
      <c r="M745" s="3"/>
      <c r="N745" s="3" t="s">
        <v>42</v>
      </c>
      <c r="O745" s="3" t="s">
        <v>39</v>
      </c>
      <c r="P745" s="3"/>
      <c r="Q745" s="3"/>
    </row>
    <row r="746" spans="1:17" ht="22.5" customHeight="1" x14ac:dyDescent="0.2">
      <c r="A746" s="3" t="s">
        <v>1475</v>
      </c>
      <c r="B746" s="3" t="str">
        <f ca="1">IFERROR(__xludf.DUMMYFUNCTION("REGEXEXTRACT(A746, ""\.(?:GOV|EXT)\.([A-Z0-9\-]+)"")
"),"FES-PE")</f>
        <v>FES-PE</v>
      </c>
      <c r="C746" s="3" t="s">
        <v>34</v>
      </c>
      <c r="D746" s="3" t="s">
        <v>1216</v>
      </c>
      <c r="E746" s="14" t="str">
        <f ca="1">IFERROR(__xludf.DUMMYFUNCTION("REGEXEXTRACT(A746, ""-(.*)"")"),"ARP.0035.05.2025.GOV.FES-PE.PE")</f>
        <v>ARP.0035.05.2025.GOV.FES-PE.PE</v>
      </c>
      <c r="F746" s="3" t="s">
        <v>1476</v>
      </c>
      <c r="G746" s="3" t="s">
        <v>3</v>
      </c>
      <c r="H746" s="9">
        <v>45750</v>
      </c>
      <c r="I746" s="3" t="s">
        <v>37</v>
      </c>
      <c r="J746" s="3" t="str">
        <f>VLOOKUP(A746,'TODOS OS PROCESSOS ATUALIZADOS '!A:I,7,0)</f>
        <v>Em revisão</v>
      </c>
      <c r="K746" s="3" t="s">
        <v>42</v>
      </c>
      <c r="L746" s="3" t="str">
        <f t="shared" si="2"/>
        <v>Item atualizado</v>
      </c>
      <c r="M746" s="3"/>
      <c r="N746" s="3" t="s">
        <v>42</v>
      </c>
      <c r="O746" s="3" t="s">
        <v>39</v>
      </c>
      <c r="P746" s="3"/>
      <c r="Q746" s="3"/>
    </row>
    <row r="747" spans="1:17" ht="22.5" customHeight="1" x14ac:dyDescent="0.2">
      <c r="A747" s="3" t="s">
        <v>1477</v>
      </c>
      <c r="B747" s="3" t="str">
        <f ca="1">IFERROR(__xludf.DUMMYFUNCTION("REGEXEXTRACT(A747, ""\.(?:GOV|EXT)\.([A-Z0-9\-]+)"")
"),"FES-PE")</f>
        <v>FES-PE</v>
      </c>
      <c r="C747" s="3" t="s">
        <v>34</v>
      </c>
      <c r="D747" s="3" t="s">
        <v>1216</v>
      </c>
      <c r="E747" s="14" t="str">
        <f ca="1">IFERROR(__xludf.DUMMYFUNCTION("REGEXEXTRACT(A747, ""-(.*)"")"),"ARP.0035.04.2025.GOV.FES-PE.PE")</f>
        <v>ARP.0035.04.2025.GOV.FES-PE.PE</v>
      </c>
      <c r="F747" s="3" t="s">
        <v>1476</v>
      </c>
      <c r="G747" s="3" t="s">
        <v>3</v>
      </c>
      <c r="H747" s="9">
        <v>45750</v>
      </c>
      <c r="I747" s="3" t="s">
        <v>37</v>
      </c>
      <c r="J747" s="3" t="str">
        <f>VLOOKUP(A747,'TODOS OS PROCESSOS ATUALIZADOS '!A:I,7,0)</f>
        <v>Em revisão</v>
      </c>
      <c r="K747" s="3" t="s">
        <v>42</v>
      </c>
      <c r="L747" s="3" t="str">
        <f t="shared" si="2"/>
        <v>Item atualizado</v>
      </c>
      <c r="M747" s="3"/>
      <c r="N747" s="3" t="s">
        <v>42</v>
      </c>
      <c r="O747" s="3" t="s">
        <v>39</v>
      </c>
      <c r="P747" s="3"/>
      <c r="Q747" s="3"/>
    </row>
    <row r="748" spans="1:17" ht="22.5" customHeight="1" x14ac:dyDescent="0.2">
      <c r="A748" s="3" t="s">
        <v>1478</v>
      </c>
      <c r="B748" s="3" t="str">
        <f ca="1">IFERROR(__xludf.DUMMYFUNCTION("REGEXEXTRACT(A748, ""\.(?:GOV|EXT)\.([A-Z0-9\-]+)"")
"),"FES-PE")</f>
        <v>FES-PE</v>
      </c>
      <c r="C748" s="3" t="s">
        <v>34</v>
      </c>
      <c r="D748" s="3" t="s">
        <v>1216</v>
      </c>
      <c r="E748" s="14" t="str">
        <f ca="1">IFERROR(__xludf.DUMMYFUNCTION("REGEXEXTRACT(A748, ""-(.*)"")"),"ARP.0035.03.2025.GOV.FES-PE.PE")</f>
        <v>ARP.0035.03.2025.GOV.FES-PE.PE</v>
      </c>
      <c r="F748" s="3" t="s">
        <v>1476</v>
      </c>
      <c r="G748" s="3" t="s">
        <v>3</v>
      </c>
      <c r="H748" s="9">
        <v>45750</v>
      </c>
      <c r="I748" s="3" t="s">
        <v>37</v>
      </c>
      <c r="J748" s="3" t="str">
        <f>VLOOKUP(A748,'TODOS OS PROCESSOS ATUALIZADOS '!A:I,7,0)</f>
        <v>Em revisão</v>
      </c>
      <c r="K748" s="3" t="s">
        <v>42</v>
      </c>
      <c r="L748" s="3" t="str">
        <f t="shared" si="2"/>
        <v>Item atualizado</v>
      </c>
      <c r="M748" s="3"/>
      <c r="N748" s="3" t="s">
        <v>42</v>
      </c>
      <c r="O748" s="3" t="s">
        <v>39</v>
      </c>
      <c r="P748" s="3"/>
      <c r="Q748" s="3"/>
    </row>
    <row r="749" spans="1:17" ht="22.5" customHeight="1" x14ac:dyDescent="0.2">
      <c r="A749" s="3" t="s">
        <v>1479</v>
      </c>
      <c r="B749" s="3" t="str">
        <f ca="1">IFERROR(__xludf.DUMMYFUNCTION("REGEXEXTRACT(A749, ""\.(?:GOV|EXT)\.([A-Z0-9\-]+)"")
"),"FES-PE")</f>
        <v>FES-PE</v>
      </c>
      <c r="C749" s="3" t="s">
        <v>34</v>
      </c>
      <c r="D749" s="3" t="s">
        <v>1216</v>
      </c>
      <c r="E749" s="14" t="str">
        <f ca="1">IFERROR(__xludf.DUMMYFUNCTION("REGEXEXTRACT(A749, ""-(.*)"")"),"ARP.0035.02.2025.GOV.FES-PE.PE")</f>
        <v>ARP.0035.02.2025.GOV.FES-PE.PE</v>
      </c>
      <c r="F749" s="3" t="s">
        <v>1476</v>
      </c>
      <c r="G749" s="3" t="s">
        <v>3</v>
      </c>
      <c r="H749" s="9">
        <v>45750</v>
      </c>
      <c r="I749" s="3" t="s">
        <v>37</v>
      </c>
      <c r="J749" s="3" t="str">
        <f>VLOOKUP(A749,'TODOS OS PROCESSOS ATUALIZADOS '!A:I,7,0)</f>
        <v>Em revisão</v>
      </c>
      <c r="K749" s="3" t="s">
        <v>42</v>
      </c>
      <c r="L749" s="3" t="str">
        <f t="shared" si="2"/>
        <v>Item atualizado</v>
      </c>
      <c r="M749" s="3"/>
      <c r="N749" s="3" t="s">
        <v>42</v>
      </c>
      <c r="O749" s="3" t="s">
        <v>39</v>
      </c>
      <c r="P749" s="3"/>
      <c r="Q749" s="3"/>
    </row>
    <row r="750" spans="1:17" ht="22.5" customHeight="1" x14ac:dyDescent="0.2">
      <c r="A750" s="3" t="s">
        <v>1480</v>
      </c>
      <c r="B750" s="3" t="str">
        <f ca="1">IFERROR(__xludf.DUMMYFUNCTION("REGEXEXTRACT(A750, ""\.(?:GOV|EXT)\.([A-Z0-9\-]+)"")
"),"FES-PE")</f>
        <v>FES-PE</v>
      </c>
      <c r="C750" s="3" t="s">
        <v>34</v>
      </c>
      <c r="D750" s="3" t="s">
        <v>1216</v>
      </c>
      <c r="E750" s="14" t="str">
        <f ca="1">IFERROR(__xludf.DUMMYFUNCTION("REGEXEXTRACT(A750, ""-(.*)"")"),"ARP.0035.01.2025.GOV.FES-PE.PE")</f>
        <v>ARP.0035.01.2025.GOV.FES-PE.PE</v>
      </c>
      <c r="F750" s="3" t="s">
        <v>1476</v>
      </c>
      <c r="G750" s="3" t="s">
        <v>3</v>
      </c>
      <c r="H750" s="9">
        <v>45750</v>
      </c>
      <c r="I750" s="3" t="s">
        <v>37</v>
      </c>
      <c r="J750" s="3" t="str">
        <f>VLOOKUP(A750,'TODOS OS PROCESSOS ATUALIZADOS '!A:I,7,0)</f>
        <v>Em revisão</v>
      </c>
      <c r="K750" s="3" t="s">
        <v>42</v>
      </c>
      <c r="L750" s="3" t="str">
        <f t="shared" si="2"/>
        <v>Item atualizado</v>
      </c>
      <c r="M750" s="3"/>
      <c r="N750" s="3" t="s">
        <v>42</v>
      </c>
      <c r="O750" s="3" t="s">
        <v>39</v>
      </c>
      <c r="P750" s="3"/>
      <c r="Q750" s="3"/>
    </row>
    <row r="751" spans="1:17" ht="22.5" customHeight="1" x14ac:dyDescent="0.2">
      <c r="A751" s="3" t="s">
        <v>1481</v>
      </c>
      <c r="B751" s="3" t="str">
        <f ca="1">IFERROR(__xludf.DUMMYFUNCTION("REGEXEXTRACT(A751, ""\.(?:GOV|EXT)\.([A-Z0-9\-]+)"")
"),"FES-PE")</f>
        <v>FES-PE</v>
      </c>
      <c r="C751" s="3" t="s">
        <v>34</v>
      </c>
      <c r="D751" s="3" t="s">
        <v>1216</v>
      </c>
      <c r="E751" s="14" t="str">
        <f ca="1">IFERROR(__xludf.DUMMYFUNCTION("REGEXEXTRACT(A751, ""-(.*)"")"),"ARP.0035.00.2025.GOV.FES-PE.PE")</f>
        <v>ARP.0035.00.2025.GOV.FES-PE.PE</v>
      </c>
      <c r="F751" s="3" t="s">
        <v>1476</v>
      </c>
      <c r="G751" s="3" t="s">
        <v>3</v>
      </c>
      <c r="H751" s="9">
        <v>45750</v>
      </c>
      <c r="I751" s="3" t="s">
        <v>37</v>
      </c>
      <c r="J751" s="3" t="str">
        <f>VLOOKUP(A751,'TODOS OS PROCESSOS ATUALIZADOS '!A:I,7,0)</f>
        <v>Em revisão</v>
      </c>
      <c r="K751" s="3" t="s">
        <v>42</v>
      </c>
      <c r="L751" s="3" t="str">
        <f t="shared" si="2"/>
        <v>Item atualizado</v>
      </c>
      <c r="M751" s="3"/>
      <c r="N751" s="3" t="s">
        <v>42</v>
      </c>
      <c r="O751" s="3" t="s">
        <v>39</v>
      </c>
      <c r="P751" s="3"/>
      <c r="Q751" s="3"/>
    </row>
    <row r="752" spans="1:17" ht="22.5" customHeight="1" x14ac:dyDescent="0.2">
      <c r="A752" s="3" t="s">
        <v>1482</v>
      </c>
      <c r="B752" s="3" t="str">
        <f ca="1">IFERROR(__xludf.DUMMYFUNCTION("REGEXEXTRACT(A752, ""\.(?:GOV|EXT)\.([A-Z0-9\-]+)"")
"),"FES-PE")</f>
        <v>FES-PE</v>
      </c>
      <c r="C752" s="3" t="s">
        <v>34</v>
      </c>
      <c r="D752" s="3" t="s">
        <v>1216</v>
      </c>
      <c r="E752" s="14" t="str">
        <f ca="1">IFERROR(__xludf.DUMMYFUNCTION("REGEXEXTRACT(A752, ""-(.*)"")"),"ARP.0031.06.2025.GOV.FES-PE.PE")</f>
        <v>ARP.0031.06.2025.GOV.FES-PE.PE</v>
      </c>
      <c r="F752" s="3" t="s">
        <v>1483</v>
      </c>
      <c r="G752" s="3" t="s">
        <v>3</v>
      </c>
      <c r="H752" s="9">
        <v>45750</v>
      </c>
      <c r="I752" s="3" t="s">
        <v>37</v>
      </c>
      <c r="J752" s="3" t="str">
        <f>VLOOKUP(A752,'TODOS OS PROCESSOS ATUALIZADOS '!A:I,7,0)</f>
        <v>Cancelada</v>
      </c>
      <c r="K752" s="3" t="s">
        <v>38</v>
      </c>
      <c r="L752" s="3" t="str">
        <f t="shared" si="2"/>
        <v>Item não atualizado</v>
      </c>
      <c r="M752" s="3"/>
      <c r="N752" s="3" t="s">
        <v>38</v>
      </c>
      <c r="O752" s="3" t="s">
        <v>39</v>
      </c>
    </row>
    <row r="753" spans="1:17" ht="22.5" customHeight="1" x14ac:dyDescent="0.2">
      <c r="A753" s="3" t="s">
        <v>1484</v>
      </c>
      <c r="B753" s="3" t="str">
        <f ca="1">IFERROR(__xludf.DUMMYFUNCTION("REGEXEXTRACT(A753, ""\.(?:GOV|EXT)\.([A-Z0-9\-]+)"")
"),"FES-PE")</f>
        <v>FES-PE</v>
      </c>
      <c r="C753" s="3" t="s">
        <v>34</v>
      </c>
      <c r="D753" s="3" t="s">
        <v>1216</v>
      </c>
      <c r="E753" s="14" t="str">
        <f ca="1">IFERROR(__xludf.DUMMYFUNCTION("REGEXEXTRACT(A753, ""-(.*)"")"),"ARP.0031.04.2025.GOV.FES-PE.PE")</f>
        <v>ARP.0031.04.2025.GOV.FES-PE.PE</v>
      </c>
      <c r="F753" s="3" t="s">
        <v>1483</v>
      </c>
      <c r="G753" s="3" t="s">
        <v>3</v>
      </c>
      <c r="H753" s="9">
        <v>45750</v>
      </c>
      <c r="I753" s="3" t="s">
        <v>37</v>
      </c>
      <c r="J753" s="3" t="str">
        <f>VLOOKUP(A753,'TODOS OS PROCESSOS ATUALIZADOS '!A:I,7,0)</f>
        <v>Em revisão</v>
      </c>
      <c r="K753" s="3" t="s">
        <v>42</v>
      </c>
      <c r="L753" s="3" t="str">
        <f t="shared" si="2"/>
        <v>Item atualizado</v>
      </c>
      <c r="M753" s="3"/>
      <c r="N753" s="3" t="s">
        <v>42</v>
      </c>
      <c r="O753" s="3" t="s">
        <v>39</v>
      </c>
      <c r="P753" s="3"/>
      <c r="Q753" s="3"/>
    </row>
    <row r="754" spans="1:17" ht="22.5" customHeight="1" x14ac:dyDescent="0.2">
      <c r="A754" s="3" t="s">
        <v>1485</v>
      </c>
      <c r="B754" s="3" t="str">
        <f ca="1">IFERROR(__xludf.DUMMYFUNCTION("REGEXEXTRACT(A754, ""\.(?:GOV|EXT)\.([A-Z0-9\-]+)"")
"),"FES-PE")</f>
        <v>FES-PE</v>
      </c>
      <c r="C754" s="3" t="s">
        <v>34</v>
      </c>
      <c r="D754" s="3" t="s">
        <v>1216</v>
      </c>
      <c r="E754" s="14" t="str">
        <f ca="1">IFERROR(__xludf.DUMMYFUNCTION("REGEXEXTRACT(A754, ""-(.*)"")"),"ARP.0031.03.2025.GOV.FES-PE.PE")</f>
        <v>ARP.0031.03.2025.GOV.FES-PE.PE</v>
      </c>
      <c r="F754" s="3" t="s">
        <v>1483</v>
      </c>
      <c r="G754" s="3" t="s">
        <v>3</v>
      </c>
      <c r="H754" s="9">
        <v>45750</v>
      </c>
      <c r="I754" s="3" t="s">
        <v>37</v>
      </c>
      <c r="J754" s="3" t="str">
        <f>VLOOKUP(A754,'TODOS OS PROCESSOS ATUALIZADOS '!A:I,7,0)</f>
        <v>Em revisão</v>
      </c>
      <c r="K754" s="3" t="s">
        <v>42</v>
      </c>
      <c r="L754" s="3" t="str">
        <f t="shared" si="2"/>
        <v>Item atualizado</v>
      </c>
      <c r="M754" s="3"/>
      <c r="N754" s="3" t="s">
        <v>42</v>
      </c>
      <c r="O754" s="3" t="s">
        <v>39</v>
      </c>
      <c r="P754" s="3"/>
      <c r="Q754" s="3"/>
    </row>
    <row r="755" spans="1:17" ht="22.5" customHeight="1" x14ac:dyDescent="0.2">
      <c r="A755" s="3" t="s">
        <v>1486</v>
      </c>
      <c r="B755" s="3" t="str">
        <f ca="1">IFERROR(__xludf.DUMMYFUNCTION("REGEXEXTRACT(A755, ""\.(?:GOV|EXT)\.([A-Z0-9\-]+)"")
"),"FES-PE")</f>
        <v>FES-PE</v>
      </c>
      <c r="C755" s="3" t="s">
        <v>34</v>
      </c>
      <c r="D755" s="3" t="s">
        <v>1216</v>
      </c>
      <c r="E755" s="14" t="str">
        <f ca="1">IFERROR(__xludf.DUMMYFUNCTION("REGEXEXTRACT(A755, ""-(.*)"")"),"ARP.0031.02.2025.GOV.FES-PE.PE")</f>
        <v>ARP.0031.02.2025.GOV.FES-PE.PE</v>
      </c>
      <c r="F755" s="6" t="s">
        <v>1483</v>
      </c>
      <c r="G755" s="3"/>
      <c r="H755" s="9">
        <v>45750</v>
      </c>
      <c r="I755" s="3" t="s">
        <v>44</v>
      </c>
      <c r="J755" s="3" t="str">
        <f>VLOOKUP(A755,'TODOS OS PROCESSOS ATUALIZADOS '!A:I,7,0)</f>
        <v>Autorizada Sucesso</v>
      </c>
      <c r="K755" s="3" t="s">
        <v>44</v>
      </c>
      <c r="L755" s="3" t="str">
        <f t="shared" si="2"/>
        <v>Item atualizado</v>
      </c>
      <c r="M755" s="3"/>
      <c r="N755" s="3" t="s">
        <v>45</v>
      </c>
      <c r="O755" s="3" t="s">
        <v>39</v>
      </c>
    </row>
    <row r="756" spans="1:17" ht="22.5" customHeight="1" x14ac:dyDescent="0.2">
      <c r="A756" s="3" t="s">
        <v>1487</v>
      </c>
      <c r="B756" s="3" t="str">
        <f ca="1">IFERROR(__xludf.DUMMYFUNCTION("REGEXEXTRACT(A756, ""\.(?:GOV|EXT)\.([A-Z0-9\-]+)"")
"),"FES-PE")</f>
        <v>FES-PE</v>
      </c>
      <c r="C756" s="3" t="s">
        <v>34</v>
      </c>
      <c r="D756" s="3" t="s">
        <v>1216</v>
      </c>
      <c r="E756" s="14" t="str">
        <f ca="1">IFERROR(__xludf.DUMMYFUNCTION("REGEXEXTRACT(A756, ""-(.*)"")"),"ARP.0031.01.2025.GOV.FES-PE.PE")</f>
        <v>ARP.0031.01.2025.GOV.FES-PE.PE</v>
      </c>
      <c r="F756" s="3" t="s">
        <v>1483</v>
      </c>
      <c r="G756" s="3" t="s">
        <v>3</v>
      </c>
      <c r="H756" s="9">
        <v>45750</v>
      </c>
      <c r="I756" s="3" t="s">
        <v>37</v>
      </c>
      <c r="J756" s="3" t="str">
        <f>VLOOKUP(A756,'TODOS OS PROCESSOS ATUALIZADOS '!A:I,7,0)</f>
        <v>Cancelada</v>
      </c>
      <c r="K756" s="3" t="s">
        <v>38</v>
      </c>
      <c r="L756" s="3" t="str">
        <f t="shared" si="2"/>
        <v>Item não atualizado</v>
      </c>
      <c r="M756" s="3"/>
      <c r="N756" s="3" t="s">
        <v>38</v>
      </c>
      <c r="O756" s="3" t="s">
        <v>39</v>
      </c>
    </row>
    <row r="757" spans="1:17" ht="22.5" customHeight="1" x14ac:dyDescent="0.2">
      <c r="A757" s="3" t="s">
        <v>1488</v>
      </c>
      <c r="B757" s="3" t="str">
        <f ca="1">IFERROR(__xludf.DUMMYFUNCTION("REGEXEXTRACT(A757, ""\.(?:GOV|EXT)\.([A-Z0-9\-]+)"")
"),"FES-PE")</f>
        <v>FES-PE</v>
      </c>
      <c r="C757" s="3" t="s">
        <v>34</v>
      </c>
      <c r="D757" s="3" t="s">
        <v>1216</v>
      </c>
      <c r="E757" s="14" t="str">
        <f ca="1">IFERROR(__xludf.DUMMYFUNCTION("REGEXEXTRACT(A757, ""-(.*)"")"),"ARP.0031.00.2025.GOV.FES-PE.PE")</f>
        <v>ARP.0031.00.2025.GOV.FES-PE.PE</v>
      </c>
      <c r="F757" s="3" t="s">
        <v>1483</v>
      </c>
      <c r="G757" s="3" t="s">
        <v>3</v>
      </c>
      <c r="H757" s="9">
        <v>45750</v>
      </c>
      <c r="I757" s="3" t="s">
        <v>37</v>
      </c>
      <c r="J757" s="3" t="str">
        <f>VLOOKUP(A757,'TODOS OS PROCESSOS ATUALIZADOS '!A:I,7,0)</f>
        <v>Em revisão</v>
      </c>
      <c r="K757" s="3" t="s">
        <v>42</v>
      </c>
      <c r="L757" s="3" t="str">
        <f t="shared" si="2"/>
        <v>Item atualizado</v>
      </c>
      <c r="M757" s="3"/>
      <c r="N757" s="3" t="s">
        <v>42</v>
      </c>
      <c r="O757" s="3" t="s">
        <v>39</v>
      </c>
      <c r="P757" s="3"/>
      <c r="Q757" s="3"/>
    </row>
    <row r="758" spans="1:17" ht="22.5" customHeight="1" x14ac:dyDescent="0.2">
      <c r="A758" s="3" t="s">
        <v>1489</v>
      </c>
      <c r="B758" s="3" t="str">
        <f ca="1">IFERROR(__xludf.DUMMYFUNCTION("REGEXEXTRACT(A758, ""\.(?:GOV|EXT)\.([A-Z0-9\-]+)"")
"),"FES-PE")</f>
        <v>FES-PE</v>
      </c>
      <c r="C758" s="3" t="s">
        <v>34</v>
      </c>
      <c r="D758" s="3" t="s">
        <v>1216</v>
      </c>
      <c r="E758" s="14" t="str">
        <f ca="1">IFERROR(__xludf.DUMMYFUNCTION("REGEXEXTRACT(A758, ""-(.*)"")"),"ARP.0030.05.2025.GOV.FES-PE.PE")</f>
        <v>ARP.0030.05.2025.GOV.FES-PE.PE</v>
      </c>
      <c r="F758" s="3" t="s">
        <v>1490</v>
      </c>
      <c r="G758" s="3" t="s">
        <v>3</v>
      </c>
      <c r="H758" s="9">
        <v>45750</v>
      </c>
      <c r="I758" s="3" t="s">
        <v>37</v>
      </c>
      <c r="J758" s="3" t="str">
        <f>VLOOKUP(A758,'TODOS OS PROCESSOS ATUALIZADOS '!A:I,7,0)</f>
        <v>Encaminhada para o gestor de ata</v>
      </c>
      <c r="K758" s="3" t="s">
        <v>42</v>
      </c>
      <c r="L758" s="3" t="str">
        <f t="shared" si="2"/>
        <v>Item atualizado</v>
      </c>
      <c r="M758" s="3"/>
      <c r="N758" s="3" t="s">
        <v>42</v>
      </c>
      <c r="O758" s="3" t="s">
        <v>60</v>
      </c>
      <c r="P758" s="3" t="s">
        <v>1491</v>
      </c>
      <c r="Q758" s="3"/>
    </row>
    <row r="759" spans="1:17" ht="22.5" customHeight="1" x14ac:dyDescent="0.2">
      <c r="A759" s="3" t="s">
        <v>1492</v>
      </c>
      <c r="B759" s="3" t="str">
        <f ca="1">IFERROR(__xludf.DUMMYFUNCTION("REGEXEXTRACT(A759, ""\.(?:GOV|EXT)\.([A-Z0-9\-]+)"")
"),"FES-PE")</f>
        <v>FES-PE</v>
      </c>
      <c r="C759" s="3" t="s">
        <v>34</v>
      </c>
      <c r="D759" s="3" t="s">
        <v>1216</v>
      </c>
      <c r="E759" s="14" t="str">
        <f ca="1">IFERROR(__xludf.DUMMYFUNCTION("REGEXEXTRACT(A759, ""-(.*)"")"),"ARP.0030.04.2025.GOV.FES-PE.PE")</f>
        <v>ARP.0030.04.2025.GOV.FES-PE.PE</v>
      </c>
      <c r="F759" s="3" t="s">
        <v>1490</v>
      </c>
      <c r="G759" s="3" t="s">
        <v>3</v>
      </c>
      <c r="H759" s="9">
        <v>45750</v>
      </c>
      <c r="I759" s="3" t="s">
        <v>37</v>
      </c>
      <c r="J759" s="3" t="str">
        <f>VLOOKUP(A759,'TODOS OS PROCESSOS ATUALIZADOS '!A:I,7,0)</f>
        <v>Encaminhada para o gestor de ata</v>
      </c>
      <c r="K759" s="3" t="s">
        <v>42</v>
      </c>
      <c r="L759" s="3" t="str">
        <f t="shared" si="2"/>
        <v>Item atualizado</v>
      </c>
      <c r="M759" s="3"/>
      <c r="N759" s="3" t="s">
        <v>42</v>
      </c>
      <c r="O759" s="3" t="s">
        <v>39</v>
      </c>
      <c r="P759" s="3"/>
      <c r="Q759" s="3"/>
    </row>
    <row r="760" spans="1:17" ht="22.5" customHeight="1" x14ac:dyDescent="0.2">
      <c r="A760" s="3" t="s">
        <v>1493</v>
      </c>
      <c r="B760" s="3" t="str">
        <f ca="1">IFERROR(__xludf.DUMMYFUNCTION("REGEXEXTRACT(A760, ""\.(?:GOV|EXT)\.([A-Z0-9\-]+)"")
"),"FES-PE")</f>
        <v>FES-PE</v>
      </c>
      <c r="C760" s="3" t="s">
        <v>34</v>
      </c>
      <c r="D760" s="3" t="s">
        <v>1216</v>
      </c>
      <c r="E760" s="14" t="str">
        <f ca="1">IFERROR(__xludf.DUMMYFUNCTION("REGEXEXTRACT(A760, ""-(.*)"")"),"ARP.0030.01.2025.GOV.FES-PE.PE")</f>
        <v>ARP.0030.01.2025.GOV.FES-PE.PE</v>
      </c>
      <c r="F760" s="3" t="s">
        <v>1490</v>
      </c>
      <c r="G760" s="3" t="s">
        <v>3</v>
      </c>
      <c r="H760" s="9">
        <v>45750</v>
      </c>
      <c r="I760" s="3" t="s">
        <v>1254</v>
      </c>
      <c r="J760" s="3" t="str">
        <f>VLOOKUP(A760,'TODOS OS PROCESSOS ATUALIZADOS '!A:I,7,0)</f>
        <v>Encaminhada para o gestor de ata</v>
      </c>
      <c r="K760" s="3" t="s">
        <v>45</v>
      </c>
      <c r="L760" s="3" t="str">
        <f t="shared" si="2"/>
        <v>Item não atualizado</v>
      </c>
      <c r="M760" s="3" t="s">
        <v>14</v>
      </c>
      <c r="N760" s="3" t="s">
        <v>45</v>
      </c>
      <c r="O760" s="3" t="s">
        <v>1494</v>
      </c>
      <c r="P760" s="3" t="s">
        <v>1495</v>
      </c>
      <c r="Q760" s="3" t="s">
        <v>72</v>
      </c>
    </row>
    <row r="761" spans="1:17" ht="22.5" customHeight="1" x14ac:dyDescent="0.2">
      <c r="A761" s="3" t="s">
        <v>1496</v>
      </c>
      <c r="B761" s="3" t="str">
        <f ca="1">IFERROR(__xludf.DUMMYFUNCTION("REGEXEXTRACT(A761, ""\.(?:GOV|EXT)\.([A-Z0-9\-]+)"")
"),"FES-PE")</f>
        <v>FES-PE</v>
      </c>
      <c r="C761" s="3" t="s">
        <v>34</v>
      </c>
      <c r="D761" s="3" t="s">
        <v>1216</v>
      </c>
      <c r="E761" s="14" t="str">
        <f ca="1">IFERROR(__xludf.DUMMYFUNCTION("REGEXEXTRACT(A761, ""-(.*)"")"),"ARP.0068.09.2024.GOV.FES-PE.PE")</f>
        <v>ARP.0068.09.2024.GOV.FES-PE.PE</v>
      </c>
      <c r="F761" s="3" t="s">
        <v>662</v>
      </c>
      <c r="G761" s="3"/>
      <c r="H761" s="9">
        <v>45750</v>
      </c>
      <c r="I761" s="3" t="s">
        <v>37</v>
      </c>
      <c r="J761" s="3" t="str">
        <f>VLOOKUP(A761,'TODOS OS PROCESSOS ATUALIZADOS '!A:I,7,0)</f>
        <v>Cancelada por fim vigencia ATA</v>
      </c>
      <c r="K761" s="3" t="s">
        <v>38</v>
      </c>
      <c r="L761" s="3" t="str">
        <f t="shared" si="2"/>
        <v>Item atualizado</v>
      </c>
      <c r="M761" s="3"/>
      <c r="N761" s="3" t="s">
        <v>38</v>
      </c>
      <c r="O761" s="3" t="s">
        <v>39</v>
      </c>
    </row>
    <row r="762" spans="1:17" ht="22.5" customHeight="1" x14ac:dyDescent="0.2">
      <c r="A762" s="3" t="s">
        <v>1497</v>
      </c>
      <c r="B762" s="3" t="str">
        <f ca="1">IFERROR(__xludf.DUMMYFUNCTION("REGEXEXTRACT(A762, ""\.(?:GOV|EXT)\.([A-Z0-9\-]+)"")
"),"FES-PE")</f>
        <v>FES-PE</v>
      </c>
      <c r="C762" s="3" t="s">
        <v>34</v>
      </c>
      <c r="D762" s="3" t="s">
        <v>1216</v>
      </c>
      <c r="E762" s="14" t="str">
        <f ca="1">IFERROR(__xludf.DUMMYFUNCTION("REGEXEXTRACT(A762, ""-(.*)"")"),"ARP.0068.09.2024.GOV.FES-PE.PE")</f>
        <v>ARP.0068.09.2024.GOV.FES-PE.PE</v>
      </c>
      <c r="F762" s="3" t="s">
        <v>662</v>
      </c>
      <c r="G762" s="3"/>
      <c r="H762" s="9">
        <v>45750</v>
      </c>
      <c r="I762" s="3" t="s">
        <v>37</v>
      </c>
      <c r="J762" s="3" t="str">
        <f>VLOOKUP(A762,'TODOS OS PROCESSOS ATUALIZADOS '!A:I,7,0)</f>
        <v>Cancelada por fim vigencia ATA</v>
      </c>
      <c r="K762" s="3" t="s">
        <v>38</v>
      </c>
      <c r="L762" s="3" t="str">
        <f t="shared" si="2"/>
        <v>Item atualizado</v>
      </c>
      <c r="M762" s="3"/>
      <c r="N762" s="3" t="s">
        <v>38</v>
      </c>
      <c r="O762" s="3" t="s">
        <v>39</v>
      </c>
    </row>
    <row r="763" spans="1:17" ht="22.5" customHeight="1" x14ac:dyDescent="0.2">
      <c r="A763" s="3" t="s">
        <v>1498</v>
      </c>
      <c r="B763" s="3" t="str">
        <f ca="1">IFERROR(__xludf.DUMMYFUNCTION("REGEXEXTRACT(A763, ""\.(?:GOV|EXT)\.([A-Z0-9\-]+)"")
"),"FES-PE")</f>
        <v>FES-PE</v>
      </c>
      <c r="C763" s="3" t="s">
        <v>34</v>
      </c>
      <c r="D763" s="3" t="s">
        <v>1216</v>
      </c>
      <c r="E763" s="14" t="str">
        <f ca="1">IFERROR(__xludf.DUMMYFUNCTION("REGEXEXTRACT(A763, ""-(.*)"")"),"ARP.0030.00.2025.GOV.FES-PE.PE")</f>
        <v>ARP.0030.00.2025.GOV.FES-PE.PE</v>
      </c>
      <c r="F763" s="3" t="s">
        <v>1490</v>
      </c>
      <c r="G763" s="3" t="s">
        <v>3</v>
      </c>
      <c r="H763" s="9">
        <v>45750</v>
      </c>
      <c r="I763" s="3" t="s">
        <v>37</v>
      </c>
      <c r="J763" s="3" t="str">
        <f>VLOOKUP(A763,'TODOS OS PROCESSOS ATUALIZADOS '!A:I,7,0)</f>
        <v>Encaminhada para o gestor de ata</v>
      </c>
      <c r="K763" s="3" t="s">
        <v>42</v>
      </c>
      <c r="L763" s="3" t="str">
        <f t="shared" si="2"/>
        <v>Item atualizado</v>
      </c>
      <c r="M763" s="3"/>
      <c r="N763" s="3" t="s">
        <v>42</v>
      </c>
      <c r="O763" s="3" t="s">
        <v>39</v>
      </c>
    </row>
    <row r="764" spans="1:17" ht="22.5" customHeight="1" x14ac:dyDescent="0.2">
      <c r="A764" s="3" t="s">
        <v>1499</v>
      </c>
      <c r="B764" s="3" t="str">
        <f ca="1">IFERROR(__xludf.DUMMYFUNCTION("REGEXEXTRACT(A764, ""\.(?:GOV|EXT)\.([A-Z0-9\-]+)"")
"),"FES-PE")</f>
        <v>FES-PE</v>
      </c>
      <c r="C764" s="3" t="s">
        <v>34</v>
      </c>
      <c r="D764" s="3" t="s">
        <v>1216</v>
      </c>
      <c r="E764" s="14" t="str">
        <f ca="1">IFERROR(__xludf.DUMMYFUNCTION("REGEXEXTRACT(A764, ""-(.*)"")"),"ARP.0029.05.2025.GOV.FES-PE.PE")</f>
        <v>ARP.0029.05.2025.GOV.FES-PE.PE</v>
      </c>
      <c r="F764" s="3" t="s">
        <v>1500</v>
      </c>
      <c r="G764" s="3" t="s">
        <v>3</v>
      </c>
      <c r="H764" s="9">
        <v>45750</v>
      </c>
      <c r="I764" s="3" t="s">
        <v>37</v>
      </c>
      <c r="J764" s="3" t="str">
        <f>VLOOKUP(A764,'TODOS OS PROCESSOS ATUALIZADOS '!A:I,7,0)</f>
        <v>Encaminhada para o gestor de ata</v>
      </c>
      <c r="K764" s="3" t="s">
        <v>42</v>
      </c>
      <c r="L764" s="3" t="str">
        <f t="shared" si="2"/>
        <v>Item atualizado</v>
      </c>
      <c r="M764" s="3"/>
      <c r="N764" s="3" t="s">
        <v>42</v>
      </c>
      <c r="O764" s="3" t="s">
        <v>39</v>
      </c>
    </row>
    <row r="765" spans="1:17" ht="22.5" customHeight="1" x14ac:dyDescent="0.2">
      <c r="A765" s="3" t="s">
        <v>1501</v>
      </c>
      <c r="B765" s="3" t="str">
        <f ca="1">IFERROR(__xludf.DUMMYFUNCTION("REGEXEXTRACT(A765, ""\.(?:GOV|EXT)\.([A-Z0-9\-]+)"")
"),"FES-PE")</f>
        <v>FES-PE</v>
      </c>
      <c r="C765" s="3" t="s">
        <v>34</v>
      </c>
      <c r="D765" s="3" t="s">
        <v>1216</v>
      </c>
      <c r="E765" s="14" t="str">
        <f ca="1">IFERROR(__xludf.DUMMYFUNCTION("REGEXEXTRACT(A765, ""-(.*)"")"),"ARP.0029.05.2025.GOV.FES-PE.PE")</f>
        <v>ARP.0029.05.2025.GOV.FES-PE.PE</v>
      </c>
      <c r="F765" s="3" t="s">
        <v>1500</v>
      </c>
      <c r="G765" s="3"/>
      <c r="H765" s="9">
        <v>45750</v>
      </c>
      <c r="I765" s="3" t="s">
        <v>37</v>
      </c>
      <c r="J765" s="3" t="str">
        <f>VLOOKUP(A765,'TODOS OS PROCESSOS ATUALIZADOS '!A:I,7,0)</f>
        <v>Cancelada</v>
      </c>
      <c r="K765" s="3" t="s">
        <v>38</v>
      </c>
      <c r="L765" s="3" t="str">
        <f t="shared" si="2"/>
        <v>Item não atualizado</v>
      </c>
      <c r="M765" s="3"/>
      <c r="N765" s="3" t="s">
        <v>38</v>
      </c>
      <c r="O765" s="3" t="s">
        <v>39</v>
      </c>
    </row>
    <row r="766" spans="1:17" ht="22.5" customHeight="1" x14ac:dyDescent="0.2">
      <c r="A766" s="3" t="s">
        <v>1502</v>
      </c>
      <c r="B766" s="3" t="str">
        <f ca="1">IFERROR(__xludf.DUMMYFUNCTION("REGEXEXTRACT(A766, ""\.(?:GOV|EXT)\.([A-Z0-9\-]+)"")
"),"FES-PE")</f>
        <v>FES-PE</v>
      </c>
      <c r="C766" s="3" t="s">
        <v>34</v>
      </c>
      <c r="D766" s="3" t="s">
        <v>1216</v>
      </c>
      <c r="E766" s="14" t="str">
        <f ca="1">IFERROR(__xludf.DUMMYFUNCTION("REGEXEXTRACT(A766, ""-(.*)"")"),"ARP.0029.04.2025.GOV.FES-PE.PE")</f>
        <v>ARP.0029.04.2025.GOV.FES-PE.PE</v>
      </c>
      <c r="F766" s="3" t="s">
        <v>1500</v>
      </c>
      <c r="G766" s="3" t="s">
        <v>3</v>
      </c>
      <c r="H766" s="9">
        <v>45750</v>
      </c>
      <c r="I766" s="3" t="s">
        <v>37</v>
      </c>
      <c r="J766" s="3" t="str">
        <f>VLOOKUP(A766,'TODOS OS PROCESSOS ATUALIZADOS '!A:I,7,0)</f>
        <v>Encaminhada para o gestor de ata</v>
      </c>
      <c r="K766" s="3" t="s">
        <v>42</v>
      </c>
      <c r="L766" s="3" t="str">
        <f t="shared" si="2"/>
        <v>Item atualizado</v>
      </c>
      <c r="M766" s="3"/>
      <c r="N766" s="3" t="s">
        <v>42</v>
      </c>
      <c r="O766" s="3" t="s">
        <v>39</v>
      </c>
    </row>
    <row r="767" spans="1:17" ht="22.5" customHeight="1" x14ac:dyDescent="0.2">
      <c r="A767" s="3" t="s">
        <v>1503</v>
      </c>
      <c r="B767" s="3" t="str">
        <f ca="1">IFERROR(__xludf.DUMMYFUNCTION("REGEXEXTRACT(A767, ""\.(?:GOV|EXT)\.([A-Z0-9\-]+)"")
"),"FES-PE")</f>
        <v>FES-PE</v>
      </c>
      <c r="C767" s="3" t="s">
        <v>34</v>
      </c>
      <c r="D767" s="3" t="s">
        <v>1216</v>
      </c>
      <c r="E767" s="14" t="str">
        <f ca="1">IFERROR(__xludf.DUMMYFUNCTION("REGEXEXTRACT(A767, ""-(.*)"")"),"ARP.0029.03.2025.GOV.FES-PE.PE")</f>
        <v>ARP.0029.03.2025.GOV.FES-PE.PE</v>
      </c>
      <c r="F767" s="3" t="s">
        <v>1500</v>
      </c>
      <c r="G767" s="3" t="s">
        <v>3</v>
      </c>
      <c r="H767" s="9">
        <v>45750</v>
      </c>
      <c r="I767" s="3" t="s">
        <v>37</v>
      </c>
      <c r="J767" s="3" t="str">
        <f>VLOOKUP(A767,'TODOS OS PROCESSOS ATUALIZADOS '!A:I,7,0)</f>
        <v>Encaminhada para o gestor de ata</v>
      </c>
      <c r="K767" s="3" t="s">
        <v>42</v>
      </c>
      <c r="L767" s="3" t="str">
        <f t="shared" ref="L767:L1021" si="3">IFERROR(IF(J767=I767, "Item não atualizado", "Item atualizado"), "Item não localizado")</f>
        <v>Item atualizado</v>
      </c>
      <c r="M767" s="3"/>
      <c r="N767" s="3" t="s">
        <v>42</v>
      </c>
      <c r="O767" s="3" t="s">
        <v>39</v>
      </c>
    </row>
    <row r="768" spans="1:17" ht="22.5" customHeight="1" x14ac:dyDescent="0.2">
      <c r="A768" s="3" t="s">
        <v>1504</v>
      </c>
      <c r="B768" s="3" t="str">
        <f ca="1">IFERROR(__xludf.DUMMYFUNCTION("REGEXEXTRACT(A768, ""\.(?:GOV|EXT)\.([A-Z0-9\-]+)"")
"),"FES-PE")</f>
        <v>FES-PE</v>
      </c>
      <c r="C768" s="3" t="s">
        <v>34</v>
      </c>
      <c r="D768" s="3" t="s">
        <v>1216</v>
      </c>
      <c r="E768" s="14" t="str">
        <f ca="1">IFERROR(__xludf.DUMMYFUNCTION("REGEXEXTRACT(A768, ""-(.*)"")"),"ARP.0029.02.2025.GOV.FES-PE.PE")</f>
        <v>ARP.0029.02.2025.GOV.FES-PE.PE</v>
      </c>
      <c r="F768" s="3" t="s">
        <v>1500</v>
      </c>
      <c r="G768" s="3" t="s">
        <v>3</v>
      </c>
      <c r="H768" s="9">
        <v>45750</v>
      </c>
      <c r="I768" s="3" t="s">
        <v>37</v>
      </c>
      <c r="J768" s="3" t="str">
        <f>VLOOKUP(A768,'TODOS OS PROCESSOS ATUALIZADOS '!A:I,7,0)</f>
        <v>Encaminhada para o gestor de ata</v>
      </c>
      <c r="K768" s="3" t="s">
        <v>42</v>
      </c>
      <c r="L768" s="3" t="str">
        <f t="shared" si="3"/>
        <v>Item atualizado</v>
      </c>
      <c r="M768" s="3"/>
      <c r="N768" s="3" t="s">
        <v>42</v>
      </c>
      <c r="O768" s="3" t="s">
        <v>39</v>
      </c>
    </row>
    <row r="769" spans="1:17" ht="22.5" customHeight="1" x14ac:dyDescent="0.2">
      <c r="A769" s="3" t="s">
        <v>1505</v>
      </c>
      <c r="B769" s="3" t="str">
        <f ca="1">IFERROR(__xludf.DUMMYFUNCTION("REGEXEXTRACT(A769, ""\.(?:GOV|EXT)\.([A-Z0-9\-]+)"")
"),"FES-PE")</f>
        <v>FES-PE</v>
      </c>
      <c r="C769" s="3" t="s">
        <v>34</v>
      </c>
      <c r="D769" s="3" t="s">
        <v>1216</v>
      </c>
      <c r="E769" s="14" t="str">
        <f ca="1">IFERROR(__xludf.DUMMYFUNCTION("REGEXEXTRACT(A769, ""-(.*)"")"),"ARP.0029.01.2025.GOV.FES-PE.PE")</f>
        <v>ARP.0029.01.2025.GOV.FES-PE.PE</v>
      </c>
      <c r="F769" s="3" t="s">
        <v>1500</v>
      </c>
      <c r="G769" s="3" t="s">
        <v>3</v>
      </c>
      <c r="H769" s="9">
        <v>45750</v>
      </c>
      <c r="I769" s="3" t="s">
        <v>37</v>
      </c>
      <c r="J769" s="3" t="str">
        <f>VLOOKUP(A769,'TODOS OS PROCESSOS ATUALIZADOS '!A:I,7,0)</f>
        <v>Cancelada</v>
      </c>
      <c r="K769" s="3" t="s">
        <v>38</v>
      </c>
      <c r="L769" s="3" t="str">
        <f t="shared" si="3"/>
        <v>Item não atualizado</v>
      </c>
      <c r="M769" s="3"/>
      <c r="N769" s="3" t="s">
        <v>38</v>
      </c>
      <c r="O769" s="3" t="s">
        <v>39</v>
      </c>
    </row>
    <row r="770" spans="1:17" ht="22.5" customHeight="1" x14ac:dyDescent="0.2">
      <c r="A770" s="3" t="s">
        <v>1506</v>
      </c>
      <c r="B770" s="3" t="str">
        <f ca="1">IFERROR(__xludf.DUMMYFUNCTION("REGEXEXTRACT(A770, ""\.(?:GOV|EXT)\.([A-Z0-9\-]+)"")
"),"FES-PE")</f>
        <v>FES-PE</v>
      </c>
      <c r="C770" s="3" t="s">
        <v>34</v>
      </c>
      <c r="D770" s="3" t="s">
        <v>1216</v>
      </c>
      <c r="E770" s="14" t="str">
        <f ca="1">IFERROR(__xludf.DUMMYFUNCTION("REGEXEXTRACT(A770, ""-(.*)"")"),"ARP.0054.07.2025.GOV.FES-PE.PE")</f>
        <v>ARP.0054.07.2025.GOV.FES-PE.PE</v>
      </c>
      <c r="F770" s="6" t="s">
        <v>1419</v>
      </c>
      <c r="G770" s="3"/>
      <c r="H770" s="9">
        <v>45749</v>
      </c>
      <c r="I770" s="3" t="s">
        <v>44</v>
      </c>
      <c r="J770" s="3" t="str">
        <f>VLOOKUP(A770,'TODOS OS PROCESSOS ATUALIZADOS '!A:I,7,0)</f>
        <v>Autorizada Sucesso</v>
      </c>
      <c r="K770" s="3" t="s">
        <v>44</v>
      </c>
      <c r="L770" s="3" t="str">
        <f t="shared" si="3"/>
        <v>Item atualizado</v>
      </c>
      <c r="M770" s="3"/>
      <c r="N770" s="3" t="s">
        <v>45</v>
      </c>
      <c r="O770" s="3" t="s">
        <v>39</v>
      </c>
    </row>
    <row r="771" spans="1:17" ht="22.5" customHeight="1" x14ac:dyDescent="0.2">
      <c r="A771" s="3" t="s">
        <v>1507</v>
      </c>
      <c r="B771" s="3" t="str">
        <f ca="1">IFERROR(__xludf.DUMMYFUNCTION("REGEXEXTRACT(A771, ""\.(?:GOV|EXT)\.([A-Z0-9\-]+)"")
"),"FES-PE")</f>
        <v>FES-PE</v>
      </c>
      <c r="C771" s="3" t="s">
        <v>34</v>
      </c>
      <c r="D771" s="3" t="s">
        <v>1216</v>
      </c>
      <c r="E771" s="14" t="str">
        <f ca="1">IFERROR(__xludf.DUMMYFUNCTION("REGEXEXTRACT(A771, ""-(.*)"")"),"ARP.0009.00.2025.GOV.FES-PE.PE")</f>
        <v>ARP.0009.00.2025.GOV.FES-PE.PE</v>
      </c>
      <c r="F771" s="6" t="s">
        <v>74</v>
      </c>
      <c r="G771" s="3"/>
      <c r="H771" s="9">
        <v>45748</v>
      </c>
      <c r="I771" s="3" t="s">
        <v>44</v>
      </c>
      <c r="J771" s="3" t="str">
        <f>VLOOKUP(A771,'TODOS OS PROCESSOS ATUALIZADOS '!A:I,7,0)</f>
        <v>Autorizada Sucesso</v>
      </c>
      <c r="K771" s="3" t="s">
        <v>44</v>
      </c>
      <c r="L771" s="3" t="str">
        <f t="shared" si="3"/>
        <v>Item atualizado</v>
      </c>
      <c r="M771" s="3"/>
      <c r="N771" s="3" t="s">
        <v>45</v>
      </c>
      <c r="O771" s="3" t="s">
        <v>39</v>
      </c>
    </row>
    <row r="772" spans="1:17" ht="22.5" customHeight="1" x14ac:dyDescent="0.2">
      <c r="A772" s="3" t="s">
        <v>1508</v>
      </c>
      <c r="B772" s="3" t="str">
        <f ca="1">IFERROR(__xludf.DUMMYFUNCTION("REGEXEXTRACT(A772, ""\.(?:GOV|EXT)\.([A-Z0-9\-]+)"")
"),"FES-PE")</f>
        <v>FES-PE</v>
      </c>
      <c r="C772" s="3" t="s">
        <v>34</v>
      </c>
      <c r="D772" s="3" t="s">
        <v>1216</v>
      </c>
      <c r="E772" s="14" t="str">
        <f ca="1">IFERROR(__xludf.DUMMYFUNCTION("REGEXEXTRACT(A772, ""-(.*)"")"),"ARP.0009.01.2025.GOV.FES-PE.PE")</f>
        <v>ARP.0009.01.2025.GOV.FES-PE.PE</v>
      </c>
      <c r="F772" s="3" t="s">
        <v>74</v>
      </c>
      <c r="G772" s="3"/>
      <c r="H772" s="9">
        <v>45748</v>
      </c>
      <c r="I772" s="3" t="s">
        <v>37</v>
      </c>
      <c r="J772" s="3" t="str">
        <f>VLOOKUP(A772,'TODOS OS PROCESSOS ATUALIZADOS '!A:I,7,0)</f>
        <v>Cancelada</v>
      </c>
      <c r="K772" s="3" t="s">
        <v>38</v>
      </c>
      <c r="L772" s="3" t="str">
        <f t="shared" si="3"/>
        <v>Item não atualizado</v>
      </c>
      <c r="M772" s="3"/>
      <c r="N772" s="3" t="s">
        <v>38</v>
      </c>
      <c r="O772" s="3" t="s">
        <v>39</v>
      </c>
    </row>
    <row r="773" spans="1:17" ht="22.5" customHeight="1" x14ac:dyDescent="0.2">
      <c r="A773" s="3" t="s">
        <v>1509</v>
      </c>
      <c r="B773" s="3" t="str">
        <f ca="1">IFERROR(__xludf.DUMMYFUNCTION("REGEXEXTRACT(A773, ""\.(?:GOV|EXT)\.([A-Z0-9\-]+)"")
"),"FES-PE")</f>
        <v>FES-PE</v>
      </c>
      <c r="C773" s="3" t="s">
        <v>34</v>
      </c>
      <c r="D773" s="3" t="s">
        <v>1216</v>
      </c>
      <c r="E773" s="14" t="str">
        <f ca="1">IFERROR(__xludf.DUMMYFUNCTION("REGEXEXTRACT(A773, ""-(.*)"")"),"ARP.0009.02.2025.GOV.FES-PE.PE")</f>
        <v>ARP.0009.02.2025.GOV.FES-PE.PE</v>
      </c>
      <c r="F773" s="6" t="s">
        <v>74</v>
      </c>
      <c r="G773" s="3"/>
      <c r="H773" s="9">
        <v>45748</v>
      </c>
      <c r="I773" s="3" t="s">
        <v>44</v>
      </c>
      <c r="J773" s="3" t="str">
        <f>VLOOKUP(A773,'TODOS OS PROCESSOS ATUALIZADOS '!A:I,7,0)</f>
        <v>Autorizada Sucesso</v>
      </c>
      <c r="K773" s="3" t="s">
        <v>44</v>
      </c>
      <c r="L773" s="3" t="str">
        <f t="shared" si="3"/>
        <v>Item atualizado</v>
      </c>
      <c r="M773" s="3"/>
      <c r="N773" s="3" t="s">
        <v>45</v>
      </c>
      <c r="O773" s="3" t="s">
        <v>39</v>
      </c>
    </row>
    <row r="774" spans="1:17" ht="22.5" customHeight="1" x14ac:dyDescent="0.2">
      <c r="A774" s="3" t="s">
        <v>1510</v>
      </c>
      <c r="B774" s="3" t="str">
        <f ca="1">IFERROR(__xludf.DUMMYFUNCTION("REGEXEXTRACT(A774, ""\.(?:GOV|EXT)\.([A-Z0-9\-]+)"")
"),"FES-PE")</f>
        <v>FES-PE</v>
      </c>
      <c r="C774" s="3" t="s">
        <v>34</v>
      </c>
      <c r="D774" s="3" t="s">
        <v>1216</v>
      </c>
      <c r="E774" s="14" t="str">
        <f ca="1">IFERROR(__xludf.DUMMYFUNCTION("REGEXEXTRACT(A774, ""-(.*)"")"),"ARP.0063.00.2024.GOV.FES-PE.PE")</f>
        <v>ARP.0063.00.2024.GOV.FES-PE.PE</v>
      </c>
      <c r="F774" s="6" t="s">
        <v>1386</v>
      </c>
      <c r="G774" s="3"/>
      <c r="H774" s="9">
        <v>45747</v>
      </c>
      <c r="I774" s="3" t="s">
        <v>44</v>
      </c>
      <c r="J774" s="3" t="str">
        <f>VLOOKUP(A774,'TODOS OS PROCESSOS ATUALIZADOS '!A:I,7,0)</f>
        <v>Autorizada Sucesso</v>
      </c>
      <c r="K774" s="3" t="s">
        <v>44</v>
      </c>
      <c r="L774" s="3" t="str">
        <f t="shared" si="3"/>
        <v>Item atualizado</v>
      </c>
      <c r="M774" s="3"/>
      <c r="N774" s="3" t="s">
        <v>45</v>
      </c>
      <c r="O774" s="3" t="s">
        <v>39</v>
      </c>
    </row>
    <row r="775" spans="1:17" ht="22.5" customHeight="1" x14ac:dyDescent="0.2">
      <c r="A775" s="3" t="s">
        <v>1511</v>
      </c>
      <c r="B775" s="3" t="str">
        <f ca="1">IFERROR(__xludf.DUMMYFUNCTION("REGEXEXTRACT(A775, ""\.(?:GOV|EXT)\.([A-Z0-9\-]+)"")
"),"FES-PE")</f>
        <v>FES-PE</v>
      </c>
      <c r="C775" s="3" t="s">
        <v>34</v>
      </c>
      <c r="D775" s="3" t="s">
        <v>1216</v>
      </c>
      <c r="E775" s="14" t="str">
        <f ca="1">IFERROR(__xludf.DUMMYFUNCTION("REGEXEXTRACT(A775, ""-(.*)"")"),"ARP.0064.01.2024.GOV.FES-PE.PE")</f>
        <v>ARP.0064.01.2024.GOV.FES-PE.PE</v>
      </c>
      <c r="F775" s="6" t="s">
        <v>1330</v>
      </c>
      <c r="G775" s="3"/>
      <c r="H775" s="9">
        <v>45747</v>
      </c>
      <c r="I775" s="3" t="s">
        <v>44</v>
      </c>
      <c r="J775" s="3" t="str">
        <f>VLOOKUP(A775,'TODOS OS PROCESSOS ATUALIZADOS '!A:I,7,0)</f>
        <v>Autorizada Sucesso</v>
      </c>
      <c r="K775" s="3" t="s">
        <v>44</v>
      </c>
      <c r="L775" s="3" t="str">
        <f t="shared" si="3"/>
        <v>Item atualizado</v>
      </c>
      <c r="M775" s="3"/>
      <c r="N775" s="3" t="s">
        <v>45</v>
      </c>
      <c r="O775" s="3" t="s">
        <v>39</v>
      </c>
    </row>
    <row r="776" spans="1:17" ht="22.5" customHeight="1" x14ac:dyDescent="0.2">
      <c r="A776" s="3" t="s">
        <v>1512</v>
      </c>
      <c r="B776" s="3" t="str">
        <f ca="1">IFERROR(__xludf.DUMMYFUNCTION("REGEXEXTRACT(A776, ""\.(?:GOV|EXT)\.([A-Z0-9\-]+)"")
"),"FES-PE")</f>
        <v>FES-PE</v>
      </c>
      <c r="C776" s="3" t="s">
        <v>34</v>
      </c>
      <c r="D776" s="3" t="s">
        <v>1216</v>
      </c>
      <c r="E776" s="14" t="str">
        <f ca="1">IFERROR(__xludf.DUMMYFUNCTION("REGEXEXTRACT(A776, ""-(.*)"")"),"ARP.0012.05.2025.GOV.FES-PE.PE")</f>
        <v>ARP.0012.05.2025.GOV.FES-PE.PE</v>
      </c>
      <c r="F776" s="3" t="s">
        <v>1513</v>
      </c>
      <c r="G776" s="3"/>
      <c r="H776" s="9">
        <v>45747</v>
      </c>
      <c r="I776" s="3" t="s">
        <v>37</v>
      </c>
      <c r="J776" s="3" t="str">
        <f>VLOOKUP(A776,'TODOS OS PROCESSOS ATUALIZADOS '!A:I,7,0)</f>
        <v>Cancelada</v>
      </c>
      <c r="K776" s="3" t="s">
        <v>38</v>
      </c>
      <c r="L776" s="3" t="str">
        <f t="shared" si="3"/>
        <v>Item não atualizado</v>
      </c>
      <c r="M776" s="3"/>
      <c r="N776" s="3" t="s">
        <v>38</v>
      </c>
      <c r="O776" s="3" t="s">
        <v>39</v>
      </c>
    </row>
    <row r="777" spans="1:17" ht="22.5" customHeight="1" x14ac:dyDescent="0.2">
      <c r="A777" s="3" t="s">
        <v>1514</v>
      </c>
      <c r="B777" s="3" t="str">
        <f ca="1">IFERROR(__xludf.DUMMYFUNCTION("REGEXEXTRACT(A777, ""\.(?:GOV|EXT)\.([A-Z0-9\-]+)"")
"),"FES-PE")</f>
        <v>FES-PE</v>
      </c>
      <c r="C777" s="3" t="s">
        <v>34</v>
      </c>
      <c r="D777" s="3" t="s">
        <v>1216</v>
      </c>
      <c r="E777" s="14" t="str">
        <f ca="1">IFERROR(__xludf.DUMMYFUNCTION("REGEXEXTRACT(A777, ""-(.*)"")"),"ARP.0022.01.2025.GOV.FES-PE.PE")</f>
        <v>ARP.0022.01.2025.GOV.FES-PE.PE</v>
      </c>
      <c r="F777" s="6" t="s">
        <v>1515</v>
      </c>
      <c r="G777" s="3"/>
      <c r="H777" s="9">
        <v>45742</v>
      </c>
      <c r="I777" s="3" t="s">
        <v>44</v>
      </c>
      <c r="J777" s="3" t="str">
        <f>VLOOKUP(A777,'TODOS OS PROCESSOS ATUALIZADOS '!A:I,7,0)</f>
        <v>Autorizada Sucesso</v>
      </c>
      <c r="K777" s="3" t="s">
        <v>44</v>
      </c>
      <c r="L777" s="3" t="str">
        <f t="shared" si="3"/>
        <v>Item atualizado</v>
      </c>
      <c r="M777" s="3"/>
      <c r="N777" s="3" t="s">
        <v>45</v>
      </c>
      <c r="O777" s="3" t="s">
        <v>39</v>
      </c>
    </row>
    <row r="778" spans="1:17" ht="22.5" customHeight="1" x14ac:dyDescent="0.2">
      <c r="A778" s="3" t="s">
        <v>1516</v>
      </c>
      <c r="B778" s="3" t="str">
        <f ca="1">IFERROR(__xludf.DUMMYFUNCTION("REGEXEXTRACT(A778, ""\.(?:GOV|EXT)\.([A-Z0-9\-]+)"")
"),"SAD")</f>
        <v>SAD</v>
      </c>
      <c r="C778" s="3" t="s">
        <v>34</v>
      </c>
      <c r="D778" s="3" t="s">
        <v>1216</v>
      </c>
      <c r="E778" s="14" t="str">
        <f ca="1">IFERROR(__xludf.DUMMYFUNCTION("REGEXEXTRACT(A778, ""-(.*)"")"),"ARPC.0006.00.2025.GOV.SAD.PE")</f>
        <v>ARPC.0006.00.2025.GOV.SAD.PE</v>
      </c>
      <c r="F778" s="3" t="s">
        <v>1429</v>
      </c>
      <c r="G778" s="3"/>
      <c r="H778" s="9">
        <v>45741</v>
      </c>
      <c r="I778" s="3" t="s">
        <v>37</v>
      </c>
      <c r="J778" s="3" t="str">
        <f>VLOOKUP(A778,'TODOS OS PROCESSOS ATUALIZADOS '!A:I,7,0)</f>
        <v>Cancelada</v>
      </c>
      <c r="K778" s="3" t="s">
        <v>38</v>
      </c>
      <c r="L778" s="3" t="str">
        <f t="shared" si="3"/>
        <v>Item não atualizado</v>
      </c>
      <c r="M778" s="3"/>
      <c r="N778" s="3" t="s">
        <v>38</v>
      </c>
      <c r="O778" s="3" t="s">
        <v>39</v>
      </c>
    </row>
    <row r="779" spans="1:17" ht="22.5" customHeight="1" x14ac:dyDescent="0.2">
      <c r="A779" s="3" t="s">
        <v>1517</v>
      </c>
      <c r="B779" s="3" t="str">
        <f ca="1">IFERROR(__xludf.DUMMYFUNCTION("REGEXEXTRACT(A779, ""\.(?:GOV|EXT)\.([A-Z0-9\-]+)"")
"),"HOF")</f>
        <v>HOF</v>
      </c>
      <c r="C779" s="3" t="s">
        <v>34</v>
      </c>
      <c r="D779" s="3" t="s">
        <v>1216</v>
      </c>
      <c r="E779" s="14" t="str">
        <f ca="1">IFERROR(__xludf.DUMMYFUNCTION("REGEXEXTRACT(A779, ""-(.*)"")"),"ARP.0006.05.2025.GOV.HOF.PE")</f>
        <v>ARP.0006.05.2025.GOV.HOF.PE</v>
      </c>
      <c r="F779" s="3" t="s">
        <v>1518</v>
      </c>
      <c r="G779" s="3" t="s">
        <v>4</v>
      </c>
      <c r="H779" s="9">
        <v>45737</v>
      </c>
      <c r="I779" s="3" t="s">
        <v>37</v>
      </c>
      <c r="J779" s="3" t="str">
        <f>VLOOKUP(A779,'TODOS OS PROCESSOS ATUALIZADOS '!A:I,7,0)</f>
        <v>Cancelada</v>
      </c>
      <c r="K779" s="3" t="s">
        <v>38</v>
      </c>
      <c r="L779" s="3" t="str">
        <f t="shared" si="3"/>
        <v>Item não atualizado</v>
      </c>
      <c r="M779" s="3"/>
      <c r="N779" s="3" t="s">
        <v>38</v>
      </c>
      <c r="O779" s="3" t="s">
        <v>39</v>
      </c>
    </row>
    <row r="780" spans="1:17" ht="22.5" customHeight="1" x14ac:dyDescent="0.2">
      <c r="A780" s="3" t="s">
        <v>1519</v>
      </c>
      <c r="B780" s="3" t="str">
        <f ca="1">IFERROR(__xludf.DUMMYFUNCTION("REGEXEXTRACT(A780, ""\.(?:GOV|EXT)\.([A-Z0-9\-]+)"")
"),"HOF")</f>
        <v>HOF</v>
      </c>
      <c r="C780" s="3" t="s">
        <v>34</v>
      </c>
      <c r="D780" s="3" t="s">
        <v>1216</v>
      </c>
      <c r="E780" s="14" t="str">
        <f ca="1">IFERROR(__xludf.DUMMYFUNCTION("REGEXEXTRACT(A780, ""-(.*)"")"),"ARP.0006.04.2025.GOV.HOF.PE")</f>
        <v>ARP.0006.04.2025.GOV.HOF.PE</v>
      </c>
      <c r="F780" s="3" t="s">
        <v>1518</v>
      </c>
      <c r="G780" s="3" t="s">
        <v>4</v>
      </c>
      <c r="H780" s="9">
        <v>45737</v>
      </c>
      <c r="I780" s="3" t="s">
        <v>37</v>
      </c>
      <c r="J780" s="3" t="str">
        <f>VLOOKUP(A780,'TODOS OS PROCESSOS ATUALIZADOS '!A:I,7,0)</f>
        <v>Cancelada</v>
      </c>
      <c r="K780" s="3" t="s">
        <v>38</v>
      </c>
      <c r="L780" s="3" t="str">
        <f t="shared" si="3"/>
        <v>Item não atualizado</v>
      </c>
      <c r="M780" s="3"/>
      <c r="N780" s="3" t="s">
        <v>38</v>
      </c>
      <c r="O780" s="3" t="s">
        <v>39</v>
      </c>
    </row>
    <row r="781" spans="1:17" ht="22.5" customHeight="1" x14ac:dyDescent="0.2">
      <c r="A781" s="3" t="s">
        <v>1520</v>
      </c>
      <c r="B781" s="3" t="str">
        <f ca="1">IFERROR(__xludf.DUMMYFUNCTION("REGEXEXTRACT(A781, ""\.(?:GOV|EXT)\.([A-Z0-9\-]+)"")
"),"HOF")</f>
        <v>HOF</v>
      </c>
      <c r="C781" s="3" t="s">
        <v>34</v>
      </c>
      <c r="D781" s="3" t="s">
        <v>1216</v>
      </c>
      <c r="E781" s="14" t="str">
        <f ca="1">IFERROR(__xludf.DUMMYFUNCTION("REGEXEXTRACT(A781, ""-(.*)"")"),"ARP.0006.02.2025.GOV.HOF.PE")</f>
        <v>ARP.0006.02.2025.GOV.HOF.PE</v>
      </c>
      <c r="F781" s="3" t="s">
        <v>1518</v>
      </c>
      <c r="G781" s="3"/>
      <c r="H781" s="9">
        <v>45737</v>
      </c>
      <c r="I781" s="3" t="s">
        <v>44</v>
      </c>
      <c r="J781" s="3" t="str">
        <f>VLOOKUP(A781,'TODOS OS PROCESSOS ATUALIZADOS '!A:I,7,0)</f>
        <v>Autorizada Sucesso</v>
      </c>
      <c r="K781" s="3" t="s">
        <v>44</v>
      </c>
      <c r="L781" s="3" t="str">
        <f t="shared" si="3"/>
        <v>Item atualizado</v>
      </c>
      <c r="M781" s="3"/>
      <c r="N781" s="3" t="s">
        <v>44</v>
      </c>
      <c r="O781" s="3" t="s">
        <v>52</v>
      </c>
      <c r="P781" s="3" t="s">
        <v>1521</v>
      </c>
    </row>
    <row r="782" spans="1:17" ht="22.5" customHeight="1" x14ac:dyDescent="0.2">
      <c r="A782" s="3" t="s">
        <v>1522</v>
      </c>
      <c r="B782" s="3" t="str">
        <f ca="1">IFERROR(__xludf.DUMMYFUNCTION("REGEXEXTRACT(A782, ""\.(?:GOV|EXT)\.([A-Z0-9\-]+)"")
"),"SAD")</f>
        <v>SAD</v>
      </c>
      <c r="C782" s="3" t="s">
        <v>34</v>
      </c>
      <c r="D782" s="3" t="s">
        <v>1216</v>
      </c>
      <c r="E782" s="14" t="str">
        <f ca="1">IFERROR(__xludf.DUMMYFUNCTION("REGEXEXTRACT(A782, ""-(.*)"")"),"ARPC.0006.00.2025.GOV.SAD.PE")</f>
        <v>ARPC.0006.00.2025.GOV.SAD.PE</v>
      </c>
      <c r="F782" s="3" t="s">
        <v>1429</v>
      </c>
      <c r="G782" s="3" t="s">
        <v>2</v>
      </c>
      <c r="H782" s="9">
        <v>45736</v>
      </c>
      <c r="I782" s="3" t="s">
        <v>37</v>
      </c>
      <c r="J782" s="3" t="str">
        <f>VLOOKUP(A782,'TODOS OS PROCESSOS ATUALIZADOS '!A:I,7,0)</f>
        <v>Em configuração</v>
      </c>
      <c r="K782" s="3" t="s">
        <v>42</v>
      </c>
      <c r="L782" s="3" t="str">
        <f t="shared" si="3"/>
        <v>Item atualizado</v>
      </c>
      <c r="M782" s="3"/>
      <c r="N782" s="3" t="s">
        <v>42</v>
      </c>
      <c r="O782" s="3" t="s">
        <v>39</v>
      </c>
      <c r="P782" s="3"/>
      <c r="Q782" s="3"/>
    </row>
    <row r="783" spans="1:17" ht="22.5" customHeight="1" x14ac:dyDescent="0.2">
      <c r="A783" s="3" t="s">
        <v>1523</v>
      </c>
      <c r="B783" s="3" t="str">
        <f ca="1">IFERROR(__xludf.DUMMYFUNCTION("REGEXEXTRACT(A783, ""\.(?:GOV|EXT)\.([A-Z0-9\-]+)"")
"),"FES-PE")</f>
        <v>FES-PE</v>
      </c>
      <c r="C783" s="3" t="s">
        <v>34</v>
      </c>
      <c r="D783" s="3" t="s">
        <v>1216</v>
      </c>
      <c r="E783" s="14" t="str">
        <f ca="1">IFERROR(__xludf.DUMMYFUNCTION("REGEXEXTRACT(A783, ""-(.*)"")"),"ARP.0048.03.2025.GOV.FES-PE.PE")</f>
        <v>ARP.0048.03.2025.GOV.FES-PE.PE</v>
      </c>
      <c r="F783" s="3" t="s">
        <v>1524</v>
      </c>
      <c r="G783" s="3"/>
      <c r="H783" s="9">
        <v>45736</v>
      </c>
      <c r="I783" s="3" t="s">
        <v>44</v>
      </c>
      <c r="J783" s="3" t="str">
        <f>VLOOKUP(A783,'TODOS OS PROCESSOS ATUALIZADOS '!A:I,7,0)</f>
        <v>Autorizada Sucesso</v>
      </c>
      <c r="K783" s="3" t="s">
        <v>44</v>
      </c>
      <c r="L783" s="3" t="str">
        <f t="shared" si="3"/>
        <v>Item atualizado</v>
      </c>
      <c r="M783" s="3"/>
      <c r="N783" s="3" t="s">
        <v>44</v>
      </c>
      <c r="O783" s="3" t="s">
        <v>52</v>
      </c>
      <c r="P783" s="3" t="s">
        <v>1525</v>
      </c>
    </row>
    <row r="784" spans="1:17" ht="22.5" customHeight="1" x14ac:dyDescent="0.2">
      <c r="A784" s="3" t="s">
        <v>1526</v>
      </c>
      <c r="B784" s="3" t="str">
        <f ca="1">IFERROR(__xludf.DUMMYFUNCTION("REGEXEXTRACT(A784, ""\.(?:GOV|EXT)\.([A-Z0-9\-]+)"")
"),"FES-PE")</f>
        <v>FES-PE</v>
      </c>
      <c r="C784" s="3" t="s">
        <v>34</v>
      </c>
      <c r="D784" s="3" t="s">
        <v>1216</v>
      </c>
      <c r="E784" s="14" t="str">
        <f ca="1">IFERROR(__xludf.DUMMYFUNCTION("REGEXEXTRACT(A784, ""-(.*)"")"),"ARP.0048.02.2025.GOV.FES-PE.PE")</f>
        <v>ARP.0048.02.2025.GOV.FES-PE.PE</v>
      </c>
      <c r="F784" s="3" t="s">
        <v>1524</v>
      </c>
      <c r="G784" s="3" t="s">
        <v>4</v>
      </c>
      <c r="H784" s="9">
        <v>45736</v>
      </c>
      <c r="I784" s="3" t="s">
        <v>37</v>
      </c>
      <c r="J784" s="3" t="str">
        <f>VLOOKUP(A784,'TODOS OS PROCESSOS ATUALIZADOS '!A:I,7,0)</f>
        <v>Cancelada</v>
      </c>
      <c r="K784" s="3" t="s">
        <v>38</v>
      </c>
      <c r="L784" s="3" t="str">
        <f t="shared" si="3"/>
        <v>Item não atualizado</v>
      </c>
      <c r="M784" s="3"/>
      <c r="N784" s="3" t="s">
        <v>38</v>
      </c>
      <c r="O784" s="3" t="s">
        <v>39</v>
      </c>
    </row>
    <row r="785" spans="1:16" ht="22.5" customHeight="1" x14ac:dyDescent="0.2">
      <c r="A785" s="3" t="s">
        <v>1527</v>
      </c>
      <c r="B785" s="3" t="str">
        <f ca="1">IFERROR(__xludf.DUMMYFUNCTION("REGEXEXTRACT(A785, ""\.(?:GOV|EXT)\.([A-Z0-9\-]+)"")
"),"FES-PE")</f>
        <v>FES-PE</v>
      </c>
      <c r="C785" s="3" t="s">
        <v>34</v>
      </c>
      <c r="D785" s="3" t="s">
        <v>1216</v>
      </c>
      <c r="E785" s="14" t="str">
        <f ca="1">IFERROR(__xludf.DUMMYFUNCTION("REGEXEXTRACT(A785, ""-(.*)"")"),"ARP.0048.02.2025.GOV.FES-PE.PE")</f>
        <v>ARP.0048.02.2025.GOV.FES-PE.PE</v>
      </c>
      <c r="F785" s="3" t="s">
        <v>1524</v>
      </c>
      <c r="G785" s="3"/>
      <c r="H785" s="9">
        <v>45736</v>
      </c>
      <c r="I785" s="3" t="s">
        <v>44</v>
      </c>
      <c r="J785" s="3" t="str">
        <f>VLOOKUP(A785,'TODOS OS PROCESSOS ATUALIZADOS '!A:I,7,0)</f>
        <v>Autorizada Sucesso</v>
      </c>
      <c r="K785" s="3" t="s">
        <v>44</v>
      </c>
      <c r="L785" s="3" t="str">
        <f t="shared" si="3"/>
        <v>Item atualizado</v>
      </c>
      <c r="M785" s="3"/>
      <c r="N785" s="3" t="s">
        <v>44</v>
      </c>
      <c r="O785" s="3" t="s">
        <v>52</v>
      </c>
      <c r="P785" s="3" t="s">
        <v>1528</v>
      </c>
    </row>
    <row r="786" spans="1:16" ht="22.5" customHeight="1" x14ac:dyDescent="0.2">
      <c r="A786" s="3" t="s">
        <v>1529</v>
      </c>
      <c r="B786" s="3" t="str">
        <f ca="1">IFERROR(__xludf.DUMMYFUNCTION("REGEXEXTRACT(A786, ""\.(?:GOV|EXT)\.([A-Z0-9\-]+)"")
"),"FES-PE")</f>
        <v>FES-PE</v>
      </c>
      <c r="C786" s="3" t="s">
        <v>34</v>
      </c>
      <c r="D786" s="3" t="s">
        <v>1216</v>
      </c>
      <c r="E786" s="14" t="str">
        <f ca="1">IFERROR(__xludf.DUMMYFUNCTION("REGEXEXTRACT(A786, ""-(.*)"")"),"ARP.0005.01.2025.GOV.FES-PE.PE")</f>
        <v>ARP.0005.01.2025.GOV.FES-PE.PE</v>
      </c>
      <c r="F786" s="3" t="s">
        <v>1530</v>
      </c>
      <c r="G786" s="3"/>
      <c r="H786" s="9">
        <v>45735</v>
      </c>
      <c r="I786" s="3" t="s">
        <v>44</v>
      </c>
      <c r="J786" s="3" t="str">
        <f>VLOOKUP(A786,'TODOS OS PROCESSOS ATUALIZADOS '!A:I,7,0)</f>
        <v>Autorizada Sucesso</v>
      </c>
      <c r="K786" s="3" t="s">
        <v>44</v>
      </c>
      <c r="L786" s="3" t="str">
        <f t="shared" si="3"/>
        <v>Item atualizado</v>
      </c>
      <c r="M786" s="3"/>
      <c r="N786" s="3" t="s">
        <v>44</v>
      </c>
      <c r="O786" s="3" t="s">
        <v>52</v>
      </c>
      <c r="P786" s="3" t="s">
        <v>1531</v>
      </c>
    </row>
    <row r="787" spans="1:16" ht="22.5" customHeight="1" x14ac:dyDescent="0.2">
      <c r="A787" s="3" t="s">
        <v>1532</v>
      </c>
      <c r="B787" s="3" t="str">
        <f ca="1">IFERROR(__xludf.DUMMYFUNCTION("REGEXEXTRACT(A787, ""\.(?:GOV|EXT)\.([A-Z0-9\-]+)"")
"),"FES-PE")</f>
        <v>FES-PE</v>
      </c>
      <c r="C787" s="3" t="s">
        <v>34</v>
      </c>
      <c r="D787" s="3" t="s">
        <v>1216</v>
      </c>
      <c r="E787" s="14" t="str">
        <f ca="1">IFERROR(__xludf.DUMMYFUNCTION("REGEXEXTRACT(A787, ""-(.*)"")"),"ARP.0048.01.2025.GOV.FES-PE.PE")</f>
        <v>ARP.0048.01.2025.GOV.FES-PE.PE</v>
      </c>
      <c r="F787" s="3" t="s">
        <v>1524</v>
      </c>
      <c r="G787" s="3"/>
      <c r="H787" s="9">
        <v>45733</v>
      </c>
      <c r="I787" s="3" t="s">
        <v>44</v>
      </c>
      <c r="J787" s="3" t="str">
        <f>VLOOKUP(A787,'TODOS OS PROCESSOS ATUALIZADOS '!A:I,7,0)</f>
        <v>Autorizada Sucesso</v>
      </c>
      <c r="K787" s="3" t="s">
        <v>44</v>
      </c>
      <c r="L787" s="3" t="str">
        <f t="shared" si="3"/>
        <v>Item atualizado</v>
      </c>
      <c r="M787" s="3"/>
      <c r="N787" s="3" t="s">
        <v>44</v>
      </c>
      <c r="O787" s="3" t="s">
        <v>52</v>
      </c>
      <c r="P787" s="3" t="s">
        <v>1533</v>
      </c>
    </row>
    <row r="788" spans="1:16" ht="22.5" customHeight="1" x14ac:dyDescent="0.2">
      <c r="A788" s="3" t="s">
        <v>1534</v>
      </c>
      <c r="B788" s="3" t="str">
        <f ca="1">IFERROR(__xludf.DUMMYFUNCTION("REGEXEXTRACT(A788, ""\.(?:GOV|EXT)\.([A-Z0-9\-]+)"")
"),"FES-PE")</f>
        <v>FES-PE</v>
      </c>
      <c r="C788" s="3" t="s">
        <v>34</v>
      </c>
      <c r="D788" s="3" t="s">
        <v>1216</v>
      </c>
      <c r="E788" s="14" t="str">
        <f ca="1">IFERROR(__xludf.DUMMYFUNCTION("REGEXEXTRACT(A788, ""-(.*)"")"),"ARP.0048.00.2025.GOV.FES-PE.PE")</f>
        <v>ARP.0048.00.2025.GOV.FES-PE.PE</v>
      </c>
      <c r="F788" s="3" t="s">
        <v>1524</v>
      </c>
      <c r="G788" s="3"/>
      <c r="H788" s="9">
        <v>45733</v>
      </c>
      <c r="I788" s="3"/>
      <c r="J788" s="3" t="str">
        <f>VLOOKUP(A788,'TODOS OS PROCESSOS ATUALIZADOS '!A:I,7,0)</f>
        <v>Autorizada Sucesso</v>
      </c>
      <c r="K788" s="3" t="s">
        <v>44</v>
      </c>
      <c r="L788" s="3" t="str">
        <f t="shared" si="3"/>
        <v>Item atualizado</v>
      </c>
      <c r="M788" s="3"/>
      <c r="N788" s="3" t="s">
        <v>44</v>
      </c>
      <c r="O788" s="3" t="s">
        <v>52</v>
      </c>
      <c r="P788" s="3" t="s">
        <v>1535</v>
      </c>
    </row>
    <row r="789" spans="1:16" ht="22.5" customHeight="1" x14ac:dyDescent="0.2">
      <c r="A789" s="3" t="s">
        <v>1536</v>
      </c>
      <c r="B789" s="3" t="str">
        <f ca="1">IFERROR(__xludf.DUMMYFUNCTION("REGEXEXTRACT(A789, ""\.(?:GOV|EXT)\.([A-Z0-9\-]+)"")
"),"FES-PE")</f>
        <v>FES-PE</v>
      </c>
      <c r="C789" s="3" t="s">
        <v>34</v>
      </c>
      <c r="D789" s="3" t="s">
        <v>1216</v>
      </c>
      <c r="E789" s="14" t="str">
        <f ca="1">IFERROR(__xludf.DUMMYFUNCTION("REGEXEXTRACT(A789, ""-(.*)"")"),"ARP.0009.02.2025.GOV.FES-PE.PE")</f>
        <v>ARP.0009.02.2025.GOV.FES-PE.PE</v>
      </c>
      <c r="F789" s="6" t="s">
        <v>74</v>
      </c>
      <c r="G789" s="3"/>
      <c r="H789" s="9">
        <v>45728</v>
      </c>
      <c r="I789" s="3" t="s">
        <v>44</v>
      </c>
      <c r="J789" s="3" t="str">
        <f>VLOOKUP(A789,'TODOS OS PROCESSOS ATUALIZADOS '!A:I,7,0)</f>
        <v>Autorizada Sucesso</v>
      </c>
      <c r="K789" s="3" t="s">
        <v>44</v>
      </c>
      <c r="L789" s="3" t="str">
        <f t="shared" si="3"/>
        <v>Item atualizado</v>
      </c>
      <c r="M789" s="3"/>
      <c r="N789" s="3" t="s">
        <v>45</v>
      </c>
      <c r="O789" s="3" t="s">
        <v>39</v>
      </c>
    </row>
    <row r="790" spans="1:16" ht="22.5" customHeight="1" x14ac:dyDescent="0.2">
      <c r="A790" s="3" t="s">
        <v>1537</v>
      </c>
      <c r="B790" s="3" t="str">
        <f ca="1">IFERROR(__xludf.DUMMYFUNCTION("REGEXEXTRACT(A790, ""\.(?:GOV|EXT)\.([A-Z0-9\-]+)"")
"),"CISAM")</f>
        <v>CISAM</v>
      </c>
      <c r="C790" s="3" t="s">
        <v>34</v>
      </c>
      <c r="D790" s="3" t="s">
        <v>1216</v>
      </c>
      <c r="E790" s="14" t="str">
        <f ca="1">IFERROR(__xludf.DUMMYFUNCTION("REGEXEXTRACT(A790, ""-(.*)"")"),"ARP.0010.00.2025.GOV.CISAM.PE")</f>
        <v>ARP.0010.00.2025.GOV.CISAM.PE</v>
      </c>
      <c r="F790" s="6" t="s">
        <v>348</v>
      </c>
      <c r="G790" s="3"/>
      <c r="H790" s="9">
        <v>45728</v>
      </c>
      <c r="I790" s="3" t="s">
        <v>44</v>
      </c>
      <c r="J790" s="3" t="str">
        <f>VLOOKUP(A790,'TODOS OS PROCESSOS ATUALIZADOS '!A:I,7,0)</f>
        <v>Autorizada Sucesso</v>
      </c>
      <c r="K790" s="3" t="s">
        <v>44</v>
      </c>
      <c r="L790" s="3" t="str">
        <f t="shared" si="3"/>
        <v>Item atualizado</v>
      </c>
      <c r="M790" s="3"/>
      <c r="N790" s="3" t="s">
        <v>45</v>
      </c>
      <c r="O790" s="3" t="s">
        <v>39</v>
      </c>
    </row>
    <row r="791" spans="1:16" ht="22.5" customHeight="1" x14ac:dyDescent="0.2">
      <c r="A791" s="3" t="s">
        <v>1538</v>
      </c>
      <c r="B791" s="3" t="str">
        <f ca="1">IFERROR(__xludf.DUMMYFUNCTION("REGEXEXTRACT(A791, ""\.(?:GOV|EXT)\.([A-Z0-9\-]+)"")
"),"SAD")</f>
        <v>SAD</v>
      </c>
      <c r="C791" s="3" t="s">
        <v>34</v>
      </c>
      <c r="D791" s="3" t="s">
        <v>1216</v>
      </c>
      <c r="E791" s="14" t="str">
        <f ca="1">IFERROR(__xludf.DUMMYFUNCTION("REGEXEXTRACT(A791, ""-(.*)"")"),"ARPC.0001.00.2025.GOV.SAD.PE")</f>
        <v>ARPC.0001.00.2025.GOV.SAD.PE</v>
      </c>
      <c r="F791" s="3" t="s">
        <v>1539</v>
      </c>
      <c r="G791" s="3"/>
      <c r="H791" s="9">
        <v>45728</v>
      </c>
      <c r="I791" s="3" t="s">
        <v>44</v>
      </c>
      <c r="J791" s="3" t="str">
        <f>VLOOKUP(A791,'TODOS OS PROCESSOS ATUALIZADOS '!A:I,7,0)</f>
        <v>Autorizada Sucesso</v>
      </c>
      <c r="K791" s="3" t="s">
        <v>44</v>
      </c>
      <c r="L791" s="3" t="str">
        <f t="shared" si="3"/>
        <v>Item atualizado</v>
      </c>
      <c r="M791" s="3"/>
      <c r="N791" s="3" t="s">
        <v>44</v>
      </c>
      <c r="O791" s="3" t="s">
        <v>52</v>
      </c>
      <c r="P791" s="3" t="s">
        <v>1540</v>
      </c>
    </row>
    <row r="792" spans="1:16" ht="22.5" customHeight="1" x14ac:dyDescent="0.2">
      <c r="A792" s="3" t="s">
        <v>1541</v>
      </c>
      <c r="B792" s="3" t="str">
        <f ca="1">IFERROR(__xludf.DUMMYFUNCTION("REGEXEXTRACT(A792, ""\.(?:GOV|EXT)\.([A-Z0-9\-]+)"")
"),"SAD")</f>
        <v>SAD</v>
      </c>
      <c r="C792" s="3" t="s">
        <v>34</v>
      </c>
      <c r="D792" s="3" t="s">
        <v>1216</v>
      </c>
      <c r="E792" s="14" t="str">
        <f ca="1">IFERROR(__xludf.DUMMYFUNCTION("REGEXEXTRACT(A792, ""-(.*)"")"),"ARPC.0011.00.2025.GOV.SAD.PE")</f>
        <v>ARPC.0011.00.2025.GOV.SAD.PE</v>
      </c>
      <c r="F792" s="3" t="s">
        <v>1542</v>
      </c>
      <c r="G792" s="3"/>
      <c r="H792" s="9">
        <v>45728</v>
      </c>
      <c r="I792" s="3" t="s">
        <v>44</v>
      </c>
      <c r="J792" s="3" t="str">
        <f>VLOOKUP(A792,'TODOS OS PROCESSOS ATUALIZADOS '!A:I,7,0)</f>
        <v>Autorizada Sucesso</v>
      </c>
      <c r="K792" s="3" t="s">
        <v>44</v>
      </c>
      <c r="L792" s="3" t="str">
        <f t="shared" si="3"/>
        <v>Item atualizado</v>
      </c>
      <c r="M792" s="3"/>
      <c r="N792" s="3" t="s">
        <v>44</v>
      </c>
      <c r="O792" s="3" t="s">
        <v>52</v>
      </c>
      <c r="P792" s="3" t="s">
        <v>1543</v>
      </c>
    </row>
    <row r="793" spans="1:16" ht="22.5" customHeight="1" x14ac:dyDescent="0.2">
      <c r="A793" s="3" t="s">
        <v>1544</v>
      </c>
      <c r="B793" s="3" t="str">
        <f ca="1">IFERROR(__xludf.DUMMYFUNCTION("REGEXEXTRACT(A793, ""\.(?:GOV|EXT)\.([A-Z0-9\-]+)"")
"),"SAD")</f>
        <v>SAD</v>
      </c>
      <c r="C793" s="3" t="s">
        <v>34</v>
      </c>
      <c r="D793" s="3" t="s">
        <v>1216</v>
      </c>
      <c r="E793" s="14" t="str">
        <f ca="1">IFERROR(__xludf.DUMMYFUNCTION("REGEXEXTRACT(A793, ""-(.*)"")"),"ARPC.0002.00.2025.GOV.SAD.PE")</f>
        <v>ARPC.0002.00.2025.GOV.SAD.PE</v>
      </c>
      <c r="F793" s="3" t="s">
        <v>1545</v>
      </c>
      <c r="G793" s="3"/>
      <c r="H793" s="9">
        <v>45727</v>
      </c>
      <c r="I793" s="3" t="s">
        <v>44</v>
      </c>
      <c r="J793" s="3" t="str">
        <f>VLOOKUP(A793,'TODOS OS PROCESSOS ATUALIZADOS '!A:I,7,0)</f>
        <v>Autorizada Sucesso</v>
      </c>
      <c r="K793" s="3" t="s">
        <v>44</v>
      </c>
      <c r="L793" s="3" t="str">
        <f t="shared" si="3"/>
        <v>Item atualizado</v>
      </c>
      <c r="M793" s="3"/>
      <c r="N793" s="3" t="s">
        <v>44</v>
      </c>
      <c r="O793" s="3" t="s">
        <v>52</v>
      </c>
      <c r="P793" s="3" t="s">
        <v>1546</v>
      </c>
    </row>
    <row r="794" spans="1:16" ht="22.5" customHeight="1" x14ac:dyDescent="0.2">
      <c r="A794" s="3" t="s">
        <v>1547</v>
      </c>
      <c r="B794" s="3" t="str">
        <f ca="1">IFERROR(__xludf.DUMMYFUNCTION("REGEXEXTRACT(A794, ""\.(?:GOV|EXT)\.([A-Z0-9\-]+)"")
"),"FES-PE")</f>
        <v>FES-PE</v>
      </c>
      <c r="C794" s="3" t="s">
        <v>34</v>
      </c>
      <c r="D794" s="3" t="s">
        <v>1216</v>
      </c>
      <c r="E794" s="14" t="str">
        <f ca="1">IFERROR(__xludf.DUMMYFUNCTION("REGEXEXTRACT(A794, ""-(.*)"")"),"ARP.0034.00.2025.GOV.FES-PE.PE")</f>
        <v>ARP.0034.00.2025.GOV.FES-PE.PE</v>
      </c>
      <c r="F794" s="3" t="s">
        <v>1548</v>
      </c>
      <c r="G794" s="3"/>
      <c r="H794" s="9">
        <v>45718</v>
      </c>
      <c r="I794" s="3" t="s">
        <v>44</v>
      </c>
      <c r="J794" s="3" t="str">
        <f>VLOOKUP(A794,'TODOS OS PROCESSOS ATUALIZADOS '!A:I,7,0)</f>
        <v>Autorizada Sucesso</v>
      </c>
      <c r="K794" s="3" t="s">
        <v>44</v>
      </c>
      <c r="L794" s="3" t="str">
        <f t="shared" si="3"/>
        <v>Item atualizado</v>
      </c>
      <c r="M794" s="3"/>
      <c r="N794" s="3" t="s">
        <v>44</v>
      </c>
      <c r="O794" s="3" t="s">
        <v>52</v>
      </c>
      <c r="P794" s="3" t="s">
        <v>1549</v>
      </c>
    </row>
    <row r="795" spans="1:16" ht="22.5" customHeight="1" x14ac:dyDescent="0.2">
      <c r="A795" s="3" t="s">
        <v>1550</v>
      </c>
      <c r="B795" s="3" t="str">
        <f ca="1">IFERROR(__xludf.DUMMYFUNCTION("REGEXEXTRACT(A795, ""\.(?:GOV|EXT)\.([A-Z0-9\-]+)"")
"),"FES-PE")</f>
        <v>FES-PE</v>
      </c>
      <c r="C795" s="3" t="s">
        <v>34</v>
      </c>
      <c r="D795" s="3" t="s">
        <v>1216</v>
      </c>
      <c r="E795" s="14" t="str">
        <f ca="1">IFERROR(__xludf.DUMMYFUNCTION("REGEXEXTRACT(A795, ""-(.*)"")"),"ARP.0034.01.2025.GOV.FES-PE.PE")</f>
        <v>ARP.0034.01.2025.GOV.FES-PE.PE</v>
      </c>
      <c r="F795" s="3" t="s">
        <v>1548</v>
      </c>
      <c r="G795" s="3" t="s">
        <v>1</v>
      </c>
      <c r="H795" s="9">
        <v>45718</v>
      </c>
      <c r="I795" s="3" t="s">
        <v>37</v>
      </c>
      <c r="J795" s="3" t="str">
        <f>VLOOKUP(A795,'TODOS OS PROCESSOS ATUALIZADOS '!A:I,7,0)</f>
        <v>Cancelada</v>
      </c>
      <c r="K795" s="3" t="s">
        <v>38</v>
      </c>
      <c r="L795" s="3" t="str">
        <f t="shared" si="3"/>
        <v>Item não atualizado</v>
      </c>
      <c r="M795" s="3"/>
      <c r="N795" s="3" t="s">
        <v>38</v>
      </c>
      <c r="O795" s="3" t="s">
        <v>39</v>
      </c>
    </row>
    <row r="796" spans="1:16" ht="22.5" customHeight="1" x14ac:dyDescent="0.2">
      <c r="A796" s="3" t="s">
        <v>1551</v>
      </c>
      <c r="B796" s="3" t="str">
        <f ca="1">IFERROR(__xludf.DUMMYFUNCTION("REGEXEXTRACT(A796, ""\.(?:GOV|EXT)\.([A-Z0-9\-]+)"")
"),"FES-PE")</f>
        <v>FES-PE</v>
      </c>
      <c r="C796" s="3" t="s">
        <v>34</v>
      </c>
      <c r="D796" s="3" t="s">
        <v>1216</v>
      </c>
      <c r="E796" s="14" t="str">
        <f ca="1">IFERROR(__xludf.DUMMYFUNCTION("REGEXEXTRACT(A796, ""-(.*)"")"),"ARP.0033.00.2025.GOV.FES-PE.PE")</f>
        <v>ARP.0033.00.2025.GOV.FES-PE.PE</v>
      </c>
      <c r="F796" s="3" t="s">
        <v>1552</v>
      </c>
      <c r="G796" s="3" t="s">
        <v>3</v>
      </c>
      <c r="H796" s="9">
        <v>45718</v>
      </c>
      <c r="I796" s="3" t="s">
        <v>37</v>
      </c>
      <c r="J796" s="3" t="str">
        <f>VLOOKUP(A796,'TODOS OS PROCESSOS ATUALIZADOS '!A:I,7,0)</f>
        <v>Cancelada</v>
      </c>
      <c r="K796" s="3" t="s">
        <v>38</v>
      </c>
      <c r="L796" s="3" t="str">
        <f t="shared" si="3"/>
        <v>Item não atualizado</v>
      </c>
      <c r="M796" s="3"/>
      <c r="N796" s="3" t="s">
        <v>38</v>
      </c>
      <c r="O796" s="3" t="s">
        <v>39</v>
      </c>
    </row>
    <row r="797" spans="1:16" ht="22.5" customHeight="1" x14ac:dyDescent="0.2">
      <c r="A797" s="3" t="s">
        <v>1553</v>
      </c>
      <c r="B797" s="3" t="str">
        <f ca="1">IFERROR(__xludf.DUMMYFUNCTION("REGEXEXTRACT(A797, ""\.(?:GOV|EXT)\.([A-Z0-9\-]+)"")
"),"FES-PE")</f>
        <v>FES-PE</v>
      </c>
      <c r="C797" s="3" t="s">
        <v>34</v>
      </c>
      <c r="D797" s="3" t="s">
        <v>1216</v>
      </c>
      <c r="E797" s="14" t="str">
        <f ca="1">IFERROR(__xludf.DUMMYFUNCTION("REGEXEXTRACT(A797, ""-(.*)"")"),"ARP.0020.05.2025.GOV.FES-PE.PE")</f>
        <v>ARP.0020.05.2025.GOV.FES-PE.PE</v>
      </c>
      <c r="F797" s="3" t="s">
        <v>1554</v>
      </c>
      <c r="G797" s="3" t="s">
        <v>3</v>
      </c>
      <c r="H797" s="9">
        <v>45718</v>
      </c>
      <c r="I797" s="3" t="s">
        <v>37</v>
      </c>
      <c r="J797" s="3" t="str">
        <f>VLOOKUP(A797,'TODOS OS PROCESSOS ATUALIZADOS '!A:I,7,0)</f>
        <v>Cancelada</v>
      </c>
      <c r="K797" s="3" t="s">
        <v>38</v>
      </c>
      <c r="L797" s="3" t="str">
        <f t="shared" si="3"/>
        <v>Item não atualizado</v>
      </c>
      <c r="M797" s="3"/>
      <c r="N797" s="3" t="s">
        <v>38</v>
      </c>
      <c r="O797" s="3" t="s">
        <v>39</v>
      </c>
    </row>
    <row r="798" spans="1:16" ht="22.5" customHeight="1" x14ac:dyDescent="0.2">
      <c r="A798" s="3" t="s">
        <v>1555</v>
      </c>
      <c r="B798" s="3" t="str">
        <f ca="1">IFERROR(__xludf.DUMMYFUNCTION("REGEXEXTRACT(A798, ""\.(?:GOV|EXT)\.([A-Z0-9\-]+)"")
"),"FES-PE")</f>
        <v>FES-PE</v>
      </c>
      <c r="C798" s="3" t="s">
        <v>34</v>
      </c>
      <c r="D798" s="3" t="s">
        <v>1216</v>
      </c>
      <c r="E798" s="14" t="str">
        <f ca="1">IFERROR(__xludf.DUMMYFUNCTION("REGEXEXTRACT(A798, ""-(.*)"")"),"ARP.0020.03.2025.GOV.FES-PE.PE")</f>
        <v>ARP.0020.03.2025.GOV.FES-PE.PE</v>
      </c>
      <c r="F798" s="3" t="s">
        <v>1554</v>
      </c>
      <c r="G798" s="3" t="s">
        <v>3</v>
      </c>
      <c r="H798" s="9">
        <v>45718</v>
      </c>
      <c r="I798" s="3" t="s">
        <v>37</v>
      </c>
      <c r="J798" s="3" t="str">
        <f>VLOOKUP(A798,'TODOS OS PROCESSOS ATUALIZADOS '!A:I,7,0)</f>
        <v>Cancelada</v>
      </c>
      <c r="K798" s="3" t="s">
        <v>38</v>
      </c>
      <c r="L798" s="3" t="str">
        <f t="shared" si="3"/>
        <v>Item não atualizado</v>
      </c>
      <c r="M798" s="3"/>
      <c r="N798" s="3" t="s">
        <v>38</v>
      </c>
      <c r="O798" s="3" t="s">
        <v>39</v>
      </c>
    </row>
    <row r="799" spans="1:16" ht="22.5" customHeight="1" x14ac:dyDescent="0.2">
      <c r="A799" s="3" t="s">
        <v>1556</v>
      </c>
      <c r="B799" s="3" t="str">
        <f ca="1">IFERROR(__xludf.DUMMYFUNCTION("REGEXEXTRACT(A799, ""\.(?:GOV|EXT)\.([A-Z0-9\-]+)"")
"),"FES-PE")</f>
        <v>FES-PE</v>
      </c>
      <c r="C799" s="3" t="s">
        <v>34</v>
      </c>
      <c r="D799" s="3" t="s">
        <v>1216</v>
      </c>
      <c r="E799" s="14" t="str">
        <f ca="1">IFERROR(__xludf.DUMMYFUNCTION("REGEXEXTRACT(A799, ""-(.*)"")"),"ARP.0003.01.2025.GOV.FES-PE.PE")</f>
        <v>ARP.0003.01.2025.GOV.FES-PE.PE</v>
      </c>
      <c r="F799" s="6" t="s">
        <v>1217</v>
      </c>
      <c r="G799" s="3"/>
      <c r="H799" s="9">
        <v>45715</v>
      </c>
      <c r="I799" s="3" t="s">
        <v>44</v>
      </c>
      <c r="J799" s="3" t="str">
        <f>VLOOKUP(A799,'TODOS OS PROCESSOS ATUALIZADOS '!A:I,7,0)</f>
        <v>Autorizada Sucesso</v>
      </c>
      <c r="K799" s="3" t="s">
        <v>44</v>
      </c>
      <c r="L799" s="3" t="str">
        <f t="shared" si="3"/>
        <v>Item atualizado</v>
      </c>
      <c r="M799" s="3"/>
      <c r="N799" s="3" t="s">
        <v>45</v>
      </c>
      <c r="O799" s="3" t="s">
        <v>39</v>
      </c>
    </row>
    <row r="800" spans="1:16" ht="22.5" customHeight="1" x14ac:dyDescent="0.2">
      <c r="A800" s="3" t="s">
        <v>1557</v>
      </c>
      <c r="B800" s="3" t="str">
        <f ca="1">IFERROR(__xludf.DUMMYFUNCTION("REGEXEXTRACT(A800, ""\.(?:GOV|EXT)\.([A-Z0-9\-]+)"")
"),"CISAM")</f>
        <v>CISAM</v>
      </c>
      <c r="C800" s="3" t="s">
        <v>34</v>
      </c>
      <c r="D800" s="3" t="s">
        <v>1216</v>
      </c>
      <c r="E800" s="14" t="str">
        <f ca="1">IFERROR(__xludf.DUMMYFUNCTION("REGEXEXTRACT(A800, ""-(.*)"")"),"ARP.0010.00.2025.GOV.CISAM.PE")</f>
        <v>ARP.0010.00.2025.GOV.CISAM.PE</v>
      </c>
      <c r="F800" s="3" t="s">
        <v>348</v>
      </c>
      <c r="G800" s="3"/>
      <c r="H800" s="9">
        <v>45714</v>
      </c>
      <c r="I800" s="3" t="s">
        <v>37</v>
      </c>
      <c r="J800" s="3" t="str">
        <f>VLOOKUP(A800,'TODOS OS PROCESSOS ATUALIZADOS '!A:I,7,0)</f>
        <v>Não autorizada</v>
      </c>
      <c r="K800" s="3" t="s">
        <v>38</v>
      </c>
      <c r="L800" s="3" t="str">
        <f t="shared" si="3"/>
        <v>Item atualizado</v>
      </c>
      <c r="M800" s="3"/>
      <c r="N800" s="3" t="s">
        <v>38</v>
      </c>
      <c r="O800" s="3" t="s">
        <v>39</v>
      </c>
    </row>
    <row r="801" spans="1:17" ht="22.5" customHeight="1" x14ac:dyDescent="0.2">
      <c r="A801" s="3" t="s">
        <v>1558</v>
      </c>
      <c r="B801" s="3" t="str">
        <f ca="1">IFERROR(__xludf.DUMMYFUNCTION("REGEXEXTRACT(A801, ""\.(?:GOV|EXT)\.([A-Z0-9\-]+)"")
"),"CISAM")</f>
        <v>CISAM</v>
      </c>
      <c r="C801" s="3" t="s">
        <v>34</v>
      </c>
      <c r="D801" s="3" t="s">
        <v>1216</v>
      </c>
      <c r="E801" s="14" t="str">
        <f ca="1">IFERROR(__xludf.DUMMYFUNCTION("REGEXEXTRACT(A801, ""-(.*)"")"),"ARP.0010.00.2025.GOV.CISAM.PE")</f>
        <v>ARP.0010.00.2025.GOV.CISAM.PE</v>
      </c>
      <c r="F801" s="3" t="s">
        <v>348</v>
      </c>
      <c r="G801" s="3"/>
      <c r="H801" s="9">
        <v>45714</v>
      </c>
      <c r="I801" s="3" t="s">
        <v>37</v>
      </c>
      <c r="J801" s="3" t="str">
        <f>VLOOKUP(A801,'TODOS OS PROCESSOS ATUALIZADOS '!A:I,7,0)</f>
        <v>Cancelada</v>
      </c>
      <c r="K801" s="3" t="s">
        <v>38</v>
      </c>
      <c r="L801" s="3" t="str">
        <f t="shared" si="3"/>
        <v>Item não atualizado</v>
      </c>
      <c r="M801" s="3"/>
      <c r="N801" s="3" t="s">
        <v>38</v>
      </c>
      <c r="O801" s="3" t="s">
        <v>39</v>
      </c>
    </row>
    <row r="802" spans="1:17" ht="22.5" customHeight="1" x14ac:dyDescent="0.2">
      <c r="A802" s="3" t="s">
        <v>1559</v>
      </c>
      <c r="B802" s="3" t="str">
        <f ca="1">IFERROR(__xludf.DUMMYFUNCTION("REGEXEXTRACT(A802, ""\.(?:GOV|EXT)\.([A-Z0-9\-]+)"")
"),"FES-PE")</f>
        <v>FES-PE</v>
      </c>
      <c r="C802" s="3" t="s">
        <v>34</v>
      </c>
      <c r="D802" s="3" t="s">
        <v>1216</v>
      </c>
      <c r="E802" s="14" t="str">
        <f ca="1">IFERROR(__xludf.DUMMYFUNCTION("REGEXEXTRACT(A802, ""-(.*)"")"),"ARP.0028.03.2025.GOV.FES-PE.PE")</f>
        <v>ARP.0028.03.2025.GOV.FES-PE.PE</v>
      </c>
      <c r="F802" s="3" t="s">
        <v>1560</v>
      </c>
      <c r="G802" s="3"/>
      <c r="H802" s="9">
        <v>45713</v>
      </c>
      <c r="I802" s="3" t="s">
        <v>37</v>
      </c>
      <c r="J802" s="3" t="str">
        <f>VLOOKUP(A802,'TODOS OS PROCESSOS ATUALIZADOS '!A:I,7,0)</f>
        <v>Cancelada</v>
      </c>
      <c r="K802" s="3" t="s">
        <v>38</v>
      </c>
      <c r="L802" s="3" t="str">
        <f t="shared" si="3"/>
        <v>Item não atualizado</v>
      </c>
      <c r="M802" s="3"/>
      <c r="N802" s="3" t="s">
        <v>38</v>
      </c>
      <c r="O802" s="3" t="s">
        <v>39</v>
      </c>
    </row>
    <row r="803" spans="1:17" ht="22.5" customHeight="1" x14ac:dyDescent="0.2">
      <c r="A803" s="3" t="s">
        <v>1561</v>
      </c>
      <c r="B803" s="3" t="str">
        <f ca="1">IFERROR(__xludf.DUMMYFUNCTION("REGEXEXTRACT(A803, ""\.(?:GOV|EXT)\.([A-Z0-9\-]+)"")
"),"FES-PE")</f>
        <v>FES-PE</v>
      </c>
      <c r="C803" s="3" t="s">
        <v>34</v>
      </c>
      <c r="D803" s="3" t="s">
        <v>1216</v>
      </c>
      <c r="E803" s="14" t="str">
        <f ca="1">IFERROR(__xludf.DUMMYFUNCTION("REGEXEXTRACT(A803, ""-(.*)"")"),"ARP.0028.02.2025.GOV.FES-PE.PE")</f>
        <v>ARP.0028.02.2025.GOV.FES-PE.PE</v>
      </c>
      <c r="F803" s="6" t="s">
        <v>1560</v>
      </c>
      <c r="G803" s="3"/>
      <c r="H803" s="9">
        <v>45713</v>
      </c>
      <c r="I803" s="3" t="s">
        <v>44</v>
      </c>
      <c r="J803" s="3" t="str">
        <f>VLOOKUP(A803,'TODOS OS PROCESSOS ATUALIZADOS '!A:I,7,0)</f>
        <v>Autorizada Sucesso</v>
      </c>
      <c r="K803" s="3" t="s">
        <v>44</v>
      </c>
      <c r="L803" s="3" t="str">
        <f t="shared" si="3"/>
        <v>Item atualizado</v>
      </c>
      <c r="M803" s="3"/>
      <c r="N803" s="3" t="s">
        <v>45</v>
      </c>
      <c r="O803" s="3" t="s">
        <v>39</v>
      </c>
    </row>
    <row r="804" spans="1:17" ht="22.5" customHeight="1" x14ac:dyDescent="0.2">
      <c r="A804" s="3" t="s">
        <v>1562</v>
      </c>
      <c r="B804" s="3" t="str">
        <f ca="1">IFERROR(__xludf.DUMMYFUNCTION("REGEXEXTRACT(A804, ""\.(?:GOV|EXT)\.([A-Z0-9\-]+)"")
"),"FES-PE")</f>
        <v>FES-PE</v>
      </c>
      <c r="C804" s="3" t="s">
        <v>34</v>
      </c>
      <c r="D804" s="3" t="s">
        <v>1216</v>
      </c>
      <c r="E804" s="14" t="str">
        <f ca="1">IFERROR(__xludf.DUMMYFUNCTION("REGEXEXTRACT(A804, ""-(.*)"")"),"ARP.0028.01.2025.GOV.FES-PE.PE")</f>
        <v>ARP.0028.01.2025.GOV.FES-PE.PE</v>
      </c>
      <c r="F804" s="3" t="s">
        <v>1560</v>
      </c>
      <c r="G804" s="3"/>
      <c r="H804" s="9">
        <v>45713</v>
      </c>
      <c r="I804" s="3" t="s">
        <v>37</v>
      </c>
      <c r="J804" s="3" t="str">
        <f>VLOOKUP(A804,'TODOS OS PROCESSOS ATUALIZADOS '!A:I,7,0)</f>
        <v>Cancelada</v>
      </c>
      <c r="K804" s="3" t="s">
        <v>38</v>
      </c>
      <c r="L804" s="3" t="str">
        <f t="shared" si="3"/>
        <v>Item não atualizado</v>
      </c>
      <c r="M804" s="3"/>
      <c r="N804" s="3" t="s">
        <v>38</v>
      </c>
      <c r="O804" s="3" t="s">
        <v>39</v>
      </c>
    </row>
    <row r="805" spans="1:17" ht="22.5" customHeight="1" x14ac:dyDescent="0.2">
      <c r="A805" s="3" t="s">
        <v>1563</v>
      </c>
      <c r="B805" s="3" t="str">
        <f ca="1">IFERROR(__xludf.DUMMYFUNCTION("REGEXEXTRACT(A805, ""\.(?:GOV|EXT)\.([A-Z0-9\-]+)"")
"),"FES-PE")</f>
        <v>FES-PE</v>
      </c>
      <c r="C805" s="3" t="s">
        <v>34</v>
      </c>
      <c r="D805" s="3" t="s">
        <v>1216</v>
      </c>
      <c r="E805" s="14" t="str">
        <f ca="1">IFERROR(__xludf.DUMMYFUNCTION("REGEXEXTRACT(A805, ""-(.*)"")"),"ARP.0028.01.2025.GOV.FES-PE.PE")</f>
        <v>ARP.0028.01.2025.GOV.FES-PE.PE</v>
      </c>
      <c r="F805" s="3" t="s">
        <v>1560</v>
      </c>
      <c r="G805" s="3"/>
      <c r="H805" s="9">
        <v>45713</v>
      </c>
      <c r="I805" s="3" t="s">
        <v>37</v>
      </c>
      <c r="J805" s="3" t="str">
        <f>VLOOKUP(A805,'TODOS OS PROCESSOS ATUALIZADOS '!A:I,7,0)</f>
        <v>Cancelada</v>
      </c>
      <c r="K805" s="3" t="s">
        <v>38</v>
      </c>
      <c r="L805" s="3" t="str">
        <f t="shared" si="3"/>
        <v>Item não atualizado</v>
      </c>
      <c r="M805" s="3"/>
      <c r="N805" s="3" t="s">
        <v>38</v>
      </c>
      <c r="O805" s="3" t="s">
        <v>39</v>
      </c>
    </row>
    <row r="806" spans="1:17" ht="22.5" customHeight="1" x14ac:dyDescent="0.2">
      <c r="A806" s="3" t="s">
        <v>1564</v>
      </c>
      <c r="B806" s="3" t="str">
        <f ca="1">IFERROR(__xludf.DUMMYFUNCTION("REGEXEXTRACT(A806, ""\.(?:GOV|EXT)\.([A-Z0-9\-]+)"")
"),"FES-PE")</f>
        <v>FES-PE</v>
      </c>
      <c r="C806" s="3" t="s">
        <v>34</v>
      </c>
      <c r="D806" s="3" t="s">
        <v>1216</v>
      </c>
      <c r="E806" s="14" t="str">
        <f ca="1">IFERROR(__xludf.DUMMYFUNCTION("REGEXEXTRACT(A806, ""-(.*)"")"),"ARP.0028.00.2025.GOV.FES-PE.PE")</f>
        <v>ARP.0028.00.2025.GOV.FES-PE.PE</v>
      </c>
      <c r="F806" s="3" t="s">
        <v>1560</v>
      </c>
      <c r="G806" s="3" t="s">
        <v>3</v>
      </c>
      <c r="H806" s="9">
        <v>45713</v>
      </c>
      <c r="I806" s="3" t="s">
        <v>37</v>
      </c>
      <c r="J806" s="3" t="str">
        <f>VLOOKUP(A806,'TODOS OS PROCESSOS ATUALIZADOS '!A:I,7,0)</f>
        <v>Encaminhada para o gestor de ata</v>
      </c>
      <c r="K806" s="3" t="s">
        <v>42</v>
      </c>
      <c r="L806" s="3" t="str">
        <f t="shared" si="3"/>
        <v>Item atualizado</v>
      </c>
      <c r="M806" s="3"/>
      <c r="N806" s="3" t="s">
        <v>42</v>
      </c>
      <c r="O806" s="3" t="s">
        <v>39</v>
      </c>
      <c r="P806" s="3"/>
      <c r="Q806" s="3"/>
    </row>
    <row r="807" spans="1:17" ht="22.5" customHeight="1" x14ac:dyDescent="0.2">
      <c r="A807" s="3" t="s">
        <v>1565</v>
      </c>
      <c r="B807" s="3" t="str">
        <f ca="1">IFERROR(__xludf.DUMMYFUNCTION("REGEXEXTRACT(A807, ""\.(?:GOV|EXT)\.([A-Z0-9\-]+)"")
"),"FES-PE")</f>
        <v>FES-PE</v>
      </c>
      <c r="C807" s="3" t="s">
        <v>34</v>
      </c>
      <c r="D807" s="3" t="s">
        <v>1216</v>
      </c>
      <c r="E807" s="14" t="str">
        <f ca="1">IFERROR(__xludf.DUMMYFUNCTION("REGEXEXTRACT(A807, ""-(.*)"")"),"ARP.0022.03.2025.GOV.FES-PE.PE")</f>
        <v>ARP.0022.03.2025.GOV.FES-PE.PE</v>
      </c>
      <c r="F807" s="6" t="s">
        <v>1515</v>
      </c>
      <c r="G807" s="3"/>
      <c r="H807" s="9">
        <v>45713</v>
      </c>
      <c r="I807" s="3" t="s">
        <v>44</v>
      </c>
      <c r="J807" s="3" t="str">
        <f>VLOOKUP(A807,'TODOS OS PROCESSOS ATUALIZADOS '!A:I,7,0)</f>
        <v>Autorizada Sucesso</v>
      </c>
      <c r="K807" s="3" t="s">
        <v>44</v>
      </c>
      <c r="L807" s="3" t="str">
        <f t="shared" si="3"/>
        <v>Item atualizado</v>
      </c>
      <c r="M807" s="3"/>
      <c r="N807" s="3" t="s">
        <v>45</v>
      </c>
      <c r="O807" s="3" t="s">
        <v>39</v>
      </c>
    </row>
    <row r="808" spans="1:17" ht="22.5" customHeight="1" x14ac:dyDescent="0.2">
      <c r="A808" s="3" t="s">
        <v>1566</v>
      </c>
      <c r="B808" s="3" t="str">
        <f ca="1">IFERROR(__xludf.DUMMYFUNCTION("REGEXEXTRACT(A808, ""\.(?:GOV|EXT)\.([A-Z0-9\-]+)"")
"),"FES-PE")</f>
        <v>FES-PE</v>
      </c>
      <c r="C808" s="3" t="s">
        <v>34</v>
      </c>
      <c r="D808" s="3" t="s">
        <v>1216</v>
      </c>
      <c r="E808" s="14" t="str">
        <f ca="1">IFERROR(__xludf.DUMMYFUNCTION("REGEXEXTRACT(A808, ""-(.*)"")"),"ARP.0022.02.2025.GOV.FES-PE.PE")</f>
        <v>ARP.0022.02.2025.GOV.FES-PE.PE</v>
      </c>
      <c r="F808" s="6" t="s">
        <v>1515</v>
      </c>
      <c r="G808" s="3"/>
      <c r="H808" s="9">
        <v>45713</v>
      </c>
      <c r="I808" s="3" t="s">
        <v>44</v>
      </c>
      <c r="J808" s="3" t="str">
        <f>VLOOKUP(A808,'TODOS OS PROCESSOS ATUALIZADOS '!A:I,7,0)</f>
        <v>Autorizada Sucesso</v>
      </c>
      <c r="K808" s="3" t="s">
        <v>44</v>
      </c>
      <c r="L808" s="3" t="str">
        <f t="shared" si="3"/>
        <v>Item atualizado</v>
      </c>
      <c r="M808" s="3"/>
      <c r="N808" s="3" t="s">
        <v>45</v>
      </c>
      <c r="O808" s="3" t="s">
        <v>39</v>
      </c>
    </row>
    <row r="809" spans="1:17" ht="22.5" customHeight="1" x14ac:dyDescent="0.2">
      <c r="A809" s="3" t="s">
        <v>1567</v>
      </c>
      <c r="B809" s="3" t="str">
        <f ca="1">IFERROR(__xludf.DUMMYFUNCTION("REGEXEXTRACT(A809, ""\.(?:GOV|EXT)\.([A-Z0-9\-]+)"")
"),"FES-PE")</f>
        <v>FES-PE</v>
      </c>
      <c r="C809" s="3" t="s">
        <v>34</v>
      </c>
      <c r="D809" s="3" t="s">
        <v>1216</v>
      </c>
      <c r="E809" s="14" t="str">
        <f ca="1">IFERROR(__xludf.DUMMYFUNCTION("REGEXEXTRACT(A809, ""-(.*)"")"),"ARP.0027.00.2025.GOV.FES-PE.PE")</f>
        <v>ARP.0027.00.2025.GOV.FES-PE.PE</v>
      </c>
      <c r="F809" s="6" t="s">
        <v>1568</v>
      </c>
      <c r="G809" s="3"/>
      <c r="H809" s="9">
        <v>45713</v>
      </c>
      <c r="I809" s="3" t="s">
        <v>44</v>
      </c>
      <c r="J809" s="3" t="str">
        <f>VLOOKUP(A809,'TODOS OS PROCESSOS ATUALIZADOS '!A:I,7,0)</f>
        <v>Autorizada Sucesso</v>
      </c>
      <c r="K809" s="3" t="s">
        <v>44</v>
      </c>
      <c r="L809" s="3" t="str">
        <f t="shared" si="3"/>
        <v>Item atualizado</v>
      </c>
      <c r="M809" s="3"/>
      <c r="N809" s="3" t="s">
        <v>45</v>
      </c>
      <c r="O809" s="3" t="s">
        <v>39</v>
      </c>
    </row>
    <row r="810" spans="1:17" ht="22.5" customHeight="1" x14ac:dyDescent="0.2">
      <c r="A810" s="3" t="s">
        <v>1569</v>
      </c>
      <c r="B810" s="3" t="str">
        <f ca="1">IFERROR(__xludf.DUMMYFUNCTION("REGEXEXTRACT(A810, ""\.(?:GOV|EXT)\.([A-Z0-9\-]+)"")
"),"FES-PE")</f>
        <v>FES-PE</v>
      </c>
      <c r="C810" s="3" t="s">
        <v>34</v>
      </c>
      <c r="D810" s="3" t="s">
        <v>1216</v>
      </c>
      <c r="E810" s="14" t="str">
        <f ca="1">IFERROR(__xludf.DUMMYFUNCTION("REGEXEXTRACT(A810, ""-(.*)"")"),"ARP.0027.01.2025.GOV.FES-PE.PE")</f>
        <v>ARP.0027.01.2025.GOV.FES-PE.PE</v>
      </c>
      <c r="F810" s="6" t="s">
        <v>1568</v>
      </c>
      <c r="G810" s="3"/>
      <c r="H810" s="9">
        <v>45713</v>
      </c>
      <c r="I810" s="3" t="s">
        <v>44</v>
      </c>
      <c r="J810" s="3" t="str">
        <f>VLOOKUP(A810,'TODOS OS PROCESSOS ATUALIZADOS '!A:I,7,0)</f>
        <v>Autorizada Sucesso</v>
      </c>
      <c r="K810" s="3" t="s">
        <v>44</v>
      </c>
      <c r="L810" s="3" t="str">
        <f t="shared" si="3"/>
        <v>Item atualizado</v>
      </c>
      <c r="M810" s="3"/>
      <c r="N810" s="3" t="s">
        <v>45</v>
      </c>
      <c r="O810" s="3" t="s">
        <v>39</v>
      </c>
    </row>
    <row r="811" spans="1:17" ht="22.5" customHeight="1" x14ac:dyDescent="0.2">
      <c r="A811" s="3" t="s">
        <v>1570</v>
      </c>
      <c r="B811" s="3" t="str">
        <f ca="1">IFERROR(__xludf.DUMMYFUNCTION("REGEXEXTRACT(A811, ""\.(?:GOV|EXT)\.([A-Z0-9\-]+)"")
"),"FES-PE")</f>
        <v>FES-PE</v>
      </c>
      <c r="C811" s="3" t="s">
        <v>34</v>
      </c>
      <c r="D811" s="3" t="s">
        <v>1216</v>
      </c>
      <c r="E811" s="14" t="str">
        <f ca="1">IFERROR(__xludf.DUMMYFUNCTION("REGEXEXTRACT(A811, ""-(.*)"")"),"ARP.0027.04.2025.GOV.FES-PE.PE")</f>
        <v>ARP.0027.04.2025.GOV.FES-PE.PE</v>
      </c>
      <c r="F811" s="6" t="s">
        <v>1568</v>
      </c>
      <c r="G811" s="3"/>
      <c r="H811" s="9">
        <v>45713</v>
      </c>
      <c r="I811" s="3" t="s">
        <v>44</v>
      </c>
      <c r="J811" s="3" t="str">
        <f>VLOOKUP(A811,'TODOS OS PROCESSOS ATUALIZADOS '!A:I,7,0)</f>
        <v>Autorizada Sucesso</v>
      </c>
      <c r="K811" s="3" t="s">
        <v>44</v>
      </c>
      <c r="L811" s="3" t="str">
        <f t="shared" si="3"/>
        <v>Item atualizado</v>
      </c>
      <c r="M811" s="3"/>
      <c r="N811" s="3" t="s">
        <v>45</v>
      </c>
      <c r="O811" s="3" t="s">
        <v>39</v>
      </c>
    </row>
    <row r="812" spans="1:17" ht="22.5" customHeight="1" x14ac:dyDescent="0.2">
      <c r="A812" s="3" t="s">
        <v>1571</v>
      </c>
      <c r="B812" s="3" t="str">
        <f ca="1">IFERROR(__xludf.DUMMYFUNCTION("REGEXEXTRACT(A812, ""\.(?:GOV|EXT)\.([A-Z0-9\-]+)"")
"),"FES-PE")</f>
        <v>FES-PE</v>
      </c>
      <c r="C812" s="3" t="s">
        <v>34</v>
      </c>
      <c r="D812" s="3" t="s">
        <v>1216</v>
      </c>
      <c r="E812" s="14" t="str">
        <f ca="1">IFERROR(__xludf.DUMMYFUNCTION("REGEXEXTRACT(A812, ""-(.*)"")"),"ARP.0027.05.2025.GOV.FES-PE.PE")</f>
        <v>ARP.0027.05.2025.GOV.FES-PE.PE</v>
      </c>
      <c r="F812" s="6" t="s">
        <v>1568</v>
      </c>
      <c r="G812" s="3"/>
      <c r="H812" s="9">
        <v>45713</v>
      </c>
      <c r="I812" s="3" t="s">
        <v>44</v>
      </c>
      <c r="J812" s="3" t="str">
        <f>VLOOKUP(A812,'TODOS OS PROCESSOS ATUALIZADOS '!A:I,7,0)</f>
        <v>Autorizada Sucesso</v>
      </c>
      <c r="K812" s="3" t="s">
        <v>44</v>
      </c>
      <c r="L812" s="3" t="str">
        <f t="shared" si="3"/>
        <v>Item atualizado</v>
      </c>
      <c r="M812" s="3"/>
      <c r="N812" s="3" t="s">
        <v>45</v>
      </c>
      <c r="O812" s="3" t="s">
        <v>39</v>
      </c>
    </row>
    <row r="813" spans="1:17" ht="22.5" customHeight="1" x14ac:dyDescent="0.2">
      <c r="A813" s="3" t="s">
        <v>1572</v>
      </c>
      <c r="B813" s="3" t="str">
        <f ca="1">IFERROR(__xludf.DUMMYFUNCTION("REGEXEXTRACT(A813, ""\.(?:GOV|EXT)\.([A-Z0-9\-]+)"")
"),"FES-PE")</f>
        <v>FES-PE</v>
      </c>
      <c r="C813" s="3" t="s">
        <v>34</v>
      </c>
      <c r="D813" s="3" t="s">
        <v>1216</v>
      </c>
      <c r="E813" s="14" t="str">
        <f ca="1">IFERROR(__xludf.DUMMYFUNCTION("REGEXEXTRACT(A813, ""-(.*)"")"),"ARP.0027.06.2025.GOV.FES-PE.PE")</f>
        <v>ARP.0027.06.2025.GOV.FES-PE.PE</v>
      </c>
      <c r="F813" s="6" t="s">
        <v>1568</v>
      </c>
      <c r="G813" s="3"/>
      <c r="H813" s="9">
        <v>45713</v>
      </c>
      <c r="I813" s="3" t="s">
        <v>44</v>
      </c>
      <c r="J813" s="3" t="str">
        <f>VLOOKUP(A813,'TODOS OS PROCESSOS ATUALIZADOS '!A:I,7,0)</f>
        <v>Autorizada Sucesso</v>
      </c>
      <c r="K813" s="3" t="s">
        <v>44</v>
      </c>
      <c r="L813" s="3" t="str">
        <f t="shared" si="3"/>
        <v>Item atualizado</v>
      </c>
      <c r="M813" s="3"/>
      <c r="N813" s="3" t="s">
        <v>45</v>
      </c>
      <c r="O813" s="3" t="s">
        <v>39</v>
      </c>
    </row>
    <row r="814" spans="1:17" ht="22.5" customHeight="1" x14ac:dyDescent="0.2">
      <c r="A814" s="3" t="s">
        <v>1573</v>
      </c>
      <c r="B814" s="3" t="str">
        <f ca="1">IFERROR(__xludf.DUMMYFUNCTION("REGEXEXTRACT(A814, ""\.(?:GOV|EXT)\.([A-Z0-9\-]+)"")
"),"FES-PE")</f>
        <v>FES-PE</v>
      </c>
      <c r="C814" s="3" t="s">
        <v>34</v>
      </c>
      <c r="D814" s="3" t="s">
        <v>1216</v>
      </c>
      <c r="E814" s="14" t="str">
        <f ca="1">IFERROR(__xludf.DUMMYFUNCTION("REGEXEXTRACT(A814, ""-(.*)"")"),"ARP.0027.07.2025.GOV.FES-PE.PE")</f>
        <v>ARP.0027.07.2025.GOV.FES-PE.PE</v>
      </c>
      <c r="F814" s="3" t="s">
        <v>1568</v>
      </c>
      <c r="G814" s="3" t="s">
        <v>3</v>
      </c>
      <c r="H814" s="9">
        <v>45713</v>
      </c>
      <c r="I814" s="3" t="s">
        <v>37</v>
      </c>
      <c r="J814" s="3" t="str">
        <f>VLOOKUP(A814,'TODOS OS PROCESSOS ATUALIZADOS '!A:I,7,0)</f>
        <v>Encaminhada para o gestor de ata</v>
      </c>
      <c r="K814" s="3" t="s">
        <v>42</v>
      </c>
      <c r="L814" s="3" t="str">
        <f t="shared" si="3"/>
        <v>Item atualizado</v>
      </c>
      <c r="M814" s="3"/>
      <c r="N814" s="3" t="s">
        <v>42</v>
      </c>
      <c r="O814" s="3" t="s">
        <v>39</v>
      </c>
    </row>
    <row r="815" spans="1:17" ht="22.5" customHeight="1" x14ac:dyDescent="0.2">
      <c r="A815" s="3" t="s">
        <v>1574</v>
      </c>
      <c r="B815" s="3" t="str">
        <f ca="1">IFERROR(__xludf.DUMMYFUNCTION("REGEXEXTRACT(A815, ""\.(?:GOV|EXT)\.([A-Z0-9\-]+)"")
"),"FES-PE")</f>
        <v>FES-PE</v>
      </c>
      <c r="C815" s="3" t="s">
        <v>34</v>
      </c>
      <c r="D815" s="3" t="s">
        <v>1216</v>
      </c>
      <c r="E815" s="14" t="str">
        <f ca="1">IFERROR(__xludf.DUMMYFUNCTION("REGEXEXTRACT(A815, ""-(.*)"")"),"ARP.0027.08.2025.GOV.FES-PE.PE")</f>
        <v>ARP.0027.08.2025.GOV.FES-PE.PE</v>
      </c>
      <c r="F815" s="3" t="s">
        <v>1568</v>
      </c>
      <c r="G815" s="3" t="s">
        <v>3</v>
      </c>
      <c r="H815" s="9">
        <v>45713</v>
      </c>
      <c r="I815" s="3" t="s">
        <v>37</v>
      </c>
      <c r="J815" s="3" t="str">
        <f>VLOOKUP(A815,'TODOS OS PROCESSOS ATUALIZADOS '!A:I,7,0)</f>
        <v>Encaminhada para o gestor de ata</v>
      </c>
      <c r="K815" s="3" t="s">
        <v>42</v>
      </c>
      <c r="L815" s="3" t="str">
        <f t="shared" si="3"/>
        <v>Item atualizado</v>
      </c>
      <c r="M815" s="3"/>
      <c r="N815" s="3" t="s">
        <v>42</v>
      </c>
      <c r="O815" s="3" t="s">
        <v>39</v>
      </c>
    </row>
    <row r="816" spans="1:17" ht="22.5" customHeight="1" x14ac:dyDescent="0.2">
      <c r="A816" s="3" t="s">
        <v>1575</v>
      </c>
      <c r="B816" s="3" t="str">
        <f ca="1">IFERROR(__xludf.DUMMYFUNCTION("REGEXEXTRACT(A816, ""\.(?:GOV|EXT)\.([A-Z0-9\-]+)"")
"),"FES-PE")</f>
        <v>FES-PE</v>
      </c>
      <c r="C816" s="3" t="s">
        <v>34</v>
      </c>
      <c r="D816" s="3" t="s">
        <v>1216</v>
      </c>
      <c r="E816" s="14" t="str">
        <f ca="1">IFERROR(__xludf.DUMMYFUNCTION("REGEXEXTRACT(A816, ""-(.*)"")"),"ARP.0027.09.2025.GOV.FES-PE.PE")</f>
        <v>ARP.0027.09.2025.GOV.FES-PE.PE</v>
      </c>
      <c r="F816" s="6" t="s">
        <v>1568</v>
      </c>
      <c r="G816" s="3" t="s">
        <v>3</v>
      </c>
      <c r="H816" s="9">
        <v>45713</v>
      </c>
      <c r="I816" s="3" t="s">
        <v>1254</v>
      </c>
      <c r="J816" s="3" t="str">
        <f>VLOOKUP(A816,'TODOS OS PROCESSOS ATUALIZADOS '!A:I,7,0)</f>
        <v>Encaminhada para o gestor de ata</v>
      </c>
      <c r="K816" s="3" t="s">
        <v>45</v>
      </c>
      <c r="L816" s="3" t="str">
        <f t="shared" si="3"/>
        <v>Item não atualizado</v>
      </c>
      <c r="M816" s="3" t="s">
        <v>16</v>
      </c>
      <c r="N816" s="3" t="s">
        <v>45</v>
      </c>
      <c r="O816" s="3" t="s">
        <v>39</v>
      </c>
    </row>
    <row r="817" spans="1:15" ht="22.5" customHeight="1" x14ac:dyDescent="0.2">
      <c r="A817" s="3" t="s">
        <v>1576</v>
      </c>
      <c r="B817" s="3" t="str">
        <f ca="1">IFERROR(__xludf.DUMMYFUNCTION("REGEXEXTRACT(A817, ""\.(?:GOV|EXT)\.([A-Z0-9\-]+)"")
"),"FES-PE")</f>
        <v>FES-PE</v>
      </c>
      <c r="C817" s="3" t="s">
        <v>34</v>
      </c>
      <c r="D817" s="3" t="s">
        <v>1216</v>
      </c>
      <c r="E817" s="14" t="str">
        <f ca="1">IFERROR(__xludf.DUMMYFUNCTION("REGEXEXTRACT(A817, ""-(.*)"")"),"ARP.0022.01.2025.GOV.FES-PE.PE")</f>
        <v>ARP.0022.01.2025.GOV.FES-PE.PE</v>
      </c>
      <c r="F817" s="3" t="s">
        <v>1515</v>
      </c>
      <c r="G817" s="3"/>
      <c r="H817" s="9">
        <v>45713</v>
      </c>
      <c r="I817" s="3" t="s">
        <v>37</v>
      </c>
      <c r="J817" s="3" t="str">
        <f>VLOOKUP(A817,'TODOS OS PROCESSOS ATUALIZADOS '!A:I,7,0)</f>
        <v>Cancelada</v>
      </c>
      <c r="K817" s="3" t="s">
        <v>38</v>
      </c>
      <c r="L817" s="3" t="str">
        <f t="shared" si="3"/>
        <v>Item não atualizado</v>
      </c>
      <c r="M817" s="3"/>
      <c r="N817" s="3" t="s">
        <v>38</v>
      </c>
      <c r="O817" s="3" t="s">
        <v>39</v>
      </c>
    </row>
    <row r="818" spans="1:15" ht="22.5" customHeight="1" x14ac:dyDescent="0.2">
      <c r="A818" s="3" t="s">
        <v>1577</v>
      </c>
      <c r="B818" s="3" t="str">
        <f ca="1">IFERROR(__xludf.DUMMYFUNCTION("REGEXEXTRACT(A818, ""\.(?:GOV|EXT)\.([A-Z0-9\-]+)"")
"),"FES-PE")</f>
        <v>FES-PE</v>
      </c>
      <c r="C818" s="3" t="s">
        <v>34</v>
      </c>
      <c r="D818" s="3" t="s">
        <v>1216</v>
      </c>
      <c r="E818" s="14" t="str">
        <f ca="1">IFERROR(__xludf.DUMMYFUNCTION("REGEXEXTRACT(A818, ""-(.*)"")"),"ARP.0022.00.2025.GOV.FES-PE.PE")</f>
        <v>ARP.0022.00.2025.GOV.FES-PE.PE</v>
      </c>
      <c r="F818" s="6" t="s">
        <v>1515</v>
      </c>
      <c r="G818" s="3" t="s">
        <v>3</v>
      </c>
      <c r="H818" s="9">
        <v>45713</v>
      </c>
      <c r="I818" s="3" t="s">
        <v>1254</v>
      </c>
      <c r="J818" s="3" t="str">
        <f>VLOOKUP(A818,'TODOS OS PROCESSOS ATUALIZADOS '!A:I,7,0)</f>
        <v>Encaminhada para o gestor de ata</v>
      </c>
      <c r="K818" s="3" t="s">
        <v>45</v>
      </c>
      <c r="L818" s="3" t="str">
        <f t="shared" si="3"/>
        <v>Item não atualizado</v>
      </c>
      <c r="M818" s="3" t="s">
        <v>16</v>
      </c>
      <c r="N818" s="3" t="s">
        <v>45</v>
      </c>
      <c r="O818" s="3" t="s">
        <v>39</v>
      </c>
    </row>
    <row r="819" spans="1:15" ht="22.5" customHeight="1" x14ac:dyDescent="0.2">
      <c r="A819" s="3" t="s">
        <v>1578</v>
      </c>
      <c r="B819" s="3" t="str">
        <f ca="1">IFERROR(__xludf.DUMMYFUNCTION("REGEXEXTRACT(A819, ""\.(?:GOV|EXT)\.([A-Z0-9\-]+)"")
"),"FES-PE")</f>
        <v>FES-PE</v>
      </c>
      <c r="C819" s="3" t="s">
        <v>34</v>
      </c>
      <c r="D819" s="3" t="s">
        <v>1216</v>
      </c>
      <c r="E819" s="14" t="str">
        <f ca="1">IFERROR(__xludf.DUMMYFUNCTION("REGEXEXTRACT(A819, ""-(.*)"")"),"ARP.0021.05.2025.GOV.FES-PE.PE")</f>
        <v>ARP.0021.05.2025.GOV.FES-PE.PE</v>
      </c>
      <c r="F819" s="6" t="s">
        <v>1579</v>
      </c>
      <c r="G819" s="3"/>
      <c r="H819" s="9">
        <v>45713</v>
      </c>
      <c r="I819" s="3" t="s">
        <v>44</v>
      </c>
      <c r="J819" s="3" t="str">
        <f>VLOOKUP(A819,'TODOS OS PROCESSOS ATUALIZADOS '!A:I,7,0)</f>
        <v>Autorizada Sucesso</v>
      </c>
      <c r="K819" s="3" t="s">
        <v>44</v>
      </c>
      <c r="L819" s="3" t="str">
        <f t="shared" si="3"/>
        <v>Item atualizado</v>
      </c>
      <c r="M819" s="3"/>
      <c r="N819" s="3" t="s">
        <v>45</v>
      </c>
      <c r="O819" s="3" t="s">
        <v>39</v>
      </c>
    </row>
    <row r="820" spans="1:15" ht="22.5" customHeight="1" x14ac:dyDescent="0.2">
      <c r="A820" s="3" t="s">
        <v>1580</v>
      </c>
      <c r="B820" s="3" t="str">
        <f ca="1">IFERROR(__xludf.DUMMYFUNCTION("REGEXEXTRACT(A820, ""\.(?:GOV|EXT)\.([A-Z0-9\-]+)"")
"),"FES-PE")</f>
        <v>FES-PE</v>
      </c>
      <c r="C820" s="3" t="s">
        <v>34</v>
      </c>
      <c r="D820" s="3" t="s">
        <v>1216</v>
      </c>
      <c r="E820" s="14" t="str">
        <f ca="1">IFERROR(__xludf.DUMMYFUNCTION("REGEXEXTRACT(A820, ""-(.*)"")"),"ARP.0021.03.2025.GOV.FES-PE.PE")</f>
        <v>ARP.0021.03.2025.GOV.FES-PE.PE</v>
      </c>
      <c r="F820" s="6" t="s">
        <v>1579</v>
      </c>
      <c r="G820" s="3"/>
      <c r="H820" s="9">
        <v>45713</v>
      </c>
      <c r="I820" s="3" t="s">
        <v>44</v>
      </c>
      <c r="J820" s="3" t="str">
        <f>VLOOKUP(A820,'TODOS OS PROCESSOS ATUALIZADOS '!A:I,7,0)</f>
        <v>Autorizada Sucesso</v>
      </c>
      <c r="K820" s="3" t="s">
        <v>44</v>
      </c>
      <c r="L820" s="3" t="str">
        <f t="shared" si="3"/>
        <v>Item atualizado</v>
      </c>
      <c r="M820" s="3"/>
      <c r="N820" s="3" t="s">
        <v>45</v>
      </c>
      <c r="O820" s="3" t="s">
        <v>39</v>
      </c>
    </row>
    <row r="821" spans="1:15" ht="22.5" customHeight="1" x14ac:dyDescent="0.2">
      <c r="A821" s="3" t="s">
        <v>1581</v>
      </c>
      <c r="B821" s="3" t="str">
        <f ca="1">IFERROR(__xludf.DUMMYFUNCTION("REGEXEXTRACT(A821, ""\.(?:GOV|EXT)\.([A-Z0-9\-]+)"")
"),"FES-PE")</f>
        <v>FES-PE</v>
      </c>
      <c r="C821" s="3" t="s">
        <v>34</v>
      </c>
      <c r="D821" s="3" t="s">
        <v>1216</v>
      </c>
      <c r="E821" s="14" t="str">
        <f ca="1">IFERROR(__xludf.DUMMYFUNCTION("REGEXEXTRACT(A821, ""-(.*)"")"),"ARP.0021.02.2025.GOV.FES-PE.PE")</f>
        <v>ARP.0021.02.2025.GOV.FES-PE.PE</v>
      </c>
      <c r="F821" s="6" t="s">
        <v>1579</v>
      </c>
      <c r="G821" s="3"/>
      <c r="H821" s="9">
        <v>45713</v>
      </c>
      <c r="I821" s="3" t="s">
        <v>44</v>
      </c>
      <c r="J821" s="3" t="str">
        <f>VLOOKUP(A821,'TODOS OS PROCESSOS ATUALIZADOS '!A:I,7,0)</f>
        <v>Autorizada Sucesso</v>
      </c>
      <c r="K821" s="3" t="s">
        <v>44</v>
      </c>
      <c r="L821" s="3" t="str">
        <f t="shared" si="3"/>
        <v>Item atualizado</v>
      </c>
      <c r="M821" s="3"/>
      <c r="N821" s="3" t="s">
        <v>45</v>
      </c>
      <c r="O821" s="3" t="s">
        <v>39</v>
      </c>
    </row>
    <row r="822" spans="1:15" ht="22.5" customHeight="1" x14ac:dyDescent="0.2">
      <c r="A822" s="3" t="s">
        <v>1582</v>
      </c>
      <c r="B822" s="3" t="str">
        <f ca="1">IFERROR(__xludf.DUMMYFUNCTION("REGEXEXTRACT(A822, ""\.(?:GOV|EXT)\.([A-Z0-9\-]+)"")
"),"CISAM")</f>
        <v>CISAM</v>
      </c>
      <c r="C822" s="3" t="s">
        <v>34</v>
      </c>
      <c r="D822" s="3" t="s">
        <v>1216</v>
      </c>
      <c r="E822" s="14" t="str">
        <f ca="1">IFERROR(__xludf.DUMMYFUNCTION("REGEXEXTRACT(A822, ""-(.*)"")"),"ARP.0010.00.2025.GOV.CISAM.PE")</f>
        <v>ARP.0010.00.2025.GOV.CISAM.PE</v>
      </c>
      <c r="F822" s="3" t="s">
        <v>348</v>
      </c>
      <c r="G822" s="3"/>
      <c r="H822" s="9">
        <v>45712</v>
      </c>
      <c r="I822" s="3" t="s">
        <v>37</v>
      </c>
      <c r="J822" s="3" t="str">
        <f>VLOOKUP(A822,'TODOS OS PROCESSOS ATUALIZADOS '!A:I,7,0)</f>
        <v>Cancelada</v>
      </c>
      <c r="K822" s="3" t="s">
        <v>38</v>
      </c>
      <c r="L822" s="3" t="str">
        <f t="shared" si="3"/>
        <v>Item não atualizado</v>
      </c>
      <c r="M822" s="3"/>
      <c r="N822" s="3" t="s">
        <v>38</v>
      </c>
      <c r="O822" s="3" t="s">
        <v>39</v>
      </c>
    </row>
    <row r="823" spans="1:15" ht="22.5" customHeight="1" x14ac:dyDescent="0.2">
      <c r="A823" s="3" t="s">
        <v>1583</v>
      </c>
      <c r="B823" s="3" t="str">
        <f ca="1">IFERROR(__xludf.DUMMYFUNCTION("REGEXEXTRACT(A823, ""\.(?:GOV|EXT)\.([A-Z0-9\-]+)"")
"),"FES-PE")</f>
        <v>FES-PE</v>
      </c>
      <c r="C823" s="3" t="s">
        <v>34</v>
      </c>
      <c r="D823" s="3" t="s">
        <v>1216</v>
      </c>
      <c r="E823" s="14" t="str">
        <f ca="1">IFERROR(__xludf.DUMMYFUNCTION("REGEXEXTRACT(A823, ""-(.*)"")"),"ARP.0021.01.2025.GOV.FES-PE.PE")</f>
        <v>ARP.0021.01.2025.GOV.FES-PE.PE</v>
      </c>
      <c r="F823" s="3" t="s">
        <v>1579</v>
      </c>
      <c r="G823" s="3" t="s">
        <v>3</v>
      </c>
      <c r="H823" s="9">
        <v>45712</v>
      </c>
      <c r="I823" s="3" t="s">
        <v>37</v>
      </c>
      <c r="J823" s="3" t="str">
        <f>VLOOKUP(A823,'TODOS OS PROCESSOS ATUALIZADOS '!A:I,7,0)</f>
        <v>Cancelada</v>
      </c>
      <c r="K823" s="3" t="s">
        <v>38</v>
      </c>
      <c r="L823" s="3" t="str">
        <f t="shared" si="3"/>
        <v>Item não atualizado</v>
      </c>
      <c r="M823" s="3"/>
      <c r="N823" s="3" t="s">
        <v>38</v>
      </c>
      <c r="O823" s="3" t="s">
        <v>39</v>
      </c>
    </row>
    <row r="824" spans="1:15" ht="22.5" customHeight="1" x14ac:dyDescent="0.2">
      <c r="A824" s="3" t="s">
        <v>1584</v>
      </c>
      <c r="B824" s="3" t="str">
        <f ca="1">IFERROR(__xludf.DUMMYFUNCTION("REGEXEXTRACT(A824, ""\.(?:GOV|EXT)\.([A-Z0-9\-]+)"")
"),"FES-PE")</f>
        <v>FES-PE</v>
      </c>
      <c r="C824" s="3" t="s">
        <v>34</v>
      </c>
      <c r="D824" s="3" t="s">
        <v>1216</v>
      </c>
      <c r="E824" s="14" t="str">
        <f ca="1">IFERROR(__xludf.DUMMYFUNCTION("REGEXEXTRACT(A824, ""-(.*)"")"),"ARP.0019.02.2025.GOV.FES-PE.PE")</f>
        <v>ARP.0019.02.2025.GOV.FES-PE.PE</v>
      </c>
      <c r="F824" s="3" t="s">
        <v>1372</v>
      </c>
      <c r="G824" s="3" t="s">
        <v>3</v>
      </c>
      <c r="H824" s="9">
        <v>45712</v>
      </c>
      <c r="I824" s="3" t="s">
        <v>37</v>
      </c>
      <c r="J824" s="3" t="str">
        <f>VLOOKUP(A824,'TODOS OS PROCESSOS ATUALIZADOS '!A:I,7,0)</f>
        <v>Cancelada</v>
      </c>
      <c r="K824" s="3" t="s">
        <v>38</v>
      </c>
      <c r="L824" s="3" t="str">
        <f t="shared" si="3"/>
        <v>Item não atualizado</v>
      </c>
      <c r="M824" s="3"/>
      <c r="N824" s="3" t="s">
        <v>38</v>
      </c>
      <c r="O824" s="3" t="s">
        <v>39</v>
      </c>
    </row>
    <row r="825" spans="1:15" ht="22.5" customHeight="1" x14ac:dyDescent="0.2">
      <c r="A825" s="3" t="s">
        <v>1585</v>
      </c>
      <c r="B825" s="3" t="str">
        <f ca="1">IFERROR(__xludf.DUMMYFUNCTION("REGEXEXTRACT(A825, ""\.(?:GOV|EXT)\.([A-Z0-9\-]+)"")
"),"FES-PE")</f>
        <v>FES-PE</v>
      </c>
      <c r="C825" s="3" t="s">
        <v>34</v>
      </c>
      <c r="D825" s="3" t="s">
        <v>1216</v>
      </c>
      <c r="E825" s="14" t="str">
        <f ca="1">IFERROR(__xludf.DUMMYFUNCTION("REGEXEXTRACT(A825, ""-(.*)"")"),"ARP.0019.01.2025.GOV.FES-PE.PE")</f>
        <v>ARP.0019.01.2025.GOV.FES-PE.PE</v>
      </c>
      <c r="F825" s="6" t="s">
        <v>1372</v>
      </c>
      <c r="G825" s="3" t="s">
        <v>3</v>
      </c>
      <c r="H825" s="9">
        <v>45712</v>
      </c>
      <c r="I825" s="3" t="s">
        <v>1254</v>
      </c>
      <c r="J825" s="3" t="str">
        <f>VLOOKUP(A825,'TODOS OS PROCESSOS ATUALIZADOS '!A:I,7,0)</f>
        <v>Encaminhada para o gestor de ata</v>
      </c>
      <c r="K825" s="3" t="s">
        <v>45</v>
      </c>
      <c r="L825" s="3" t="str">
        <f t="shared" si="3"/>
        <v>Item não atualizado</v>
      </c>
      <c r="M825" s="3" t="s">
        <v>16</v>
      </c>
      <c r="N825" s="3" t="s">
        <v>45</v>
      </c>
      <c r="O825" s="3" t="s">
        <v>39</v>
      </c>
    </row>
    <row r="826" spans="1:15" ht="22.5" customHeight="1" x14ac:dyDescent="0.2">
      <c r="A826" s="3" t="s">
        <v>1586</v>
      </c>
      <c r="B826" s="3" t="str">
        <f ca="1">IFERROR(__xludf.DUMMYFUNCTION("REGEXEXTRACT(A826, ""\.(?:GOV|EXT)\.([A-Z0-9\-]+)"")
"),"FES-PE")</f>
        <v>FES-PE</v>
      </c>
      <c r="C826" s="3" t="s">
        <v>34</v>
      </c>
      <c r="D826" s="3" t="s">
        <v>1216</v>
      </c>
      <c r="E826" s="14" t="str">
        <f ca="1">IFERROR(__xludf.DUMMYFUNCTION("REGEXEXTRACT(A826, ""-(.*)"")"),"ARP.0019.00.2025.GOV.FES-PE.PE")</f>
        <v>ARP.0019.00.2025.GOV.FES-PE.PE</v>
      </c>
      <c r="F826" s="3" t="s">
        <v>1372</v>
      </c>
      <c r="G826" s="3" t="s">
        <v>3</v>
      </c>
      <c r="H826" s="9">
        <v>45712</v>
      </c>
      <c r="I826" s="3" t="s">
        <v>37</v>
      </c>
      <c r="J826" s="3" t="str">
        <f>VLOOKUP(A826,'TODOS OS PROCESSOS ATUALIZADOS '!A:I,7,0)</f>
        <v>Cancelada</v>
      </c>
      <c r="K826" s="3" t="s">
        <v>38</v>
      </c>
      <c r="L826" s="3" t="str">
        <f t="shared" si="3"/>
        <v>Item não atualizado</v>
      </c>
      <c r="M826" s="3"/>
      <c r="N826" s="3" t="s">
        <v>38</v>
      </c>
      <c r="O826" s="3" t="s">
        <v>39</v>
      </c>
    </row>
    <row r="827" spans="1:15" ht="22.5" customHeight="1" x14ac:dyDescent="0.2">
      <c r="A827" s="3" t="s">
        <v>1587</v>
      </c>
      <c r="B827" s="3" t="str">
        <f ca="1">IFERROR(__xludf.DUMMYFUNCTION("REGEXEXTRACT(A827, ""\.(?:GOV|EXT)\.([A-Z0-9\-]+)"")
"),"FES-PE")</f>
        <v>FES-PE</v>
      </c>
      <c r="C827" s="3" t="s">
        <v>34</v>
      </c>
      <c r="D827" s="3" t="s">
        <v>1216</v>
      </c>
      <c r="E827" s="14" t="str">
        <f ca="1">IFERROR(__xludf.DUMMYFUNCTION("REGEXEXTRACT(A827, ""-(.*)"")"),"ARP.0018.02.2025.GOV.FES-PE.PE")</f>
        <v>ARP.0018.02.2025.GOV.FES-PE.PE</v>
      </c>
      <c r="F827" s="6" t="s">
        <v>1588</v>
      </c>
      <c r="G827" s="3"/>
      <c r="H827" s="9">
        <v>45712</v>
      </c>
      <c r="I827" s="3" t="s">
        <v>44</v>
      </c>
      <c r="J827" s="3" t="str">
        <f>VLOOKUP(A827,'TODOS OS PROCESSOS ATUALIZADOS '!A:I,7,0)</f>
        <v>Autorizada Sucesso</v>
      </c>
      <c r="K827" s="3" t="s">
        <v>44</v>
      </c>
      <c r="L827" s="3" t="str">
        <f t="shared" si="3"/>
        <v>Item atualizado</v>
      </c>
      <c r="M827" s="3"/>
      <c r="N827" s="3" t="s">
        <v>45</v>
      </c>
      <c r="O827" s="3" t="s">
        <v>39</v>
      </c>
    </row>
    <row r="828" spans="1:15" ht="22.5" customHeight="1" x14ac:dyDescent="0.2">
      <c r="A828" s="3" t="s">
        <v>1589</v>
      </c>
      <c r="B828" s="3" t="str">
        <f ca="1">IFERROR(__xludf.DUMMYFUNCTION("REGEXEXTRACT(A828, ""\.(?:GOV|EXT)\.([A-Z0-9\-]+)"")
"),"FES-PE")</f>
        <v>FES-PE</v>
      </c>
      <c r="C828" s="3" t="s">
        <v>34</v>
      </c>
      <c r="D828" s="3" t="s">
        <v>1216</v>
      </c>
      <c r="E828" s="14" t="str">
        <f ca="1">IFERROR(__xludf.DUMMYFUNCTION("REGEXEXTRACT(A828, ""-(.*)"")"),"ARP.0018.01.2025.GOV.FES-PE.PE")</f>
        <v>ARP.0018.01.2025.GOV.FES-PE.PE</v>
      </c>
      <c r="F828" s="6" t="s">
        <v>1588</v>
      </c>
      <c r="G828" s="3"/>
      <c r="H828" s="9">
        <v>45712</v>
      </c>
      <c r="I828" s="3" t="s">
        <v>44</v>
      </c>
      <c r="J828" s="3" t="str">
        <f>VLOOKUP(A828,'TODOS OS PROCESSOS ATUALIZADOS '!A:I,7,0)</f>
        <v>Autorizada Sucesso</v>
      </c>
      <c r="K828" s="3" t="s">
        <v>44</v>
      </c>
      <c r="L828" s="3" t="str">
        <f t="shared" si="3"/>
        <v>Item atualizado</v>
      </c>
      <c r="M828" s="3"/>
      <c r="N828" s="3" t="s">
        <v>45</v>
      </c>
      <c r="O828" s="3" t="s">
        <v>39</v>
      </c>
    </row>
    <row r="829" spans="1:15" ht="22.5" customHeight="1" x14ac:dyDescent="0.2">
      <c r="A829" s="3" t="s">
        <v>1590</v>
      </c>
      <c r="B829" s="3" t="str">
        <f ca="1">IFERROR(__xludf.DUMMYFUNCTION("REGEXEXTRACT(A829, ""\.(?:GOV|EXT)\.([A-Z0-9\-]+)"")
"),"FES-PE")</f>
        <v>FES-PE</v>
      </c>
      <c r="C829" s="3" t="s">
        <v>34</v>
      </c>
      <c r="D829" s="3" t="s">
        <v>1216</v>
      </c>
      <c r="E829" s="14" t="str">
        <f ca="1">IFERROR(__xludf.DUMMYFUNCTION("REGEXEXTRACT(A829, ""-(.*)"")"),"ARP.0018.00.2025.GOV.FES-PE.PE")</f>
        <v>ARP.0018.00.2025.GOV.FES-PE.PE</v>
      </c>
      <c r="F829" s="3" t="s">
        <v>1588</v>
      </c>
      <c r="G829" s="3" t="s">
        <v>3</v>
      </c>
      <c r="H829" s="9">
        <v>45712</v>
      </c>
      <c r="I829" s="3" t="s">
        <v>37</v>
      </c>
      <c r="J829" s="3" t="str">
        <f>VLOOKUP(A829,'TODOS OS PROCESSOS ATUALIZADOS '!A:I,7,0)</f>
        <v>Cancelada</v>
      </c>
      <c r="K829" s="3" t="s">
        <v>38</v>
      </c>
      <c r="L829" s="3" t="str">
        <f t="shared" si="3"/>
        <v>Item não atualizado</v>
      </c>
      <c r="M829" s="3"/>
      <c r="N829" s="3" t="s">
        <v>38</v>
      </c>
      <c r="O829" s="3" t="s">
        <v>39</v>
      </c>
    </row>
    <row r="830" spans="1:15" ht="22.5" customHeight="1" x14ac:dyDescent="0.2">
      <c r="A830" s="3" t="s">
        <v>1591</v>
      </c>
      <c r="B830" s="3" t="str">
        <f ca="1">IFERROR(__xludf.DUMMYFUNCTION("REGEXEXTRACT(A830, ""\.(?:GOV|EXT)\.([A-Z0-9\-]+)"")
"),"FES-PE")</f>
        <v>FES-PE</v>
      </c>
      <c r="C830" s="3" t="s">
        <v>34</v>
      </c>
      <c r="D830" s="3" t="s">
        <v>1216</v>
      </c>
      <c r="E830" s="14" t="str">
        <f ca="1">IFERROR(__xludf.DUMMYFUNCTION("REGEXEXTRACT(A830, ""-(.*)"")"),"ARP.0017.06.2025.GOV.FES-PE.PE")</f>
        <v>ARP.0017.06.2025.GOV.FES-PE.PE</v>
      </c>
      <c r="F830" s="6" t="s">
        <v>1450</v>
      </c>
      <c r="G830" s="3"/>
      <c r="H830" s="9">
        <v>45712</v>
      </c>
      <c r="I830" s="3" t="s">
        <v>44</v>
      </c>
      <c r="J830" s="3" t="str">
        <f>VLOOKUP(A830,'TODOS OS PROCESSOS ATUALIZADOS '!A:I,7,0)</f>
        <v>Autorizada Sucesso</v>
      </c>
      <c r="K830" s="3" t="s">
        <v>44</v>
      </c>
      <c r="L830" s="3" t="str">
        <f t="shared" si="3"/>
        <v>Item atualizado</v>
      </c>
      <c r="M830" s="3"/>
      <c r="N830" s="3" t="s">
        <v>45</v>
      </c>
      <c r="O830" s="3" t="s">
        <v>39</v>
      </c>
    </row>
    <row r="831" spans="1:15" ht="22.5" customHeight="1" x14ac:dyDescent="0.2">
      <c r="A831" s="3" t="s">
        <v>1592</v>
      </c>
      <c r="B831" s="3" t="str">
        <f ca="1">IFERROR(__xludf.DUMMYFUNCTION("REGEXEXTRACT(A831, ""\.(?:GOV|EXT)\.([A-Z0-9\-]+)"")
"),"FES-PE")</f>
        <v>FES-PE</v>
      </c>
      <c r="C831" s="3" t="s">
        <v>34</v>
      </c>
      <c r="D831" s="3" t="s">
        <v>1216</v>
      </c>
      <c r="E831" s="14" t="str">
        <f ca="1">IFERROR(__xludf.DUMMYFUNCTION("REGEXEXTRACT(A831, ""-(.*)"")"),"ARP.0017.05.2025.GOV.FES-PE.PE")</f>
        <v>ARP.0017.05.2025.GOV.FES-PE.PE</v>
      </c>
      <c r="F831" s="3" t="s">
        <v>1450</v>
      </c>
      <c r="G831" s="3"/>
      <c r="H831" s="9">
        <v>45712</v>
      </c>
      <c r="I831" s="3" t="s">
        <v>37</v>
      </c>
      <c r="J831" s="3" t="str">
        <f>VLOOKUP(A831,'TODOS OS PROCESSOS ATUALIZADOS '!A:I,7,0)</f>
        <v>Cancelada</v>
      </c>
      <c r="K831" s="3" t="s">
        <v>38</v>
      </c>
      <c r="L831" s="3" t="str">
        <f t="shared" si="3"/>
        <v>Item não atualizado</v>
      </c>
      <c r="M831" s="3"/>
      <c r="N831" s="3" t="s">
        <v>38</v>
      </c>
      <c r="O831" s="3" t="s">
        <v>39</v>
      </c>
    </row>
    <row r="832" spans="1:15" ht="22.5" customHeight="1" x14ac:dyDescent="0.2">
      <c r="A832" s="3" t="s">
        <v>1593</v>
      </c>
      <c r="B832" s="3" t="str">
        <f ca="1">IFERROR(__xludf.DUMMYFUNCTION("REGEXEXTRACT(A832, ""\.(?:GOV|EXT)\.([A-Z0-9\-]+)"")
"),"FES-PE")</f>
        <v>FES-PE</v>
      </c>
      <c r="C832" s="3" t="s">
        <v>34</v>
      </c>
      <c r="D832" s="3" t="s">
        <v>1216</v>
      </c>
      <c r="E832" s="14" t="str">
        <f ca="1">IFERROR(__xludf.DUMMYFUNCTION("REGEXEXTRACT(A832, ""-(.*)"")"),"ARP.0017.02.2025.GOV.FES-PE.PE")</f>
        <v>ARP.0017.02.2025.GOV.FES-PE.PE</v>
      </c>
      <c r="F832" s="3" t="s">
        <v>1450</v>
      </c>
      <c r="G832" s="3"/>
      <c r="H832" s="9">
        <v>45712</v>
      </c>
      <c r="I832" s="3" t="s">
        <v>37</v>
      </c>
      <c r="J832" s="3" t="str">
        <f>VLOOKUP(A832,'TODOS OS PROCESSOS ATUALIZADOS '!A:I,7,0)</f>
        <v>Cancelada</v>
      </c>
      <c r="K832" s="3" t="s">
        <v>38</v>
      </c>
      <c r="L832" s="3" t="str">
        <f t="shared" si="3"/>
        <v>Item não atualizado</v>
      </c>
      <c r="M832" s="3"/>
      <c r="N832" s="3" t="s">
        <v>38</v>
      </c>
      <c r="O832" s="3" t="s">
        <v>39</v>
      </c>
    </row>
    <row r="833" spans="1:17" ht="22.5" customHeight="1" x14ac:dyDescent="0.2">
      <c r="A833" s="3" t="s">
        <v>1594</v>
      </c>
      <c r="B833" s="3" t="str">
        <f ca="1">IFERROR(__xludf.DUMMYFUNCTION("REGEXEXTRACT(A833, ""\.(?:GOV|EXT)\.([A-Z0-9\-]+)"")
"),"FES-PE")</f>
        <v>FES-PE</v>
      </c>
      <c r="C833" s="3" t="s">
        <v>34</v>
      </c>
      <c r="D833" s="3" t="s">
        <v>1216</v>
      </c>
      <c r="E833" s="14" t="str">
        <f ca="1">IFERROR(__xludf.DUMMYFUNCTION("REGEXEXTRACT(A833, ""-(.*)"")"),"ARP.0017.00.2025.GOV.FES-PE.PE")</f>
        <v>ARP.0017.00.2025.GOV.FES-PE.PE</v>
      </c>
      <c r="F833" s="6" t="s">
        <v>1450</v>
      </c>
      <c r="G833" s="3" t="s">
        <v>3</v>
      </c>
      <c r="H833" s="9">
        <v>45712</v>
      </c>
      <c r="I833" s="3" t="s">
        <v>1254</v>
      </c>
      <c r="J833" s="3" t="str">
        <f>VLOOKUP(A833,'TODOS OS PROCESSOS ATUALIZADOS '!A:I,7,0)</f>
        <v>Encaminhada para o gestor de ata</v>
      </c>
      <c r="K833" s="3" t="s">
        <v>45</v>
      </c>
      <c r="L833" s="3" t="str">
        <f t="shared" si="3"/>
        <v>Item não atualizado</v>
      </c>
      <c r="M833" s="3" t="s">
        <v>13</v>
      </c>
      <c r="N833" s="3" t="s">
        <v>45</v>
      </c>
      <c r="O833" s="3" t="s">
        <v>39</v>
      </c>
      <c r="P833" s="3"/>
      <c r="Q833" s="3"/>
    </row>
    <row r="834" spans="1:17" ht="22.5" customHeight="1" x14ac:dyDescent="0.2">
      <c r="A834" s="3" t="s">
        <v>1595</v>
      </c>
      <c r="B834" s="3" t="str">
        <f ca="1">IFERROR(__xludf.DUMMYFUNCTION("REGEXEXTRACT(A834, ""\.(?:GOV|EXT)\.([A-Z0-9\-]+)"")
"),"FES-PE")</f>
        <v>FES-PE</v>
      </c>
      <c r="C834" s="3" t="s">
        <v>34</v>
      </c>
      <c r="D834" s="3" t="s">
        <v>1216</v>
      </c>
      <c r="E834" s="14" t="str">
        <f ca="1">IFERROR(__xludf.DUMMYFUNCTION("REGEXEXTRACT(A834, ""-(.*)"")"),"ARP.0013.04.2025.GOV.FES-PE.PE")</f>
        <v>ARP.0013.04.2025.GOV.FES-PE.PE</v>
      </c>
      <c r="F834" s="6" t="s">
        <v>1596</v>
      </c>
      <c r="G834" s="3"/>
      <c r="H834" s="9">
        <v>45712</v>
      </c>
      <c r="I834" s="3" t="s">
        <v>44</v>
      </c>
      <c r="J834" s="3" t="str">
        <f>VLOOKUP(A834,'TODOS OS PROCESSOS ATUALIZADOS '!A:I,7,0)</f>
        <v>Autorizada Sucesso</v>
      </c>
      <c r="K834" s="3" t="s">
        <v>44</v>
      </c>
      <c r="L834" s="3" t="str">
        <f t="shared" si="3"/>
        <v>Item atualizado</v>
      </c>
      <c r="M834" s="3"/>
      <c r="N834" s="3" t="s">
        <v>45</v>
      </c>
      <c r="O834" s="3" t="s">
        <v>39</v>
      </c>
    </row>
    <row r="835" spans="1:17" ht="22.5" customHeight="1" x14ac:dyDescent="0.2">
      <c r="A835" s="3" t="s">
        <v>1597</v>
      </c>
      <c r="B835" s="3" t="str">
        <f ca="1">IFERROR(__xludf.DUMMYFUNCTION("REGEXEXTRACT(A835, ""\.(?:GOV|EXT)\.([A-Z0-9\-]+)"")
"),"FES-PE")</f>
        <v>FES-PE</v>
      </c>
      <c r="C835" s="3" t="s">
        <v>34</v>
      </c>
      <c r="D835" s="3" t="s">
        <v>1216</v>
      </c>
      <c r="E835" s="14" t="str">
        <f ca="1">IFERROR(__xludf.DUMMYFUNCTION("REGEXEXTRACT(A835, ""-(.*)"")"),"ARP.0013.02.2025.GOV.FES-PE.PE")</f>
        <v>ARP.0013.02.2025.GOV.FES-PE.PE</v>
      </c>
      <c r="F835" s="6" t="s">
        <v>1596</v>
      </c>
      <c r="G835" s="3"/>
      <c r="H835" s="9">
        <v>45712</v>
      </c>
      <c r="I835" s="3" t="s">
        <v>44</v>
      </c>
      <c r="J835" s="3" t="str">
        <f>VLOOKUP(A835,'TODOS OS PROCESSOS ATUALIZADOS '!A:I,7,0)</f>
        <v>Autorizada Sucesso</v>
      </c>
      <c r="K835" s="3" t="s">
        <v>44</v>
      </c>
      <c r="L835" s="3" t="str">
        <f t="shared" si="3"/>
        <v>Item atualizado</v>
      </c>
      <c r="M835" s="3"/>
      <c r="N835" s="3" t="s">
        <v>45</v>
      </c>
      <c r="O835" s="3" t="s">
        <v>39</v>
      </c>
    </row>
    <row r="836" spans="1:17" ht="22.5" customHeight="1" x14ac:dyDescent="0.2">
      <c r="A836" s="3" t="s">
        <v>1598</v>
      </c>
      <c r="B836" s="3" t="str">
        <f ca="1">IFERROR(__xludf.DUMMYFUNCTION("REGEXEXTRACT(A836, ""\.(?:GOV|EXT)\.([A-Z0-9\-]+)"")
"),"FES-PE")</f>
        <v>FES-PE</v>
      </c>
      <c r="C836" s="3" t="s">
        <v>34</v>
      </c>
      <c r="D836" s="3" t="s">
        <v>1216</v>
      </c>
      <c r="E836" s="14" t="str">
        <f ca="1">IFERROR(__xludf.DUMMYFUNCTION("REGEXEXTRACT(A836, ""-(.*)"")"),"ARP.0013.01.2025.GOV.FES-PE.PE")</f>
        <v>ARP.0013.01.2025.GOV.FES-PE.PE</v>
      </c>
      <c r="F836" s="6" t="s">
        <v>1596</v>
      </c>
      <c r="G836" s="3"/>
      <c r="H836" s="9">
        <v>45712</v>
      </c>
      <c r="I836" s="3" t="s">
        <v>44</v>
      </c>
      <c r="J836" s="3" t="str">
        <f>VLOOKUP(A836,'TODOS OS PROCESSOS ATUALIZADOS '!A:I,7,0)</f>
        <v>Autorizada Sucesso</v>
      </c>
      <c r="K836" s="3" t="s">
        <v>44</v>
      </c>
      <c r="L836" s="3" t="str">
        <f t="shared" si="3"/>
        <v>Item atualizado</v>
      </c>
      <c r="M836" s="3"/>
      <c r="N836" s="3" t="s">
        <v>45</v>
      </c>
      <c r="O836" s="3" t="s">
        <v>39</v>
      </c>
    </row>
    <row r="837" spans="1:17" ht="22.5" customHeight="1" x14ac:dyDescent="0.2">
      <c r="A837" s="3" t="s">
        <v>1599</v>
      </c>
      <c r="B837" s="3" t="str">
        <f ca="1">IFERROR(__xludf.DUMMYFUNCTION("REGEXEXTRACT(A837, ""\.(?:GOV|EXT)\.([A-Z0-9\-]+)"")
"),"FES-PE")</f>
        <v>FES-PE</v>
      </c>
      <c r="C837" s="3" t="s">
        <v>34</v>
      </c>
      <c r="D837" s="3" t="s">
        <v>1216</v>
      </c>
      <c r="E837" s="14" t="str">
        <f ca="1">IFERROR(__xludf.DUMMYFUNCTION("REGEXEXTRACT(A837, ""-(.*)"")"),"ARP.0012.05.2025.GOV.FES-PE.PE")</f>
        <v>ARP.0012.05.2025.GOV.FES-PE.PE</v>
      </c>
      <c r="F837" s="3" t="s">
        <v>1513</v>
      </c>
      <c r="G837" s="3"/>
      <c r="H837" s="9">
        <v>45712</v>
      </c>
      <c r="I837" s="3" t="s">
        <v>37</v>
      </c>
      <c r="J837" s="3" t="str">
        <f>VLOOKUP(A837,'TODOS OS PROCESSOS ATUALIZADOS '!A:I,7,0)</f>
        <v>Cancelada</v>
      </c>
      <c r="K837" s="3" t="s">
        <v>38</v>
      </c>
      <c r="L837" s="3" t="str">
        <f t="shared" si="3"/>
        <v>Item não atualizado</v>
      </c>
      <c r="M837" s="3"/>
      <c r="N837" s="3" t="s">
        <v>38</v>
      </c>
      <c r="O837" s="3" t="s">
        <v>39</v>
      </c>
    </row>
    <row r="838" spans="1:17" ht="22.5" customHeight="1" x14ac:dyDescent="0.2">
      <c r="A838" s="3" t="s">
        <v>1600</v>
      </c>
      <c r="B838" s="3" t="str">
        <f ca="1">IFERROR(__xludf.DUMMYFUNCTION("REGEXEXTRACT(A838, ""\.(?:GOV|EXT)\.([A-Z0-9\-]+)"")
"),"FES-PE")</f>
        <v>FES-PE</v>
      </c>
      <c r="C838" s="3" t="s">
        <v>34</v>
      </c>
      <c r="D838" s="3" t="s">
        <v>1216</v>
      </c>
      <c r="E838" s="14" t="str">
        <f ca="1">IFERROR(__xludf.DUMMYFUNCTION("REGEXEXTRACT(A838, ""-(.*)"")"),"ARP.0012.04.2025.GOV.FES-PE.PE")</f>
        <v>ARP.0012.04.2025.GOV.FES-PE.PE</v>
      </c>
      <c r="F838" s="3" t="s">
        <v>1513</v>
      </c>
      <c r="G838" s="3" t="s">
        <v>3</v>
      </c>
      <c r="H838" s="9">
        <v>45712</v>
      </c>
      <c r="I838" s="3" t="s">
        <v>37</v>
      </c>
      <c r="J838" s="3" t="str">
        <f>VLOOKUP(A838,'TODOS OS PROCESSOS ATUALIZADOS '!A:I,7,0)</f>
        <v>Cancelada</v>
      </c>
      <c r="K838" s="3" t="s">
        <v>38</v>
      </c>
      <c r="L838" s="3" t="str">
        <f t="shared" si="3"/>
        <v>Item não atualizado</v>
      </c>
      <c r="M838" s="3"/>
      <c r="N838" s="3" t="s">
        <v>38</v>
      </c>
      <c r="O838" s="3" t="s">
        <v>39</v>
      </c>
    </row>
    <row r="839" spans="1:17" ht="22.5" customHeight="1" x14ac:dyDescent="0.2">
      <c r="A839" s="3" t="s">
        <v>1601</v>
      </c>
      <c r="B839" s="3" t="str">
        <f ca="1">IFERROR(__xludf.DUMMYFUNCTION("REGEXEXTRACT(A839, ""\.(?:GOV|EXT)\.([A-Z0-9\-]+)"")
"),"FES-PE")</f>
        <v>FES-PE</v>
      </c>
      <c r="C839" s="3" t="s">
        <v>34</v>
      </c>
      <c r="D839" s="3" t="s">
        <v>1216</v>
      </c>
      <c r="E839" s="14" t="str">
        <f ca="1">IFERROR(__xludf.DUMMYFUNCTION("REGEXEXTRACT(A839, ""-(.*)"")"),"ARP.0012.02.2025.GOV.FES-PE.PE")</f>
        <v>ARP.0012.02.2025.GOV.FES-PE.PE</v>
      </c>
      <c r="F839" s="6" t="s">
        <v>1513</v>
      </c>
      <c r="G839" s="3"/>
      <c r="H839" s="9">
        <v>45712</v>
      </c>
      <c r="I839" s="3" t="s">
        <v>44</v>
      </c>
      <c r="J839" s="3" t="str">
        <f>VLOOKUP(A839,'TODOS OS PROCESSOS ATUALIZADOS '!A:I,7,0)</f>
        <v>Autorizada Sucesso</v>
      </c>
      <c r="K839" s="3" t="s">
        <v>44</v>
      </c>
      <c r="L839" s="3" t="str">
        <f t="shared" si="3"/>
        <v>Item atualizado</v>
      </c>
      <c r="M839" s="3"/>
      <c r="N839" s="3" t="s">
        <v>45</v>
      </c>
      <c r="O839" s="3" t="s">
        <v>39</v>
      </c>
    </row>
    <row r="840" spans="1:17" ht="22.5" customHeight="1" x14ac:dyDescent="0.2">
      <c r="A840" s="3" t="s">
        <v>1602</v>
      </c>
      <c r="B840" s="3" t="str">
        <f ca="1">IFERROR(__xludf.DUMMYFUNCTION("REGEXEXTRACT(A840, ""\.(?:GOV|EXT)\.([A-Z0-9\-]+)"")
"),"HAM")</f>
        <v>HAM</v>
      </c>
      <c r="C840" s="3" t="s">
        <v>34</v>
      </c>
      <c r="D840" s="3" t="s">
        <v>1216</v>
      </c>
      <c r="E840" s="14" t="str">
        <f ca="1">IFERROR(__xludf.DUMMYFUNCTION("REGEXEXTRACT(A840, ""-(.*)"")"),"ARP.0008.01.2025.GOV.HAM.PE")</f>
        <v>ARP.0008.01.2025.GOV.HAM.PE</v>
      </c>
      <c r="F840" s="3" t="s">
        <v>1236</v>
      </c>
      <c r="G840" s="3"/>
      <c r="H840" s="9">
        <v>45712</v>
      </c>
      <c r="I840" s="3" t="s">
        <v>44</v>
      </c>
      <c r="J840" s="3" t="str">
        <f>VLOOKUP(A840,'TODOS OS PROCESSOS ATUALIZADOS '!A:I,7,0)</f>
        <v>Autorizada Sucesso</v>
      </c>
      <c r="K840" s="3" t="s">
        <v>44</v>
      </c>
      <c r="L840" s="3" t="str">
        <f t="shared" si="3"/>
        <v>Item atualizado</v>
      </c>
      <c r="M840" s="3"/>
      <c r="N840" s="3" t="s">
        <v>44</v>
      </c>
      <c r="O840" s="3" t="s">
        <v>52</v>
      </c>
      <c r="P840" s="3" t="s">
        <v>1603</v>
      </c>
    </row>
    <row r="841" spans="1:17" ht="22.5" customHeight="1" x14ac:dyDescent="0.2">
      <c r="A841" s="3" t="s">
        <v>1604</v>
      </c>
      <c r="B841" s="3" t="str">
        <f ca="1">IFERROR(__xludf.DUMMYFUNCTION("REGEXEXTRACT(A841, ""\.(?:GOV|EXT)\.([A-Z0-9\-]+)"")
"),"FES-PE")</f>
        <v>FES-PE</v>
      </c>
      <c r="C841" s="3" t="s">
        <v>34</v>
      </c>
      <c r="D841" s="3" t="s">
        <v>1216</v>
      </c>
      <c r="E841" s="14" t="str">
        <f ca="1">IFERROR(__xludf.DUMMYFUNCTION("REGEXEXTRACT(A841, ""-(.*)"")"),"ARP.0012.05.2025.GOV.FES-PE.PE")</f>
        <v>ARP.0012.05.2025.GOV.FES-PE.PE</v>
      </c>
      <c r="F841" s="6" t="s">
        <v>1513</v>
      </c>
      <c r="G841" s="3"/>
      <c r="H841" s="9">
        <v>45708</v>
      </c>
      <c r="I841" s="3" t="s">
        <v>44</v>
      </c>
      <c r="J841" s="3" t="str">
        <f>VLOOKUP(A841,'TODOS OS PROCESSOS ATUALIZADOS '!A:I,7,0)</f>
        <v>Autorizada Sucesso</v>
      </c>
      <c r="K841" s="3" t="s">
        <v>44</v>
      </c>
      <c r="L841" s="3" t="str">
        <f t="shared" si="3"/>
        <v>Item atualizado</v>
      </c>
      <c r="M841" s="3"/>
      <c r="N841" s="3" t="s">
        <v>45</v>
      </c>
      <c r="O841" s="3" t="s">
        <v>39</v>
      </c>
    </row>
    <row r="842" spans="1:17" ht="22.5" customHeight="1" x14ac:dyDescent="0.2">
      <c r="A842" s="3" t="s">
        <v>1605</v>
      </c>
      <c r="B842" s="3" t="str">
        <f ca="1">IFERROR(__xludf.DUMMYFUNCTION("REGEXEXTRACT(A842, ""\.(?:GOV|EXT)\.([A-Z0-9\-]+)"")
"),"FES-PE")</f>
        <v>FES-PE</v>
      </c>
      <c r="C842" s="3" t="s">
        <v>34</v>
      </c>
      <c r="D842" s="3" t="s">
        <v>1216</v>
      </c>
      <c r="E842" s="14" t="str">
        <f ca="1">IFERROR(__xludf.DUMMYFUNCTION("REGEXEXTRACT(A842, ""-(.*)"")"),"ARP.0012.02.2025.GOV.FES-PE.PE")</f>
        <v>ARP.0012.02.2025.GOV.FES-PE.PE</v>
      </c>
      <c r="F842" s="3" t="s">
        <v>1513</v>
      </c>
      <c r="G842" s="3"/>
      <c r="H842" s="9">
        <v>45708</v>
      </c>
      <c r="I842" s="3" t="s">
        <v>37</v>
      </c>
      <c r="J842" s="3" t="str">
        <f>VLOOKUP(A842,'TODOS OS PROCESSOS ATUALIZADOS '!A:I,7,0)</f>
        <v>Cancelada</v>
      </c>
      <c r="K842" s="3" t="s">
        <v>38</v>
      </c>
      <c r="L842" s="3" t="str">
        <f t="shared" si="3"/>
        <v>Item não atualizado</v>
      </c>
      <c r="M842" s="3"/>
      <c r="N842" s="3" t="s">
        <v>38</v>
      </c>
      <c r="O842" s="3" t="s">
        <v>39</v>
      </c>
    </row>
    <row r="843" spans="1:17" ht="22.5" customHeight="1" x14ac:dyDescent="0.2">
      <c r="A843" s="3" t="s">
        <v>1606</v>
      </c>
      <c r="B843" s="3" t="str">
        <f ca="1">IFERROR(__xludf.DUMMYFUNCTION("REGEXEXTRACT(A843, ""\.(?:GOV|EXT)\.([A-Z0-9\-]+)"")
"),"FES-PE")</f>
        <v>FES-PE</v>
      </c>
      <c r="C843" s="3" t="s">
        <v>34</v>
      </c>
      <c r="D843" s="3" t="s">
        <v>1216</v>
      </c>
      <c r="E843" s="14" t="str">
        <f ca="1">IFERROR(__xludf.DUMMYFUNCTION("REGEXEXTRACT(A843, ""-(.*)"")"),"ARP.0012.01.2025.GOV.FES-PE.PE")</f>
        <v>ARP.0012.01.2025.GOV.FES-PE.PE</v>
      </c>
      <c r="F843" s="6" t="s">
        <v>1513</v>
      </c>
      <c r="G843" s="3"/>
      <c r="H843" s="9">
        <v>45708</v>
      </c>
      <c r="I843" s="3" t="s">
        <v>44</v>
      </c>
      <c r="J843" s="3" t="str">
        <f>VLOOKUP(A843,'TODOS OS PROCESSOS ATUALIZADOS '!A:I,7,0)</f>
        <v>Autorizada Sucesso</v>
      </c>
      <c r="K843" s="3" t="s">
        <v>44</v>
      </c>
      <c r="L843" s="3" t="str">
        <f t="shared" si="3"/>
        <v>Item atualizado</v>
      </c>
      <c r="M843" s="3"/>
      <c r="N843" s="3" t="s">
        <v>45</v>
      </c>
      <c r="O843" s="3" t="s">
        <v>39</v>
      </c>
    </row>
    <row r="844" spans="1:17" ht="22.5" customHeight="1" x14ac:dyDescent="0.2">
      <c r="A844" s="3" t="s">
        <v>1607</v>
      </c>
      <c r="B844" s="3" t="str">
        <f ca="1">IFERROR(__xludf.DUMMYFUNCTION("REGEXEXTRACT(A844, ""\.(?:GOV|EXT)\.([A-Z0-9\-]+)"")
"),"FES-PE")</f>
        <v>FES-PE</v>
      </c>
      <c r="C844" s="3" t="s">
        <v>34</v>
      </c>
      <c r="D844" s="3" t="s">
        <v>1216</v>
      </c>
      <c r="E844" s="14" t="str">
        <f ca="1">IFERROR(__xludf.DUMMYFUNCTION("REGEXEXTRACT(A844, ""-(.*)"")"),"ARP.0012.00.2025.GOV.FES-PE.PE")</f>
        <v>ARP.0012.00.2025.GOV.FES-PE.PE</v>
      </c>
      <c r="F844" s="6" t="s">
        <v>1513</v>
      </c>
      <c r="G844" s="3"/>
      <c r="H844" s="9">
        <v>45708</v>
      </c>
      <c r="I844" s="3" t="s">
        <v>44</v>
      </c>
      <c r="J844" s="3" t="str">
        <f>VLOOKUP(A844,'TODOS OS PROCESSOS ATUALIZADOS '!A:I,7,0)</f>
        <v>Autorizada Sucesso</v>
      </c>
      <c r="K844" s="3" t="s">
        <v>44</v>
      </c>
      <c r="L844" s="3" t="str">
        <f t="shared" si="3"/>
        <v>Item atualizado</v>
      </c>
      <c r="M844" s="3"/>
      <c r="N844" s="3" t="s">
        <v>45</v>
      </c>
      <c r="O844" s="3" t="s">
        <v>39</v>
      </c>
    </row>
    <row r="845" spans="1:17" ht="22.5" customHeight="1" x14ac:dyDescent="0.2">
      <c r="A845" s="3" t="s">
        <v>1608</v>
      </c>
      <c r="B845" s="3" t="str">
        <f ca="1">IFERROR(__xludf.DUMMYFUNCTION("REGEXEXTRACT(A845, ""\.(?:GOV|EXT)\.([A-Z0-9\-]+)"")
"),"FES-PE")</f>
        <v>FES-PE</v>
      </c>
      <c r="C845" s="3" t="s">
        <v>34</v>
      </c>
      <c r="D845" s="3" t="s">
        <v>1216</v>
      </c>
      <c r="E845" s="14" t="str">
        <f ca="1">IFERROR(__xludf.DUMMYFUNCTION("REGEXEXTRACT(A845, ""-(.*)"")"),"ARP.0010.04.2025.GOV.FES-PE.PE")</f>
        <v>ARP.0010.04.2025.GOV.FES-PE.PE</v>
      </c>
      <c r="F845" s="3" t="s">
        <v>391</v>
      </c>
      <c r="G845" s="3"/>
      <c r="H845" s="9">
        <v>45707</v>
      </c>
      <c r="I845" s="3" t="s">
        <v>44</v>
      </c>
      <c r="J845" s="3" t="str">
        <f>VLOOKUP(A845,'TODOS OS PROCESSOS ATUALIZADOS '!A:I,7,0)</f>
        <v>Autorizada Sucesso</v>
      </c>
      <c r="K845" s="3" t="s">
        <v>44</v>
      </c>
      <c r="L845" s="3" t="str">
        <f t="shared" si="3"/>
        <v>Item atualizado</v>
      </c>
      <c r="M845" s="3"/>
      <c r="N845" s="3" t="s">
        <v>44</v>
      </c>
      <c r="O845" s="3" t="s">
        <v>52</v>
      </c>
      <c r="P845" s="3" t="s">
        <v>1609</v>
      </c>
    </row>
    <row r="846" spans="1:17" ht="22.5" customHeight="1" x14ac:dyDescent="0.2">
      <c r="A846" s="3" t="s">
        <v>1610</v>
      </c>
      <c r="B846" s="3" t="str">
        <f ca="1">IFERROR(__xludf.DUMMYFUNCTION("REGEXEXTRACT(A846, ""\.(?:GOV|EXT)\.([A-Z0-9\-]+)"")
"),"FES-PE")</f>
        <v>FES-PE</v>
      </c>
      <c r="C846" s="3" t="s">
        <v>34</v>
      </c>
      <c r="D846" s="3" t="s">
        <v>1216</v>
      </c>
      <c r="E846" s="14" t="str">
        <f ca="1">IFERROR(__xludf.DUMMYFUNCTION("REGEXEXTRACT(A846, ""-(.*)"")"),"ARP.0004.00.2025.GOV.FES-PE.PE")</f>
        <v>ARP.0004.00.2025.GOV.FES-PE.PE</v>
      </c>
      <c r="F846" s="3" t="s">
        <v>1611</v>
      </c>
      <c r="G846" s="3" t="s">
        <v>3</v>
      </c>
      <c r="H846" s="9">
        <v>45707</v>
      </c>
      <c r="I846" s="3" t="s">
        <v>37</v>
      </c>
      <c r="J846" s="3" t="str">
        <f>VLOOKUP(A846,'TODOS OS PROCESSOS ATUALIZADOS '!A:I,7,0)</f>
        <v>Encaminhada para o gestor de ata</v>
      </c>
      <c r="K846" s="3" t="s">
        <v>42</v>
      </c>
      <c r="L846" s="3" t="str">
        <f t="shared" si="3"/>
        <v>Item atualizado</v>
      </c>
      <c r="M846" s="3"/>
      <c r="N846" s="3" t="s">
        <v>42</v>
      </c>
      <c r="O846" s="3" t="s">
        <v>39</v>
      </c>
      <c r="P846" s="3"/>
      <c r="Q846" s="3"/>
    </row>
    <row r="847" spans="1:17" ht="22.5" customHeight="1" x14ac:dyDescent="0.2">
      <c r="A847" s="3" t="s">
        <v>1612</v>
      </c>
      <c r="B847" s="3" t="str">
        <f ca="1">IFERROR(__xludf.DUMMYFUNCTION("REGEXEXTRACT(A847, ""\.(?:GOV|EXT)\.([A-Z0-9\-]+)"")
"),"FES-PE")</f>
        <v>FES-PE</v>
      </c>
      <c r="C847" s="3" t="s">
        <v>34</v>
      </c>
      <c r="D847" s="3" t="s">
        <v>1216</v>
      </c>
      <c r="E847" s="14" t="str">
        <f ca="1">IFERROR(__xludf.DUMMYFUNCTION("REGEXEXTRACT(A847, ""-(.*)"")"),"ARP.0004.05.2025.GOV.FES-PE.PE")</f>
        <v>ARP.0004.05.2025.GOV.FES-PE.PE</v>
      </c>
      <c r="F847" s="3" t="s">
        <v>1611</v>
      </c>
      <c r="G847" s="3" t="s">
        <v>3</v>
      </c>
      <c r="H847" s="9">
        <v>45707</v>
      </c>
      <c r="I847" s="3" t="s">
        <v>37</v>
      </c>
      <c r="J847" s="3" t="str">
        <f>VLOOKUP(A847,'TODOS OS PROCESSOS ATUALIZADOS '!A:I,7,0)</f>
        <v>Encaminhada para o gestor de ata</v>
      </c>
      <c r="K847" s="3" t="s">
        <v>42</v>
      </c>
      <c r="L847" s="3" t="str">
        <f t="shared" si="3"/>
        <v>Item atualizado</v>
      </c>
      <c r="M847" s="3"/>
      <c r="N847" s="3" t="s">
        <v>42</v>
      </c>
      <c r="O847" s="3" t="s">
        <v>39</v>
      </c>
      <c r="P847" s="3"/>
      <c r="Q847" s="3"/>
    </row>
    <row r="848" spans="1:17" ht="22.5" customHeight="1" x14ac:dyDescent="0.2">
      <c r="A848" s="3" t="s">
        <v>1613</v>
      </c>
      <c r="B848" s="3" t="str">
        <f ca="1">IFERROR(__xludf.DUMMYFUNCTION("REGEXEXTRACT(A848, ""\.(?:GOV|EXT)\.([A-Z0-9\-]+)"")
"),"FES-PE")</f>
        <v>FES-PE</v>
      </c>
      <c r="C848" s="3" t="s">
        <v>34</v>
      </c>
      <c r="D848" s="3" t="s">
        <v>1216</v>
      </c>
      <c r="E848" s="14" t="str">
        <f ca="1">IFERROR(__xludf.DUMMYFUNCTION("REGEXEXTRACT(A848, ""-(.*)"")"),"ARP.0003.00.2025.GOV.FES-PE.PE")</f>
        <v>ARP.0003.00.2025.GOV.FES-PE.PE</v>
      </c>
      <c r="F848" s="3" t="s">
        <v>1217</v>
      </c>
      <c r="G848" s="3"/>
      <c r="H848" s="9">
        <v>45707</v>
      </c>
      <c r="I848" s="3" t="s">
        <v>37</v>
      </c>
      <c r="J848" s="3" t="str">
        <f>VLOOKUP(A848,'TODOS OS PROCESSOS ATUALIZADOS '!A:I,7,0)</f>
        <v>Cancelada</v>
      </c>
      <c r="K848" s="3" t="s">
        <v>38</v>
      </c>
      <c r="L848" s="3" t="str">
        <f t="shared" si="3"/>
        <v>Item não atualizado</v>
      </c>
      <c r="M848" s="3"/>
      <c r="N848" s="3" t="s">
        <v>38</v>
      </c>
      <c r="O848" s="3" t="s">
        <v>39</v>
      </c>
    </row>
    <row r="849" spans="1:16" ht="22.5" customHeight="1" x14ac:dyDescent="0.2">
      <c r="A849" s="3" t="s">
        <v>1614</v>
      </c>
      <c r="B849" s="3" t="str">
        <f ca="1">IFERROR(__xludf.DUMMYFUNCTION("REGEXEXTRACT(A849, ""\.(?:GOV|EXT)\.([A-Z0-9\-]+)"")
"),"SAD")</f>
        <v>SAD</v>
      </c>
      <c r="C849" s="3" t="s">
        <v>34</v>
      </c>
      <c r="D849" s="3" t="s">
        <v>1216</v>
      </c>
      <c r="E849" s="14" t="str">
        <f ca="1">IFERROR(__xludf.DUMMYFUNCTION("REGEXEXTRACT(A849, ""-(.*)"")"),"ARPC.0001.00.2025.GOV.SAD.PE")</f>
        <v>ARPC.0001.00.2025.GOV.SAD.PE</v>
      </c>
      <c r="F849" s="3" t="s">
        <v>1539</v>
      </c>
      <c r="G849" s="3"/>
      <c r="H849" s="9">
        <v>45705</v>
      </c>
      <c r="I849" s="3" t="s">
        <v>44</v>
      </c>
      <c r="J849" s="3" t="str">
        <f>VLOOKUP(A849,'TODOS OS PROCESSOS ATUALIZADOS '!A:I,7,0)</f>
        <v>Autorizada Sucesso</v>
      </c>
      <c r="K849" s="3" t="s">
        <v>44</v>
      </c>
      <c r="L849" s="3" t="str">
        <f t="shared" si="3"/>
        <v>Item atualizado</v>
      </c>
      <c r="M849" s="3"/>
      <c r="N849" s="3" t="s">
        <v>44</v>
      </c>
      <c r="O849" s="3" t="s">
        <v>52</v>
      </c>
      <c r="P849" s="3" t="s">
        <v>1615</v>
      </c>
    </row>
    <row r="850" spans="1:16" ht="22.5" customHeight="1" x14ac:dyDescent="0.2">
      <c r="A850" s="3" t="s">
        <v>1616</v>
      </c>
      <c r="B850" s="3" t="str">
        <f ca="1">IFERROR(__xludf.DUMMYFUNCTION("REGEXEXTRACT(A850, ""\.(?:GOV|EXT)\.([A-Z0-9\-]+)"")
"),"FES-PE")</f>
        <v>FES-PE</v>
      </c>
      <c r="C850" s="3" t="s">
        <v>34</v>
      </c>
      <c r="D850" s="3" t="s">
        <v>1216</v>
      </c>
      <c r="E850" s="14" t="str">
        <f ca="1">IFERROR(__xludf.DUMMYFUNCTION("REGEXEXTRACT(A850, ""-(.*)"")"),"ARP.0015.03.2025.GOV.FES-PE.PE")</f>
        <v>ARP.0015.03.2025.GOV.FES-PE.PE</v>
      </c>
      <c r="F850" s="6" t="s">
        <v>1265</v>
      </c>
      <c r="G850" s="3" t="s">
        <v>3</v>
      </c>
      <c r="H850" s="9">
        <v>45702</v>
      </c>
      <c r="I850" s="3" t="s">
        <v>1254</v>
      </c>
      <c r="J850" s="3" t="str">
        <f>VLOOKUP(A850,'TODOS OS PROCESSOS ATUALIZADOS '!A:I,7,0)</f>
        <v>Encaminhada para o gestor de ata</v>
      </c>
      <c r="K850" s="3" t="s">
        <v>45</v>
      </c>
      <c r="L850" s="3" t="str">
        <f t="shared" si="3"/>
        <v>Item não atualizado</v>
      </c>
      <c r="M850" s="3" t="s">
        <v>13</v>
      </c>
      <c r="N850" s="3" t="s">
        <v>45</v>
      </c>
      <c r="O850" s="3" t="s">
        <v>39</v>
      </c>
    </row>
    <row r="851" spans="1:16" ht="22.5" customHeight="1" x14ac:dyDescent="0.2">
      <c r="A851" s="3" t="s">
        <v>1617</v>
      </c>
      <c r="B851" s="3" t="str">
        <f ca="1">IFERROR(__xludf.DUMMYFUNCTION("REGEXEXTRACT(A851, ""\.(?:GOV|EXT)\.([A-Z0-9\-]+)"")
"),"FES-PE")</f>
        <v>FES-PE</v>
      </c>
      <c r="C851" s="3" t="s">
        <v>34</v>
      </c>
      <c r="D851" s="3" t="s">
        <v>1216</v>
      </c>
      <c r="E851" s="14" t="str">
        <f ca="1">IFERROR(__xludf.DUMMYFUNCTION("REGEXEXTRACT(A851, ""-(.*)"")"),"ARP.0015.03.2025.GOV.FES-PE.PE")</f>
        <v>ARP.0015.03.2025.GOV.FES-PE.PE</v>
      </c>
      <c r="F851" s="6" t="s">
        <v>1265</v>
      </c>
      <c r="G851" s="3"/>
      <c r="H851" s="9">
        <v>45702</v>
      </c>
      <c r="I851" s="3" t="s">
        <v>44</v>
      </c>
      <c r="J851" s="3" t="str">
        <f>VLOOKUP(A851,'TODOS OS PROCESSOS ATUALIZADOS '!A:I,7,0)</f>
        <v>Autorizada Sucesso</v>
      </c>
      <c r="K851" s="3" t="s">
        <v>44</v>
      </c>
      <c r="L851" s="3" t="str">
        <f t="shared" si="3"/>
        <v>Item atualizado</v>
      </c>
      <c r="M851" s="3"/>
      <c r="N851" s="3" t="s">
        <v>45</v>
      </c>
      <c r="O851" s="3" t="s">
        <v>39</v>
      </c>
    </row>
    <row r="852" spans="1:16" ht="22.5" customHeight="1" x14ac:dyDescent="0.2">
      <c r="A852" s="3" t="s">
        <v>1618</v>
      </c>
      <c r="B852" s="3" t="str">
        <f ca="1">IFERROR(__xludf.DUMMYFUNCTION("REGEXEXTRACT(A852, ""\.(?:GOV|EXT)\.([A-Z0-9\-]+)"")
"),"FES-PE")</f>
        <v>FES-PE</v>
      </c>
      <c r="C852" s="3" t="s">
        <v>34</v>
      </c>
      <c r="D852" s="3" t="s">
        <v>1216</v>
      </c>
      <c r="E852" s="14" t="str">
        <f ca="1">IFERROR(__xludf.DUMMYFUNCTION("REGEXEXTRACT(A852, ""-(.*)"")"),"ARP.0015.00.2025.GOV.FES-PE.PE")</f>
        <v>ARP.0015.00.2025.GOV.FES-PE.PE</v>
      </c>
      <c r="F852" s="3" t="s">
        <v>1265</v>
      </c>
      <c r="G852" s="3"/>
      <c r="H852" s="9">
        <v>45702</v>
      </c>
      <c r="I852" s="3" t="s">
        <v>44</v>
      </c>
      <c r="J852" s="3" t="str">
        <f>VLOOKUP(A852,'TODOS OS PROCESSOS ATUALIZADOS '!A:I,7,0)</f>
        <v>Autorizada Sucesso</v>
      </c>
      <c r="K852" s="3" t="s">
        <v>44</v>
      </c>
      <c r="L852" s="3" t="str">
        <f t="shared" si="3"/>
        <v>Item atualizado</v>
      </c>
      <c r="M852" s="3"/>
      <c r="N852" s="3" t="s">
        <v>44</v>
      </c>
      <c r="O852" s="3" t="s">
        <v>52</v>
      </c>
      <c r="P852" s="3" t="s">
        <v>1619</v>
      </c>
    </row>
    <row r="853" spans="1:16" ht="22.5" customHeight="1" x14ac:dyDescent="0.2">
      <c r="A853" s="3" t="s">
        <v>1620</v>
      </c>
      <c r="B853" s="3" t="str">
        <f ca="1">IFERROR(__xludf.DUMMYFUNCTION("REGEXEXTRACT(A853, ""\.(?:GOV|EXT)\.([A-Z0-9\-]+)"")
"),"FES-PE")</f>
        <v>FES-PE</v>
      </c>
      <c r="C853" s="3" t="s">
        <v>34</v>
      </c>
      <c r="D853" s="3" t="s">
        <v>1216</v>
      </c>
      <c r="E853" s="14" t="str">
        <f ca="1">IFERROR(__xludf.DUMMYFUNCTION("REGEXEXTRACT(A853, ""-(.*)"")"),"ARP.0046.00.2024.GOV.FES-PE.PE")</f>
        <v>ARP.0046.00.2024.GOV.FES-PE.PE</v>
      </c>
      <c r="F853" s="6" t="s">
        <v>1436</v>
      </c>
      <c r="G853" s="3"/>
      <c r="H853" s="9">
        <v>45701</v>
      </c>
      <c r="I853" s="3" t="s">
        <v>44</v>
      </c>
      <c r="J853" s="3" t="str">
        <f>VLOOKUP(A853,'TODOS OS PROCESSOS ATUALIZADOS '!A:I,7,0)</f>
        <v>Autorizada Sucesso</v>
      </c>
      <c r="K853" s="3" t="s">
        <v>44</v>
      </c>
      <c r="L853" s="3" t="str">
        <f t="shared" si="3"/>
        <v>Item atualizado</v>
      </c>
      <c r="M853" s="3"/>
      <c r="N853" s="3" t="s">
        <v>45</v>
      </c>
      <c r="O853" s="3" t="s">
        <v>39</v>
      </c>
    </row>
    <row r="854" spans="1:16" ht="22.5" customHeight="1" x14ac:dyDescent="0.2">
      <c r="A854" s="3" t="s">
        <v>1621</v>
      </c>
      <c r="B854" s="3" t="str">
        <f ca="1">IFERROR(__xludf.DUMMYFUNCTION("REGEXEXTRACT(A854, ""\.(?:GOV|EXT)\.([A-Z0-9\-]+)"")
"),"FES-PE")</f>
        <v>FES-PE</v>
      </c>
      <c r="C854" s="3" t="s">
        <v>34</v>
      </c>
      <c r="D854" s="3" t="s">
        <v>1216</v>
      </c>
      <c r="E854" s="14" t="str">
        <f ca="1">IFERROR(__xludf.DUMMYFUNCTION("REGEXEXTRACT(A854, ""-(.*)"")"),"ARP.0046.00.2024.GOV.FES-PE.PE")</f>
        <v>ARP.0046.00.2024.GOV.FES-PE.PE</v>
      </c>
      <c r="F854" s="6" t="s">
        <v>1436</v>
      </c>
      <c r="G854" s="3"/>
      <c r="H854" s="9">
        <v>45701</v>
      </c>
      <c r="I854" s="3" t="s">
        <v>44</v>
      </c>
      <c r="J854" s="3" t="str">
        <f>VLOOKUP(A854,'TODOS OS PROCESSOS ATUALIZADOS '!A:I,7,0)</f>
        <v>Autorizada Sucesso</v>
      </c>
      <c r="K854" s="3" t="s">
        <v>44</v>
      </c>
      <c r="L854" s="3" t="str">
        <f t="shared" si="3"/>
        <v>Item atualizado</v>
      </c>
      <c r="M854" s="3"/>
      <c r="N854" s="3" t="s">
        <v>45</v>
      </c>
      <c r="O854" s="3" t="s">
        <v>39</v>
      </c>
    </row>
    <row r="855" spans="1:16" ht="22.5" customHeight="1" x14ac:dyDescent="0.2">
      <c r="A855" s="3" t="s">
        <v>1622</v>
      </c>
      <c r="B855" s="3" t="str">
        <f ca="1">IFERROR(__xludf.DUMMYFUNCTION("REGEXEXTRACT(A855, ""\.(?:GOV|EXT)\.([A-Z0-9\-]+)"")
"),"FES-PE")</f>
        <v>FES-PE</v>
      </c>
      <c r="C855" s="3" t="s">
        <v>34</v>
      </c>
      <c r="D855" s="3" t="s">
        <v>1216</v>
      </c>
      <c r="E855" s="14" t="str">
        <f ca="1">IFERROR(__xludf.DUMMYFUNCTION("REGEXEXTRACT(A855, ""-(.*)"")"),"ARP.0100.03.2024.GOV.FES-PE.PE")</f>
        <v>ARP.0100.03.2024.GOV.FES-PE.PE</v>
      </c>
      <c r="F855" s="6" t="s">
        <v>1217</v>
      </c>
      <c r="G855" s="3"/>
      <c r="H855" s="9">
        <v>45699</v>
      </c>
      <c r="I855" s="3" t="s">
        <v>44</v>
      </c>
      <c r="J855" s="3" t="str">
        <f>VLOOKUP(A855,'TODOS OS PROCESSOS ATUALIZADOS '!A:I,7,0)</f>
        <v>Autorizada Sucesso</v>
      </c>
      <c r="K855" s="3" t="s">
        <v>44</v>
      </c>
      <c r="L855" s="3" t="str">
        <f t="shared" si="3"/>
        <v>Item atualizado</v>
      </c>
      <c r="M855" s="3"/>
      <c r="N855" s="3" t="s">
        <v>45</v>
      </c>
      <c r="O855" s="3" t="s">
        <v>39</v>
      </c>
    </row>
    <row r="856" spans="1:16" ht="22.5" customHeight="1" x14ac:dyDescent="0.2">
      <c r="A856" s="3" t="s">
        <v>1623</v>
      </c>
      <c r="B856" s="3" t="str">
        <f ca="1">IFERROR(__xludf.DUMMYFUNCTION("REGEXEXTRACT(A856, ""\.(?:GOV|EXT)\.([A-Z0-9\-]+)"")
"),"FES-PE")</f>
        <v>FES-PE</v>
      </c>
      <c r="C856" s="3" t="s">
        <v>34</v>
      </c>
      <c r="D856" s="3" t="s">
        <v>1216</v>
      </c>
      <c r="E856" s="14" t="str">
        <f ca="1">IFERROR(__xludf.DUMMYFUNCTION("REGEXEXTRACT(A856, ""-(.*)"")"),"ARP.0005.02.2025.GOV.FES-PE.PE")</f>
        <v>ARP.0005.02.2025.GOV.FES-PE.PE</v>
      </c>
      <c r="F856" s="6" t="s">
        <v>1530</v>
      </c>
      <c r="G856" s="3"/>
      <c r="H856" s="9">
        <v>45699</v>
      </c>
      <c r="I856" s="3" t="s">
        <v>44</v>
      </c>
      <c r="J856" s="3" t="str">
        <f>VLOOKUP(A856,'TODOS OS PROCESSOS ATUALIZADOS '!A:I,7,0)</f>
        <v>Autorizada Sucesso</v>
      </c>
      <c r="K856" s="3" t="s">
        <v>44</v>
      </c>
      <c r="L856" s="3" t="str">
        <f t="shared" si="3"/>
        <v>Item atualizado</v>
      </c>
      <c r="M856" s="3"/>
      <c r="N856" s="3" t="s">
        <v>45</v>
      </c>
      <c r="O856" s="3" t="s">
        <v>39</v>
      </c>
    </row>
    <row r="857" spans="1:16" ht="22.5" customHeight="1" x14ac:dyDescent="0.2">
      <c r="A857" s="3" t="s">
        <v>1624</v>
      </c>
      <c r="B857" s="3" t="str">
        <f ca="1">IFERROR(__xludf.DUMMYFUNCTION("REGEXEXTRACT(A857, ""\.(?:GOV|EXT)\.([A-Z0-9\-]+)"")
"),"FES-PE")</f>
        <v>FES-PE</v>
      </c>
      <c r="C857" s="3" t="s">
        <v>34</v>
      </c>
      <c r="D857" s="3" t="s">
        <v>1216</v>
      </c>
      <c r="E857" s="14" t="str">
        <f ca="1">IFERROR(__xludf.DUMMYFUNCTION("REGEXEXTRACT(A857, ""-(.*)"")"),"ARP.0005.00.2025.GOV.FES-PE.PE")</f>
        <v>ARP.0005.00.2025.GOV.FES-PE.PE</v>
      </c>
      <c r="F857" s="6" t="s">
        <v>1530</v>
      </c>
      <c r="G857" s="3"/>
      <c r="H857" s="9">
        <v>45699</v>
      </c>
      <c r="I857" s="3" t="s">
        <v>44</v>
      </c>
      <c r="J857" s="3" t="str">
        <f>VLOOKUP(A857,'TODOS OS PROCESSOS ATUALIZADOS '!A:I,7,0)</f>
        <v>Autorizada Sucesso</v>
      </c>
      <c r="K857" s="3" t="s">
        <v>44</v>
      </c>
      <c r="L857" s="3" t="str">
        <f t="shared" si="3"/>
        <v>Item atualizado</v>
      </c>
      <c r="M857" s="3"/>
      <c r="N857" s="3" t="s">
        <v>45</v>
      </c>
      <c r="O857" s="3" t="s">
        <v>39</v>
      </c>
    </row>
    <row r="858" spans="1:16" ht="22.5" customHeight="1" x14ac:dyDescent="0.2">
      <c r="A858" s="3" t="s">
        <v>1625</v>
      </c>
      <c r="B858" s="3" t="str">
        <f ca="1">IFERROR(__xludf.DUMMYFUNCTION("REGEXEXTRACT(A858, ""\.(?:GOV|EXT)\.([A-Z0-9\-]+)"")
"),"FES-PE")</f>
        <v>FES-PE</v>
      </c>
      <c r="C858" s="3" t="s">
        <v>34</v>
      </c>
      <c r="D858" s="3" t="s">
        <v>1216</v>
      </c>
      <c r="E858" s="14" t="str">
        <f ca="1">IFERROR(__xludf.DUMMYFUNCTION("REGEXEXTRACT(A858, ""-(.*)"")"),"ARP.0099.00.2024.GOV.FES-PE.PE")</f>
        <v>ARP.0099.00.2024.GOV.FES-PE.PE</v>
      </c>
      <c r="F858" s="6" t="s">
        <v>1626</v>
      </c>
      <c r="G858" s="3"/>
      <c r="H858" s="9">
        <v>45699</v>
      </c>
      <c r="I858" s="3" t="s">
        <v>44</v>
      </c>
      <c r="J858" s="3" t="str">
        <f>VLOOKUP(A858,'TODOS OS PROCESSOS ATUALIZADOS '!A:I,7,0)</f>
        <v>Autorizada Sucesso</v>
      </c>
      <c r="K858" s="3" t="s">
        <v>44</v>
      </c>
      <c r="L858" s="3" t="str">
        <f t="shared" si="3"/>
        <v>Item atualizado</v>
      </c>
      <c r="M858" s="3"/>
      <c r="N858" s="3" t="s">
        <v>45</v>
      </c>
      <c r="O858" s="3" t="s">
        <v>39</v>
      </c>
    </row>
    <row r="859" spans="1:16" ht="22.5" customHeight="1" x14ac:dyDescent="0.2">
      <c r="A859" s="3" t="s">
        <v>1627</v>
      </c>
      <c r="B859" s="3" t="str">
        <f ca="1">IFERROR(__xludf.DUMMYFUNCTION("REGEXEXTRACT(A859, ""\.(?:GOV|EXT)\.([A-Z0-9\-]+)"")
"),"FES-PE")</f>
        <v>FES-PE</v>
      </c>
      <c r="C859" s="3" t="s">
        <v>34</v>
      </c>
      <c r="D859" s="3" t="s">
        <v>1216</v>
      </c>
      <c r="E859" s="14" t="str">
        <f ca="1">IFERROR(__xludf.DUMMYFUNCTION("REGEXEXTRACT(A859, ""-(.*)"")"),"ARP.0005.01.2025.GOV.FES-PE.PE")</f>
        <v>ARP.0005.01.2025.GOV.FES-PE.PE</v>
      </c>
      <c r="F859" s="3" t="s">
        <v>1530</v>
      </c>
      <c r="G859" s="3"/>
      <c r="H859" s="9">
        <v>45699</v>
      </c>
      <c r="I859" s="3" t="s">
        <v>37</v>
      </c>
      <c r="J859" s="3" t="str">
        <f>VLOOKUP(A859,'TODOS OS PROCESSOS ATUALIZADOS '!A:I,7,0)</f>
        <v>Cancelada</v>
      </c>
      <c r="K859" s="3" t="s">
        <v>38</v>
      </c>
      <c r="L859" s="3" t="str">
        <f t="shared" si="3"/>
        <v>Item não atualizado</v>
      </c>
      <c r="M859" s="3"/>
      <c r="N859" s="3" t="s">
        <v>38</v>
      </c>
      <c r="O859" s="3" t="s">
        <v>39</v>
      </c>
    </row>
    <row r="860" spans="1:16" ht="22.5" customHeight="1" x14ac:dyDescent="0.2">
      <c r="A860" s="3" t="s">
        <v>1628</v>
      </c>
      <c r="B860" s="3" t="str">
        <f ca="1">IFERROR(__xludf.DUMMYFUNCTION("REGEXEXTRACT(A860, ""\.(?:GOV|EXT)\.([A-Z0-9\-]+)"")
"),"SAD")</f>
        <v>SAD</v>
      </c>
      <c r="C860" s="3" t="s">
        <v>34</v>
      </c>
      <c r="D860" s="3" t="s">
        <v>1216</v>
      </c>
      <c r="E860" s="14" t="str">
        <f ca="1">IFERROR(__xludf.DUMMYFUNCTION("REGEXEXTRACT(A860, ""-(.*)"")"),"ARPC.0019.00.2024.GOV.SAD.PE")</f>
        <v>ARPC.0019.00.2024.GOV.SAD.PE</v>
      </c>
      <c r="F860" s="3" t="s">
        <v>1300</v>
      </c>
      <c r="G860" s="3"/>
      <c r="H860" s="9">
        <v>45699</v>
      </c>
      <c r="I860" s="3" t="s">
        <v>37</v>
      </c>
      <c r="J860" s="3" t="str">
        <f>VLOOKUP(A860,'TODOS OS PROCESSOS ATUALIZADOS '!A:I,7,0)</f>
        <v>Cancelada por fim vigencia ATA</v>
      </c>
      <c r="K860" s="3" t="s">
        <v>38</v>
      </c>
      <c r="L860" s="3" t="str">
        <f t="shared" si="3"/>
        <v>Item atualizado</v>
      </c>
      <c r="M860" s="3"/>
      <c r="N860" s="3" t="s">
        <v>38</v>
      </c>
      <c r="O860" s="3" t="s">
        <v>39</v>
      </c>
    </row>
    <row r="861" spans="1:16" ht="22.5" customHeight="1" x14ac:dyDescent="0.2">
      <c r="A861" s="3" t="s">
        <v>1629</v>
      </c>
      <c r="B861" s="3" t="str">
        <f ca="1">IFERROR(__xludf.DUMMYFUNCTION("REGEXEXTRACT(A861, ""\.(?:GOV|EXT)\.([A-Z0-9\-]+)"")
"),"CISAM")</f>
        <v>CISAM</v>
      </c>
      <c r="C861" s="3" t="s">
        <v>34</v>
      </c>
      <c r="D861" s="3" t="s">
        <v>1216</v>
      </c>
      <c r="E861" s="14" t="str">
        <f ca="1">IFERROR(__xludf.DUMMYFUNCTION("REGEXEXTRACT(A861, ""-(.*)"")"),"ARP.0002.00.2025.GOV.CISAM.PE")</f>
        <v>ARP.0002.00.2025.GOV.CISAM.PE</v>
      </c>
      <c r="F861" s="3" t="s">
        <v>1630</v>
      </c>
      <c r="G861" s="3"/>
      <c r="H861" s="9">
        <v>45695</v>
      </c>
      <c r="I861" s="3" t="s">
        <v>44</v>
      </c>
      <c r="J861" s="3" t="str">
        <f>VLOOKUP(A861,'TODOS OS PROCESSOS ATUALIZADOS '!A:I,7,0)</f>
        <v>Autorizada Sucesso</v>
      </c>
      <c r="K861" s="3" t="s">
        <v>44</v>
      </c>
      <c r="L861" s="3" t="str">
        <f t="shared" si="3"/>
        <v>Item atualizado</v>
      </c>
      <c r="M861" s="3"/>
      <c r="N861" s="3" t="s">
        <v>44</v>
      </c>
      <c r="O861" s="3" t="s">
        <v>52</v>
      </c>
      <c r="P861" s="3" t="s">
        <v>1631</v>
      </c>
    </row>
    <row r="862" spans="1:16" ht="22.5" customHeight="1" x14ac:dyDescent="0.2">
      <c r="A862" s="3" t="s">
        <v>1632</v>
      </c>
      <c r="B862" s="3" t="str">
        <f ca="1">IFERROR(__xludf.DUMMYFUNCTION("REGEXEXTRACT(A862, ""\.(?:GOV|EXT)\.([A-Z0-9\-]+)"")
"),"CISAM")</f>
        <v>CISAM</v>
      </c>
      <c r="C862" s="3" t="s">
        <v>34</v>
      </c>
      <c r="D862" s="3" t="s">
        <v>1216</v>
      </c>
      <c r="E862" s="14" t="str">
        <f ca="1">IFERROR(__xludf.DUMMYFUNCTION("REGEXEXTRACT(A862, ""-(.*)"")"),"ARP.0002.00.2025.GOV.CISAM.PE")</f>
        <v>ARP.0002.00.2025.GOV.CISAM.PE</v>
      </c>
      <c r="F862" s="3" t="s">
        <v>1630</v>
      </c>
      <c r="G862" s="3"/>
      <c r="H862" s="9">
        <v>45695</v>
      </c>
      <c r="I862" s="3" t="s">
        <v>44</v>
      </c>
      <c r="J862" s="3" t="str">
        <f>VLOOKUP(A862,'TODOS OS PROCESSOS ATUALIZADOS '!A:I,7,0)</f>
        <v>Autorizada Sucesso</v>
      </c>
      <c r="K862" s="3" t="s">
        <v>44</v>
      </c>
      <c r="L862" s="3" t="str">
        <f t="shared" si="3"/>
        <v>Item atualizado</v>
      </c>
      <c r="M862" s="3"/>
      <c r="N862" s="3" t="s">
        <v>44</v>
      </c>
      <c r="O862" s="3" t="s">
        <v>52</v>
      </c>
      <c r="P862" s="3" t="s">
        <v>1549</v>
      </c>
    </row>
    <row r="863" spans="1:16" ht="22.5" customHeight="1" x14ac:dyDescent="0.2">
      <c r="A863" s="3" t="s">
        <v>1633</v>
      </c>
      <c r="B863" s="3" t="str">
        <f ca="1">IFERROR(__xludf.DUMMYFUNCTION("REGEXEXTRACT(A863, ""\.(?:GOV|EXT)\.([A-Z0-9\-]+)"")
"),"CISAM")</f>
        <v>CISAM</v>
      </c>
      <c r="C863" s="3" t="s">
        <v>34</v>
      </c>
      <c r="D863" s="3" t="s">
        <v>1216</v>
      </c>
      <c r="E863" s="14" t="str">
        <f ca="1">IFERROR(__xludf.DUMMYFUNCTION("REGEXEXTRACT(A863, ""-(.*)"")"),"ARP.0002.00.2025.GOV.CISAM.PE")</f>
        <v>ARP.0002.00.2025.GOV.CISAM.PE</v>
      </c>
      <c r="F863" s="3" t="s">
        <v>1630</v>
      </c>
      <c r="G863" s="3"/>
      <c r="H863" s="9">
        <v>45695</v>
      </c>
      <c r="I863" s="3" t="s">
        <v>37</v>
      </c>
      <c r="J863" s="3" t="str">
        <f>VLOOKUP(A863,'TODOS OS PROCESSOS ATUALIZADOS '!A:I,7,0)</f>
        <v>Cancelada</v>
      </c>
      <c r="K863" s="3" t="s">
        <v>38</v>
      </c>
      <c r="L863" s="3" t="str">
        <f t="shared" si="3"/>
        <v>Item não atualizado</v>
      </c>
      <c r="M863" s="3"/>
      <c r="N863" s="3" t="s">
        <v>38</v>
      </c>
      <c r="O863" s="3" t="s">
        <v>39</v>
      </c>
    </row>
    <row r="864" spans="1:16" ht="22.5" customHeight="1" x14ac:dyDescent="0.2">
      <c r="A864" s="3" t="s">
        <v>1634</v>
      </c>
      <c r="B864" s="3" t="str">
        <f ca="1">IFERROR(__xludf.DUMMYFUNCTION("REGEXEXTRACT(A864, ""\.(?:GOV|EXT)\.([A-Z0-9\-]+)"")
"),"CISAM")</f>
        <v>CISAM</v>
      </c>
      <c r="C864" s="3" t="s">
        <v>34</v>
      </c>
      <c r="D864" s="3" t="s">
        <v>1216</v>
      </c>
      <c r="E864" s="14" t="str">
        <f ca="1">IFERROR(__xludf.DUMMYFUNCTION("REGEXEXTRACT(A864, ""-(.*)"")"),"ARP.0002.00.2025.GOV.CISAM.PE")</f>
        <v>ARP.0002.00.2025.GOV.CISAM.PE</v>
      </c>
      <c r="F864" s="3" t="s">
        <v>1630</v>
      </c>
      <c r="G864" s="3"/>
      <c r="H864" s="9">
        <v>45695</v>
      </c>
      <c r="I864" s="3" t="s">
        <v>37</v>
      </c>
      <c r="J864" s="3" t="str">
        <f>VLOOKUP(A864,'TODOS OS PROCESSOS ATUALIZADOS '!A:I,7,0)</f>
        <v>Cancelada</v>
      </c>
      <c r="K864" s="3" t="s">
        <v>38</v>
      </c>
      <c r="L864" s="3" t="str">
        <f t="shared" si="3"/>
        <v>Item não atualizado</v>
      </c>
      <c r="M864" s="3"/>
      <c r="N864" s="3" t="s">
        <v>38</v>
      </c>
      <c r="O864" s="3" t="s">
        <v>39</v>
      </c>
    </row>
    <row r="865" spans="1:16" ht="22.5" customHeight="1" x14ac:dyDescent="0.2">
      <c r="A865" s="3" t="s">
        <v>1635</v>
      </c>
      <c r="B865" s="3" t="str">
        <f ca="1">IFERROR(__xludf.DUMMYFUNCTION("REGEXEXTRACT(A865, ""\.(?:GOV|EXT)\.([A-Z0-9\-]+)"")
"),"FES-PE")</f>
        <v>FES-PE</v>
      </c>
      <c r="C865" s="3" t="s">
        <v>34</v>
      </c>
      <c r="D865" s="3" t="s">
        <v>1216</v>
      </c>
      <c r="E865" s="14" t="str">
        <f ca="1">IFERROR(__xludf.DUMMYFUNCTION("REGEXEXTRACT(A865, ""-(.*)"")"),"ARP.0025.00.2024.GOV.FES-PE.PE")</f>
        <v>ARP.0025.00.2024.GOV.FES-PE.PE</v>
      </c>
      <c r="F865" s="3" t="s">
        <v>739</v>
      </c>
      <c r="G865" s="3" t="s">
        <v>3</v>
      </c>
      <c r="H865" s="9">
        <v>45693</v>
      </c>
      <c r="I865" s="3" t="s">
        <v>37</v>
      </c>
      <c r="J865" s="3" t="str">
        <f>VLOOKUP(A865,'TODOS OS PROCESSOS ATUALIZADOS '!A:I,7,0)</f>
        <v>Cancelada</v>
      </c>
      <c r="K865" s="3" t="s">
        <v>38</v>
      </c>
      <c r="L865" s="3" t="str">
        <f t="shared" si="3"/>
        <v>Item não atualizado</v>
      </c>
      <c r="M865" s="3"/>
      <c r="N865" s="3" t="s">
        <v>38</v>
      </c>
      <c r="O865" s="3" t="s">
        <v>39</v>
      </c>
    </row>
    <row r="866" spans="1:16" ht="22.5" customHeight="1" x14ac:dyDescent="0.2">
      <c r="A866" s="3" t="s">
        <v>1636</v>
      </c>
      <c r="B866" s="3" t="str">
        <f ca="1">IFERROR(__xludf.DUMMYFUNCTION("REGEXEXTRACT(A866, ""\.(?:GOV|EXT)\.([A-Z0-9\-]+)"")
"),"FES-PE")</f>
        <v>FES-PE</v>
      </c>
      <c r="C866" s="3" t="s">
        <v>34</v>
      </c>
      <c r="D866" s="3" t="s">
        <v>1216</v>
      </c>
      <c r="E866" s="14" t="str">
        <f ca="1">IFERROR(__xludf.DUMMYFUNCTION("REGEXEXTRACT(A866, ""-(.*)"")"),"ARP.0015.05.2025.GOV.FES-PE.PE")</f>
        <v>ARP.0015.05.2025.GOV.FES-PE.PE</v>
      </c>
      <c r="F866" s="6" t="s">
        <v>1265</v>
      </c>
      <c r="G866" s="3" t="s">
        <v>3</v>
      </c>
      <c r="H866" s="9">
        <v>45692</v>
      </c>
      <c r="I866" s="3" t="s">
        <v>1254</v>
      </c>
      <c r="J866" s="3" t="str">
        <f>VLOOKUP(A866,'TODOS OS PROCESSOS ATUALIZADOS '!A:I,7,0)</f>
        <v>Encaminhada para o gestor de ata</v>
      </c>
      <c r="K866" s="3" t="s">
        <v>45</v>
      </c>
      <c r="L866" s="3" t="str">
        <f t="shared" si="3"/>
        <v>Item não atualizado</v>
      </c>
      <c r="M866" s="3" t="s">
        <v>13</v>
      </c>
      <c r="N866" s="3" t="s">
        <v>45</v>
      </c>
      <c r="O866" s="3" t="s">
        <v>39</v>
      </c>
    </row>
    <row r="867" spans="1:16" ht="22.5" customHeight="1" x14ac:dyDescent="0.2">
      <c r="A867" s="3" t="s">
        <v>1637</v>
      </c>
      <c r="B867" s="3" t="str">
        <f ca="1">IFERROR(__xludf.DUMMYFUNCTION("REGEXEXTRACT(A867, ""\.(?:GOV|EXT)\.([A-Z0-9\-]+)"")
"),"FES-PE")</f>
        <v>FES-PE</v>
      </c>
      <c r="C867" s="3" t="s">
        <v>34</v>
      </c>
      <c r="D867" s="3" t="s">
        <v>1216</v>
      </c>
      <c r="E867" s="14" t="str">
        <f ca="1">IFERROR(__xludf.DUMMYFUNCTION("REGEXEXTRACT(A867, ""-(.*)"")"),"ARP.0015.05.2025.GOV.FES-PE.PE")</f>
        <v>ARP.0015.05.2025.GOV.FES-PE.PE</v>
      </c>
      <c r="F867" s="6" t="s">
        <v>1265</v>
      </c>
      <c r="G867" s="3"/>
      <c r="H867" s="9">
        <v>45692</v>
      </c>
      <c r="I867" s="3" t="s">
        <v>44</v>
      </c>
      <c r="J867" s="3" t="str">
        <f>VLOOKUP(A867,'TODOS OS PROCESSOS ATUALIZADOS '!A:I,7,0)</f>
        <v>Autorizada Sucesso</v>
      </c>
      <c r="K867" s="3" t="s">
        <v>44</v>
      </c>
      <c r="L867" s="3" t="str">
        <f t="shared" si="3"/>
        <v>Item atualizado</v>
      </c>
      <c r="M867" s="3"/>
      <c r="N867" s="3" t="s">
        <v>45</v>
      </c>
      <c r="O867" s="3" t="s">
        <v>39</v>
      </c>
    </row>
    <row r="868" spans="1:16" ht="22.5" customHeight="1" x14ac:dyDescent="0.2">
      <c r="A868" s="3" t="s">
        <v>1638</v>
      </c>
      <c r="B868" s="3" t="str">
        <f ca="1">IFERROR(__xludf.DUMMYFUNCTION("REGEXEXTRACT(A868, ""\.(?:GOV|EXT)\.([A-Z0-9\-]+)"")
"),"FES-PE")</f>
        <v>FES-PE</v>
      </c>
      <c r="C868" s="3" t="s">
        <v>34</v>
      </c>
      <c r="D868" s="3" t="s">
        <v>1216</v>
      </c>
      <c r="E868" s="14" t="str">
        <f ca="1">IFERROR(__xludf.DUMMYFUNCTION("REGEXEXTRACT(A868, ""-(.*)"")"),"ARP.0015.05.2025.GOV.FES-PE.PE")</f>
        <v>ARP.0015.05.2025.GOV.FES-PE.PE</v>
      </c>
      <c r="F868" s="6" t="s">
        <v>1265</v>
      </c>
      <c r="G868" s="3"/>
      <c r="H868" s="9">
        <v>45692</v>
      </c>
      <c r="I868" s="3" t="s">
        <v>44</v>
      </c>
      <c r="J868" s="3" t="str">
        <f>VLOOKUP(A868,'TODOS OS PROCESSOS ATUALIZADOS '!A:I,7,0)</f>
        <v>Autorizada Sucesso</v>
      </c>
      <c r="K868" s="3" t="s">
        <v>44</v>
      </c>
      <c r="L868" s="3" t="str">
        <f t="shared" si="3"/>
        <v>Item atualizado</v>
      </c>
      <c r="M868" s="3"/>
      <c r="N868" s="3" t="s">
        <v>45</v>
      </c>
      <c r="O868" s="3" t="s">
        <v>39</v>
      </c>
    </row>
    <row r="869" spans="1:16" ht="22.5" customHeight="1" x14ac:dyDescent="0.2">
      <c r="A869" s="3" t="s">
        <v>1639</v>
      </c>
      <c r="B869" s="3" t="str">
        <f ca="1">IFERROR(__xludf.DUMMYFUNCTION("REGEXEXTRACT(A869, ""\.(?:GOV|EXT)\.([A-Z0-9\-]+)"")
"),"FES-PE")</f>
        <v>FES-PE</v>
      </c>
      <c r="C869" s="3" t="s">
        <v>34</v>
      </c>
      <c r="D869" s="3" t="s">
        <v>1216</v>
      </c>
      <c r="E869" s="14" t="str">
        <f ca="1">IFERROR(__xludf.DUMMYFUNCTION("REGEXEXTRACT(A869, ""-(.*)"")"),"ARP.0010.04.2025.GOV.FES-PE.PE")</f>
        <v>ARP.0010.04.2025.GOV.FES-PE.PE</v>
      </c>
      <c r="F869" s="3" t="s">
        <v>391</v>
      </c>
      <c r="G869" s="3"/>
      <c r="H869" s="9">
        <v>45692</v>
      </c>
      <c r="I869" s="3" t="s">
        <v>37</v>
      </c>
      <c r="J869" s="3" t="str">
        <f>VLOOKUP(A869,'TODOS OS PROCESSOS ATUALIZADOS '!A:I,7,0)</f>
        <v>Cancelada</v>
      </c>
      <c r="K869" s="3" t="s">
        <v>38</v>
      </c>
      <c r="L869" s="3" t="str">
        <f t="shared" si="3"/>
        <v>Item não atualizado</v>
      </c>
      <c r="M869" s="3"/>
      <c r="N869" s="3" t="s">
        <v>38</v>
      </c>
      <c r="O869" s="3" t="s">
        <v>39</v>
      </c>
    </row>
    <row r="870" spans="1:16" ht="22.5" customHeight="1" x14ac:dyDescent="0.2">
      <c r="A870" s="3" t="s">
        <v>1640</v>
      </c>
      <c r="B870" s="3" t="str">
        <f ca="1">IFERROR(__xludf.DUMMYFUNCTION("REGEXEXTRACT(A870, ""\.(?:GOV|EXT)\.([A-Z0-9\-]+)"")
"),"FES-PE")</f>
        <v>FES-PE</v>
      </c>
      <c r="C870" s="3" t="s">
        <v>34</v>
      </c>
      <c r="D870" s="3" t="s">
        <v>1216</v>
      </c>
      <c r="E870" s="14" t="str">
        <f ca="1">IFERROR(__xludf.DUMMYFUNCTION("REGEXEXTRACT(A870, ""-(.*)"")"),"ARP.0010.03.2025.GOV.FES-PE.PE")</f>
        <v>ARP.0010.03.2025.GOV.FES-PE.PE</v>
      </c>
      <c r="F870" s="6" t="s">
        <v>391</v>
      </c>
      <c r="G870" s="3"/>
      <c r="H870" s="9">
        <v>45692</v>
      </c>
      <c r="I870" s="3" t="s">
        <v>44</v>
      </c>
      <c r="J870" s="3" t="str">
        <f>VLOOKUP(A870,'TODOS OS PROCESSOS ATUALIZADOS '!A:I,7,0)</f>
        <v>Autorizada Sucesso</v>
      </c>
      <c r="K870" s="3" t="s">
        <v>44</v>
      </c>
      <c r="L870" s="3" t="str">
        <f t="shared" si="3"/>
        <v>Item atualizado</v>
      </c>
      <c r="M870" s="3"/>
      <c r="N870" s="3" t="s">
        <v>45</v>
      </c>
      <c r="O870" s="3" t="s">
        <v>39</v>
      </c>
    </row>
    <row r="871" spans="1:16" ht="22.5" customHeight="1" x14ac:dyDescent="0.2">
      <c r="A871" s="3" t="s">
        <v>1641</v>
      </c>
      <c r="B871" s="3" t="str">
        <f ca="1">IFERROR(__xludf.DUMMYFUNCTION("REGEXEXTRACT(A871, ""\.(?:GOV|EXT)\.([A-Z0-9\-]+)"")
"),"SAD")</f>
        <v>SAD</v>
      </c>
      <c r="C871" s="3" t="s">
        <v>34</v>
      </c>
      <c r="D871" s="3" t="s">
        <v>1216</v>
      </c>
      <c r="E871" s="14" t="str">
        <f ca="1">IFERROR(__xludf.DUMMYFUNCTION("REGEXEXTRACT(A871, ""-(.*)"")"),"ARPC.0019.00.2024.GOV.SAD.PE")</f>
        <v>ARPC.0019.00.2024.GOV.SAD.PE</v>
      </c>
      <c r="F871" s="3" t="s">
        <v>1300</v>
      </c>
      <c r="G871" s="3"/>
      <c r="H871" s="9">
        <v>45691</v>
      </c>
      <c r="I871" s="3" t="s">
        <v>44</v>
      </c>
      <c r="J871" s="3" t="str">
        <f>VLOOKUP(A871,'TODOS OS PROCESSOS ATUALIZADOS '!A:I,7,0)</f>
        <v>Autorizada Sucesso</v>
      </c>
      <c r="K871" s="3" t="s">
        <v>44</v>
      </c>
      <c r="L871" s="3" t="str">
        <f t="shared" si="3"/>
        <v>Item atualizado</v>
      </c>
      <c r="M871" s="3"/>
      <c r="N871" s="3" t="s">
        <v>44</v>
      </c>
      <c r="O871" s="3" t="s">
        <v>52</v>
      </c>
      <c r="P871" s="3" t="s">
        <v>1642</v>
      </c>
    </row>
    <row r="872" spans="1:16" ht="22.5" customHeight="1" x14ac:dyDescent="0.2">
      <c r="A872" s="3" t="s">
        <v>1643</v>
      </c>
      <c r="B872" s="3" t="str">
        <f ca="1">IFERROR(__xludf.DUMMYFUNCTION("REGEXEXTRACT(A872, ""\.(?:GOV|EXT)\.([A-Z0-9\-]+)"")
"),"FES-PE")</f>
        <v>FES-PE</v>
      </c>
      <c r="C872" s="3" t="s">
        <v>34</v>
      </c>
      <c r="D872" s="3" t="s">
        <v>1216</v>
      </c>
      <c r="E872" s="14" t="str">
        <f ca="1">IFERROR(__xludf.DUMMYFUNCTION("REGEXEXTRACT(A872, ""-(.*)"")"),"ARP.0016.00.2025.GOV.FES-PE.PE")</f>
        <v>ARP.0016.00.2025.GOV.FES-PE.PE</v>
      </c>
      <c r="F872" s="3" t="s">
        <v>1298</v>
      </c>
      <c r="G872" s="3" t="s">
        <v>3</v>
      </c>
      <c r="H872" s="9">
        <v>45690</v>
      </c>
      <c r="I872" s="3" t="s">
        <v>37</v>
      </c>
      <c r="J872" s="3" t="str">
        <f>VLOOKUP(A872,'TODOS OS PROCESSOS ATUALIZADOS '!A:I,7,0)</f>
        <v>Cancelada</v>
      </c>
      <c r="K872" s="3" t="s">
        <v>38</v>
      </c>
      <c r="L872" s="3" t="str">
        <f t="shared" si="3"/>
        <v>Item não atualizado</v>
      </c>
      <c r="M872" s="3"/>
      <c r="N872" s="3" t="s">
        <v>38</v>
      </c>
      <c r="O872" s="3" t="s">
        <v>39</v>
      </c>
    </row>
    <row r="873" spans="1:16" ht="22.5" customHeight="1" x14ac:dyDescent="0.2">
      <c r="A873" s="3" t="s">
        <v>1644</v>
      </c>
      <c r="B873" s="3" t="str">
        <f ca="1">IFERROR(__xludf.DUMMYFUNCTION("REGEXEXTRACT(A873, ""\.(?:GOV|EXT)\.([A-Z0-9\-]+)"")
"),"FES-PE")</f>
        <v>FES-PE</v>
      </c>
      <c r="C873" s="3" t="s">
        <v>34</v>
      </c>
      <c r="D873" s="3" t="s">
        <v>1216</v>
      </c>
      <c r="E873" s="14" t="str">
        <f ca="1">IFERROR(__xludf.DUMMYFUNCTION("REGEXEXTRACT(A873, ""-(.*)"")"),"ARP.0016.00.2025.GOV.FES-PE.PE")</f>
        <v>ARP.0016.00.2025.GOV.FES-PE.PE</v>
      </c>
      <c r="F873" s="6" t="s">
        <v>1298</v>
      </c>
      <c r="G873" s="3"/>
      <c r="H873" s="9">
        <v>45690</v>
      </c>
      <c r="I873" s="3" t="s">
        <v>44</v>
      </c>
      <c r="J873" s="3" t="str">
        <f>VLOOKUP(A873,'TODOS OS PROCESSOS ATUALIZADOS '!A:I,7,0)</f>
        <v>Autorizada Sucesso</v>
      </c>
      <c r="K873" s="3" t="s">
        <v>44</v>
      </c>
      <c r="L873" s="3" t="str">
        <f t="shared" si="3"/>
        <v>Item atualizado</v>
      </c>
      <c r="M873" s="3"/>
      <c r="N873" s="3" t="s">
        <v>45</v>
      </c>
      <c r="O873" s="3" t="s">
        <v>39</v>
      </c>
    </row>
    <row r="874" spans="1:16" ht="22.5" customHeight="1" x14ac:dyDescent="0.2">
      <c r="A874" s="3" t="s">
        <v>1645</v>
      </c>
      <c r="B874" s="3" t="str">
        <f ca="1">IFERROR(__xludf.DUMMYFUNCTION("REGEXEXTRACT(A874, ""\.(?:GOV|EXT)\.([A-Z0-9\-]+)"")
"),"FES-PE")</f>
        <v>FES-PE</v>
      </c>
      <c r="C874" s="3" t="s">
        <v>34</v>
      </c>
      <c r="D874" s="3" t="s">
        <v>1216</v>
      </c>
      <c r="E874" s="14" t="str">
        <f ca="1">IFERROR(__xludf.DUMMYFUNCTION("REGEXEXTRACT(A874, ""-(.*)"")"),"ARP.0031.14.2024.GOV.FES-PE.PE")</f>
        <v>ARP.0031.14.2024.GOV.FES-PE.PE</v>
      </c>
      <c r="F874" s="3" t="s">
        <v>1646</v>
      </c>
      <c r="G874" s="3"/>
      <c r="H874" s="9">
        <v>45690</v>
      </c>
      <c r="I874" s="3" t="s">
        <v>37</v>
      </c>
      <c r="J874" s="3" t="str">
        <f>VLOOKUP(A874,'TODOS OS PROCESSOS ATUALIZADOS '!A:I,7,0)</f>
        <v>Cancelada</v>
      </c>
      <c r="K874" s="3" t="s">
        <v>38</v>
      </c>
      <c r="L874" s="3" t="str">
        <f t="shared" si="3"/>
        <v>Item não atualizado</v>
      </c>
      <c r="M874" s="3"/>
      <c r="N874" s="3" t="s">
        <v>38</v>
      </c>
      <c r="O874" s="3" t="s">
        <v>39</v>
      </c>
    </row>
    <row r="875" spans="1:16" ht="22.5" customHeight="1" x14ac:dyDescent="0.2">
      <c r="A875" s="3" t="s">
        <v>1647</v>
      </c>
      <c r="B875" s="3" t="str">
        <f ca="1">IFERROR(__xludf.DUMMYFUNCTION("REGEXEXTRACT(A875, ""\.(?:GOV|EXT)\.([A-Z0-9\-]+)"")
"),"FES-PE")</f>
        <v>FES-PE</v>
      </c>
      <c r="C875" s="3" t="s">
        <v>34</v>
      </c>
      <c r="D875" s="3" t="s">
        <v>1216</v>
      </c>
      <c r="E875" s="14" t="str">
        <f ca="1">IFERROR(__xludf.DUMMYFUNCTION("REGEXEXTRACT(A875, ""-(.*)"")"),"ARP.0015.06.2025.GOV.FES-PE.PE")</f>
        <v>ARP.0015.06.2025.GOV.FES-PE.PE</v>
      </c>
      <c r="F875" s="6" t="s">
        <v>1265</v>
      </c>
      <c r="G875" s="3" t="s">
        <v>3</v>
      </c>
      <c r="H875" s="9">
        <v>45688</v>
      </c>
      <c r="I875" s="3" t="s">
        <v>1254</v>
      </c>
      <c r="J875" s="3" t="str">
        <f>VLOOKUP(A875,'TODOS OS PROCESSOS ATUALIZADOS '!A:I,7,0)</f>
        <v>Encaminhada para o gestor de ata</v>
      </c>
      <c r="K875" s="3" t="s">
        <v>45</v>
      </c>
      <c r="L875" s="3" t="str">
        <f t="shared" si="3"/>
        <v>Item não atualizado</v>
      </c>
      <c r="M875" s="3" t="s">
        <v>16</v>
      </c>
      <c r="N875" s="3" t="s">
        <v>45</v>
      </c>
      <c r="O875" s="3" t="s">
        <v>39</v>
      </c>
    </row>
    <row r="876" spans="1:16" ht="22.5" customHeight="1" x14ac:dyDescent="0.2">
      <c r="A876" s="3" t="s">
        <v>1648</v>
      </c>
      <c r="B876" s="3" t="str">
        <f ca="1">IFERROR(__xludf.DUMMYFUNCTION("REGEXEXTRACT(A876, ""\.(?:GOV|EXT)\.([A-Z0-9\-]+)"")
"),"FES-PE")</f>
        <v>FES-PE</v>
      </c>
      <c r="C876" s="3" t="s">
        <v>34</v>
      </c>
      <c r="D876" s="3" t="s">
        <v>1216</v>
      </c>
      <c r="E876" s="14" t="str">
        <f ca="1">IFERROR(__xludf.DUMMYFUNCTION("REGEXEXTRACT(A876, ""-(.*)"")"),"ARP.0015.06.2025.GOV.FES-PE.PE")</f>
        <v>ARP.0015.06.2025.GOV.FES-PE.PE</v>
      </c>
      <c r="F876" s="6" t="s">
        <v>1265</v>
      </c>
      <c r="G876" s="3"/>
      <c r="H876" s="9">
        <v>45688</v>
      </c>
      <c r="I876" s="3" t="s">
        <v>44</v>
      </c>
      <c r="J876" s="3" t="str">
        <f>VLOOKUP(A876,'TODOS OS PROCESSOS ATUALIZADOS '!A:I,7,0)</f>
        <v>Autorizada Sucesso</v>
      </c>
      <c r="K876" s="3" t="s">
        <v>44</v>
      </c>
      <c r="L876" s="3" t="str">
        <f t="shared" si="3"/>
        <v>Item atualizado</v>
      </c>
      <c r="M876" s="3"/>
      <c r="N876" s="3" t="s">
        <v>45</v>
      </c>
      <c r="O876" s="3" t="s">
        <v>39</v>
      </c>
    </row>
    <row r="877" spans="1:16" ht="22.5" customHeight="1" x14ac:dyDescent="0.2">
      <c r="A877" s="3" t="s">
        <v>1649</v>
      </c>
      <c r="B877" s="3" t="str">
        <f ca="1">IFERROR(__xludf.DUMMYFUNCTION("REGEXEXTRACT(A877, ""\.(?:GOV|EXT)\.([A-Z0-9\-]+)"")
"),"FES-PE")</f>
        <v>FES-PE</v>
      </c>
      <c r="C877" s="3" t="s">
        <v>34</v>
      </c>
      <c r="D877" s="3" t="s">
        <v>1216</v>
      </c>
      <c r="E877" s="14" t="str">
        <f ca="1">IFERROR(__xludf.DUMMYFUNCTION("REGEXEXTRACT(A877, ""-(.*)"")"),"ARP.0015.02.2025.GOV.FES-PE.PE")</f>
        <v>ARP.0015.02.2025.GOV.FES-PE.PE</v>
      </c>
      <c r="F877" s="3" t="s">
        <v>1265</v>
      </c>
      <c r="G877" s="3"/>
      <c r="H877" s="9">
        <v>45688</v>
      </c>
      <c r="I877" s="3" t="s">
        <v>37</v>
      </c>
      <c r="J877" s="3" t="str">
        <f>VLOOKUP(A877,'TODOS OS PROCESSOS ATUALIZADOS '!A:I,7,0)</f>
        <v>Cancelada</v>
      </c>
      <c r="K877" s="3" t="s">
        <v>38</v>
      </c>
      <c r="L877" s="3" t="str">
        <f t="shared" si="3"/>
        <v>Item não atualizado</v>
      </c>
      <c r="M877" s="3"/>
      <c r="N877" s="3" t="s">
        <v>38</v>
      </c>
      <c r="O877" s="3" t="s">
        <v>39</v>
      </c>
    </row>
    <row r="878" spans="1:16" ht="22.5" customHeight="1" x14ac:dyDescent="0.2">
      <c r="A878" s="3" t="s">
        <v>1650</v>
      </c>
      <c r="B878" s="3" t="str">
        <f ca="1">IFERROR(__xludf.DUMMYFUNCTION("REGEXEXTRACT(A878, ""\.(?:GOV|EXT)\.([A-Z0-9\-]+)"")
"),"FES-PE")</f>
        <v>FES-PE</v>
      </c>
      <c r="C878" s="3" t="s">
        <v>34</v>
      </c>
      <c r="D878" s="3" t="s">
        <v>1216</v>
      </c>
      <c r="E878" s="14" t="str">
        <f ca="1">IFERROR(__xludf.DUMMYFUNCTION("REGEXEXTRACT(A878, ""-(.*)"")"),"ARP.0014.02.2025.GOV.FES-PE.PE")</f>
        <v>ARP.0014.02.2025.GOV.FES-PE.PE</v>
      </c>
      <c r="F878" s="6" t="s">
        <v>1651</v>
      </c>
      <c r="G878" s="3" t="s">
        <v>3</v>
      </c>
      <c r="H878" s="9">
        <v>45688</v>
      </c>
      <c r="I878" s="3" t="s">
        <v>1254</v>
      </c>
      <c r="J878" s="3" t="str">
        <f>VLOOKUP(A878,'TODOS OS PROCESSOS ATUALIZADOS '!A:I,7,0)</f>
        <v>Encaminhada para o gestor de ata</v>
      </c>
      <c r="K878" s="3" t="s">
        <v>45</v>
      </c>
      <c r="L878" s="3" t="str">
        <f t="shared" si="3"/>
        <v>Item não atualizado</v>
      </c>
      <c r="M878" s="3" t="s">
        <v>16</v>
      </c>
      <c r="N878" s="3" t="s">
        <v>45</v>
      </c>
      <c r="O878" s="3" t="s">
        <v>39</v>
      </c>
    </row>
    <row r="879" spans="1:16" ht="22.5" customHeight="1" x14ac:dyDescent="0.2">
      <c r="A879" s="3" t="s">
        <v>1652</v>
      </c>
      <c r="B879" s="3" t="str">
        <f ca="1">IFERROR(__xludf.DUMMYFUNCTION("REGEXEXTRACT(A879, ""\.(?:GOV|EXT)\.([A-Z0-9\-]+)"")
"),"FES-PE")</f>
        <v>FES-PE</v>
      </c>
      <c r="C879" s="3" t="s">
        <v>34</v>
      </c>
      <c r="D879" s="3" t="s">
        <v>1216</v>
      </c>
      <c r="E879" s="14" t="str">
        <f ca="1">IFERROR(__xludf.DUMMYFUNCTION("REGEXEXTRACT(A879, ""-(.*)"")"),"ARP.0014.02.2025.GOV.FES-PE.PE")</f>
        <v>ARP.0014.02.2025.GOV.FES-PE.PE</v>
      </c>
      <c r="F879" s="3" t="s">
        <v>1651</v>
      </c>
      <c r="G879" s="3" t="s">
        <v>3</v>
      </c>
      <c r="H879" s="9">
        <v>45688</v>
      </c>
      <c r="I879" s="3" t="s">
        <v>37</v>
      </c>
      <c r="J879" s="3" t="str">
        <f>VLOOKUP(A879,'TODOS OS PROCESSOS ATUALIZADOS '!A:I,7,0)</f>
        <v>Cancelada</v>
      </c>
      <c r="K879" s="3" t="s">
        <v>38</v>
      </c>
      <c r="L879" s="3" t="str">
        <f t="shared" si="3"/>
        <v>Item não atualizado</v>
      </c>
      <c r="M879" s="3" t="s">
        <v>16</v>
      </c>
      <c r="N879" s="3" t="s">
        <v>38</v>
      </c>
      <c r="O879" s="3" t="s">
        <v>39</v>
      </c>
      <c r="P879" s="3" t="s">
        <v>1653</v>
      </c>
    </row>
    <row r="880" spans="1:16" ht="22.5" customHeight="1" x14ac:dyDescent="0.2">
      <c r="A880" s="3" t="s">
        <v>1654</v>
      </c>
      <c r="B880" s="3" t="str">
        <f ca="1">IFERROR(__xludf.DUMMYFUNCTION("REGEXEXTRACT(A880, ""\.(?:GOV|EXT)\.([A-Z0-9\-]+)"")
"),"FES-PE")</f>
        <v>FES-PE</v>
      </c>
      <c r="C880" s="3" t="s">
        <v>34</v>
      </c>
      <c r="D880" s="3" t="s">
        <v>1216</v>
      </c>
      <c r="E880" s="14" t="str">
        <f ca="1">IFERROR(__xludf.DUMMYFUNCTION("REGEXEXTRACT(A880, ""-(.*)"")"),"ARP.0014.02.2025.GOV.FES-PE.PE")</f>
        <v>ARP.0014.02.2025.GOV.FES-PE.PE</v>
      </c>
      <c r="F880" s="6" t="s">
        <v>1651</v>
      </c>
      <c r="G880" s="3"/>
      <c r="H880" s="9">
        <v>45688</v>
      </c>
      <c r="I880" s="3" t="s">
        <v>44</v>
      </c>
      <c r="J880" s="3" t="str">
        <f>VLOOKUP(A880,'TODOS OS PROCESSOS ATUALIZADOS '!A:I,7,0)</f>
        <v>Autorizada Sucesso</v>
      </c>
      <c r="K880" s="3" t="s">
        <v>44</v>
      </c>
      <c r="L880" s="3" t="str">
        <f t="shared" si="3"/>
        <v>Item atualizado</v>
      </c>
      <c r="M880" s="3"/>
      <c r="N880" s="3" t="s">
        <v>45</v>
      </c>
      <c r="O880" s="3" t="s">
        <v>39</v>
      </c>
    </row>
    <row r="881" spans="1:17" ht="22.5" customHeight="1" x14ac:dyDescent="0.2">
      <c r="A881" s="3" t="s">
        <v>1655</v>
      </c>
      <c r="B881" s="3" t="str">
        <f ca="1">IFERROR(__xludf.DUMMYFUNCTION("REGEXEXTRACT(A881, ""\.(?:GOV|EXT)\.([A-Z0-9\-]+)"")
"),"FES-PE")</f>
        <v>FES-PE</v>
      </c>
      <c r="C881" s="3" t="s">
        <v>34</v>
      </c>
      <c r="D881" s="3" t="s">
        <v>1216</v>
      </c>
      <c r="E881" s="14" t="str">
        <f ca="1">IFERROR(__xludf.DUMMYFUNCTION("REGEXEXTRACT(A881, ""-(.*)"")"),"ARP.0014.02.2025.GOV.FES-PE.PE")</f>
        <v>ARP.0014.02.2025.GOV.FES-PE.PE</v>
      </c>
      <c r="F881" s="6" t="s">
        <v>1651</v>
      </c>
      <c r="G881" s="3"/>
      <c r="H881" s="9">
        <v>45688</v>
      </c>
      <c r="I881" s="3" t="s">
        <v>44</v>
      </c>
      <c r="J881" s="3" t="str">
        <f>VLOOKUP(A881,'TODOS OS PROCESSOS ATUALIZADOS '!A:I,7,0)</f>
        <v>Autorizada Sucesso</v>
      </c>
      <c r="K881" s="3" t="s">
        <v>44</v>
      </c>
      <c r="L881" s="3" t="str">
        <f t="shared" si="3"/>
        <v>Item atualizado</v>
      </c>
      <c r="M881" s="3"/>
      <c r="N881" s="3" t="s">
        <v>45</v>
      </c>
      <c r="O881" s="3" t="s">
        <v>39</v>
      </c>
    </row>
    <row r="882" spans="1:17" ht="22.5" customHeight="1" x14ac:dyDescent="0.2">
      <c r="A882" s="3" t="s">
        <v>1656</v>
      </c>
      <c r="B882" s="3" t="str">
        <f ca="1">IFERROR(__xludf.DUMMYFUNCTION("REGEXEXTRACT(A882, ""\.(?:GOV|EXT)\.([A-Z0-9\-]+)"")
"),"FES-PE")</f>
        <v>FES-PE</v>
      </c>
      <c r="C882" s="3" t="s">
        <v>34</v>
      </c>
      <c r="D882" s="3" t="s">
        <v>1216</v>
      </c>
      <c r="E882" s="14" t="str">
        <f ca="1">IFERROR(__xludf.DUMMYFUNCTION("REGEXEXTRACT(A882, ""-(.*)"")"),"ARP.0092.00.2024.GOV.FES-PE.PE")</f>
        <v>ARP.0092.00.2024.GOV.FES-PE.PE</v>
      </c>
      <c r="F882" s="6" t="s">
        <v>1376</v>
      </c>
      <c r="G882" s="3"/>
      <c r="H882" s="9">
        <v>45687</v>
      </c>
      <c r="I882" s="3" t="s">
        <v>44</v>
      </c>
      <c r="J882" s="3" t="str">
        <f>VLOOKUP(A882,'TODOS OS PROCESSOS ATUALIZADOS '!A:I,7,0)</f>
        <v>Autorizada Sucesso</v>
      </c>
      <c r="K882" s="3" t="s">
        <v>44</v>
      </c>
      <c r="L882" s="3" t="str">
        <f t="shared" si="3"/>
        <v>Item atualizado</v>
      </c>
      <c r="M882" s="3"/>
      <c r="N882" s="3" t="s">
        <v>45</v>
      </c>
      <c r="O882" s="3" t="s">
        <v>39</v>
      </c>
    </row>
    <row r="883" spans="1:17" ht="22.5" customHeight="1" x14ac:dyDescent="0.2">
      <c r="A883" s="3" t="s">
        <v>1657</v>
      </c>
      <c r="B883" s="3" t="str">
        <f ca="1">IFERROR(__xludf.DUMMYFUNCTION("REGEXEXTRACT(A883, ""\.(?:GOV|EXT)\.([A-Z0-9\-]+)"")
"),"SAD")</f>
        <v>SAD</v>
      </c>
      <c r="C883" s="3" t="s">
        <v>34</v>
      </c>
      <c r="D883" s="3" t="s">
        <v>1216</v>
      </c>
      <c r="E883" s="14" t="str">
        <f ca="1">IFERROR(__xludf.DUMMYFUNCTION("REGEXEXTRACT(A883, ""-(.*)"")"),"ARPC.0006.00.2024.GOV.SAD.PE")</f>
        <v>ARPC.0006.00.2024.GOV.SAD.PE</v>
      </c>
      <c r="F883" s="3" t="s">
        <v>1658</v>
      </c>
      <c r="G883" s="3"/>
      <c r="H883" s="9">
        <v>45687</v>
      </c>
      <c r="I883" s="3" t="s">
        <v>37</v>
      </c>
      <c r="J883" s="3" t="str">
        <f>VLOOKUP(A883,'TODOS OS PROCESSOS ATUALIZADOS '!A:I,7,0)</f>
        <v>Cancelada</v>
      </c>
      <c r="K883" s="3" t="s">
        <v>38</v>
      </c>
      <c r="L883" s="3" t="str">
        <f t="shared" si="3"/>
        <v>Item não atualizado</v>
      </c>
      <c r="M883" s="3"/>
      <c r="N883" s="3" t="s">
        <v>38</v>
      </c>
      <c r="O883" s="3" t="s">
        <v>39</v>
      </c>
    </row>
    <row r="884" spans="1:17" ht="22.5" customHeight="1" x14ac:dyDescent="0.2">
      <c r="A884" s="3" t="s">
        <v>1659</v>
      </c>
      <c r="B884" s="3" t="str">
        <f ca="1">IFERROR(__xludf.DUMMYFUNCTION("REGEXEXTRACT(A884, ""\.(?:GOV|EXT)\.([A-Z0-9\-]+)"")
"),"HOF")</f>
        <v>HOF</v>
      </c>
      <c r="C884" s="3" t="s">
        <v>34</v>
      </c>
      <c r="D884" s="3" t="s">
        <v>1216</v>
      </c>
      <c r="E884" s="14" t="str">
        <f ca="1">IFERROR(__xludf.DUMMYFUNCTION("REGEXEXTRACT(A884, ""-(.*)"")"),"ARP.0001.00.2025.GOV.HOF.PE")</f>
        <v>ARP.0001.00.2025.GOV.HOF.PE</v>
      </c>
      <c r="F884" s="6" t="s">
        <v>1660</v>
      </c>
      <c r="G884" s="3"/>
      <c r="H884" s="9">
        <v>45687</v>
      </c>
      <c r="I884" s="3" t="s">
        <v>44</v>
      </c>
      <c r="J884" s="3" t="str">
        <f>VLOOKUP(A884,'TODOS OS PROCESSOS ATUALIZADOS '!A:I,7,0)</f>
        <v>Autorizada Sucesso</v>
      </c>
      <c r="K884" s="3" t="s">
        <v>44</v>
      </c>
      <c r="L884" s="3" t="str">
        <f t="shared" si="3"/>
        <v>Item atualizado</v>
      </c>
      <c r="M884" s="3"/>
      <c r="N884" s="3" t="s">
        <v>45</v>
      </c>
      <c r="O884" s="3" t="s">
        <v>39</v>
      </c>
    </row>
    <row r="885" spans="1:17" ht="22.5" customHeight="1" x14ac:dyDescent="0.2">
      <c r="A885" s="3" t="s">
        <v>1661</v>
      </c>
      <c r="B885" s="3" t="str">
        <f ca="1">IFERROR(__xludf.DUMMYFUNCTION("REGEXEXTRACT(A885, ""\.(?:GOV|EXT)\.([A-Z0-9\-]+)"")
"),"FES-PE")</f>
        <v>FES-PE</v>
      </c>
      <c r="C885" s="3" t="s">
        <v>34</v>
      </c>
      <c r="D885" s="3" t="s">
        <v>1216</v>
      </c>
      <c r="E885" s="14" t="str">
        <f ca="1">IFERROR(__xludf.DUMMYFUNCTION("REGEXEXTRACT(A885, ""-(.*)"")"),"ARP.0009.02.2025.GOV.FES-PE.PE")</f>
        <v>ARP.0009.02.2025.GOV.FES-PE.PE</v>
      </c>
      <c r="F885" s="3" t="s">
        <v>74</v>
      </c>
      <c r="G885" s="3"/>
      <c r="H885" s="9">
        <v>45686</v>
      </c>
      <c r="I885" s="3" t="s">
        <v>44</v>
      </c>
      <c r="J885" s="3" t="str">
        <f>VLOOKUP(A885,'TODOS OS PROCESSOS ATUALIZADOS '!A:I,7,0)</f>
        <v>Autorizada Sucesso</v>
      </c>
      <c r="K885" s="3" t="s">
        <v>44</v>
      </c>
      <c r="L885" s="3" t="str">
        <f t="shared" si="3"/>
        <v>Item atualizado</v>
      </c>
      <c r="M885" s="3"/>
      <c r="N885" s="3" t="s">
        <v>45</v>
      </c>
      <c r="O885" s="3" t="s">
        <v>46</v>
      </c>
      <c r="P885" s="3" t="s">
        <v>1662</v>
      </c>
      <c r="Q885" s="3"/>
    </row>
    <row r="886" spans="1:17" ht="22.5" customHeight="1" x14ac:dyDescent="0.2">
      <c r="A886" s="3" t="s">
        <v>1663</v>
      </c>
      <c r="B886" s="3" t="str">
        <f ca="1">IFERROR(__xludf.DUMMYFUNCTION("REGEXEXTRACT(A886, ""\.(?:GOV|EXT)\.([A-Z0-9\-]+)"")
"),"FES-PE")</f>
        <v>FES-PE</v>
      </c>
      <c r="C886" s="3" t="s">
        <v>34</v>
      </c>
      <c r="D886" s="3" t="s">
        <v>1216</v>
      </c>
      <c r="E886" s="14" t="str">
        <f ca="1">IFERROR(__xludf.DUMMYFUNCTION("REGEXEXTRACT(A886, ""-(.*)"")"),"ARP.0009.02.2025.GOV.FES-PE.PE")</f>
        <v>ARP.0009.02.2025.GOV.FES-PE.PE</v>
      </c>
      <c r="F886" s="6" t="s">
        <v>74</v>
      </c>
      <c r="G886" s="3"/>
      <c r="H886" s="9">
        <v>45686</v>
      </c>
      <c r="I886" s="3" t="s">
        <v>44</v>
      </c>
      <c r="J886" s="3" t="str">
        <f>VLOOKUP(A886,'TODOS OS PROCESSOS ATUALIZADOS '!A:I,7,0)</f>
        <v>Autorizada Sucesso</v>
      </c>
      <c r="K886" s="3" t="s">
        <v>44</v>
      </c>
      <c r="L886" s="3" t="str">
        <f t="shared" si="3"/>
        <v>Item atualizado</v>
      </c>
      <c r="M886" s="3"/>
      <c r="N886" s="3" t="s">
        <v>45</v>
      </c>
      <c r="O886" s="3" t="s">
        <v>39</v>
      </c>
    </row>
    <row r="887" spans="1:17" ht="22.5" customHeight="1" x14ac:dyDescent="0.2">
      <c r="A887" s="3" t="s">
        <v>1664</v>
      </c>
      <c r="B887" s="3" t="str">
        <f ca="1">IFERROR(__xludf.DUMMYFUNCTION("REGEXEXTRACT(A887, ""\.(?:GOV|EXT)\.([A-Z0-9\-]+)"")
"),"FES-PE")</f>
        <v>FES-PE</v>
      </c>
      <c r="C887" s="3" t="s">
        <v>34</v>
      </c>
      <c r="D887" s="3" t="s">
        <v>1216</v>
      </c>
      <c r="E887" s="14" t="str">
        <f ca="1">IFERROR(__xludf.DUMMYFUNCTION("REGEXEXTRACT(A887, ""-(.*)"")"),"ARP.0009.02.2025.GOV.FES-PE.PE")</f>
        <v>ARP.0009.02.2025.GOV.FES-PE.PE</v>
      </c>
      <c r="F887" s="6" t="s">
        <v>74</v>
      </c>
      <c r="G887" s="3"/>
      <c r="H887" s="9">
        <v>45686</v>
      </c>
      <c r="I887" s="3" t="s">
        <v>44</v>
      </c>
      <c r="J887" s="3" t="str">
        <f>VLOOKUP(A887,'TODOS OS PROCESSOS ATUALIZADOS '!A:I,7,0)</f>
        <v>Autorizada Sucesso</v>
      </c>
      <c r="K887" s="3" t="s">
        <v>44</v>
      </c>
      <c r="L887" s="3" t="str">
        <f t="shared" si="3"/>
        <v>Item atualizado</v>
      </c>
      <c r="M887" s="3"/>
      <c r="N887" s="3" t="s">
        <v>45</v>
      </c>
      <c r="O887" s="3" t="s">
        <v>39</v>
      </c>
    </row>
    <row r="888" spans="1:17" ht="22.5" customHeight="1" x14ac:dyDescent="0.2">
      <c r="A888" s="3" t="s">
        <v>1665</v>
      </c>
      <c r="B888" s="3" t="str">
        <f ca="1">IFERROR(__xludf.DUMMYFUNCTION("REGEXEXTRACT(A888, ""\.(?:GOV|EXT)\.([A-Z0-9\-]+)"")
"),"FES-PE")</f>
        <v>FES-PE</v>
      </c>
      <c r="C888" s="3" t="s">
        <v>34</v>
      </c>
      <c r="D888" s="3" t="s">
        <v>1216</v>
      </c>
      <c r="E888" s="14" t="str">
        <f ca="1">IFERROR(__xludf.DUMMYFUNCTION("REGEXEXTRACT(A888, ""-(.*)"")"),"ARP.0003.00.2025.GOV.FES-PE.PE")</f>
        <v>ARP.0003.00.2025.GOV.FES-PE.PE</v>
      </c>
      <c r="F888" s="3" t="s">
        <v>1217</v>
      </c>
      <c r="G888" s="3"/>
      <c r="H888" s="9">
        <v>45686</v>
      </c>
      <c r="I888" s="3" t="s">
        <v>37</v>
      </c>
      <c r="J888" s="3" t="str">
        <f>VLOOKUP(A888,'TODOS OS PROCESSOS ATUALIZADOS '!A:I,7,0)</f>
        <v>Cancelada</v>
      </c>
      <c r="K888" s="3" t="s">
        <v>38</v>
      </c>
      <c r="L888" s="3" t="str">
        <f t="shared" si="3"/>
        <v>Item não atualizado</v>
      </c>
      <c r="M888" s="3"/>
      <c r="N888" s="3" t="s">
        <v>38</v>
      </c>
      <c r="O888" s="3" t="s">
        <v>39</v>
      </c>
    </row>
    <row r="889" spans="1:17" ht="22.5" customHeight="1" x14ac:dyDescent="0.2">
      <c r="A889" s="3" t="s">
        <v>1666</v>
      </c>
      <c r="B889" s="3" t="str">
        <f ca="1">IFERROR(__xludf.DUMMYFUNCTION("REGEXEXTRACT(A889, ""\.(?:GOV|EXT)\.([A-Z0-9\-]+)"")
"),"FES-PE")</f>
        <v>FES-PE</v>
      </c>
      <c r="C889" s="3" t="s">
        <v>34</v>
      </c>
      <c r="D889" s="3" t="s">
        <v>1216</v>
      </c>
      <c r="E889" s="14" t="str">
        <f ca="1">IFERROR(__xludf.DUMMYFUNCTION("REGEXEXTRACT(A889, ""-(.*)"")"),"ARP.0100.02.2024.GOV.FES-PE.PE")</f>
        <v>ARP.0100.02.2024.GOV.FES-PE.PE</v>
      </c>
      <c r="F889" s="3" t="s">
        <v>1217</v>
      </c>
      <c r="G889" s="3"/>
      <c r="H889" s="9">
        <v>45686</v>
      </c>
      <c r="I889" s="3" t="s">
        <v>37</v>
      </c>
      <c r="J889" s="3" t="str">
        <f>VLOOKUP(A889,'TODOS OS PROCESSOS ATUALIZADOS '!A:I,7,0)</f>
        <v>Cancelada</v>
      </c>
      <c r="K889" s="3" t="s">
        <v>38</v>
      </c>
      <c r="L889" s="3" t="str">
        <f t="shared" si="3"/>
        <v>Item não atualizado</v>
      </c>
      <c r="M889" s="3"/>
      <c r="N889" s="3" t="s">
        <v>38</v>
      </c>
      <c r="O889" s="3" t="s">
        <v>39</v>
      </c>
    </row>
    <row r="890" spans="1:17" ht="22.5" customHeight="1" x14ac:dyDescent="0.2">
      <c r="A890" s="3" t="s">
        <v>1667</v>
      </c>
      <c r="B890" s="3" t="str">
        <f ca="1">IFERROR(__xludf.DUMMYFUNCTION("REGEXEXTRACT(A890, ""\.(?:GOV|EXT)\.([A-Z0-9\-]+)"")
"),"FES-PE")</f>
        <v>FES-PE</v>
      </c>
      <c r="C890" s="3" t="s">
        <v>34</v>
      </c>
      <c r="D890" s="3" t="s">
        <v>1216</v>
      </c>
      <c r="E890" s="14" t="str">
        <f ca="1">IFERROR(__xludf.DUMMYFUNCTION("REGEXEXTRACT(A890, ""-(.*)"")"),"ARP.0100.02.2024.GOV.FES-PE.PE")</f>
        <v>ARP.0100.02.2024.GOV.FES-PE.PE</v>
      </c>
      <c r="F890" s="6" t="s">
        <v>1217</v>
      </c>
      <c r="G890" s="3"/>
      <c r="H890" s="9">
        <v>45686</v>
      </c>
      <c r="I890" s="3" t="s">
        <v>44</v>
      </c>
      <c r="J890" s="3" t="str">
        <f>VLOOKUP(A890,'TODOS OS PROCESSOS ATUALIZADOS '!A:I,7,0)</f>
        <v>Autorizada Sucesso</v>
      </c>
      <c r="K890" s="3" t="s">
        <v>44</v>
      </c>
      <c r="L890" s="3" t="str">
        <f t="shared" si="3"/>
        <v>Item atualizado</v>
      </c>
      <c r="M890" s="3"/>
      <c r="N890" s="3" t="s">
        <v>45</v>
      </c>
      <c r="O890" s="3" t="s">
        <v>39</v>
      </c>
    </row>
    <row r="891" spans="1:17" ht="22.5" customHeight="1" x14ac:dyDescent="0.2">
      <c r="A891" s="3" t="s">
        <v>1668</v>
      </c>
      <c r="B891" s="3" t="str">
        <f ca="1">IFERROR(__xludf.DUMMYFUNCTION("REGEXEXTRACT(A891, ""\.(?:GOV|EXT)\.([A-Z0-9\-]+)"")
"),"FES-PE")</f>
        <v>FES-PE</v>
      </c>
      <c r="C891" s="3" t="s">
        <v>34</v>
      </c>
      <c r="D891" s="3" t="s">
        <v>1216</v>
      </c>
      <c r="E891" s="14" t="str">
        <f ca="1">IFERROR(__xludf.DUMMYFUNCTION("REGEXEXTRACT(A891, ""-(.*)"")"),"ARP.0005.02.2025.GOV.FES-PE.PE")</f>
        <v>ARP.0005.02.2025.GOV.FES-PE.PE</v>
      </c>
      <c r="F891" s="3" t="s">
        <v>1530</v>
      </c>
      <c r="G891" s="3"/>
      <c r="H891" s="9">
        <v>45684</v>
      </c>
      <c r="I891" s="3" t="s">
        <v>37</v>
      </c>
      <c r="J891" s="3" t="str">
        <f>VLOOKUP(A891,'TODOS OS PROCESSOS ATUALIZADOS '!A:I,7,0)</f>
        <v>Cancelada</v>
      </c>
      <c r="K891" s="3" t="s">
        <v>38</v>
      </c>
      <c r="L891" s="3" t="str">
        <f t="shared" si="3"/>
        <v>Item não atualizado</v>
      </c>
      <c r="M891" s="3"/>
      <c r="N891" s="3" t="s">
        <v>38</v>
      </c>
      <c r="O891" s="3" t="s">
        <v>39</v>
      </c>
    </row>
    <row r="892" spans="1:17" ht="22.5" customHeight="1" x14ac:dyDescent="0.2">
      <c r="A892" s="3" t="s">
        <v>1669</v>
      </c>
      <c r="B892" s="3" t="str">
        <f ca="1">IFERROR(__xludf.DUMMYFUNCTION("REGEXEXTRACT(A892, ""\.(?:GOV|EXT)\.([A-Z0-9\-]+)"")
"),"FES-PE")</f>
        <v>FES-PE</v>
      </c>
      <c r="C892" s="3" t="s">
        <v>34</v>
      </c>
      <c r="D892" s="3" t="s">
        <v>1216</v>
      </c>
      <c r="E892" s="14" t="str">
        <f ca="1">IFERROR(__xludf.DUMMYFUNCTION("REGEXEXTRACT(A892, ""-(.*)"")"),"ARP.0005.01.2025.GOV.FES-PE.PE")</f>
        <v>ARP.0005.01.2025.GOV.FES-PE.PE</v>
      </c>
      <c r="F892" s="3" t="s">
        <v>1530</v>
      </c>
      <c r="G892" s="3"/>
      <c r="H892" s="9">
        <v>45684</v>
      </c>
      <c r="I892" s="3" t="s">
        <v>37</v>
      </c>
      <c r="J892" s="3" t="str">
        <f>VLOOKUP(A892,'TODOS OS PROCESSOS ATUALIZADOS '!A:I,7,0)</f>
        <v>Cancelada</v>
      </c>
      <c r="K892" s="3" t="s">
        <v>38</v>
      </c>
      <c r="L892" s="3" t="str">
        <f t="shared" si="3"/>
        <v>Item não atualizado</v>
      </c>
      <c r="M892" s="3"/>
      <c r="N892" s="3" t="s">
        <v>38</v>
      </c>
      <c r="O892" s="3" t="s">
        <v>39</v>
      </c>
    </row>
    <row r="893" spans="1:17" ht="22.5" customHeight="1" x14ac:dyDescent="0.2">
      <c r="A893" s="3" t="s">
        <v>1670</v>
      </c>
      <c r="B893" s="3" t="str">
        <f ca="1">IFERROR(__xludf.DUMMYFUNCTION("REGEXEXTRACT(A893, ""\.(?:GOV|EXT)\.([A-Z0-9\-]+)"")
"),"FES-PE")</f>
        <v>FES-PE</v>
      </c>
      <c r="C893" s="3" t="s">
        <v>34</v>
      </c>
      <c r="D893" s="3" t="s">
        <v>1216</v>
      </c>
      <c r="E893" s="14" t="str">
        <f ca="1">IFERROR(__xludf.DUMMYFUNCTION("REGEXEXTRACT(A893, ""-(.*)"")"),"ARP.0005.00.2025.GOV.FES-PE.PE")</f>
        <v>ARP.0005.00.2025.GOV.FES-PE.PE</v>
      </c>
      <c r="F893" s="3" t="s">
        <v>1530</v>
      </c>
      <c r="G893" s="3"/>
      <c r="H893" s="9">
        <v>45684</v>
      </c>
      <c r="I893" s="3" t="s">
        <v>37</v>
      </c>
      <c r="J893" s="3" t="str">
        <f>VLOOKUP(A893,'TODOS OS PROCESSOS ATUALIZADOS '!A:I,7,0)</f>
        <v>Cancelada</v>
      </c>
      <c r="K893" s="3" t="s">
        <v>38</v>
      </c>
      <c r="L893" s="3" t="str">
        <f t="shared" si="3"/>
        <v>Item não atualizado</v>
      </c>
      <c r="M893" s="3"/>
      <c r="N893" s="3" t="s">
        <v>38</v>
      </c>
      <c r="O893" s="3" t="s">
        <v>39</v>
      </c>
    </row>
    <row r="894" spans="1:17" ht="22.5" customHeight="1" x14ac:dyDescent="0.2">
      <c r="A894" s="3" t="s">
        <v>1671</v>
      </c>
      <c r="B894" s="3" t="str">
        <f ca="1">IFERROR(__xludf.DUMMYFUNCTION("REGEXEXTRACT(A894, ""\.(?:GOV|EXT)\.([A-Z0-9\-]+)"")
"),"FES-PE")</f>
        <v>FES-PE</v>
      </c>
      <c r="C894" s="3" t="s">
        <v>34</v>
      </c>
      <c r="D894" s="3" t="s">
        <v>1216</v>
      </c>
      <c r="E894" s="14" t="str">
        <f ca="1">IFERROR(__xludf.DUMMYFUNCTION("REGEXEXTRACT(A894, ""-(.*)"")"),"ARP.0005.00.2025.GOV.FES-PE.PE")</f>
        <v>ARP.0005.00.2025.GOV.FES-PE.PE</v>
      </c>
      <c r="F894" s="3" t="s">
        <v>1530</v>
      </c>
      <c r="G894" s="3"/>
      <c r="H894" s="9">
        <v>45684</v>
      </c>
      <c r="I894" s="3" t="s">
        <v>37</v>
      </c>
      <c r="J894" s="3" t="str">
        <f>VLOOKUP(A894,'TODOS OS PROCESSOS ATUALIZADOS '!A:I,7,0)</f>
        <v>Cancelada</v>
      </c>
      <c r="K894" s="3" t="s">
        <v>38</v>
      </c>
      <c r="L894" s="3" t="str">
        <f t="shared" si="3"/>
        <v>Item não atualizado</v>
      </c>
      <c r="M894" s="3"/>
      <c r="N894" s="3" t="s">
        <v>38</v>
      </c>
      <c r="O894" s="3" t="s">
        <v>39</v>
      </c>
    </row>
    <row r="895" spans="1:17" ht="22.5" customHeight="1" x14ac:dyDescent="0.2">
      <c r="A895" s="3" t="s">
        <v>1672</v>
      </c>
      <c r="B895" s="3" t="str">
        <f ca="1">IFERROR(__xludf.DUMMYFUNCTION("REGEXEXTRACT(A895, ""\.(?:GOV|EXT)\.([A-Z0-9\-]+)"")
"),"FES-PE")</f>
        <v>FES-PE</v>
      </c>
      <c r="C895" s="3" t="s">
        <v>34</v>
      </c>
      <c r="D895" s="3" t="s">
        <v>1216</v>
      </c>
      <c r="E895" s="14" t="str">
        <f ca="1">IFERROR(__xludf.DUMMYFUNCTION("REGEXEXTRACT(A895, ""-(.*)"")"),"ARP.0099.04.2024.GOV.FES-PE.PE")</f>
        <v>ARP.0099.04.2024.GOV.FES-PE.PE</v>
      </c>
      <c r="F895" s="6" t="s">
        <v>1626</v>
      </c>
      <c r="G895" s="3"/>
      <c r="H895" s="9">
        <v>45679</v>
      </c>
      <c r="I895" s="3" t="s">
        <v>44</v>
      </c>
      <c r="J895" s="3" t="str">
        <f>VLOOKUP(A895,'TODOS OS PROCESSOS ATUALIZADOS '!A:I,7,0)</f>
        <v>Autorizada Sucesso</v>
      </c>
      <c r="K895" s="3" t="s">
        <v>44</v>
      </c>
      <c r="L895" s="3" t="str">
        <f t="shared" si="3"/>
        <v>Item atualizado</v>
      </c>
      <c r="M895" s="3"/>
      <c r="N895" s="3" t="s">
        <v>45</v>
      </c>
      <c r="O895" s="3" t="s">
        <v>39</v>
      </c>
    </row>
    <row r="896" spans="1:17" ht="22.5" customHeight="1" x14ac:dyDescent="0.2">
      <c r="A896" s="3" t="s">
        <v>1673</v>
      </c>
      <c r="B896" s="3" t="str">
        <f ca="1">IFERROR(__xludf.DUMMYFUNCTION("REGEXEXTRACT(A896, ""\.(?:GOV|EXT)\.([A-Z0-9\-]+)"")
"),"FES-PE")</f>
        <v>FES-PE</v>
      </c>
      <c r="C896" s="3" t="s">
        <v>34</v>
      </c>
      <c r="D896" s="3" t="s">
        <v>1216</v>
      </c>
      <c r="E896" s="14" t="str">
        <f ca="1">IFERROR(__xludf.DUMMYFUNCTION("REGEXEXTRACT(A896, ""-(.*)"")"),"ARP.0099.03.2024.GOV.FES-PE.PE")</f>
        <v>ARP.0099.03.2024.GOV.FES-PE.PE</v>
      </c>
      <c r="F896" s="6" t="s">
        <v>1626</v>
      </c>
      <c r="G896" s="3"/>
      <c r="H896" s="9">
        <v>45679</v>
      </c>
      <c r="I896" s="3" t="s">
        <v>44</v>
      </c>
      <c r="J896" s="3" t="str">
        <f>VLOOKUP(A896,'TODOS OS PROCESSOS ATUALIZADOS '!A:I,7,0)</f>
        <v>Autorizada Sucesso</v>
      </c>
      <c r="K896" s="3" t="s">
        <v>44</v>
      </c>
      <c r="L896" s="3" t="str">
        <f t="shared" si="3"/>
        <v>Item atualizado</v>
      </c>
      <c r="M896" s="3"/>
      <c r="N896" s="3" t="s">
        <v>45</v>
      </c>
      <c r="O896" s="3" t="s">
        <v>39</v>
      </c>
    </row>
    <row r="897" spans="1:16" ht="22.5" customHeight="1" x14ac:dyDescent="0.2">
      <c r="A897" s="3" t="s">
        <v>1674</v>
      </c>
      <c r="B897" s="3" t="str">
        <f ca="1">IFERROR(__xludf.DUMMYFUNCTION("REGEXEXTRACT(A897, ""\.(?:GOV|EXT)\.([A-Z0-9\-]+)"")
"),"FES-PE")</f>
        <v>FES-PE</v>
      </c>
      <c r="C897" s="3" t="s">
        <v>34</v>
      </c>
      <c r="D897" s="3" t="s">
        <v>1216</v>
      </c>
      <c r="E897" s="14" t="str">
        <f ca="1">IFERROR(__xludf.DUMMYFUNCTION("REGEXEXTRACT(A897, ""-(.*)"")"),"ARP.0099.03.2024.GOV.FES-PE.PE")</f>
        <v>ARP.0099.03.2024.GOV.FES-PE.PE</v>
      </c>
      <c r="F897" s="3" t="s">
        <v>1626</v>
      </c>
      <c r="G897" s="3"/>
      <c r="H897" s="9">
        <v>45679</v>
      </c>
      <c r="I897" s="3" t="s">
        <v>37</v>
      </c>
      <c r="J897" s="3" t="str">
        <f>VLOOKUP(A897,'TODOS OS PROCESSOS ATUALIZADOS '!A:I,7,0)</f>
        <v>Cancelada</v>
      </c>
      <c r="K897" s="3" t="s">
        <v>38</v>
      </c>
      <c r="L897" s="3" t="str">
        <f t="shared" si="3"/>
        <v>Item não atualizado</v>
      </c>
      <c r="M897" s="3"/>
      <c r="N897" s="3" t="s">
        <v>38</v>
      </c>
      <c r="O897" s="3" t="s">
        <v>39</v>
      </c>
    </row>
    <row r="898" spans="1:16" ht="22.5" customHeight="1" x14ac:dyDescent="0.2">
      <c r="A898" s="3" t="s">
        <v>1675</v>
      </c>
      <c r="B898" s="3" t="str">
        <f ca="1">IFERROR(__xludf.DUMMYFUNCTION("REGEXEXTRACT(A898, ""\.(?:GOV|EXT)\.([A-Z0-9\-]+)"")
"),"FES-PE")</f>
        <v>FES-PE</v>
      </c>
      <c r="C898" s="3" t="s">
        <v>34</v>
      </c>
      <c r="D898" s="3" t="s">
        <v>1216</v>
      </c>
      <c r="E898" s="14" t="str">
        <f ca="1">IFERROR(__xludf.DUMMYFUNCTION("REGEXEXTRACT(A898, ""-(.*)"")"),"ARP.0099.02.2024.GOV.FES-PE.PE")</f>
        <v>ARP.0099.02.2024.GOV.FES-PE.PE</v>
      </c>
      <c r="F898" s="6" t="s">
        <v>1626</v>
      </c>
      <c r="G898" s="3"/>
      <c r="H898" s="9">
        <v>45679</v>
      </c>
      <c r="I898" s="3" t="s">
        <v>44</v>
      </c>
      <c r="J898" s="3" t="str">
        <f>VLOOKUP(A898,'TODOS OS PROCESSOS ATUALIZADOS '!A:I,7,0)</f>
        <v>Autorizada Sucesso</v>
      </c>
      <c r="K898" s="3" t="s">
        <v>44</v>
      </c>
      <c r="L898" s="3" t="str">
        <f t="shared" si="3"/>
        <v>Item atualizado</v>
      </c>
      <c r="M898" s="3"/>
      <c r="N898" s="3" t="s">
        <v>45</v>
      </c>
      <c r="O898" s="3" t="s">
        <v>39</v>
      </c>
    </row>
    <row r="899" spans="1:16" ht="22.5" customHeight="1" x14ac:dyDescent="0.2">
      <c r="A899" s="3" t="s">
        <v>1676</v>
      </c>
      <c r="B899" s="3" t="str">
        <f ca="1">IFERROR(__xludf.DUMMYFUNCTION("REGEXEXTRACT(A899, ""\.(?:GOV|EXT)\.([A-Z0-9\-]+)"")
"),"FES-PE")</f>
        <v>FES-PE</v>
      </c>
      <c r="C899" s="3" t="s">
        <v>34</v>
      </c>
      <c r="D899" s="3" t="s">
        <v>1216</v>
      </c>
      <c r="E899" s="14" t="str">
        <f ca="1">IFERROR(__xludf.DUMMYFUNCTION("REGEXEXTRACT(A899, ""-(.*)"")"),"ARP.0099.00.2024.GOV.FES-PE.PE")</f>
        <v>ARP.0099.00.2024.GOV.FES-PE.PE</v>
      </c>
      <c r="F899" s="3" t="s">
        <v>1626</v>
      </c>
      <c r="G899" s="3"/>
      <c r="H899" s="9">
        <v>45679</v>
      </c>
      <c r="I899" s="3" t="s">
        <v>37</v>
      </c>
      <c r="J899" s="3" t="str">
        <f>VLOOKUP(A899,'TODOS OS PROCESSOS ATUALIZADOS '!A:I,7,0)</f>
        <v>Cancelada</v>
      </c>
      <c r="K899" s="3" t="s">
        <v>38</v>
      </c>
      <c r="L899" s="3" t="str">
        <f t="shared" si="3"/>
        <v>Item não atualizado</v>
      </c>
      <c r="M899" s="3"/>
      <c r="N899" s="3" t="s">
        <v>38</v>
      </c>
      <c r="O899" s="3" t="s">
        <v>39</v>
      </c>
    </row>
    <row r="900" spans="1:16" ht="22.5" customHeight="1" x14ac:dyDescent="0.2">
      <c r="A900" s="3" t="s">
        <v>1677</v>
      </c>
      <c r="B900" s="3" t="str">
        <f ca="1">IFERROR(__xludf.DUMMYFUNCTION("REGEXEXTRACT(A900, ""\.(?:GOV|EXT)\.([A-Z0-9\-]+)"")
"),"FES-PE")</f>
        <v>FES-PE</v>
      </c>
      <c r="C900" s="3" t="s">
        <v>34</v>
      </c>
      <c r="D900" s="3" t="s">
        <v>1216</v>
      </c>
      <c r="E900" s="14" t="str">
        <f ca="1">IFERROR(__xludf.DUMMYFUNCTION("REGEXEXTRACT(A900, ""-(.*)"")"),"ARP.0098.02.2024.GOV.FES-PE.PE")</f>
        <v>ARP.0098.02.2024.GOV.FES-PE.PE</v>
      </c>
      <c r="F900" s="6" t="s">
        <v>1678</v>
      </c>
      <c r="G900" s="3"/>
      <c r="H900" s="9">
        <v>45679</v>
      </c>
      <c r="I900" s="3" t="s">
        <v>44</v>
      </c>
      <c r="J900" s="3" t="str">
        <f>VLOOKUP(A900,'TODOS OS PROCESSOS ATUALIZADOS '!A:I,7,0)</f>
        <v>Autorizada Sucesso</v>
      </c>
      <c r="K900" s="3" t="s">
        <v>44</v>
      </c>
      <c r="L900" s="3" t="str">
        <f t="shared" si="3"/>
        <v>Item atualizado</v>
      </c>
      <c r="M900" s="3"/>
      <c r="N900" s="3" t="s">
        <v>45</v>
      </c>
      <c r="O900" s="3" t="s">
        <v>39</v>
      </c>
    </row>
    <row r="901" spans="1:16" ht="22.5" customHeight="1" x14ac:dyDescent="0.2">
      <c r="A901" s="3" t="s">
        <v>1679</v>
      </c>
      <c r="B901" s="3" t="str">
        <f ca="1">IFERROR(__xludf.DUMMYFUNCTION("REGEXEXTRACT(A901, ""\.(?:GOV|EXT)\.([A-Z0-9\-]+)"")
"),"FES-PE")</f>
        <v>FES-PE</v>
      </c>
      <c r="C901" s="3" t="s">
        <v>34</v>
      </c>
      <c r="D901" s="3" t="s">
        <v>1216</v>
      </c>
      <c r="E901" s="14" t="str">
        <f ca="1">IFERROR(__xludf.DUMMYFUNCTION("REGEXEXTRACT(A901, ""-(.*)"")"),"ARP.0098.04.2024.GOV.FES-PE.PE")</f>
        <v>ARP.0098.04.2024.GOV.FES-PE.PE</v>
      </c>
      <c r="F901" s="6" t="s">
        <v>1678</v>
      </c>
      <c r="G901" s="3"/>
      <c r="H901" s="9">
        <v>45679</v>
      </c>
      <c r="I901" s="3" t="s">
        <v>44</v>
      </c>
      <c r="J901" s="3" t="str">
        <f>VLOOKUP(A901,'TODOS OS PROCESSOS ATUALIZADOS '!A:I,7,0)</f>
        <v>Autorizada Sucesso</v>
      </c>
      <c r="K901" s="3" t="s">
        <v>44</v>
      </c>
      <c r="L901" s="3" t="str">
        <f t="shared" si="3"/>
        <v>Item atualizado</v>
      </c>
      <c r="M901" s="3"/>
      <c r="N901" s="3" t="s">
        <v>45</v>
      </c>
      <c r="O901" s="3" t="s">
        <v>39</v>
      </c>
    </row>
    <row r="902" spans="1:16" ht="22.5" customHeight="1" x14ac:dyDescent="0.2">
      <c r="A902" s="3" t="s">
        <v>1680</v>
      </c>
      <c r="B902" s="3" t="str">
        <f ca="1">IFERROR(__xludf.DUMMYFUNCTION("REGEXEXTRACT(A902, ""\.(?:GOV|EXT)\.([A-Z0-9\-]+)"")
"),"FES-PE")</f>
        <v>FES-PE</v>
      </c>
      <c r="C902" s="3" t="s">
        <v>34</v>
      </c>
      <c r="D902" s="3" t="s">
        <v>1216</v>
      </c>
      <c r="E902" s="14" t="str">
        <f ca="1">IFERROR(__xludf.DUMMYFUNCTION("REGEXEXTRACT(A902, ""-(.*)"")"),"ARP.0098.01.2024.GOV.FES-PE.PE")</f>
        <v>ARP.0098.01.2024.GOV.FES-PE.PE</v>
      </c>
      <c r="F902" s="6" t="s">
        <v>1678</v>
      </c>
      <c r="G902" s="3"/>
      <c r="H902" s="9">
        <v>45679</v>
      </c>
      <c r="I902" s="3" t="s">
        <v>44</v>
      </c>
      <c r="J902" s="3" t="str">
        <f>VLOOKUP(A902,'TODOS OS PROCESSOS ATUALIZADOS '!A:I,7,0)</f>
        <v>Autorizada Sucesso</v>
      </c>
      <c r="K902" s="3" t="s">
        <v>44</v>
      </c>
      <c r="L902" s="3" t="str">
        <f t="shared" si="3"/>
        <v>Item atualizado</v>
      </c>
      <c r="M902" s="3"/>
      <c r="N902" s="3" t="s">
        <v>45</v>
      </c>
      <c r="O902" s="3" t="s">
        <v>39</v>
      </c>
    </row>
    <row r="903" spans="1:16" ht="22.5" customHeight="1" x14ac:dyDescent="0.2">
      <c r="A903" s="3" t="s">
        <v>1681</v>
      </c>
      <c r="B903" s="3" t="str">
        <f ca="1">IFERROR(__xludf.DUMMYFUNCTION("REGEXEXTRACT(A903, ""\.(?:GOV|EXT)\.([A-Z0-9\-]+)"")
"),"FES-PE")</f>
        <v>FES-PE</v>
      </c>
      <c r="C903" s="3" t="s">
        <v>34</v>
      </c>
      <c r="D903" s="3" t="s">
        <v>1216</v>
      </c>
      <c r="E903" s="14" t="str">
        <f ca="1">IFERROR(__xludf.DUMMYFUNCTION("REGEXEXTRACT(A903, ""-(.*)"")"),"ARP.0098.00.2024.GOV.FES-PE.PE")</f>
        <v>ARP.0098.00.2024.GOV.FES-PE.PE</v>
      </c>
      <c r="F903" s="6" t="s">
        <v>1678</v>
      </c>
      <c r="G903" s="3"/>
      <c r="H903" s="9">
        <v>45679</v>
      </c>
      <c r="I903" s="3" t="s">
        <v>44</v>
      </c>
      <c r="J903" s="3" t="str">
        <f>VLOOKUP(A903,'TODOS OS PROCESSOS ATUALIZADOS '!A:I,7,0)</f>
        <v>Autorizada Sucesso</v>
      </c>
      <c r="K903" s="3" t="s">
        <v>44</v>
      </c>
      <c r="L903" s="3" t="str">
        <f t="shared" si="3"/>
        <v>Item atualizado</v>
      </c>
      <c r="M903" s="3"/>
      <c r="N903" s="3" t="s">
        <v>45</v>
      </c>
      <c r="O903" s="3" t="s">
        <v>39</v>
      </c>
    </row>
    <row r="904" spans="1:16" ht="22.5" customHeight="1" x14ac:dyDescent="0.2">
      <c r="A904" s="3" t="s">
        <v>1682</v>
      </c>
      <c r="B904" s="3" t="str">
        <f ca="1">IFERROR(__xludf.DUMMYFUNCTION("REGEXEXTRACT(A904, ""\.(?:GOV|EXT)\.([A-Z0-9\-]+)"")
"),"SAD")</f>
        <v>SAD</v>
      </c>
      <c r="C904" s="3" t="s">
        <v>34</v>
      </c>
      <c r="D904" s="3" t="s">
        <v>1216</v>
      </c>
      <c r="E904" s="14" t="str">
        <f ca="1">IFERROR(__xludf.DUMMYFUNCTION("REGEXEXTRACT(A904, ""-(.*)"")"),"ARPC.0002.00.2025.GOV.SAD.PE")</f>
        <v>ARPC.0002.00.2025.GOV.SAD.PE</v>
      </c>
      <c r="F904" s="3" t="s">
        <v>1545</v>
      </c>
      <c r="G904" s="3" t="s">
        <v>3</v>
      </c>
      <c r="H904" s="9">
        <v>45673</v>
      </c>
      <c r="I904" s="3" t="s">
        <v>44</v>
      </c>
      <c r="J904" s="3" t="str">
        <f>VLOOKUP(A904,'TODOS OS PROCESSOS ATUALIZADOS '!A:I,7,0)</f>
        <v>Autorizada Sucesso</v>
      </c>
      <c r="K904" s="3" t="s">
        <v>44</v>
      </c>
      <c r="L904" s="3" t="str">
        <f t="shared" si="3"/>
        <v>Item atualizado</v>
      </c>
      <c r="M904" s="3"/>
      <c r="N904" s="3" t="s">
        <v>45</v>
      </c>
      <c r="O904" s="3" t="s">
        <v>60</v>
      </c>
      <c r="P904" s="3" t="s">
        <v>1683</v>
      </c>
    </row>
    <row r="905" spans="1:16" ht="22.5" customHeight="1" x14ac:dyDescent="0.2">
      <c r="A905" s="3" t="s">
        <v>1684</v>
      </c>
      <c r="B905" s="3" t="str">
        <f ca="1">IFERROR(__xludf.DUMMYFUNCTION("REGEXEXTRACT(A905, ""\.(?:GOV|EXT)\.([A-Z0-9\-]+)"")
"),"SAD")</f>
        <v>SAD</v>
      </c>
      <c r="C905" s="3" t="s">
        <v>34</v>
      </c>
      <c r="D905" s="3" t="s">
        <v>1216</v>
      </c>
      <c r="E905" s="14" t="str">
        <f ca="1">IFERROR(__xludf.DUMMYFUNCTION("REGEXEXTRACT(A905, ""-(.*)"")"),"ARPC.0002.00.2025.GOV.SAD.PE")</f>
        <v>ARPC.0002.00.2025.GOV.SAD.PE</v>
      </c>
      <c r="F905" s="3" t="s">
        <v>1545</v>
      </c>
      <c r="G905" s="3"/>
      <c r="H905" s="9">
        <v>45673</v>
      </c>
      <c r="I905" s="3" t="s">
        <v>37</v>
      </c>
      <c r="J905" s="3" t="str">
        <f>VLOOKUP(A905,'TODOS OS PROCESSOS ATUALIZADOS '!A:I,7,0)</f>
        <v>Cancelada</v>
      </c>
      <c r="K905" s="3" t="s">
        <v>38</v>
      </c>
      <c r="L905" s="3" t="str">
        <f t="shared" si="3"/>
        <v>Item não atualizado</v>
      </c>
      <c r="M905" s="3"/>
      <c r="N905" s="3" t="s">
        <v>38</v>
      </c>
      <c r="O905" s="3" t="s">
        <v>39</v>
      </c>
    </row>
    <row r="906" spans="1:16" ht="22.5" customHeight="1" x14ac:dyDescent="0.2">
      <c r="A906" s="3" t="s">
        <v>1685</v>
      </c>
      <c r="B906" s="3" t="str">
        <f ca="1">IFERROR(__xludf.DUMMYFUNCTION("REGEXEXTRACT(A906, ""\.(?:GOV|EXT)\.([A-Z0-9\-]+)"")
"),"SAD")</f>
        <v>SAD</v>
      </c>
      <c r="C906" s="3" t="s">
        <v>34</v>
      </c>
      <c r="D906" s="3" t="s">
        <v>1216</v>
      </c>
      <c r="E906" s="14" t="str">
        <f ca="1">IFERROR(__xludf.DUMMYFUNCTION("REGEXEXTRACT(A906, ""-(.*)"")"),"ARPC.0001.00.2025.GOV.SAD.PE")</f>
        <v>ARPC.0001.00.2025.GOV.SAD.PE</v>
      </c>
      <c r="F906" s="3" t="s">
        <v>1539</v>
      </c>
      <c r="G906" s="3"/>
      <c r="H906" s="9">
        <v>45673</v>
      </c>
      <c r="I906" s="3" t="s">
        <v>37</v>
      </c>
      <c r="J906" s="3" t="str">
        <f>VLOOKUP(A906,'TODOS OS PROCESSOS ATUALIZADOS '!A:I,7,0)</f>
        <v>Cancelada</v>
      </c>
      <c r="K906" s="3" t="s">
        <v>38</v>
      </c>
      <c r="L906" s="3" t="str">
        <f t="shared" si="3"/>
        <v>Item não atualizado</v>
      </c>
      <c r="M906" s="3"/>
      <c r="N906" s="3" t="s">
        <v>38</v>
      </c>
      <c r="O906" s="3" t="s">
        <v>39</v>
      </c>
    </row>
    <row r="907" spans="1:16" ht="22.5" customHeight="1" x14ac:dyDescent="0.2">
      <c r="A907" s="3" t="s">
        <v>1686</v>
      </c>
      <c r="B907" s="3" t="str">
        <f ca="1">IFERROR(__xludf.DUMMYFUNCTION("REGEXEXTRACT(A907, ""\.(?:GOV|EXT)\.([A-Z0-9\-]+)"")
"),"SAD")</f>
        <v>SAD</v>
      </c>
      <c r="C907" s="3" t="s">
        <v>34</v>
      </c>
      <c r="D907" s="3" t="s">
        <v>1216</v>
      </c>
      <c r="E907" s="14" t="str">
        <f ca="1">IFERROR(__xludf.DUMMYFUNCTION("REGEXEXTRACT(A907, ""-(.*)"")"),"ARPC.0002.00.2025.GOV.SAD.PE")</f>
        <v>ARPC.0002.00.2025.GOV.SAD.PE</v>
      </c>
      <c r="F907" s="3" t="s">
        <v>1545</v>
      </c>
      <c r="G907" s="3"/>
      <c r="H907" s="9">
        <v>45673</v>
      </c>
      <c r="I907" s="3" t="s">
        <v>37</v>
      </c>
      <c r="J907" s="3" t="str">
        <f>VLOOKUP(A907,'TODOS OS PROCESSOS ATUALIZADOS '!A:I,7,0)</f>
        <v>Cancelada</v>
      </c>
      <c r="K907" s="3" t="s">
        <v>38</v>
      </c>
      <c r="L907" s="3" t="str">
        <f t="shared" si="3"/>
        <v>Item não atualizado</v>
      </c>
      <c r="M907" s="3"/>
      <c r="N907" s="3" t="s">
        <v>38</v>
      </c>
      <c r="O907" s="3" t="s">
        <v>39</v>
      </c>
    </row>
    <row r="908" spans="1:16" ht="22.5" customHeight="1" x14ac:dyDescent="0.2">
      <c r="A908" s="3" t="s">
        <v>1687</v>
      </c>
      <c r="B908" s="3" t="str">
        <f ca="1">IFERROR(__xludf.DUMMYFUNCTION("REGEXEXTRACT(A908, ""\.(?:GOV|EXT)\.([A-Z0-9\-]+)"")
"),"SAD")</f>
        <v>SAD</v>
      </c>
      <c r="C908" s="3" t="s">
        <v>34</v>
      </c>
      <c r="D908" s="3" t="s">
        <v>1216</v>
      </c>
      <c r="E908" s="14" t="str">
        <f ca="1">IFERROR(__xludf.DUMMYFUNCTION("REGEXEXTRACT(A908, ""-(.*)"")"),"ARPC.0018.00.2024.GOV.SAD.PE")</f>
        <v>ARPC.0018.00.2024.GOV.SAD.PE</v>
      </c>
      <c r="F908" s="6" t="s">
        <v>1349</v>
      </c>
      <c r="G908" s="3"/>
      <c r="H908" s="9">
        <v>45646</v>
      </c>
      <c r="I908" s="3" t="s">
        <v>44</v>
      </c>
      <c r="J908" s="3" t="str">
        <f>VLOOKUP(A908,'TODOS OS PROCESSOS ATUALIZADOS '!A:I,7,0)</f>
        <v>Autorizada Sucesso</v>
      </c>
      <c r="K908" s="3" t="s">
        <v>44</v>
      </c>
      <c r="L908" s="3" t="str">
        <f t="shared" si="3"/>
        <v>Item atualizado</v>
      </c>
      <c r="M908" s="3"/>
      <c r="N908" s="3" t="s">
        <v>605</v>
      </c>
      <c r="O908" s="3"/>
    </row>
    <row r="909" spans="1:16" ht="22.5" customHeight="1" x14ac:dyDescent="0.2">
      <c r="A909" s="3" t="s">
        <v>1688</v>
      </c>
      <c r="B909" s="3" t="str">
        <f ca="1">IFERROR(__xludf.DUMMYFUNCTION("REGEXEXTRACT(A909, ""\.(?:GOV|EXT)\.([A-Z0-9\-]+)"")
"),"FES-PE")</f>
        <v>FES-PE</v>
      </c>
      <c r="C909" s="3" t="s">
        <v>34</v>
      </c>
      <c r="D909" s="3" t="s">
        <v>1216</v>
      </c>
      <c r="E909" s="14" t="str">
        <f ca="1">IFERROR(__xludf.DUMMYFUNCTION("REGEXEXTRACT(A909, ""-(.*)"")"),"ARP.0050.00.2024.GOV.FES-PE.PE")</f>
        <v>ARP.0050.00.2024.GOV.FES-PE.PE</v>
      </c>
      <c r="F909" s="3" t="s">
        <v>1689</v>
      </c>
      <c r="G909" s="3" t="s">
        <v>3</v>
      </c>
      <c r="H909" s="9">
        <v>45646</v>
      </c>
      <c r="I909" s="3" t="s">
        <v>37</v>
      </c>
      <c r="J909" s="3" t="str">
        <f>VLOOKUP(A909,'TODOS OS PROCESSOS ATUALIZADOS '!A:I,7,0)</f>
        <v>Cancelada</v>
      </c>
      <c r="K909" s="3" t="s">
        <v>38</v>
      </c>
      <c r="L909" s="3" t="str">
        <f t="shared" si="3"/>
        <v>Item não atualizado</v>
      </c>
      <c r="M909" s="3"/>
      <c r="N909" s="3" t="s">
        <v>605</v>
      </c>
      <c r="O909" s="3"/>
    </row>
    <row r="910" spans="1:16" ht="22.5" customHeight="1" x14ac:dyDescent="0.2">
      <c r="A910" s="3" t="s">
        <v>1690</v>
      </c>
      <c r="B910" s="3" t="str">
        <f ca="1">IFERROR(__xludf.DUMMYFUNCTION("REGEXEXTRACT(A910, ""\.(?:GOV|EXT)\.([A-Z0-9\-]+)"")
"),"FES-PE")</f>
        <v>FES-PE</v>
      </c>
      <c r="C910" s="3" t="s">
        <v>34</v>
      </c>
      <c r="D910" s="3" t="s">
        <v>1216</v>
      </c>
      <c r="E910" s="14" t="str">
        <f ca="1">IFERROR(__xludf.DUMMYFUNCTION("REGEXEXTRACT(A910, ""-(.*)"")"),"ARP.0061.03.2024.GOV.FES-PE.PE")</f>
        <v>ARP.0061.03.2024.GOV.FES-PE.PE</v>
      </c>
      <c r="F910" s="3" t="s">
        <v>1392</v>
      </c>
      <c r="G910" s="3"/>
      <c r="H910" s="9">
        <v>45646</v>
      </c>
      <c r="I910" s="3" t="s">
        <v>37</v>
      </c>
      <c r="J910" s="3" t="str">
        <f>VLOOKUP(A910,'TODOS OS PROCESSOS ATUALIZADOS '!A:I,7,0)</f>
        <v>Cancelada por fim vigencia ATA</v>
      </c>
      <c r="K910" s="3" t="s">
        <v>38</v>
      </c>
      <c r="L910" s="3" t="str">
        <f t="shared" si="3"/>
        <v>Item atualizado</v>
      </c>
      <c r="M910" s="3"/>
      <c r="N910" s="3" t="s">
        <v>605</v>
      </c>
      <c r="O910" s="3"/>
    </row>
    <row r="911" spans="1:16" ht="22.5" customHeight="1" x14ac:dyDescent="0.2">
      <c r="A911" s="3" t="s">
        <v>1691</v>
      </c>
      <c r="B911" s="3" t="str">
        <f ca="1">IFERROR(__xludf.DUMMYFUNCTION("REGEXEXTRACT(A911, ""\.(?:GOV|EXT)\.([A-Z0-9\-]+)"")
"),"CISAM")</f>
        <v>CISAM</v>
      </c>
      <c r="C911" s="3" t="s">
        <v>34</v>
      </c>
      <c r="D911" s="3" t="s">
        <v>1216</v>
      </c>
      <c r="E911" s="14" t="str">
        <f ca="1">IFERROR(__xludf.DUMMYFUNCTION("REGEXEXTRACT(A911, ""-(.*)"")"),"ARP.0088.01.2024.GOV.CISAM.PE")</f>
        <v>ARP.0088.01.2024.GOV.CISAM.PE</v>
      </c>
      <c r="F911" s="6" t="s">
        <v>348</v>
      </c>
      <c r="G911" s="3"/>
      <c r="H911" s="9">
        <v>45644</v>
      </c>
      <c r="I911" s="3" t="s">
        <v>44</v>
      </c>
      <c r="J911" s="3" t="str">
        <f>VLOOKUP(A911,'TODOS OS PROCESSOS ATUALIZADOS '!A:I,7,0)</f>
        <v>Autorizada Sucesso</v>
      </c>
      <c r="K911" s="3" t="s">
        <v>44</v>
      </c>
      <c r="L911" s="3" t="str">
        <f t="shared" si="3"/>
        <v>Item atualizado</v>
      </c>
      <c r="M911" s="3"/>
      <c r="N911" s="3" t="s">
        <v>605</v>
      </c>
      <c r="O911" s="3"/>
    </row>
    <row r="912" spans="1:16" ht="22.5" customHeight="1" x14ac:dyDescent="0.2">
      <c r="A912" s="3" t="s">
        <v>1692</v>
      </c>
      <c r="B912" s="3" t="str">
        <f ca="1">IFERROR(__xludf.DUMMYFUNCTION("REGEXEXTRACT(A912, ""\.(?:GOV|EXT)\.([A-Z0-9\-]+)"")
"),"CISAM")</f>
        <v>CISAM</v>
      </c>
      <c r="C912" s="3" t="s">
        <v>34</v>
      </c>
      <c r="D912" s="3" t="s">
        <v>1216</v>
      </c>
      <c r="E912" s="14" t="str">
        <f ca="1">IFERROR(__xludf.DUMMYFUNCTION("REGEXEXTRACT(A912, ""-(.*)"")"),"ARP.0088.01.2024.GOV.CISAM.PE")</f>
        <v>ARP.0088.01.2024.GOV.CISAM.PE</v>
      </c>
      <c r="F912" s="6" t="s">
        <v>348</v>
      </c>
      <c r="G912" s="3"/>
      <c r="H912" s="9">
        <v>45644</v>
      </c>
      <c r="I912" s="3" t="s">
        <v>44</v>
      </c>
      <c r="J912" s="3" t="str">
        <f>VLOOKUP(A912,'TODOS OS PROCESSOS ATUALIZADOS '!A:I,7,0)</f>
        <v>Autorizada Sucesso</v>
      </c>
      <c r="K912" s="3" t="s">
        <v>44</v>
      </c>
      <c r="L912" s="3" t="str">
        <f t="shared" si="3"/>
        <v>Item atualizado</v>
      </c>
      <c r="M912" s="3"/>
      <c r="N912" s="3" t="s">
        <v>605</v>
      </c>
      <c r="O912" s="3"/>
    </row>
    <row r="913" spans="1:17" ht="22.5" customHeight="1" x14ac:dyDescent="0.2">
      <c r="A913" s="3" t="s">
        <v>1693</v>
      </c>
      <c r="B913" s="3" t="str">
        <f ca="1">IFERROR(__xludf.DUMMYFUNCTION("REGEXEXTRACT(A913, ""\.(?:GOV|EXT)\.([A-Z0-9\-]+)"")
"),"CISAM")</f>
        <v>CISAM</v>
      </c>
      <c r="C913" s="3" t="s">
        <v>34</v>
      </c>
      <c r="D913" s="3" t="s">
        <v>1216</v>
      </c>
      <c r="E913" s="14" t="str">
        <f ca="1">IFERROR(__xludf.DUMMYFUNCTION("REGEXEXTRACT(A913, ""-(.*)"")"),"ARP.0089.01.2024.GOV.CISAM.PE")</f>
        <v>ARP.0089.01.2024.GOV.CISAM.PE</v>
      </c>
      <c r="F913" s="3" t="s">
        <v>1630</v>
      </c>
      <c r="G913" s="3"/>
      <c r="H913" s="9">
        <v>45644</v>
      </c>
      <c r="I913" s="3" t="s">
        <v>37</v>
      </c>
      <c r="J913" s="3" t="str">
        <f>VLOOKUP(A913,'TODOS OS PROCESSOS ATUALIZADOS '!A:I,7,0)</f>
        <v>Cancelada</v>
      </c>
      <c r="K913" s="3" t="s">
        <v>38</v>
      </c>
      <c r="L913" s="3" t="str">
        <f t="shared" si="3"/>
        <v>Item não atualizado</v>
      </c>
      <c r="M913" s="3"/>
      <c r="N913" s="3" t="s">
        <v>605</v>
      </c>
      <c r="O913" s="3"/>
    </row>
    <row r="914" spans="1:17" ht="22.5" customHeight="1" x14ac:dyDescent="0.2">
      <c r="A914" s="3" t="s">
        <v>1694</v>
      </c>
      <c r="B914" s="3" t="str">
        <f ca="1">IFERROR(__xludf.DUMMYFUNCTION("REGEXEXTRACT(A914, ""\.(?:GOV|EXT)\.([A-Z0-9\-]+)"")
"),"CISAM")</f>
        <v>CISAM</v>
      </c>
      <c r="C914" s="3" t="s">
        <v>34</v>
      </c>
      <c r="D914" s="3" t="s">
        <v>1216</v>
      </c>
      <c r="E914" s="14" t="str">
        <f ca="1">IFERROR(__xludf.DUMMYFUNCTION("REGEXEXTRACT(A914, ""-(.*)"")"),"ARP.0089.01.2024.GOV.CISAM.PE")</f>
        <v>ARP.0089.01.2024.GOV.CISAM.PE</v>
      </c>
      <c r="F914" s="3" t="s">
        <v>1630</v>
      </c>
      <c r="G914" s="3"/>
      <c r="H914" s="9">
        <v>45644</v>
      </c>
      <c r="I914" s="3" t="s">
        <v>37</v>
      </c>
      <c r="J914" s="3" t="str">
        <f>VLOOKUP(A914,'TODOS OS PROCESSOS ATUALIZADOS '!A:I,7,0)</f>
        <v>Cancelada</v>
      </c>
      <c r="K914" s="3" t="s">
        <v>38</v>
      </c>
      <c r="L914" s="3" t="str">
        <f t="shared" si="3"/>
        <v>Item não atualizado</v>
      </c>
      <c r="M914" s="3"/>
      <c r="N914" s="3" t="s">
        <v>605</v>
      </c>
      <c r="O914" s="3"/>
    </row>
    <row r="915" spans="1:17" ht="22.5" customHeight="1" x14ac:dyDescent="0.2">
      <c r="A915" s="3" t="s">
        <v>1695</v>
      </c>
      <c r="B915" s="3" t="str">
        <f ca="1">IFERROR(__xludf.DUMMYFUNCTION("REGEXEXTRACT(A915, ""\.(?:GOV|EXT)\.([A-Z0-9\-]+)"")
"),"CISAM")</f>
        <v>CISAM</v>
      </c>
      <c r="C915" s="3" t="s">
        <v>34</v>
      </c>
      <c r="D915" s="3" t="s">
        <v>1216</v>
      </c>
      <c r="E915" s="14" t="str">
        <f ca="1">IFERROR(__xludf.DUMMYFUNCTION("REGEXEXTRACT(A915, ""-(.*)"")"),"ARP.0087.00.2024.GOV.CISAM.PE")</f>
        <v>ARP.0087.00.2024.GOV.CISAM.PE</v>
      </c>
      <c r="F915" s="3" t="s">
        <v>1318</v>
      </c>
      <c r="G915" s="3" t="s">
        <v>3</v>
      </c>
      <c r="H915" s="9">
        <v>45644</v>
      </c>
      <c r="I915" s="3" t="s">
        <v>37</v>
      </c>
      <c r="J915" s="3" t="str">
        <f>VLOOKUP(A915,'TODOS OS PROCESSOS ATUALIZADOS '!A:I,7,0)</f>
        <v>Cancelada</v>
      </c>
      <c r="K915" s="3" t="s">
        <v>38</v>
      </c>
      <c r="L915" s="3" t="str">
        <f t="shared" si="3"/>
        <v>Item não atualizado</v>
      </c>
      <c r="M915" s="3"/>
      <c r="N915" s="3" t="s">
        <v>605</v>
      </c>
      <c r="O915" s="3"/>
    </row>
    <row r="916" spans="1:17" ht="22.5" customHeight="1" x14ac:dyDescent="0.2">
      <c r="A916" s="3" t="s">
        <v>1696</v>
      </c>
      <c r="B916" s="3" t="str">
        <f ca="1">IFERROR(__xludf.DUMMYFUNCTION("REGEXEXTRACT(A916, ""\.(?:GOV|EXT)\.([A-Z0-9\-]+)"")
"),"CISAM")</f>
        <v>CISAM</v>
      </c>
      <c r="C916" s="3" t="s">
        <v>34</v>
      </c>
      <c r="D916" s="3" t="s">
        <v>1216</v>
      </c>
      <c r="E916" s="14" t="str">
        <f ca="1">IFERROR(__xludf.DUMMYFUNCTION("REGEXEXTRACT(A916, ""-(.*)"")"),"ARP.0087.00.2024.GOV.CISAM.PE")</f>
        <v>ARP.0087.00.2024.GOV.CISAM.PE</v>
      </c>
      <c r="F916" s="3" t="s">
        <v>1318</v>
      </c>
      <c r="G916" s="3" t="s">
        <v>3</v>
      </c>
      <c r="H916" s="9">
        <v>45644</v>
      </c>
      <c r="I916" s="3" t="s">
        <v>37</v>
      </c>
      <c r="J916" s="3" t="str">
        <f>VLOOKUP(A916,'TODOS OS PROCESSOS ATUALIZADOS '!A:I,7,0)</f>
        <v>Cancelada</v>
      </c>
      <c r="K916" s="3" t="s">
        <v>38</v>
      </c>
      <c r="L916" s="3" t="str">
        <f t="shared" si="3"/>
        <v>Item não atualizado</v>
      </c>
      <c r="M916" s="3"/>
      <c r="N916" s="3" t="s">
        <v>605</v>
      </c>
      <c r="O916" s="3"/>
    </row>
    <row r="917" spans="1:17" ht="22.5" customHeight="1" x14ac:dyDescent="0.2">
      <c r="A917" s="3" t="s">
        <v>1697</v>
      </c>
      <c r="B917" s="3" t="str">
        <f ca="1">IFERROR(__xludf.DUMMYFUNCTION("REGEXEXTRACT(A917, ""\.(?:GOV|EXT)\.([A-Z0-9\-]+)"")
"),"CISAM")</f>
        <v>CISAM</v>
      </c>
      <c r="C917" s="3" t="s">
        <v>34</v>
      </c>
      <c r="D917" s="3" t="s">
        <v>1216</v>
      </c>
      <c r="E917" s="14" t="str">
        <f ca="1">IFERROR(__xludf.DUMMYFUNCTION("REGEXEXTRACT(A917, ""-(.*)"")"),"ARP.0087.01.2024.GOV.CISAM.PE")</f>
        <v>ARP.0087.01.2024.GOV.CISAM.PE</v>
      </c>
      <c r="F917" s="6" t="s">
        <v>1318</v>
      </c>
      <c r="G917" s="3"/>
      <c r="H917" s="9">
        <v>45644</v>
      </c>
      <c r="I917" s="3" t="s">
        <v>44</v>
      </c>
      <c r="J917" s="3" t="str">
        <f>VLOOKUP(A917,'TODOS OS PROCESSOS ATUALIZADOS '!A:I,7,0)</f>
        <v>Autorizada Sucesso</v>
      </c>
      <c r="K917" s="3" t="s">
        <v>44</v>
      </c>
      <c r="L917" s="3" t="str">
        <f t="shared" si="3"/>
        <v>Item atualizado</v>
      </c>
      <c r="M917" s="3"/>
      <c r="N917" s="3" t="s">
        <v>605</v>
      </c>
      <c r="O917" s="3"/>
    </row>
    <row r="918" spans="1:17" ht="22.5" customHeight="1" x14ac:dyDescent="0.2">
      <c r="A918" s="3" t="s">
        <v>1698</v>
      </c>
      <c r="B918" s="3" t="str">
        <f ca="1">IFERROR(__xludf.DUMMYFUNCTION("REGEXEXTRACT(A918, ""\.(?:GOV|EXT)\.([A-Z0-9\-]+)"")
"),"CISAM")</f>
        <v>CISAM</v>
      </c>
      <c r="C918" s="3" t="s">
        <v>34</v>
      </c>
      <c r="D918" s="3" t="s">
        <v>1216</v>
      </c>
      <c r="E918" s="14" t="str">
        <f ca="1">IFERROR(__xludf.DUMMYFUNCTION("REGEXEXTRACT(A918, ""-(.*)"")"),"ARP.0087.01.2024.GOV.CISAM.PE")</f>
        <v>ARP.0087.01.2024.GOV.CISAM.PE</v>
      </c>
      <c r="F918" s="6" t="s">
        <v>1318</v>
      </c>
      <c r="G918" s="3"/>
      <c r="H918" s="9">
        <v>45644</v>
      </c>
      <c r="I918" s="3" t="s">
        <v>44</v>
      </c>
      <c r="J918" s="3" t="str">
        <f>VLOOKUP(A918,'TODOS OS PROCESSOS ATUALIZADOS '!A:I,7,0)</f>
        <v>Autorizada Sucesso</v>
      </c>
      <c r="K918" s="3" t="s">
        <v>44</v>
      </c>
      <c r="L918" s="3" t="str">
        <f t="shared" si="3"/>
        <v>Item atualizado</v>
      </c>
      <c r="M918" s="3"/>
      <c r="N918" s="3" t="s">
        <v>605</v>
      </c>
      <c r="O918" s="3"/>
    </row>
    <row r="919" spans="1:17" ht="22.5" customHeight="1" x14ac:dyDescent="0.2">
      <c r="A919" s="3" t="s">
        <v>1699</v>
      </c>
      <c r="B919" s="3" t="str">
        <f ca="1">IFERROR(__xludf.DUMMYFUNCTION("REGEXEXTRACT(A919, ""\.(?:GOV|EXT)\.([A-Z0-9\-]+)"")
"),"CISAM")</f>
        <v>CISAM</v>
      </c>
      <c r="C919" s="3" t="s">
        <v>34</v>
      </c>
      <c r="D919" s="3" t="s">
        <v>1216</v>
      </c>
      <c r="E919" s="14" t="str">
        <f ca="1">IFERROR(__xludf.DUMMYFUNCTION("REGEXEXTRACT(A919, ""-(.*)"")"),"ARP.0087.01.2024.GOV.CISAM.PE")</f>
        <v>ARP.0087.01.2024.GOV.CISAM.PE</v>
      </c>
      <c r="F919" s="6" t="s">
        <v>1318</v>
      </c>
      <c r="G919" s="3"/>
      <c r="H919" s="9">
        <v>45644</v>
      </c>
      <c r="I919" s="3" t="s">
        <v>44</v>
      </c>
      <c r="J919" s="3" t="str">
        <f>VLOOKUP(A919,'TODOS OS PROCESSOS ATUALIZADOS '!A:I,7,0)</f>
        <v>Autorizada Sucesso</v>
      </c>
      <c r="K919" s="3" t="s">
        <v>44</v>
      </c>
      <c r="L919" s="3" t="str">
        <f t="shared" si="3"/>
        <v>Item atualizado</v>
      </c>
      <c r="M919" s="3"/>
      <c r="N919" s="3" t="s">
        <v>605</v>
      </c>
      <c r="O919" s="3"/>
    </row>
    <row r="920" spans="1:17" ht="22.5" customHeight="1" x14ac:dyDescent="0.2">
      <c r="A920" s="3" t="s">
        <v>1700</v>
      </c>
      <c r="B920" s="3" t="str">
        <f ca="1">IFERROR(__xludf.DUMMYFUNCTION("REGEXEXTRACT(A920, ""\.(?:GOV|EXT)\.([A-Z0-9\-]+)"")
"),"CISAM")</f>
        <v>CISAM</v>
      </c>
      <c r="C920" s="3" t="s">
        <v>34</v>
      </c>
      <c r="D920" s="3" t="s">
        <v>1216</v>
      </c>
      <c r="E920" s="14" t="str">
        <f ca="1">IFERROR(__xludf.DUMMYFUNCTION("REGEXEXTRACT(A920, ""-(.*)"")"),"ARP.0087.02.2024.GOV.CISAM.PE")</f>
        <v>ARP.0087.02.2024.GOV.CISAM.PE</v>
      </c>
      <c r="F920" s="6" t="s">
        <v>1318</v>
      </c>
      <c r="G920" s="3"/>
      <c r="H920" s="9">
        <v>45644</v>
      </c>
      <c r="I920" s="3" t="s">
        <v>44</v>
      </c>
      <c r="J920" s="3" t="str">
        <f>VLOOKUP(A920,'TODOS OS PROCESSOS ATUALIZADOS '!A:I,7,0)</f>
        <v>Autorizada Sucesso</v>
      </c>
      <c r="K920" s="3" t="s">
        <v>44</v>
      </c>
      <c r="L920" s="3" t="str">
        <f t="shared" si="3"/>
        <v>Item atualizado</v>
      </c>
      <c r="M920" s="3"/>
      <c r="N920" s="3" t="s">
        <v>605</v>
      </c>
      <c r="O920" s="3"/>
    </row>
    <row r="921" spans="1:17" ht="22.5" customHeight="1" x14ac:dyDescent="0.2">
      <c r="A921" s="3" t="s">
        <v>1701</v>
      </c>
      <c r="B921" s="3" t="str">
        <f ca="1">IFERROR(__xludf.DUMMYFUNCTION("REGEXEXTRACT(A921, ""\.(?:GOV|EXT)\.([A-Z0-9\-]+)"")
"),"CISAM")</f>
        <v>CISAM</v>
      </c>
      <c r="C921" s="3" t="s">
        <v>34</v>
      </c>
      <c r="D921" s="3" t="s">
        <v>1216</v>
      </c>
      <c r="E921" s="14" t="str">
        <f ca="1">IFERROR(__xludf.DUMMYFUNCTION("REGEXEXTRACT(A921, ""-(.*)"")"),"ARP.0087.03.2024.GOV.CISAM.PE")</f>
        <v>ARP.0087.03.2024.GOV.CISAM.PE</v>
      </c>
      <c r="F921" s="6" t="s">
        <v>1318</v>
      </c>
      <c r="G921" s="3"/>
      <c r="H921" s="9">
        <v>45644</v>
      </c>
      <c r="I921" s="3" t="s">
        <v>44</v>
      </c>
      <c r="J921" s="3" t="str">
        <f>VLOOKUP(A921,'TODOS OS PROCESSOS ATUALIZADOS '!A:I,7,0)</f>
        <v>Autorizada Sucesso</v>
      </c>
      <c r="K921" s="3" t="s">
        <v>44</v>
      </c>
      <c r="L921" s="3" t="str">
        <f t="shared" si="3"/>
        <v>Item atualizado</v>
      </c>
      <c r="M921" s="3"/>
      <c r="N921" s="3" t="s">
        <v>605</v>
      </c>
      <c r="O921" s="3"/>
    </row>
    <row r="922" spans="1:17" ht="22.5" customHeight="1" x14ac:dyDescent="0.2">
      <c r="A922" s="3" t="s">
        <v>1702</v>
      </c>
      <c r="B922" s="3" t="str">
        <f ca="1">IFERROR(__xludf.DUMMYFUNCTION("REGEXEXTRACT(A922, ""\.(?:GOV|EXT)\.([A-Z0-9\-]+)"")
"),"CISAM")</f>
        <v>CISAM</v>
      </c>
      <c r="C922" s="3" t="s">
        <v>34</v>
      </c>
      <c r="D922" s="3" t="s">
        <v>1216</v>
      </c>
      <c r="E922" s="14" t="str">
        <f ca="1">IFERROR(__xludf.DUMMYFUNCTION("REGEXEXTRACT(A922, ""-(.*)"")"),"ARP.0087.05.2024.GOV.CISAM.PE")</f>
        <v>ARP.0087.05.2024.GOV.CISAM.PE</v>
      </c>
      <c r="F922" s="3" t="s">
        <v>1318</v>
      </c>
      <c r="G922" s="3" t="s">
        <v>3</v>
      </c>
      <c r="H922" s="9">
        <v>45644</v>
      </c>
      <c r="I922" s="3" t="s">
        <v>37</v>
      </c>
      <c r="J922" s="3" t="str">
        <f>VLOOKUP(A922,'TODOS OS PROCESSOS ATUALIZADOS '!A:I,7,0)</f>
        <v>Cancelada</v>
      </c>
      <c r="K922" s="3" t="s">
        <v>38</v>
      </c>
      <c r="L922" s="3" t="str">
        <f t="shared" si="3"/>
        <v>Item não atualizado</v>
      </c>
      <c r="M922" s="3"/>
      <c r="N922" s="3" t="s">
        <v>605</v>
      </c>
      <c r="O922" s="3"/>
    </row>
    <row r="923" spans="1:17" ht="22.5" customHeight="1" x14ac:dyDescent="0.2">
      <c r="A923" s="3" t="s">
        <v>1703</v>
      </c>
      <c r="B923" s="3" t="str">
        <f ca="1">IFERROR(__xludf.DUMMYFUNCTION("REGEXEXTRACT(A923, ""\.(?:GOV|EXT)\.([A-Z0-9\-]+)"")
"),"CISAM")</f>
        <v>CISAM</v>
      </c>
      <c r="C923" s="3" t="s">
        <v>34</v>
      </c>
      <c r="D923" s="3" t="s">
        <v>1216</v>
      </c>
      <c r="E923" s="14" t="str">
        <f ca="1">IFERROR(__xludf.DUMMYFUNCTION("REGEXEXTRACT(A923, ""-(.*)"")"),"ARP.0088.02.2024.GOV.CISAM.PE")</f>
        <v>ARP.0088.02.2024.GOV.CISAM.PE</v>
      </c>
      <c r="F923" s="3" t="s">
        <v>348</v>
      </c>
      <c r="G923" s="3" t="s">
        <v>3</v>
      </c>
      <c r="H923" s="9">
        <v>45644</v>
      </c>
      <c r="I923" s="3" t="s">
        <v>37</v>
      </c>
      <c r="J923" s="3" t="str">
        <f>VLOOKUP(A923,'TODOS OS PROCESSOS ATUALIZADOS '!A:I,7,0)</f>
        <v>Em revisão</v>
      </c>
      <c r="K923" s="3" t="s">
        <v>42</v>
      </c>
      <c r="L923" s="3" t="str">
        <f t="shared" si="3"/>
        <v>Item atualizado</v>
      </c>
      <c r="M923" s="3"/>
      <c r="N923" s="3" t="s">
        <v>42</v>
      </c>
      <c r="O923" s="3"/>
      <c r="P923" s="3"/>
      <c r="Q923" s="3"/>
    </row>
    <row r="924" spans="1:17" ht="22.5" customHeight="1" x14ac:dyDescent="0.2">
      <c r="A924" s="3" t="s">
        <v>1704</v>
      </c>
      <c r="B924" s="3" t="str">
        <f ca="1">IFERROR(__xludf.DUMMYFUNCTION("REGEXEXTRACT(A924, ""\.(?:GOV|EXT)\.([A-Z0-9\-]+)"")
"),"CISAM")</f>
        <v>CISAM</v>
      </c>
      <c r="C924" s="3" t="s">
        <v>34</v>
      </c>
      <c r="D924" s="3" t="s">
        <v>1216</v>
      </c>
      <c r="E924" s="14" t="str">
        <f ca="1">IFERROR(__xludf.DUMMYFUNCTION("REGEXEXTRACT(A924, ""-(.*)"")"),"ARP.0088.02.2024.GOV.CISAM.PE")</f>
        <v>ARP.0088.02.2024.GOV.CISAM.PE</v>
      </c>
      <c r="F924" s="3" t="s">
        <v>348</v>
      </c>
      <c r="G924" s="3" t="s">
        <v>3</v>
      </c>
      <c r="H924" s="9">
        <v>45644</v>
      </c>
      <c r="I924" s="3" t="s">
        <v>37</v>
      </c>
      <c r="J924" s="3" t="str">
        <f>VLOOKUP(A924,'TODOS OS PROCESSOS ATUALIZADOS '!A:I,7,0)</f>
        <v>Em revisão</v>
      </c>
      <c r="K924" s="3" t="s">
        <v>42</v>
      </c>
      <c r="L924" s="3" t="str">
        <f t="shared" si="3"/>
        <v>Item atualizado</v>
      </c>
      <c r="M924" s="3"/>
      <c r="N924" s="3" t="s">
        <v>42</v>
      </c>
      <c r="O924" s="3"/>
      <c r="P924" s="3"/>
      <c r="Q924" s="3"/>
    </row>
    <row r="925" spans="1:17" ht="22.5" customHeight="1" x14ac:dyDescent="0.2">
      <c r="A925" s="3" t="s">
        <v>1705</v>
      </c>
      <c r="B925" s="3" t="str">
        <f ca="1">IFERROR(__xludf.DUMMYFUNCTION("REGEXEXTRACT(A925, ""\.(?:GOV|EXT)\.([A-Z0-9\-]+)"")
"),"CISAM")</f>
        <v>CISAM</v>
      </c>
      <c r="C925" s="3" t="s">
        <v>34</v>
      </c>
      <c r="D925" s="3" t="s">
        <v>1216</v>
      </c>
      <c r="E925" s="14" t="str">
        <f ca="1">IFERROR(__xludf.DUMMYFUNCTION("REGEXEXTRACT(A925, ""-(.*)"")"),"ARP.0088.02.2024.GOV.CISAM.PE")</f>
        <v>ARP.0088.02.2024.GOV.CISAM.PE</v>
      </c>
      <c r="F925" s="3" t="s">
        <v>348</v>
      </c>
      <c r="G925" s="3" t="s">
        <v>3</v>
      </c>
      <c r="H925" s="9">
        <v>45644</v>
      </c>
      <c r="I925" s="3" t="s">
        <v>37</v>
      </c>
      <c r="J925" s="3" t="str">
        <f>VLOOKUP(A925,'TODOS OS PROCESSOS ATUALIZADOS '!A:I,7,0)</f>
        <v>Em revisão</v>
      </c>
      <c r="K925" s="3" t="s">
        <v>42</v>
      </c>
      <c r="L925" s="3" t="str">
        <f t="shared" si="3"/>
        <v>Item atualizado</v>
      </c>
      <c r="M925" s="3"/>
      <c r="N925" s="3" t="s">
        <v>42</v>
      </c>
      <c r="O925" s="3"/>
      <c r="P925" s="3"/>
      <c r="Q925" s="3"/>
    </row>
    <row r="926" spans="1:17" ht="22.5" customHeight="1" x14ac:dyDescent="0.2">
      <c r="A926" s="3" t="s">
        <v>1706</v>
      </c>
      <c r="B926" s="3" t="str">
        <f ca="1">IFERROR(__xludf.DUMMYFUNCTION("REGEXEXTRACT(A926, ""\.(?:GOV|EXT)\.([A-Z0-9\-]+)"")
"),"CISAM")</f>
        <v>CISAM</v>
      </c>
      <c r="C926" s="3" t="s">
        <v>34</v>
      </c>
      <c r="D926" s="3" t="s">
        <v>1216</v>
      </c>
      <c r="E926" s="14" t="str">
        <f ca="1">IFERROR(__xludf.DUMMYFUNCTION("REGEXEXTRACT(A926, ""-(.*)"")"),"ARP.0088.02.2024.GOV.CISAM.PE")</f>
        <v>ARP.0088.02.2024.GOV.CISAM.PE</v>
      </c>
      <c r="F926" s="3" t="s">
        <v>348</v>
      </c>
      <c r="G926" s="3" t="s">
        <v>3</v>
      </c>
      <c r="H926" s="9">
        <v>45644</v>
      </c>
      <c r="I926" s="3" t="s">
        <v>37</v>
      </c>
      <c r="J926" s="3" t="str">
        <f>VLOOKUP(A926,'TODOS OS PROCESSOS ATUALIZADOS '!A:I,7,0)</f>
        <v>Em revisão</v>
      </c>
      <c r="K926" s="3" t="s">
        <v>42</v>
      </c>
      <c r="L926" s="3" t="str">
        <f t="shared" si="3"/>
        <v>Item atualizado</v>
      </c>
      <c r="M926" s="3"/>
      <c r="N926" s="3" t="s">
        <v>42</v>
      </c>
      <c r="O926" s="3"/>
      <c r="P926" s="3"/>
      <c r="Q926" s="3"/>
    </row>
    <row r="927" spans="1:17" ht="22.5" customHeight="1" x14ac:dyDescent="0.2">
      <c r="A927" s="3" t="s">
        <v>1707</v>
      </c>
      <c r="B927" s="3" t="str">
        <f ca="1">IFERROR(__xludf.DUMMYFUNCTION("REGEXEXTRACT(A927, ""\.(?:GOV|EXT)\.([A-Z0-9\-]+)"")
"),"CISAM")</f>
        <v>CISAM</v>
      </c>
      <c r="C927" s="3" t="s">
        <v>34</v>
      </c>
      <c r="D927" s="3" t="s">
        <v>1216</v>
      </c>
      <c r="E927" s="14" t="str">
        <f ca="1">IFERROR(__xludf.DUMMYFUNCTION("REGEXEXTRACT(A927, ""-(.*)"")"),"ARP.0088.02.2024.GOV.CISAM.PE")</f>
        <v>ARP.0088.02.2024.GOV.CISAM.PE</v>
      </c>
      <c r="F927" s="3" t="s">
        <v>348</v>
      </c>
      <c r="G927" s="3" t="s">
        <v>3</v>
      </c>
      <c r="H927" s="9">
        <v>45644</v>
      </c>
      <c r="I927" s="3" t="s">
        <v>153</v>
      </c>
      <c r="J927" s="3" t="str">
        <f>VLOOKUP(A927,'TODOS OS PROCESSOS ATUALIZADOS '!A:I,7,0)</f>
        <v>Em revisão</v>
      </c>
      <c r="K927" s="3" t="s">
        <v>42</v>
      </c>
      <c r="L927" s="3" t="str">
        <f t="shared" si="3"/>
        <v>Item não atualizado</v>
      </c>
      <c r="M927" s="3"/>
      <c r="N927" s="3" t="s">
        <v>42</v>
      </c>
      <c r="O927" s="3"/>
      <c r="P927" s="3"/>
      <c r="Q927" s="3"/>
    </row>
    <row r="928" spans="1:17" ht="22.5" customHeight="1" x14ac:dyDescent="0.2">
      <c r="A928" s="3" t="s">
        <v>1708</v>
      </c>
      <c r="B928" s="3" t="str">
        <f ca="1">IFERROR(__xludf.DUMMYFUNCTION("REGEXEXTRACT(A928, ""\.(?:GOV|EXT)\.([A-Z0-9\-]+)"")
"),"CISAM")</f>
        <v>CISAM</v>
      </c>
      <c r="C928" s="3" t="s">
        <v>34</v>
      </c>
      <c r="D928" s="3" t="s">
        <v>1216</v>
      </c>
      <c r="E928" s="14" t="str">
        <f ca="1">IFERROR(__xludf.DUMMYFUNCTION("REGEXEXTRACT(A928, ""-(.*)"")"),"ARP.0088.02.2024.GOV.CISAM.PE")</f>
        <v>ARP.0088.02.2024.GOV.CISAM.PE</v>
      </c>
      <c r="F928" s="6" t="s">
        <v>348</v>
      </c>
      <c r="G928" s="3"/>
      <c r="H928" s="9">
        <v>45644</v>
      </c>
      <c r="I928" s="3" t="s">
        <v>44</v>
      </c>
      <c r="J928" s="3" t="str">
        <f>VLOOKUP(A928,'TODOS OS PROCESSOS ATUALIZADOS '!A:I,7,0)</f>
        <v>Autorizada Sucesso</v>
      </c>
      <c r="K928" s="3" t="s">
        <v>44</v>
      </c>
      <c r="L928" s="3" t="str">
        <f t="shared" si="3"/>
        <v>Item atualizado</v>
      </c>
      <c r="M928" s="3"/>
      <c r="N928" s="3" t="s">
        <v>605</v>
      </c>
      <c r="O928" s="3"/>
    </row>
    <row r="929" spans="1:15" ht="22.5" customHeight="1" x14ac:dyDescent="0.2">
      <c r="A929" s="3" t="s">
        <v>1709</v>
      </c>
      <c r="B929" s="3" t="str">
        <f ca="1">IFERROR(__xludf.DUMMYFUNCTION("REGEXEXTRACT(A929, ""\.(?:GOV|EXT)\.([A-Z0-9\-]+)"")
"),"CISAM")</f>
        <v>CISAM</v>
      </c>
      <c r="C929" s="3" t="s">
        <v>34</v>
      </c>
      <c r="D929" s="3" t="s">
        <v>1216</v>
      </c>
      <c r="E929" s="14" t="str">
        <f ca="1">IFERROR(__xludf.DUMMYFUNCTION("REGEXEXTRACT(A929, ""-(.*)"")"),"ARP.0088.03.2024.GOV.CISAM.PE")</f>
        <v>ARP.0088.03.2024.GOV.CISAM.PE</v>
      </c>
      <c r="F929" s="3" t="s">
        <v>348</v>
      </c>
      <c r="G929" s="3"/>
      <c r="H929" s="9">
        <v>45644</v>
      </c>
      <c r="I929" s="3" t="s">
        <v>37</v>
      </c>
      <c r="J929" s="3" t="str">
        <f>VLOOKUP(A929,'TODOS OS PROCESSOS ATUALIZADOS '!A:I,7,0)</f>
        <v>Cancelada</v>
      </c>
      <c r="K929" s="3" t="s">
        <v>38</v>
      </c>
      <c r="L929" s="3" t="str">
        <f t="shared" si="3"/>
        <v>Item não atualizado</v>
      </c>
      <c r="M929" s="3"/>
      <c r="N929" s="3" t="s">
        <v>605</v>
      </c>
      <c r="O929" s="3"/>
    </row>
    <row r="930" spans="1:15" ht="22.5" customHeight="1" x14ac:dyDescent="0.2">
      <c r="A930" s="3" t="s">
        <v>1710</v>
      </c>
      <c r="B930" s="3" t="str">
        <f ca="1">IFERROR(__xludf.DUMMYFUNCTION("REGEXEXTRACT(A930, ""\.(?:GOV|EXT)\.([A-Z0-9\-]+)"")
"),"FES-PE")</f>
        <v>FES-PE</v>
      </c>
      <c r="C930" s="3" t="s">
        <v>34</v>
      </c>
      <c r="D930" s="3" t="s">
        <v>1216</v>
      </c>
      <c r="E930" s="14" t="str">
        <f ca="1">IFERROR(__xludf.DUMMYFUNCTION("REGEXEXTRACT(A930, ""-(.*)"")"),"ARP.0097.02.2024.GOV.FES-PE.PE")</f>
        <v>ARP.0097.02.2024.GOV.FES-PE.PE</v>
      </c>
      <c r="F930" s="3" t="s">
        <v>1415</v>
      </c>
      <c r="G930" s="3"/>
      <c r="H930" s="9">
        <v>45643</v>
      </c>
      <c r="I930" s="3" t="s">
        <v>37</v>
      </c>
      <c r="J930" s="3" t="str">
        <f>VLOOKUP(A930,'TODOS OS PROCESSOS ATUALIZADOS '!A:I,7,0)</f>
        <v>Cancelada</v>
      </c>
      <c r="K930" s="3" t="s">
        <v>38</v>
      </c>
      <c r="L930" s="3" t="str">
        <f t="shared" si="3"/>
        <v>Item não atualizado</v>
      </c>
      <c r="M930" s="3"/>
      <c r="N930" s="3" t="s">
        <v>605</v>
      </c>
      <c r="O930" s="3"/>
    </row>
    <row r="931" spans="1:15" ht="22.5" customHeight="1" x14ac:dyDescent="0.2">
      <c r="A931" s="3" t="s">
        <v>1711</v>
      </c>
      <c r="B931" s="3" t="str">
        <f ca="1">IFERROR(__xludf.DUMMYFUNCTION("REGEXEXTRACT(A931, ""\.(?:GOV|EXT)\.([A-Z0-9\-]+)"")
"),"FES-PE")</f>
        <v>FES-PE</v>
      </c>
      <c r="C931" s="3" t="s">
        <v>34</v>
      </c>
      <c r="D931" s="3" t="s">
        <v>1216</v>
      </c>
      <c r="E931" s="14" t="str">
        <f ca="1">IFERROR(__xludf.DUMMYFUNCTION("REGEXEXTRACT(A931, ""-(.*)"")"),"ARP.0097.04.2024.GOV.FES-PE.PE")</f>
        <v>ARP.0097.04.2024.GOV.FES-PE.PE</v>
      </c>
      <c r="F931" s="6" t="s">
        <v>1415</v>
      </c>
      <c r="G931" s="3"/>
      <c r="H931" s="9">
        <v>45643</v>
      </c>
      <c r="I931" s="3" t="s">
        <v>44</v>
      </c>
      <c r="J931" s="3" t="str">
        <f>VLOOKUP(A931,'TODOS OS PROCESSOS ATUALIZADOS '!A:I,7,0)</f>
        <v>Autorizada Sucesso</v>
      </c>
      <c r="K931" s="3" t="s">
        <v>44</v>
      </c>
      <c r="L931" s="3" t="str">
        <f t="shared" si="3"/>
        <v>Item atualizado</v>
      </c>
      <c r="M931" s="3"/>
      <c r="N931" s="3" t="s">
        <v>605</v>
      </c>
      <c r="O931" s="3"/>
    </row>
    <row r="932" spans="1:15" ht="22.5" customHeight="1" x14ac:dyDescent="0.2">
      <c r="A932" s="3" t="s">
        <v>1712</v>
      </c>
      <c r="B932" s="3" t="str">
        <f ca="1">IFERROR(__xludf.DUMMYFUNCTION("REGEXEXTRACT(A932, ""\.(?:GOV|EXT)\.([A-Z0-9\-]+)"")
"),"CISAM")</f>
        <v>CISAM</v>
      </c>
      <c r="C932" s="3" t="s">
        <v>34</v>
      </c>
      <c r="D932" s="3" t="s">
        <v>1216</v>
      </c>
      <c r="E932" s="14" t="str">
        <f ca="1">IFERROR(__xludf.DUMMYFUNCTION("REGEXEXTRACT(A932, ""-(.*)"")"),"ARP.0052.12.2024.GOV.CISAM.PE")</f>
        <v>ARP.0052.12.2024.GOV.CISAM.PE</v>
      </c>
      <c r="F932" s="6" t="s">
        <v>1347</v>
      </c>
      <c r="G932" s="3"/>
      <c r="H932" s="9">
        <v>45641</v>
      </c>
      <c r="I932" s="3" t="s">
        <v>44</v>
      </c>
      <c r="J932" s="3" t="str">
        <f>VLOOKUP(A932,'TODOS OS PROCESSOS ATUALIZADOS '!A:I,7,0)</f>
        <v>Autorizada Sucesso</v>
      </c>
      <c r="K932" s="3" t="s">
        <v>44</v>
      </c>
      <c r="L932" s="3" t="str">
        <f t="shared" si="3"/>
        <v>Item atualizado</v>
      </c>
      <c r="M932" s="3"/>
      <c r="N932" s="3" t="s">
        <v>605</v>
      </c>
      <c r="O932" s="3"/>
    </row>
    <row r="933" spans="1:15" ht="22.5" customHeight="1" x14ac:dyDescent="0.2">
      <c r="A933" s="3" t="s">
        <v>1713</v>
      </c>
      <c r="B933" s="3" t="str">
        <f ca="1">IFERROR(__xludf.DUMMYFUNCTION("REGEXEXTRACT(A933, ""\.(?:GOV|EXT)\.([A-Z0-9\-]+)"")
"),"FES-PE")</f>
        <v>FES-PE</v>
      </c>
      <c r="C933" s="3" t="s">
        <v>34</v>
      </c>
      <c r="D933" s="3" t="s">
        <v>1216</v>
      </c>
      <c r="E933" s="14" t="str">
        <f ca="1">IFERROR(__xludf.DUMMYFUNCTION("REGEXEXTRACT(A933, ""-(.*)"")"),"ARP.0096.01.2024.GOV.FES-PE.PE")</f>
        <v>ARP.0096.01.2024.GOV.FES-PE.PE</v>
      </c>
      <c r="F933" s="6" t="s">
        <v>1293</v>
      </c>
      <c r="G933" s="3"/>
      <c r="H933" s="9">
        <v>45641</v>
      </c>
      <c r="I933" s="3" t="s">
        <v>44</v>
      </c>
      <c r="J933" s="3" t="str">
        <f>VLOOKUP(A933,'TODOS OS PROCESSOS ATUALIZADOS '!A:I,7,0)</f>
        <v>Autorizada Sucesso</v>
      </c>
      <c r="K933" s="3" t="s">
        <v>44</v>
      </c>
      <c r="L933" s="3" t="str">
        <f t="shared" si="3"/>
        <v>Item atualizado</v>
      </c>
      <c r="M933" s="3"/>
      <c r="N933" s="3" t="s">
        <v>605</v>
      </c>
      <c r="O933" s="3"/>
    </row>
    <row r="934" spans="1:15" ht="22.5" customHeight="1" x14ac:dyDescent="0.2">
      <c r="A934" s="3" t="s">
        <v>1714</v>
      </c>
      <c r="B934" s="3" t="str">
        <f ca="1">IFERROR(__xludf.DUMMYFUNCTION("REGEXEXTRACT(A934, ""\.(?:GOV|EXT)\.([A-Z0-9\-]+)"")
"),"FES-PE")</f>
        <v>FES-PE</v>
      </c>
      <c r="C934" s="3" t="s">
        <v>34</v>
      </c>
      <c r="D934" s="3" t="s">
        <v>1216</v>
      </c>
      <c r="E934" s="14" t="str">
        <f ca="1">IFERROR(__xludf.DUMMYFUNCTION("REGEXEXTRACT(A934, ""-(.*)"")"),"ARP.0068.10.2024.GOV.FES-PE.PE")</f>
        <v>ARP.0068.10.2024.GOV.FES-PE.PE</v>
      </c>
      <c r="F934" s="3" t="s">
        <v>662</v>
      </c>
      <c r="G934" s="3"/>
      <c r="H934" s="9">
        <v>45639</v>
      </c>
      <c r="I934" s="3" t="s">
        <v>37</v>
      </c>
      <c r="J934" s="3" t="str">
        <f>VLOOKUP(A934,'TODOS OS PROCESSOS ATUALIZADOS '!A:I,7,0)</f>
        <v>Cancelada por fim vigencia ATA</v>
      </c>
      <c r="K934" s="3" t="s">
        <v>38</v>
      </c>
      <c r="L934" s="3" t="str">
        <f t="shared" si="3"/>
        <v>Item atualizado</v>
      </c>
      <c r="M934" s="3"/>
      <c r="N934" s="3" t="s">
        <v>605</v>
      </c>
      <c r="O934" s="3"/>
    </row>
    <row r="935" spans="1:15" ht="22.5" customHeight="1" x14ac:dyDescent="0.2">
      <c r="A935" s="3" t="s">
        <v>1715</v>
      </c>
      <c r="B935" s="3" t="str">
        <f ca="1">IFERROR(__xludf.DUMMYFUNCTION("REGEXEXTRACT(A935, ""\.(?:GOV|EXT)\.([A-Z0-9\-]+)"")
"),"FES-PE")</f>
        <v>FES-PE</v>
      </c>
      <c r="C935" s="3" t="s">
        <v>34</v>
      </c>
      <c r="D935" s="3" t="s">
        <v>1216</v>
      </c>
      <c r="E935" s="14" t="str">
        <f ca="1">IFERROR(__xludf.DUMMYFUNCTION("REGEXEXTRACT(A935, ""-(.*)"")"),"ARP.0068.10.2024.GOV.FES-PE.PE")</f>
        <v>ARP.0068.10.2024.GOV.FES-PE.PE</v>
      </c>
      <c r="F935" s="3" t="s">
        <v>662</v>
      </c>
      <c r="G935" s="3"/>
      <c r="H935" s="9">
        <v>45639</v>
      </c>
      <c r="I935" s="3" t="s">
        <v>37</v>
      </c>
      <c r="J935" s="3" t="str">
        <f>VLOOKUP(A935,'TODOS OS PROCESSOS ATUALIZADOS '!A:I,7,0)</f>
        <v>Cancelada por fim vigencia ATA</v>
      </c>
      <c r="K935" s="3" t="s">
        <v>38</v>
      </c>
      <c r="L935" s="3" t="str">
        <f t="shared" si="3"/>
        <v>Item atualizado</v>
      </c>
      <c r="M935" s="3"/>
      <c r="N935" s="3" t="s">
        <v>605</v>
      </c>
      <c r="O935" s="3"/>
    </row>
    <row r="936" spans="1:15" ht="22.5" customHeight="1" x14ac:dyDescent="0.2">
      <c r="A936" s="3" t="s">
        <v>1716</v>
      </c>
      <c r="B936" s="3" t="str">
        <f ca="1">IFERROR(__xludf.DUMMYFUNCTION("REGEXEXTRACT(A936, ""\.(?:GOV|EXT)\.([A-Z0-9\-]+)"")
"),"SAD")</f>
        <v>SAD</v>
      </c>
      <c r="C936" s="3" t="s">
        <v>34</v>
      </c>
      <c r="D936" s="3" t="s">
        <v>1216</v>
      </c>
      <c r="E936" s="14" t="str">
        <f ca="1">IFERROR(__xludf.DUMMYFUNCTION("REGEXEXTRACT(A936, ""-(.*)"")"),"ARPC.0004.00.2024.GOV.SAD.PE")</f>
        <v>ARPC.0004.00.2024.GOV.SAD.PE</v>
      </c>
      <c r="F936" s="6" t="s">
        <v>660</v>
      </c>
      <c r="G936" s="3"/>
      <c r="H936" s="9">
        <v>45637</v>
      </c>
      <c r="I936" s="3" t="s">
        <v>44</v>
      </c>
      <c r="J936" s="3" t="str">
        <f>VLOOKUP(A936,'TODOS OS PROCESSOS ATUALIZADOS '!A:I,7,0)</f>
        <v>Autorizada Sucesso</v>
      </c>
      <c r="K936" s="3" t="s">
        <v>44</v>
      </c>
      <c r="L936" s="3" t="str">
        <f t="shared" si="3"/>
        <v>Item atualizado</v>
      </c>
      <c r="M936" s="3"/>
      <c r="N936" s="3" t="s">
        <v>605</v>
      </c>
      <c r="O936" s="3"/>
    </row>
    <row r="937" spans="1:15" ht="22.5" customHeight="1" x14ac:dyDescent="0.2">
      <c r="A937" s="3" t="s">
        <v>1717</v>
      </c>
      <c r="B937" s="3" t="str">
        <f ca="1">IFERROR(__xludf.DUMMYFUNCTION("REGEXEXTRACT(A937, ""\.(?:GOV|EXT)\.([A-Z0-9\-]+)"")
"),"SAD")</f>
        <v>SAD</v>
      </c>
      <c r="C937" s="3" t="s">
        <v>34</v>
      </c>
      <c r="D937" s="3" t="s">
        <v>1216</v>
      </c>
      <c r="E937" s="14" t="str">
        <f ca="1">IFERROR(__xludf.DUMMYFUNCTION("REGEXEXTRACT(A937, ""-(.*)"")"),"ARPC.0029.00.2024.GOV.SAD.PE")</f>
        <v>ARPC.0029.00.2024.GOV.SAD.PE</v>
      </c>
      <c r="F937" s="3" t="s">
        <v>1718</v>
      </c>
      <c r="G937" s="3"/>
      <c r="H937" s="9">
        <v>45636</v>
      </c>
      <c r="I937" s="3" t="s">
        <v>37</v>
      </c>
      <c r="J937" s="3" t="str">
        <f>VLOOKUP(A937,'TODOS OS PROCESSOS ATUALIZADOS '!A:I,7,0)</f>
        <v>Cancelada</v>
      </c>
      <c r="K937" s="3" t="s">
        <v>38</v>
      </c>
      <c r="L937" s="3" t="str">
        <f t="shared" si="3"/>
        <v>Item não atualizado</v>
      </c>
      <c r="M937" s="3"/>
      <c r="N937" s="3" t="s">
        <v>605</v>
      </c>
      <c r="O937" s="3"/>
    </row>
    <row r="938" spans="1:15" ht="22.5" customHeight="1" x14ac:dyDescent="0.2">
      <c r="A938" s="3" t="s">
        <v>1719</v>
      </c>
      <c r="B938" s="3" t="str">
        <f ca="1">IFERROR(__xludf.DUMMYFUNCTION("REGEXEXTRACT(A938, ""\.(?:GOV|EXT)\.([A-Z0-9\-]+)"")
"),"CISAM")</f>
        <v>CISAM</v>
      </c>
      <c r="C938" s="3" t="s">
        <v>34</v>
      </c>
      <c r="D938" s="3" t="s">
        <v>1216</v>
      </c>
      <c r="E938" s="14" t="str">
        <f ca="1">IFERROR(__xludf.DUMMYFUNCTION("REGEXEXTRACT(A938, ""-(.*)"")"),"ARP.0065.06.2024.GOV.CISAM.PE")</f>
        <v>ARP.0065.06.2024.GOV.CISAM.PE</v>
      </c>
      <c r="F938" s="6" t="s">
        <v>311</v>
      </c>
      <c r="G938" s="3"/>
      <c r="H938" s="9">
        <v>45635</v>
      </c>
      <c r="I938" s="3" t="s">
        <v>44</v>
      </c>
      <c r="J938" s="3" t="str">
        <f>VLOOKUP(A938,'TODOS OS PROCESSOS ATUALIZADOS '!A:I,7,0)</f>
        <v>Autorizada Sucesso</v>
      </c>
      <c r="K938" s="3" t="s">
        <v>44</v>
      </c>
      <c r="L938" s="3" t="str">
        <f t="shared" si="3"/>
        <v>Item atualizado</v>
      </c>
      <c r="M938" s="3"/>
      <c r="N938" s="3" t="s">
        <v>605</v>
      </c>
      <c r="O938" s="3"/>
    </row>
    <row r="939" spans="1:15" ht="22.5" customHeight="1" x14ac:dyDescent="0.2">
      <c r="A939" s="3" t="s">
        <v>1720</v>
      </c>
      <c r="B939" s="3" t="str">
        <f ca="1">IFERROR(__xludf.DUMMYFUNCTION("REGEXEXTRACT(A939, ""\.(?:GOV|EXT)\.([A-Z0-9\-]+)"")
"),"FES-PE")</f>
        <v>FES-PE</v>
      </c>
      <c r="C939" s="3" t="s">
        <v>34</v>
      </c>
      <c r="D939" s="3" t="s">
        <v>1216</v>
      </c>
      <c r="E939" s="14" t="str">
        <f ca="1">IFERROR(__xludf.DUMMYFUNCTION("REGEXEXTRACT(A939, ""-(.*)"")"),"ARP.0089.00.2024.GOV.FES-PE.PE")</f>
        <v>ARP.0089.00.2024.GOV.FES-PE.PE</v>
      </c>
      <c r="F939" s="6" t="s">
        <v>1721</v>
      </c>
      <c r="G939" s="3"/>
      <c r="H939" s="9">
        <v>45629</v>
      </c>
      <c r="I939" s="3" t="s">
        <v>44</v>
      </c>
      <c r="J939" s="3" t="str">
        <f>VLOOKUP(A939,'TODOS OS PROCESSOS ATUALIZADOS '!A:I,7,0)</f>
        <v>Autorizada Sucesso</v>
      </c>
      <c r="K939" s="3" t="s">
        <v>44</v>
      </c>
      <c r="L939" s="3" t="str">
        <f t="shared" si="3"/>
        <v>Item atualizado</v>
      </c>
      <c r="M939" s="3"/>
      <c r="N939" s="3" t="s">
        <v>605</v>
      </c>
      <c r="O939" s="3"/>
    </row>
    <row r="940" spans="1:15" ht="22.5" customHeight="1" x14ac:dyDescent="0.2">
      <c r="A940" s="3" t="s">
        <v>1722</v>
      </c>
      <c r="B940" s="3" t="str">
        <f ca="1">IFERROR(__xludf.DUMMYFUNCTION("REGEXEXTRACT(A940, ""\.(?:GOV|EXT)\.([A-Z0-9\-]+)"")
"),"FES-PE")</f>
        <v>FES-PE</v>
      </c>
      <c r="C940" s="3" t="s">
        <v>34</v>
      </c>
      <c r="D940" s="3" t="s">
        <v>1216</v>
      </c>
      <c r="E940" s="14" t="str">
        <f ca="1">IFERROR(__xludf.DUMMYFUNCTION("REGEXEXTRACT(A940, ""-(.*)"")"),"ARP.0089.01.2024.GOV.FES-PE.PE")</f>
        <v>ARP.0089.01.2024.GOV.FES-PE.PE</v>
      </c>
      <c r="F940" s="6" t="s">
        <v>1721</v>
      </c>
      <c r="G940" s="3"/>
      <c r="H940" s="9">
        <v>45629</v>
      </c>
      <c r="I940" s="3" t="s">
        <v>44</v>
      </c>
      <c r="J940" s="3" t="str">
        <f>VLOOKUP(A940,'TODOS OS PROCESSOS ATUALIZADOS '!A:I,7,0)</f>
        <v>Autorizada Sucesso</v>
      </c>
      <c r="K940" s="3" t="s">
        <v>44</v>
      </c>
      <c r="L940" s="3" t="str">
        <f t="shared" si="3"/>
        <v>Item atualizado</v>
      </c>
      <c r="M940" s="3"/>
      <c r="N940" s="3" t="s">
        <v>605</v>
      </c>
      <c r="O940" s="3"/>
    </row>
    <row r="941" spans="1:15" ht="22.5" customHeight="1" x14ac:dyDescent="0.2">
      <c r="A941" s="3" t="s">
        <v>1723</v>
      </c>
      <c r="B941" s="3" t="str">
        <f ca="1">IFERROR(__xludf.DUMMYFUNCTION("REGEXEXTRACT(A941, ""\.(?:GOV|EXT)\.([A-Z0-9\-]+)"")
"),"FES-PE")</f>
        <v>FES-PE</v>
      </c>
      <c r="C941" s="3" t="s">
        <v>34</v>
      </c>
      <c r="D941" s="3" t="s">
        <v>1216</v>
      </c>
      <c r="E941" s="14" t="str">
        <f ca="1">IFERROR(__xludf.DUMMYFUNCTION("REGEXEXTRACT(A941, ""-(.*)"")"),"ARP.0040.01.2024.GOV.FES-PE.PE")</f>
        <v>ARP.0040.01.2024.GOV.FES-PE.PE</v>
      </c>
      <c r="F941" s="6" t="s">
        <v>1724</v>
      </c>
      <c r="G941" s="3"/>
      <c r="H941" s="9">
        <v>45628</v>
      </c>
      <c r="I941" s="3" t="s">
        <v>44</v>
      </c>
      <c r="J941" s="3" t="str">
        <f>VLOOKUP(A941,'TODOS OS PROCESSOS ATUALIZADOS '!A:I,7,0)</f>
        <v>Autorizada Sucesso</v>
      </c>
      <c r="K941" s="3" t="s">
        <v>44</v>
      </c>
      <c r="L941" s="3" t="str">
        <f t="shared" si="3"/>
        <v>Item atualizado</v>
      </c>
      <c r="M941" s="3"/>
      <c r="N941" s="3" t="s">
        <v>605</v>
      </c>
      <c r="O941" s="3"/>
    </row>
    <row r="942" spans="1:15" ht="22.5" customHeight="1" x14ac:dyDescent="0.2">
      <c r="A942" s="3" t="s">
        <v>1725</v>
      </c>
      <c r="B942" s="3" t="str">
        <f ca="1">IFERROR(__xludf.DUMMYFUNCTION("REGEXEXTRACT(A942, ""\.(?:GOV|EXT)\.([A-Z0-9\-]+)"")
"),"FES-PE")</f>
        <v>FES-PE</v>
      </c>
      <c r="C942" s="3" t="s">
        <v>34</v>
      </c>
      <c r="D942" s="3" t="s">
        <v>1216</v>
      </c>
      <c r="E942" s="14" t="str">
        <f ca="1">IFERROR(__xludf.DUMMYFUNCTION("REGEXEXTRACT(A942, ""-(.*)"")"),"ARP.0031.11.2024.GOV.FES-PE.PE")</f>
        <v>ARP.0031.11.2024.GOV.FES-PE.PE</v>
      </c>
      <c r="F942" s="6" t="s">
        <v>1646</v>
      </c>
      <c r="G942" s="3"/>
      <c r="H942" s="9">
        <v>45628</v>
      </c>
      <c r="I942" s="3" t="s">
        <v>44</v>
      </c>
      <c r="J942" s="3" t="str">
        <f>VLOOKUP(A942,'TODOS OS PROCESSOS ATUALIZADOS '!A:I,7,0)</f>
        <v>Autorizada Sucesso</v>
      </c>
      <c r="K942" s="3" t="s">
        <v>44</v>
      </c>
      <c r="L942" s="3" t="str">
        <f t="shared" si="3"/>
        <v>Item atualizado</v>
      </c>
      <c r="M942" s="3"/>
      <c r="N942" s="3" t="s">
        <v>605</v>
      </c>
      <c r="O942" s="3"/>
    </row>
    <row r="943" spans="1:15" ht="22.5" customHeight="1" x14ac:dyDescent="0.2">
      <c r="A943" s="3" t="s">
        <v>1726</v>
      </c>
      <c r="B943" s="3" t="str">
        <f ca="1">IFERROR(__xludf.DUMMYFUNCTION("REGEXEXTRACT(A943, ""\.(?:GOV|EXT)\.([A-Z0-9\-]+)"")
"),"FES-PE")</f>
        <v>FES-PE</v>
      </c>
      <c r="C943" s="3" t="s">
        <v>34</v>
      </c>
      <c r="D943" s="3" t="s">
        <v>1216</v>
      </c>
      <c r="E943" s="14" t="str">
        <f ca="1">IFERROR(__xludf.DUMMYFUNCTION("REGEXEXTRACT(A943, ""-(.*)"")"),"ARP.0050.00.2024.GOV.FES-PE.PE")</f>
        <v>ARP.0050.00.2024.GOV.FES-PE.PE</v>
      </c>
      <c r="F943" s="6" t="s">
        <v>1689</v>
      </c>
      <c r="G943" s="3"/>
      <c r="H943" s="9">
        <v>45628</v>
      </c>
      <c r="I943" s="3" t="s">
        <v>44</v>
      </c>
      <c r="J943" s="3" t="str">
        <f>VLOOKUP(A943,'TODOS OS PROCESSOS ATUALIZADOS '!A:I,7,0)</f>
        <v>Autorizada Sucesso</v>
      </c>
      <c r="K943" s="3" t="s">
        <v>44</v>
      </c>
      <c r="L943" s="3" t="str">
        <f t="shared" si="3"/>
        <v>Item atualizado</v>
      </c>
      <c r="M943" s="3"/>
      <c r="N943" s="3" t="s">
        <v>605</v>
      </c>
      <c r="O943" s="3"/>
    </row>
    <row r="944" spans="1:15" ht="22.5" customHeight="1" x14ac:dyDescent="0.2">
      <c r="A944" s="3" t="s">
        <v>1727</v>
      </c>
      <c r="B944" s="3" t="str">
        <f ca="1">IFERROR(__xludf.DUMMYFUNCTION("REGEXEXTRACT(A944, ""\.(?:GOV|EXT)\.([A-Z0-9\-]+)"")
"),"FES-PE")</f>
        <v>FES-PE</v>
      </c>
      <c r="C944" s="3" t="s">
        <v>34</v>
      </c>
      <c r="D944" s="3" t="s">
        <v>1216</v>
      </c>
      <c r="E944" s="14" t="str">
        <f ca="1">IFERROR(__xludf.DUMMYFUNCTION("REGEXEXTRACT(A944, ""-(.*)"")"),"ARP.0097.03.2024.GOV.FES-PE.PE")</f>
        <v>ARP.0097.03.2024.GOV.FES-PE.PE</v>
      </c>
      <c r="F944" s="6" t="s">
        <v>1415</v>
      </c>
      <c r="G944" s="3"/>
      <c r="H944" s="9">
        <v>45628</v>
      </c>
      <c r="I944" s="3" t="s">
        <v>44</v>
      </c>
      <c r="J944" s="3" t="str">
        <f>VLOOKUP(A944,'TODOS OS PROCESSOS ATUALIZADOS '!A:I,7,0)</f>
        <v>Autorizada Sucesso</v>
      </c>
      <c r="K944" s="3" t="s">
        <v>44</v>
      </c>
      <c r="L944" s="3" t="str">
        <f t="shared" si="3"/>
        <v>Item atualizado</v>
      </c>
      <c r="M944" s="3"/>
      <c r="N944" s="3" t="s">
        <v>605</v>
      </c>
      <c r="O944" s="3"/>
    </row>
    <row r="945" spans="1:15" ht="22.5" customHeight="1" x14ac:dyDescent="0.2">
      <c r="A945" s="3" t="s">
        <v>1728</v>
      </c>
      <c r="B945" s="3" t="str">
        <f ca="1">IFERROR(__xludf.DUMMYFUNCTION("REGEXEXTRACT(A945, ""\.(?:GOV|EXT)\.([A-Z0-9\-]+)"")
"),"FES-PE")</f>
        <v>FES-PE</v>
      </c>
      <c r="C945" s="3" t="s">
        <v>34</v>
      </c>
      <c r="D945" s="3" t="s">
        <v>1216</v>
      </c>
      <c r="E945" s="14" t="str">
        <f ca="1">IFERROR(__xludf.DUMMYFUNCTION("REGEXEXTRACT(A945, ""-(.*)"")"),"ARP.0097.00.2024.GOV.FES-PE.PE")</f>
        <v>ARP.0097.00.2024.GOV.FES-PE.PE</v>
      </c>
      <c r="F945" s="6" t="s">
        <v>1415</v>
      </c>
      <c r="G945" s="3"/>
      <c r="H945" s="9">
        <v>45628</v>
      </c>
      <c r="I945" s="3" t="s">
        <v>44</v>
      </c>
      <c r="J945" s="3" t="str">
        <f>VLOOKUP(A945,'TODOS OS PROCESSOS ATUALIZADOS '!A:I,7,0)</f>
        <v>Autorizada Sucesso</v>
      </c>
      <c r="K945" s="3" t="s">
        <v>44</v>
      </c>
      <c r="L945" s="3" t="str">
        <f t="shared" si="3"/>
        <v>Item atualizado</v>
      </c>
      <c r="M945" s="3"/>
      <c r="N945" s="3" t="s">
        <v>605</v>
      </c>
      <c r="O945" s="3"/>
    </row>
    <row r="946" spans="1:15" ht="22.5" customHeight="1" x14ac:dyDescent="0.2">
      <c r="A946" s="3" t="s">
        <v>1729</v>
      </c>
      <c r="B946" s="3" t="str">
        <f ca="1">IFERROR(__xludf.DUMMYFUNCTION("REGEXEXTRACT(A946, ""\.(?:GOV|EXT)\.([A-Z0-9\-]+)"")
"),"FES-PE")</f>
        <v>FES-PE</v>
      </c>
      <c r="C946" s="3" t="s">
        <v>34</v>
      </c>
      <c r="D946" s="3" t="s">
        <v>1216</v>
      </c>
      <c r="E946" s="14" t="str">
        <f ca="1">IFERROR(__xludf.DUMMYFUNCTION("REGEXEXTRACT(A946, ""-(.*)"")"),"ARP.0096.02.2024.GOV.FES-PE.PE")</f>
        <v>ARP.0096.02.2024.GOV.FES-PE.PE</v>
      </c>
      <c r="F946" s="3" t="s">
        <v>1293</v>
      </c>
      <c r="G946" s="3"/>
      <c r="H946" s="9">
        <v>45628</v>
      </c>
      <c r="I946" s="3" t="s">
        <v>37</v>
      </c>
      <c r="J946" s="3" t="str">
        <f>VLOOKUP(A946,'TODOS OS PROCESSOS ATUALIZADOS '!A:I,7,0)</f>
        <v>Cancelada</v>
      </c>
      <c r="K946" s="3" t="s">
        <v>38</v>
      </c>
      <c r="L946" s="3" t="str">
        <f t="shared" si="3"/>
        <v>Item não atualizado</v>
      </c>
      <c r="M946" s="3"/>
      <c r="N946" s="3" t="s">
        <v>605</v>
      </c>
      <c r="O946" s="3"/>
    </row>
    <row r="947" spans="1:15" ht="22.5" customHeight="1" x14ac:dyDescent="0.2">
      <c r="A947" s="3" t="s">
        <v>1730</v>
      </c>
      <c r="B947" s="3" t="str">
        <f ca="1">IFERROR(__xludf.DUMMYFUNCTION("REGEXEXTRACT(A947, ""\.(?:GOV|EXT)\.([A-Z0-9\-]+)"")
"),"FES-PE")</f>
        <v>FES-PE</v>
      </c>
      <c r="C947" s="3" t="s">
        <v>34</v>
      </c>
      <c r="D947" s="3" t="s">
        <v>1216</v>
      </c>
      <c r="E947" s="14" t="str">
        <f ca="1">IFERROR(__xludf.DUMMYFUNCTION("REGEXEXTRACT(A947, ""-(.*)"")"),"ARP.0096.00.2024.GOV.FES-PE.PE")</f>
        <v>ARP.0096.00.2024.GOV.FES-PE.PE</v>
      </c>
      <c r="F947" s="6" t="s">
        <v>1293</v>
      </c>
      <c r="G947" s="3"/>
      <c r="H947" s="9">
        <v>45628</v>
      </c>
      <c r="I947" s="3" t="s">
        <v>44</v>
      </c>
      <c r="J947" s="3" t="str">
        <f>VLOOKUP(A947,'TODOS OS PROCESSOS ATUALIZADOS '!A:I,7,0)</f>
        <v>Autorizada Sucesso</v>
      </c>
      <c r="K947" s="3" t="s">
        <v>44</v>
      </c>
      <c r="L947" s="3" t="str">
        <f t="shared" si="3"/>
        <v>Item atualizado</v>
      </c>
      <c r="M947" s="3"/>
      <c r="N947" s="3" t="s">
        <v>605</v>
      </c>
      <c r="O947" s="3"/>
    </row>
    <row r="948" spans="1:15" ht="22.5" customHeight="1" x14ac:dyDescent="0.2">
      <c r="A948" s="3" t="s">
        <v>1731</v>
      </c>
      <c r="B948" s="3" t="str">
        <f ca="1">IFERROR(__xludf.DUMMYFUNCTION("REGEXEXTRACT(A948, ""\.(?:GOV|EXT)\.([A-Z0-9\-]+)"")
"),"FES-PE")</f>
        <v>FES-PE</v>
      </c>
      <c r="C948" s="3" t="s">
        <v>34</v>
      </c>
      <c r="D948" s="3" t="s">
        <v>1216</v>
      </c>
      <c r="E948" s="14" t="str">
        <f ca="1">IFERROR(__xludf.DUMMYFUNCTION("REGEXEXTRACT(A948, ""-(.*)"")"),"ARP.0078.01.2024.GOV.FES-PE.PE")</f>
        <v>ARP.0078.01.2024.GOV.FES-PE.PE</v>
      </c>
      <c r="F948" s="3" t="s">
        <v>1732</v>
      </c>
      <c r="G948" s="3"/>
      <c r="H948" s="9">
        <v>45625</v>
      </c>
      <c r="I948" s="3" t="s">
        <v>37</v>
      </c>
      <c r="J948" s="3" t="str">
        <f>VLOOKUP(A948,'TODOS OS PROCESSOS ATUALIZADOS '!A:I,7,0)</f>
        <v>Cancelada por fim vigencia ATA</v>
      </c>
      <c r="K948" s="3" t="s">
        <v>38</v>
      </c>
      <c r="L948" s="3" t="str">
        <f t="shared" si="3"/>
        <v>Item atualizado</v>
      </c>
      <c r="M948" s="3"/>
      <c r="N948" s="3" t="s">
        <v>605</v>
      </c>
      <c r="O948" s="3"/>
    </row>
    <row r="949" spans="1:15" ht="22.5" customHeight="1" x14ac:dyDescent="0.2">
      <c r="A949" s="3" t="s">
        <v>1733</v>
      </c>
      <c r="B949" s="3" t="str">
        <f ca="1">IFERROR(__xludf.DUMMYFUNCTION("REGEXEXTRACT(A949, ""\.(?:GOV|EXT)\.([A-Z0-9\-]+)"")
"),"FES-PE")</f>
        <v>FES-PE</v>
      </c>
      <c r="C949" s="3" t="s">
        <v>34</v>
      </c>
      <c r="D949" s="3" t="s">
        <v>1216</v>
      </c>
      <c r="E949" s="14" t="str">
        <f ca="1">IFERROR(__xludf.DUMMYFUNCTION("REGEXEXTRACT(A949, ""-(.*)"")"),"ARP.0048.01.2024.GOV.FES-PE.PE")</f>
        <v>ARP.0048.01.2024.GOV.FES-PE.PE</v>
      </c>
      <c r="F949" s="6" t="s">
        <v>1734</v>
      </c>
      <c r="G949" s="3"/>
      <c r="H949" s="9">
        <v>45623</v>
      </c>
      <c r="I949" s="3" t="s">
        <v>44</v>
      </c>
      <c r="J949" s="3" t="str">
        <f>VLOOKUP(A949,'TODOS OS PROCESSOS ATUALIZADOS '!A:I,7,0)</f>
        <v>Autorizada Sucesso</v>
      </c>
      <c r="K949" s="3" t="s">
        <v>44</v>
      </c>
      <c r="L949" s="3" t="str">
        <f t="shared" si="3"/>
        <v>Item atualizado</v>
      </c>
      <c r="M949" s="3"/>
      <c r="N949" s="3" t="s">
        <v>605</v>
      </c>
      <c r="O949" s="3"/>
    </row>
    <row r="950" spans="1:15" ht="22.5" customHeight="1" x14ac:dyDescent="0.2">
      <c r="A950" s="3" t="s">
        <v>1735</v>
      </c>
      <c r="B950" s="3" t="str">
        <f ca="1">IFERROR(__xludf.DUMMYFUNCTION("REGEXEXTRACT(A950, ""\.(?:GOV|EXT)\.([A-Z0-9\-]+)"")
"),"FES-PE")</f>
        <v>FES-PE</v>
      </c>
      <c r="C950" s="3" t="s">
        <v>34</v>
      </c>
      <c r="D950" s="3" t="s">
        <v>1216</v>
      </c>
      <c r="E950" s="14" t="str">
        <f ca="1">IFERROR(__xludf.DUMMYFUNCTION("REGEXEXTRACT(A950, ""-(.*)"")"),"ARP.0048.01.2024.GOV.FES-PE.PE")</f>
        <v>ARP.0048.01.2024.GOV.FES-PE.PE</v>
      </c>
      <c r="F950" s="6" t="s">
        <v>1734</v>
      </c>
      <c r="G950" s="3"/>
      <c r="H950" s="9">
        <v>45623</v>
      </c>
      <c r="I950" s="3" t="s">
        <v>44</v>
      </c>
      <c r="J950" s="3" t="str">
        <f>VLOOKUP(A950,'TODOS OS PROCESSOS ATUALIZADOS '!A:I,7,0)</f>
        <v>Autorizada Sucesso</v>
      </c>
      <c r="K950" s="3" t="s">
        <v>44</v>
      </c>
      <c r="L950" s="3" t="str">
        <f t="shared" si="3"/>
        <v>Item atualizado</v>
      </c>
      <c r="M950" s="3"/>
      <c r="N950" s="3" t="s">
        <v>605</v>
      </c>
      <c r="O950" s="3"/>
    </row>
    <row r="951" spans="1:15" ht="22.5" customHeight="1" x14ac:dyDescent="0.2">
      <c r="A951" s="3" t="s">
        <v>1736</v>
      </c>
      <c r="B951" s="3" t="str">
        <f ca="1">IFERROR(__xludf.DUMMYFUNCTION("REGEXEXTRACT(A951, ""\.(?:GOV|EXT)\.([A-Z0-9\-]+)"")
"),"FES-PE")</f>
        <v>FES-PE</v>
      </c>
      <c r="C951" s="3" t="s">
        <v>34</v>
      </c>
      <c r="D951" s="3" t="s">
        <v>1216</v>
      </c>
      <c r="E951" s="14" t="str">
        <f ca="1">IFERROR(__xludf.DUMMYFUNCTION("REGEXEXTRACT(A951, ""-(.*)"")"),"ARP.0094.00.2024.GOV.FES-PE.PE")</f>
        <v>ARP.0094.00.2024.GOV.FES-PE.PE</v>
      </c>
      <c r="F951" s="3" t="s">
        <v>1390</v>
      </c>
      <c r="G951" s="3"/>
      <c r="H951" s="9">
        <v>45622</v>
      </c>
      <c r="I951" s="3" t="s">
        <v>37</v>
      </c>
      <c r="J951" s="3" t="str">
        <f>VLOOKUP(A951,'TODOS OS PROCESSOS ATUALIZADOS '!A:I,7,0)</f>
        <v>Cancelada</v>
      </c>
      <c r="K951" s="3" t="s">
        <v>38</v>
      </c>
      <c r="L951" s="3" t="str">
        <f t="shared" si="3"/>
        <v>Item não atualizado</v>
      </c>
      <c r="M951" s="3"/>
      <c r="N951" s="3" t="s">
        <v>605</v>
      </c>
      <c r="O951" s="3"/>
    </row>
    <row r="952" spans="1:15" ht="22.5" customHeight="1" x14ac:dyDescent="0.2">
      <c r="A952" s="3" t="s">
        <v>1737</v>
      </c>
      <c r="B952" s="3" t="str">
        <f ca="1">IFERROR(__xludf.DUMMYFUNCTION("REGEXEXTRACT(A952, ""\.(?:GOV|EXT)\.([A-Z0-9\-]+)"")
"),"FES-PE")</f>
        <v>FES-PE</v>
      </c>
      <c r="C952" s="3" t="s">
        <v>34</v>
      </c>
      <c r="D952" s="3" t="s">
        <v>1216</v>
      </c>
      <c r="E952" s="14" t="str">
        <f ca="1">IFERROR(__xludf.DUMMYFUNCTION("REGEXEXTRACT(A952, ""-(.*)"")"),"ARP.0094.03.2024.GOV.FES-PE.PE")</f>
        <v>ARP.0094.03.2024.GOV.FES-PE.PE</v>
      </c>
      <c r="F952" s="6" t="s">
        <v>1390</v>
      </c>
      <c r="G952" s="3"/>
      <c r="H952" s="9">
        <v>45622</v>
      </c>
      <c r="I952" s="3" t="s">
        <v>44</v>
      </c>
      <c r="J952" s="3" t="str">
        <f>VLOOKUP(A952,'TODOS OS PROCESSOS ATUALIZADOS '!A:I,7,0)</f>
        <v>Autorizada Sucesso</v>
      </c>
      <c r="K952" s="3" t="s">
        <v>44</v>
      </c>
      <c r="L952" s="3" t="str">
        <f t="shared" si="3"/>
        <v>Item atualizado</v>
      </c>
      <c r="M952" s="3"/>
      <c r="N952" s="3" t="s">
        <v>605</v>
      </c>
      <c r="O952" s="3"/>
    </row>
    <row r="953" spans="1:15" ht="22.5" customHeight="1" x14ac:dyDescent="0.2">
      <c r="A953" s="3" t="s">
        <v>1738</v>
      </c>
      <c r="B953" s="3" t="str">
        <f ca="1">IFERROR(__xludf.DUMMYFUNCTION("REGEXEXTRACT(A953, ""\.(?:GOV|EXT)\.([A-Z0-9\-]+)"")
"),"FES-PE")</f>
        <v>FES-PE</v>
      </c>
      <c r="C953" s="3" t="s">
        <v>34</v>
      </c>
      <c r="D953" s="3" t="s">
        <v>1216</v>
      </c>
      <c r="E953" s="14" t="str">
        <f ca="1">IFERROR(__xludf.DUMMYFUNCTION("REGEXEXTRACT(A953, ""-(.*)"")"),"ARP.0094.03.2024.GOV.FES-PE.PE")</f>
        <v>ARP.0094.03.2024.GOV.FES-PE.PE</v>
      </c>
      <c r="F953" s="6" t="s">
        <v>1390</v>
      </c>
      <c r="G953" s="3"/>
      <c r="H953" s="9">
        <v>45622</v>
      </c>
      <c r="I953" s="3" t="s">
        <v>44</v>
      </c>
      <c r="J953" s="3" t="str">
        <f>VLOOKUP(A953,'TODOS OS PROCESSOS ATUALIZADOS '!A:I,7,0)</f>
        <v>Autorizada Sucesso</v>
      </c>
      <c r="K953" s="3" t="s">
        <v>44</v>
      </c>
      <c r="L953" s="3" t="str">
        <f t="shared" si="3"/>
        <v>Item atualizado</v>
      </c>
      <c r="M953" s="3"/>
      <c r="N953" s="3" t="s">
        <v>605</v>
      </c>
      <c r="O953" s="3"/>
    </row>
    <row r="954" spans="1:15" ht="22.5" customHeight="1" x14ac:dyDescent="0.2">
      <c r="A954" s="3" t="s">
        <v>1739</v>
      </c>
      <c r="B954" s="3" t="str">
        <f ca="1">IFERROR(__xludf.DUMMYFUNCTION("REGEXEXTRACT(A954, ""\.(?:GOV|EXT)\.([A-Z0-9\-]+)"")
"),"FES-PE")</f>
        <v>FES-PE</v>
      </c>
      <c r="C954" s="3" t="s">
        <v>34</v>
      </c>
      <c r="D954" s="3" t="s">
        <v>1216</v>
      </c>
      <c r="E954" s="14" t="str">
        <f ca="1">IFERROR(__xludf.DUMMYFUNCTION("REGEXEXTRACT(A954, ""-(.*)"")"),"ARP.0094.02.2024.GOV.FES-PE.PE")</f>
        <v>ARP.0094.02.2024.GOV.FES-PE.PE</v>
      </c>
      <c r="F954" s="6" t="s">
        <v>1390</v>
      </c>
      <c r="G954" s="3"/>
      <c r="H954" s="9">
        <v>45622</v>
      </c>
      <c r="I954" s="3" t="s">
        <v>44</v>
      </c>
      <c r="J954" s="3" t="str">
        <f>VLOOKUP(A954,'TODOS OS PROCESSOS ATUALIZADOS '!A:I,7,0)</f>
        <v>Autorizada Sucesso</v>
      </c>
      <c r="K954" s="3" t="s">
        <v>44</v>
      </c>
      <c r="L954" s="3" t="str">
        <f t="shared" si="3"/>
        <v>Item atualizado</v>
      </c>
      <c r="M954" s="3"/>
      <c r="N954" s="3" t="s">
        <v>605</v>
      </c>
      <c r="O954" s="3"/>
    </row>
    <row r="955" spans="1:15" ht="22.5" customHeight="1" x14ac:dyDescent="0.2">
      <c r="A955" s="3" t="s">
        <v>1740</v>
      </c>
      <c r="B955" s="3" t="str">
        <f ca="1">IFERROR(__xludf.DUMMYFUNCTION("REGEXEXTRACT(A955, ""\.(?:GOV|EXT)\.([A-Z0-9\-]+)"")
"),"FES-PE")</f>
        <v>FES-PE</v>
      </c>
      <c r="C955" s="3" t="s">
        <v>34</v>
      </c>
      <c r="D955" s="3" t="s">
        <v>1216</v>
      </c>
      <c r="E955" s="14" t="str">
        <f ca="1">IFERROR(__xludf.DUMMYFUNCTION("REGEXEXTRACT(A955, ""-(.*)"")"),"ARP.0094.01.2024.GOV.FES-PE.PE")</f>
        <v>ARP.0094.01.2024.GOV.FES-PE.PE</v>
      </c>
      <c r="F955" s="3" t="s">
        <v>1390</v>
      </c>
      <c r="G955" s="3"/>
      <c r="H955" s="9">
        <v>45622</v>
      </c>
      <c r="I955" s="3" t="s">
        <v>37</v>
      </c>
      <c r="J955" s="3" t="str">
        <f>VLOOKUP(A955,'TODOS OS PROCESSOS ATUALIZADOS '!A:I,7,0)</f>
        <v>Cancelada</v>
      </c>
      <c r="K955" s="3" t="s">
        <v>38</v>
      </c>
      <c r="L955" s="3" t="str">
        <f t="shared" si="3"/>
        <v>Item não atualizado</v>
      </c>
      <c r="M955" s="3"/>
      <c r="N955" s="3" t="s">
        <v>605</v>
      </c>
      <c r="O955" s="3"/>
    </row>
    <row r="956" spans="1:15" ht="22.5" customHeight="1" x14ac:dyDescent="0.2">
      <c r="A956" s="3" t="s">
        <v>1741</v>
      </c>
      <c r="B956" s="3" t="str">
        <f ca="1">IFERROR(__xludf.DUMMYFUNCTION("REGEXEXTRACT(A956, ""\.(?:GOV|EXT)\.([A-Z0-9\-]+)"")
"),"FES-PE")</f>
        <v>FES-PE</v>
      </c>
      <c r="C956" s="3" t="s">
        <v>34</v>
      </c>
      <c r="D956" s="3" t="s">
        <v>1216</v>
      </c>
      <c r="E956" s="14" t="str">
        <f ca="1">IFERROR(__xludf.DUMMYFUNCTION("REGEXEXTRACT(A956, ""-(.*)"")"),"ARP.0094.01.2024.GOV.FES-PE.PE")</f>
        <v>ARP.0094.01.2024.GOV.FES-PE.PE</v>
      </c>
      <c r="F956" s="6" t="s">
        <v>1390</v>
      </c>
      <c r="G956" s="3"/>
      <c r="H956" s="9">
        <v>45622</v>
      </c>
      <c r="I956" s="3" t="s">
        <v>44</v>
      </c>
      <c r="J956" s="3" t="str">
        <f>VLOOKUP(A956,'TODOS OS PROCESSOS ATUALIZADOS '!A:I,7,0)</f>
        <v>Autorizada Sucesso</v>
      </c>
      <c r="K956" s="3" t="s">
        <v>44</v>
      </c>
      <c r="L956" s="3" t="str">
        <f t="shared" si="3"/>
        <v>Item atualizado</v>
      </c>
      <c r="M956" s="3"/>
      <c r="N956" s="3" t="s">
        <v>605</v>
      </c>
      <c r="O956" s="3"/>
    </row>
    <row r="957" spans="1:15" ht="22.5" customHeight="1" x14ac:dyDescent="0.2">
      <c r="A957" s="3" t="s">
        <v>1742</v>
      </c>
      <c r="B957" s="3" t="str">
        <f ca="1">IFERROR(__xludf.DUMMYFUNCTION("REGEXEXTRACT(A957, ""\.(?:GOV|EXT)\.([A-Z0-9\-]+)"")
"),"CISAM")</f>
        <v>CISAM</v>
      </c>
      <c r="C957" s="3" t="s">
        <v>34</v>
      </c>
      <c r="D957" s="3" t="s">
        <v>1216</v>
      </c>
      <c r="E957" s="14" t="str">
        <f ca="1">IFERROR(__xludf.DUMMYFUNCTION("REGEXEXTRACT(A957, ""-(.*)"")"),"ARP.0065.00.2024.GOV.CISAM.PE")</f>
        <v>ARP.0065.00.2024.GOV.CISAM.PE</v>
      </c>
      <c r="F957" s="3" t="s">
        <v>311</v>
      </c>
      <c r="G957" s="3"/>
      <c r="H957" s="9">
        <v>45621</v>
      </c>
      <c r="I957" s="3" t="s">
        <v>37</v>
      </c>
      <c r="J957" s="3" t="str">
        <f>VLOOKUP(A957,'TODOS OS PROCESSOS ATUALIZADOS '!A:I,7,0)</f>
        <v>Cancelada</v>
      </c>
      <c r="K957" s="3" t="s">
        <v>38</v>
      </c>
      <c r="L957" s="3" t="str">
        <f t="shared" si="3"/>
        <v>Item não atualizado</v>
      </c>
      <c r="M957" s="3"/>
      <c r="N957" s="3" t="s">
        <v>605</v>
      </c>
      <c r="O957" s="3"/>
    </row>
    <row r="958" spans="1:15" ht="22.5" customHeight="1" x14ac:dyDescent="0.2">
      <c r="A958" s="3" t="s">
        <v>1743</v>
      </c>
      <c r="B958" s="3" t="str">
        <f ca="1">IFERROR(__xludf.DUMMYFUNCTION("REGEXEXTRACT(A958, ""\.(?:GOV|EXT)\.([A-Z0-9\-]+)"")
"),"CISAM")</f>
        <v>CISAM</v>
      </c>
      <c r="C958" s="3" t="s">
        <v>34</v>
      </c>
      <c r="D958" s="3" t="s">
        <v>1216</v>
      </c>
      <c r="E958" s="14" t="str">
        <f ca="1">IFERROR(__xludf.DUMMYFUNCTION("REGEXEXTRACT(A958, ""-(.*)"")"),"ARP.0065.05.2024.GOV.CISAM.PE")</f>
        <v>ARP.0065.05.2024.GOV.CISAM.PE</v>
      </c>
      <c r="F958" s="3" t="s">
        <v>311</v>
      </c>
      <c r="G958" s="3"/>
      <c r="H958" s="9">
        <v>45621</v>
      </c>
      <c r="I958" s="3" t="s">
        <v>37</v>
      </c>
      <c r="J958" s="3" t="str">
        <f>VLOOKUP(A958,'TODOS OS PROCESSOS ATUALIZADOS '!A:I,7,0)</f>
        <v>Cancelada</v>
      </c>
      <c r="K958" s="3" t="s">
        <v>38</v>
      </c>
      <c r="L958" s="3" t="str">
        <f t="shared" si="3"/>
        <v>Item não atualizado</v>
      </c>
      <c r="M958" s="3"/>
      <c r="N958" s="3" t="s">
        <v>605</v>
      </c>
      <c r="O958" s="3"/>
    </row>
    <row r="959" spans="1:15" ht="22.5" customHeight="1" x14ac:dyDescent="0.2">
      <c r="A959" s="3" t="s">
        <v>1744</v>
      </c>
      <c r="B959" s="3" t="str">
        <f ca="1">IFERROR(__xludf.DUMMYFUNCTION("REGEXEXTRACT(A959, ""\.(?:GOV|EXT)\.([A-Z0-9\-]+)"")
"),"CISAM")</f>
        <v>CISAM</v>
      </c>
      <c r="C959" s="3" t="s">
        <v>34</v>
      </c>
      <c r="D959" s="3" t="s">
        <v>1216</v>
      </c>
      <c r="E959" s="14" t="str">
        <f ca="1">IFERROR(__xludf.DUMMYFUNCTION("REGEXEXTRACT(A959, ""-(.*)"")"),"ARP.0049.00.2024.GOV.CISAM.PE")</f>
        <v>ARP.0049.00.2024.GOV.CISAM.PE</v>
      </c>
      <c r="F959" s="3" t="s">
        <v>1745</v>
      </c>
      <c r="G959" s="3"/>
      <c r="H959" s="9">
        <v>45621</v>
      </c>
      <c r="I959" s="3" t="s">
        <v>37</v>
      </c>
      <c r="J959" s="3" t="str">
        <f>VLOOKUP(A959,'TODOS OS PROCESSOS ATUALIZADOS '!A:I,7,0)</f>
        <v>Cancelada</v>
      </c>
      <c r="K959" s="3" t="s">
        <v>38</v>
      </c>
      <c r="L959" s="3" t="str">
        <f t="shared" si="3"/>
        <v>Item não atualizado</v>
      </c>
      <c r="M959" s="3"/>
      <c r="N959" s="3" t="s">
        <v>605</v>
      </c>
      <c r="O959" s="3"/>
    </row>
    <row r="960" spans="1:15" ht="22.5" customHeight="1" x14ac:dyDescent="0.2">
      <c r="A960" s="3" t="s">
        <v>1746</v>
      </c>
      <c r="B960" s="3" t="str">
        <f ca="1">IFERROR(__xludf.DUMMYFUNCTION("REGEXEXTRACT(A960, ""\.(?:GOV|EXT)\.([A-Z0-9\-]+)"")
"),"FES-PE")</f>
        <v>FES-PE</v>
      </c>
      <c r="C960" s="3" t="s">
        <v>34</v>
      </c>
      <c r="D960" s="3" t="s">
        <v>1216</v>
      </c>
      <c r="E960" s="14" t="str">
        <f ca="1">IFERROR(__xludf.DUMMYFUNCTION("REGEXEXTRACT(A960, ""-(.*)"")"),"ARP.0092.02.2024.GOV.FES-PE.PE")</f>
        <v>ARP.0092.02.2024.GOV.FES-PE.PE</v>
      </c>
      <c r="F960" s="6" t="s">
        <v>1376</v>
      </c>
      <c r="G960" s="3"/>
      <c r="H960" s="9">
        <v>45618</v>
      </c>
      <c r="I960" s="3" t="s">
        <v>44</v>
      </c>
      <c r="J960" s="3" t="str">
        <f>VLOOKUP(A960,'TODOS OS PROCESSOS ATUALIZADOS '!A:I,7,0)</f>
        <v>Autorizada Sucesso</v>
      </c>
      <c r="K960" s="3" t="s">
        <v>44</v>
      </c>
      <c r="L960" s="3" t="str">
        <f t="shared" si="3"/>
        <v>Item atualizado</v>
      </c>
      <c r="M960" s="3"/>
      <c r="N960" s="3" t="s">
        <v>605</v>
      </c>
      <c r="O960" s="3"/>
    </row>
    <row r="961" spans="1:15" ht="22.5" customHeight="1" x14ac:dyDescent="0.2">
      <c r="A961" s="3" t="s">
        <v>1747</v>
      </c>
      <c r="B961" s="3" t="str">
        <f ca="1">IFERROR(__xludf.DUMMYFUNCTION("REGEXEXTRACT(A961, ""\.(?:GOV|EXT)\.([A-Z0-9\-]+)"")
"),"FES-PE")</f>
        <v>FES-PE</v>
      </c>
      <c r="C961" s="3" t="s">
        <v>34</v>
      </c>
      <c r="D961" s="3" t="s">
        <v>1216</v>
      </c>
      <c r="E961" s="14" t="str">
        <f ca="1">IFERROR(__xludf.DUMMYFUNCTION("REGEXEXTRACT(A961, ""-(.*)"")"),"ARP.0092.03.2024.GOV.FES-PE.PE")</f>
        <v>ARP.0092.03.2024.GOV.FES-PE.PE</v>
      </c>
      <c r="F961" s="6" t="s">
        <v>1376</v>
      </c>
      <c r="G961" s="3"/>
      <c r="H961" s="9">
        <v>45618</v>
      </c>
      <c r="I961" s="3" t="s">
        <v>44</v>
      </c>
      <c r="J961" s="3" t="str">
        <f>VLOOKUP(A961,'TODOS OS PROCESSOS ATUALIZADOS '!A:I,7,0)</f>
        <v>Autorizada Sucesso</v>
      </c>
      <c r="K961" s="3" t="s">
        <v>44</v>
      </c>
      <c r="L961" s="3" t="str">
        <f t="shared" si="3"/>
        <v>Item atualizado</v>
      </c>
      <c r="M961" s="3"/>
      <c r="N961" s="3" t="s">
        <v>605</v>
      </c>
      <c r="O961" s="3"/>
    </row>
    <row r="962" spans="1:15" ht="22.5" customHeight="1" x14ac:dyDescent="0.2">
      <c r="A962" s="3" t="s">
        <v>1748</v>
      </c>
      <c r="B962" s="3" t="str">
        <f ca="1">IFERROR(__xludf.DUMMYFUNCTION("REGEXEXTRACT(A962, ""\.(?:GOV|EXT)\.([A-Z0-9\-]+)"")
"),"FES-PE")</f>
        <v>FES-PE</v>
      </c>
      <c r="C962" s="3" t="s">
        <v>34</v>
      </c>
      <c r="D962" s="3" t="s">
        <v>1216</v>
      </c>
      <c r="E962" s="14" t="str">
        <f ca="1">IFERROR(__xludf.DUMMYFUNCTION("REGEXEXTRACT(A962, ""-(.*)"")"),"ARP.0092.04.2024.GOV.FES-PE.PE")</f>
        <v>ARP.0092.04.2024.GOV.FES-PE.PE</v>
      </c>
      <c r="F962" s="3" t="s">
        <v>1376</v>
      </c>
      <c r="G962" s="3" t="s">
        <v>3</v>
      </c>
      <c r="H962" s="9">
        <v>45618</v>
      </c>
      <c r="I962" s="3" t="s">
        <v>37</v>
      </c>
      <c r="J962" s="3" t="str">
        <f>VLOOKUP(A962,'TODOS OS PROCESSOS ATUALIZADOS '!A:I,7,0)</f>
        <v>Cancelada</v>
      </c>
      <c r="K962" s="3" t="s">
        <v>38</v>
      </c>
      <c r="L962" s="3" t="str">
        <f t="shared" si="3"/>
        <v>Item não atualizado</v>
      </c>
      <c r="M962" s="3"/>
      <c r="N962" s="3" t="s">
        <v>605</v>
      </c>
      <c r="O962" s="3"/>
    </row>
    <row r="963" spans="1:15" ht="22.5" customHeight="1" x14ac:dyDescent="0.2">
      <c r="A963" s="3" t="s">
        <v>1749</v>
      </c>
      <c r="B963" s="3" t="str">
        <f ca="1">IFERROR(__xludf.DUMMYFUNCTION("REGEXEXTRACT(A963, ""\.(?:GOV|EXT)\.([A-Z0-9\-]+)"")
"),"FES-PE")</f>
        <v>FES-PE</v>
      </c>
      <c r="C963" s="3" t="s">
        <v>34</v>
      </c>
      <c r="D963" s="3" t="s">
        <v>1216</v>
      </c>
      <c r="E963" s="14" t="str">
        <f ca="1">IFERROR(__xludf.DUMMYFUNCTION("REGEXEXTRACT(A963, ""-(.*)"")"),"ARP.0092.04.2024.GOV.FES-PE.PE")</f>
        <v>ARP.0092.04.2024.GOV.FES-PE.PE</v>
      </c>
      <c r="F963" s="6" t="s">
        <v>1376</v>
      </c>
      <c r="G963" s="3"/>
      <c r="H963" s="9">
        <v>45618</v>
      </c>
      <c r="I963" s="3" t="s">
        <v>44</v>
      </c>
      <c r="J963" s="3" t="str">
        <f>VLOOKUP(A963,'TODOS OS PROCESSOS ATUALIZADOS '!A:I,7,0)</f>
        <v>Autorizada Sucesso</v>
      </c>
      <c r="K963" s="3" t="s">
        <v>44</v>
      </c>
      <c r="L963" s="3" t="str">
        <f t="shared" si="3"/>
        <v>Item atualizado</v>
      </c>
      <c r="M963" s="3"/>
      <c r="N963" s="3" t="s">
        <v>605</v>
      </c>
      <c r="O963" s="3"/>
    </row>
    <row r="964" spans="1:15" ht="22.5" customHeight="1" x14ac:dyDescent="0.2">
      <c r="A964" s="3" t="s">
        <v>1750</v>
      </c>
      <c r="B964" s="3" t="str">
        <f ca="1">IFERROR(__xludf.DUMMYFUNCTION("REGEXEXTRACT(A964, ""\.(?:GOV|EXT)\.([A-Z0-9\-]+)"")
"),"FES-PE")</f>
        <v>FES-PE</v>
      </c>
      <c r="C964" s="3" t="s">
        <v>34</v>
      </c>
      <c r="D964" s="3" t="s">
        <v>1216</v>
      </c>
      <c r="E964" s="14" t="str">
        <f ca="1">IFERROR(__xludf.DUMMYFUNCTION("REGEXEXTRACT(A964, ""-(.*)"")"),"ARP.0092.03.2024.GOV.FES-PE.PE")</f>
        <v>ARP.0092.03.2024.GOV.FES-PE.PE</v>
      </c>
      <c r="F964" s="6" t="s">
        <v>1376</v>
      </c>
      <c r="G964" s="3"/>
      <c r="H964" s="9">
        <v>45618</v>
      </c>
      <c r="I964" s="3" t="s">
        <v>44</v>
      </c>
      <c r="J964" s="3" t="str">
        <f>VLOOKUP(A964,'TODOS OS PROCESSOS ATUALIZADOS '!A:I,7,0)</f>
        <v>Autorizada Sucesso</v>
      </c>
      <c r="K964" s="3" t="s">
        <v>44</v>
      </c>
      <c r="L964" s="3" t="str">
        <f t="shared" si="3"/>
        <v>Item atualizado</v>
      </c>
      <c r="M964" s="3"/>
      <c r="N964" s="3" t="s">
        <v>605</v>
      </c>
      <c r="O964" s="3"/>
    </row>
    <row r="965" spans="1:15" ht="22.5" customHeight="1" x14ac:dyDescent="0.2">
      <c r="A965" s="3" t="s">
        <v>1751</v>
      </c>
      <c r="B965" s="3" t="str">
        <f ca="1">IFERROR(__xludf.DUMMYFUNCTION("REGEXEXTRACT(A965, ""\.(?:GOV|EXT)\.([A-Z0-9\-]+)"")
"),"FES-PE")</f>
        <v>FES-PE</v>
      </c>
      <c r="C965" s="3" t="s">
        <v>34</v>
      </c>
      <c r="D965" s="3" t="s">
        <v>1216</v>
      </c>
      <c r="E965" s="14" t="str">
        <f ca="1">IFERROR(__xludf.DUMMYFUNCTION("REGEXEXTRACT(A965, ""-(.*)"")"),"ARP.0063.00.2024.GOV.FES-PE.PE")</f>
        <v>ARP.0063.00.2024.GOV.FES-PE.PE</v>
      </c>
      <c r="F965" s="6" t="s">
        <v>1386</v>
      </c>
      <c r="G965" s="3"/>
      <c r="H965" s="9">
        <v>45618</v>
      </c>
      <c r="I965" s="3" t="s">
        <v>44</v>
      </c>
      <c r="J965" s="3" t="str">
        <f>VLOOKUP(A965,'TODOS OS PROCESSOS ATUALIZADOS '!A:I,7,0)</f>
        <v>Autorizada Sucesso</v>
      </c>
      <c r="K965" s="3" t="s">
        <v>44</v>
      </c>
      <c r="L965" s="3" t="str">
        <f t="shared" si="3"/>
        <v>Item atualizado</v>
      </c>
      <c r="M965" s="3"/>
      <c r="N965" s="3" t="s">
        <v>605</v>
      </c>
      <c r="O965" s="3"/>
    </row>
    <row r="966" spans="1:15" ht="22.5" customHeight="1" x14ac:dyDescent="0.2">
      <c r="A966" s="3" t="s">
        <v>1752</v>
      </c>
      <c r="B966" s="3" t="str">
        <f ca="1">IFERROR(__xludf.DUMMYFUNCTION("REGEXEXTRACT(A966, ""\.(?:GOV|EXT)\.([A-Z0-9\-]+)"")
"),"FES-PE")</f>
        <v>FES-PE</v>
      </c>
      <c r="C966" s="3" t="s">
        <v>34</v>
      </c>
      <c r="D966" s="3" t="s">
        <v>1216</v>
      </c>
      <c r="E966" s="14" t="str">
        <f ca="1">IFERROR(__xludf.DUMMYFUNCTION("REGEXEXTRACT(A966, ""-(.*)"")"),"ARP.0063.00.2024.GOV.FES-PE.PE")</f>
        <v>ARP.0063.00.2024.GOV.FES-PE.PE</v>
      </c>
      <c r="F966" s="3" t="s">
        <v>1386</v>
      </c>
      <c r="G966" s="3"/>
      <c r="H966" s="9">
        <v>45618</v>
      </c>
      <c r="I966" s="3" t="s">
        <v>37</v>
      </c>
      <c r="J966" s="3" t="str">
        <f>VLOOKUP(A966,'TODOS OS PROCESSOS ATUALIZADOS '!A:I,7,0)</f>
        <v>Cancelada Integrado</v>
      </c>
      <c r="K966" s="3" t="s">
        <v>38</v>
      </c>
      <c r="L966" s="3" t="str">
        <f t="shared" si="3"/>
        <v>Item atualizado</v>
      </c>
      <c r="M966" s="3"/>
      <c r="N966" s="3" t="s">
        <v>605</v>
      </c>
      <c r="O966" s="3"/>
    </row>
    <row r="967" spans="1:15" ht="22.5" customHeight="1" x14ac:dyDescent="0.2">
      <c r="A967" s="3" t="s">
        <v>1753</v>
      </c>
      <c r="B967" s="3" t="str">
        <f ca="1">IFERROR(__xludf.DUMMYFUNCTION("REGEXEXTRACT(A967, ""\.(?:GOV|EXT)\.([A-Z0-9\-]+)"")
"),"FES-PE")</f>
        <v>FES-PE</v>
      </c>
      <c r="C967" s="3" t="s">
        <v>34</v>
      </c>
      <c r="D967" s="3" t="s">
        <v>1216</v>
      </c>
      <c r="E967" s="14" t="str">
        <f ca="1">IFERROR(__xludf.DUMMYFUNCTION("REGEXEXTRACT(A967, ""-(.*)"")"),"ARP.0063.00.2024.GOV.FES-PE.PE")</f>
        <v>ARP.0063.00.2024.GOV.FES-PE.PE</v>
      </c>
      <c r="F967" s="3" t="s">
        <v>1386</v>
      </c>
      <c r="G967" s="3"/>
      <c r="H967" s="9">
        <v>45618</v>
      </c>
      <c r="I967" s="3" t="s">
        <v>37</v>
      </c>
      <c r="J967" s="3" t="str">
        <f>VLOOKUP(A967,'TODOS OS PROCESSOS ATUALIZADOS '!A:I,7,0)</f>
        <v>Cancelada</v>
      </c>
      <c r="K967" s="3" t="s">
        <v>38</v>
      </c>
      <c r="L967" s="3" t="str">
        <f t="shared" si="3"/>
        <v>Item não atualizado</v>
      </c>
      <c r="M967" s="3"/>
      <c r="N967" s="3" t="s">
        <v>605</v>
      </c>
      <c r="O967" s="3"/>
    </row>
    <row r="968" spans="1:15" ht="22.5" customHeight="1" x14ac:dyDescent="0.2">
      <c r="A968" s="3" t="s">
        <v>1754</v>
      </c>
      <c r="B968" s="3" t="str">
        <f ca="1">IFERROR(__xludf.DUMMYFUNCTION("REGEXEXTRACT(A968, ""\.(?:GOV|EXT)\.([A-Z0-9\-]+)"")
"),"FES-PE")</f>
        <v>FES-PE</v>
      </c>
      <c r="C968" s="3" t="s">
        <v>34</v>
      </c>
      <c r="D968" s="3" t="s">
        <v>1216</v>
      </c>
      <c r="E968" s="14" t="str">
        <f ca="1">IFERROR(__xludf.DUMMYFUNCTION("REGEXEXTRACT(A968, ""-(.*)"")"),"ARP.0063.04.2024.GOV.FES-PE.PE")</f>
        <v>ARP.0063.04.2024.GOV.FES-PE.PE</v>
      </c>
      <c r="F968" s="3" t="s">
        <v>1386</v>
      </c>
      <c r="G968" s="3"/>
      <c r="H968" s="9">
        <v>45618</v>
      </c>
      <c r="I968" s="3" t="s">
        <v>37</v>
      </c>
      <c r="J968" s="3" t="str">
        <f>VLOOKUP(A968,'TODOS OS PROCESSOS ATUALIZADOS '!A:I,7,0)</f>
        <v>Cancelada</v>
      </c>
      <c r="K968" s="3" t="s">
        <v>38</v>
      </c>
      <c r="L968" s="3" t="str">
        <f t="shared" si="3"/>
        <v>Item não atualizado</v>
      </c>
      <c r="M968" s="3"/>
      <c r="N968" s="3" t="s">
        <v>605</v>
      </c>
      <c r="O968" s="3"/>
    </row>
    <row r="969" spans="1:15" ht="22.5" customHeight="1" x14ac:dyDescent="0.2">
      <c r="A969" s="3" t="s">
        <v>1755</v>
      </c>
      <c r="B969" s="3" t="str">
        <f ca="1">IFERROR(__xludf.DUMMYFUNCTION("REGEXEXTRACT(A969, ""\.(?:GOV|EXT)\.([A-Z0-9\-]+)"")
"),"FES-PE")</f>
        <v>FES-PE</v>
      </c>
      <c r="C969" s="3" t="s">
        <v>34</v>
      </c>
      <c r="D969" s="3" t="s">
        <v>1216</v>
      </c>
      <c r="E969" s="14" t="str">
        <f ca="1">IFERROR(__xludf.DUMMYFUNCTION("REGEXEXTRACT(A969, ""-(.*)"")"),"ARP.0025.06.2024.GOV.FES-PE.PE")</f>
        <v>ARP.0025.06.2024.GOV.FES-PE.PE</v>
      </c>
      <c r="F969" s="6" t="s">
        <v>739</v>
      </c>
      <c r="G969" s="3"/>
      <c r="H969" s="9">
        <v>45618</v>
      </c>
      <c r="I969" s="3" t="s">
        <v>44</v>
      </c>
      <c r="J969" s="3" t="str">
        <f>VLOOKUP(A969,'TODOS OS PROCESSOS ATUALIZADOS '!A:I,7,0)</f>
        <v>Autorizada Sucesso</v>
      </c>
      <c r="K969" s="3" t="s">
        <v>44</v>
      </c>
      <c r="L969" s="3" t="str">
        <f t="shared" si="3"/>
        <v>Item atualizado</v>
      </c>
      <c r="M969" s="3"/>
      <c r="N969" s="3" t="s">
        <v>605</v>
      </c>
      <c r="O969" s="3"/>
    </row>
    <row r="970" spans="1:15" ht="22.5" customHeight="1" x14ac:dyDescent="0.2">
      <c r="A970" s="3" t="s">
        <v>1756</v>
      </c>
      <c r="B970" s="3" t="str">
        <f ca="1">IFERROR(__xludf.DUMMYFUNCTION("REGEXEXTRACT(A970, ""\.(?:GOV|EXT)\.([A-Z0-9\-]+)"")
"),"FES-PE")</f>
        <v>FES-PE</v>
      </c>
      <c r="C970" s="3" t="s">
        <v>34</v>
      </c>
      <c r="D970" s="3" t="s">
        <v>1216</v>
      </c>
      <c r="E970" s="14" t="str">
        <f ca="1">IFERROR(__xludf.DUMMYFUNCTION("REGEXEXTRACT(A970, ""-(.*)"")"),"ARP.0025.04.2024.GOV.FES-PE.PE")</f>
        <v>ARP.0025.04.2024.GOV.FES-PE.PE</v>
      </c>
      <c r="F970" s="6" t="s">
        <v>739</v>
      </c>
      <c r="G970" s="3"/>
      <c r="H970" s="9">
        <v>45618</v>
      </c>
      <c r="I970" s="3" t="s">
        <v>44</v>
      </c>
      <c r="J970" s="3" t="str">
        <f>VLOOKUP(A970,'TODOS OS PROCESSOS ATUALIZADOS '!A:I,7,0)</f>
        <v>Autorizada Sucesso</v>
      </c>
      <c r="K970" s="3" t="s">
        <v>44</v>
      </c>
      <c r="L970" s="3" t="str">
        <f t="shared" si="3"/>
        <v>Item atualizado</v>
      </c>
      <c r="M970" s="3"/>
      <c r="N970" s="3" t="s">
        <v>605</v>
      </c>
      <c r="O970" s="3"/>
    </row>
    <row r="971" spans="1:15" ht="22.5" customHeight="1" x14ac:dyDescent="0.2">
      <c r="A971" s="3" t="s">
        <v>1757</v>
      </c>
      <c r="B971" s="3" t="str">
        <f ca="1">IFERROR(__xludf.DUMMYFUNCTION("REGEXEXTRACT(A971, ""\.(?:GOV|EXT)\.([A-Z0-9\-]+)"")
"),"FES-PE")</f>
        <v>FES-PE</v>
      </c>
      <c r="C971" s="3" t="s">
        <v>34</v>
      </c>
      <c r="D971" s="3" t="s">
        <v>1216</v>
      </c>
      <c r="E971" s="14" t="str">
        <f ca="1">IFERROR(__xludf.DUMMYFUNCTION("REGEXEXTRACT(A971, ""-(.*)"")"),"ARP.0025.03.2024.GOV.FES-PE.PE")</f>
        <v>ARP.0025.03.2024.GOV.FES-PE.PE</v>
      </c>
      <c r="F971" s="6" t="s">
        <v>739</v>
      </c>
      <c r="G971" s="3"/>
      <c r="H971" s="9">
        <v>45618</v>
      </c>
      <c r="I971" s="3" t="s">
        <v>44</v>
      </c>
      <c r="J971" s="3" t="str">
        <f>VLOOKUP(A971,'TODOS OS PROCESSOS ATUALIZADOS '!A:I,7,0)</f>
        <v>Autorizada Sucesso</v>
      </c>
      <c r="K971" s="3" t="s">
        <v>44</v>
      </c>
      <c r="L971" s="3" t="str">
        <f t="shared" si="3"/>
        <v>Item atualizado</v>
      </c>
      <c r="M971" s="3"/>
      <c r="N971" s="3" t="s">
        <v>605</v>
      </c>
      <c r="O971" s="3"/>
    </row>
    <row r="972" spans="1:15" ht="22.5" customHeight="1" x14ac:dyDescent="0.2">
      <c r="A972" s="3" t="s">
        <v>1758</v>
      </c>
      <c r="B972" s="3" t="str">
        <f ca="1">IFERROR(__xludf.DUMMYFUNCTION("REGEXEXTRACT(A972, ""\.(?:GOV|EXT)\.([A-Z0-9\-]+)"")
"),"FES-PE")</f>
        <v>FES-PE</v>
      </c>
      <c r="C972" s="3" t="s">
        <v>34</v>
      </c>
      <c r="D972" s="3" t="s">
        <v>1216</v>
      </c>
      <c r="E972" s="14" t="str">
        <f ca="1">IFERROR(__xludf.DUMMYFUNCTION("REGEXEXTRACT(A972, ""-(.*)"")"),"ARP.0025.01.2024.GOV.FES-PE.PE")</f>
        <v>ARP.0025.01.2024.GOV.FES-PE.PE</v>
      </c>
      <c r="F972" s="6" t="s">
        <v>739</v>
      </c>
      <c r="G972" s="3"/>
      <c r="H972" s="9">
        <v>45618</v>
      </c>
      <c r="I972" s="3" t="s">
        <v>44</v>
      </c>
      <c r="J972" s="3" t="str">
        <f>VLOOKUP(A972,'TODOS OS PROCESSOS ATUALIZADOS '!A:I,7,0)</f>
        <v>Autorizada Sucesso</v>
      </c>
      <c r="K972" s="3" t="s">
        <v>44</v>
      </c>
      <c r="L972" s="3" t="str">
        <f t="shared" si="3"/>
        <v>Item atualizado</v>
      </c>
      <c r="M972" s="3"/>
      <c r="N972" s="3" t="s">
        <v>605</v>
      </c>
      <c r="O972" s="3"/>
    </row>
    <row r="973" spans="1:15" ht="22.5" customHeight="1" x14ac:dyDescent="0.2">
      <c r="A973" s="3" t="s">
        <v>1759</v>
      </c>
      <c r="B973" s="3" t="str">
        <f ca="1">IFERROR(__xludf.DUMMYFUNCTION("REGEXEXTRACT(A973, ""\.(?:GOV|EXT)\.([A-Z0-9\-]+)"")
"),"FES-PE")</f>
        <v>FES-PE</v>
      </c>
      <c r="C973" s="3" t="s">
        <v>34</v>
      </c>
      <c r="D973" s="3" t="s">
        <v>1216</v>
      </c>
      <c r="E973" s="14" t="str">
        <f ca="1">IFERROR(__xludf.DUMMYFUNCTION("REGEXEXTRACT(A973, ""-(.*)"")"),"ARP.0018.01.2024.GOV.FES-PE.PE")</f>
        <v>ARP.0018.01.2024.GOV.FES-PE.PE</v>
      </c>
      <c r="F973" s="6" t="s">
        <v>737</v>
      </c>
      <c r="G973" s="3"/>
      <c r="H973" s="9">
        <v>45618</v>
      </c>
      <c r="I973" s="3" t="s">
        <v>44</v>
      </c>
      <c r="J973" s="3" t="str">
        <f>VLOOKUP(A973,'TODOS OS PROCESSOS ATUALIZADOS '!A:I,7,0)</f>
        <v>Autorizada Sucesso</v>
      </c>
      <c r="K973" s="3" t="s">
        <v>44</v>
      </c>
      <c r="L973" s="3" t="str">
        <f t="shared" si="3"/>
        <v>Item atualizado</v>
      </c>
      <c r="M973" s="3"/>
      <c r="N973" s="3" t="s">
        <v>605</v>
      </c>
      <c r="O973" s="3"/>
    </row>
    <row r="974" spans="1:15" ht="22.5" customHeight="1" x14ac:dyDescent="0.2">
      <c r="A974" s="3" t="s">
        <v>1760</v>
      </c>
      <c r="B974" s="3" t="str">
        <f ca="1">IFERROR(__xludf.DUMMYFUNCTION("REGEXEXTRACT(A974, ""\.(?:GOV|EXT)\.([A-Z0-9\-]+)"")
"),"FES-PE")</f>
        <v>FES-PE</v>
      </c>
      <c r="C974" s="3" t="s">
        <v>34</v>
      </c>
      <c r="D974" s="3" t="s">
        <v>1216</v>
      </c>
      <c r="E974" s="14" t="str">
        <f ca="1">IFERROR(__xludf.DUMMYFUNCTION("REGEXEXTRACT(A974, ""-(.*)"")"),"ARP.0018.00.2024.GOV.FES-PE.PE")</f>
        <v>ARP.0018.00.2024.GOV.FES-PE.PE</v>
      </c>
      <c r="F974" s="6" t="s">
        <v>737</v>
      </c>
      <c r="G974" s="3"/>
      <c r="H974" s="9">
        <v>45618</v>
      </c>
      <c r="I974" s="3" t="s">
        <v>44</v>
      </c>
      <c r="J974" s="3" t="str">
        <f>VLOOKUP(A974,'TODOS OS PROCESSOS ATUALIZADOS '!A:I,7,0)</f>
        <v>Autorizada Sucesso</v>
      </c>
      <c r="K974" s="3" t="s">
        <v>44</v>
      </c>
      <c r="L974" s="3" t="str">
        <f t="shared" si="3"/>
        <v>Item atualizado</v>
      </c>
      <c r="M974" s="3"/>
      <c r="N974" s="3" t="s">
        <v>605</v>
      </c>
      <c r="O974" s="3"/>
    </row>
    <row r="975" spans="1:15" ht="22.5" customHeight="1" x14ac:dyDescent="0.2">
      <c r="A975" s="3" t="s">
        <v>1761</v>
      </c>
      <c r="B975" s="3" t="str">
        <f ca="1">IFERROR(__xludf.DUMMYFUNCTION("REGEXEXTRACT(A975, ""\.(?:GOV|EXT)\.([A-Z0-9\-]+)"")
"),"FES-PE")</f>
        <v>FES-PE</v>
      </c>
      <c r="C975" s="3" t="s">
        <v>34</v>
      </c>
      <c r="D975" s="3" t="s">
        <v>1216</v>
      </c>
      <c r="E975" s="14" t="str">
        <f ca="1">IFERROR(__xludf.DUMMYFUNCTION("REGEXEXTRACT(A975, ""-(.*)"")"),"ARP.0024.01.2024.GOV.FES-PE.PE")</f>
        <v>ARP.0024.01.2024.GOV.FES-PE.PE</v>
      </c>
      <c r="F975" s="6" t="s">
        <v>1762</v>
      </c>
      <c r="G975" s="3"/>
      <c r="H975" s="9">
        <v>45618</v>
      </c>
      <c r="I975" s="3" t="s">
        <v>44</v>
      </c>
      <c r="J975" s="3" t="str">
        <f>VLOOKUP(A975,'TODOS OS PROCESSOS ATUALIZADOS '!A:I,7,0)</f>
        <v>Autorizada Sucesso</v>
      </c>
      <c r="K975" s="3" t="s">
        <v>44</v>
      </c>
      <c r="L975" s="3" t="str">
        <f t="shared" si="3"/>
        <v>Item atualizado</v>
      </c>
      <c r="M975" s="3"/>
      <c r="N975" s="3" t="s">
        <v>605</v>
      </c>
      <c r="O975" s="3"/>
    </row>
    <row r="976" spans="1:15" ht="22.5" customHeight="1" x14ac:dyDescent="0.2">
      <c r="A976" s="3" t="s">
        <v>1763</v>
      </c>
      <c r="B976" s="3" t="str">
        <f ca="1">IFERROR(__xludf.DUMMYFUNCTION("REGEXEXTRACT(A976, ""\.(?:GOV|EXT)\.([A-Z0-9\-]+)"")
"),"FES-PE")</f>
        <v>FES-PE</v>
      </c>
      <c r="C976" s="3" t="s">
        <v>34</v>
      </c>
      <c r="D976" s="3" t="s">
        <v>1216</v>
      </c>
      <c r="E976" s="14" t="str">
        <f ca="1">IFERROR(__xludf.DUMMYFUNCTION("REGEXEXTRACT(A976, ""-(.*)"")"),"ARP.0063.04.2024.GOV.FES-PE.PE")</f>
        <v>ARP.0063.04.2024.GOV.FES-PE.PE</v>
      </c>
      <c r="F976" s="6" t="s">
        <v>1386</v>
      </c>
      <c r="G976" s="3"/>
      <c r="H976" s="9">
        <v>45618</v>
      </c>
      <c r="I976" s="3" t="s">
        <v>44</v>
      </c>
      <c r="J976" s="3" t="str">
        <f>VLOOKUP(A976,'TODOS OS PROCESSOS ATUALIZADOS '!A:I,7,0)</f>
        <v>Autorizada Sucesso</v>
      </c>
      <c r="K976" s="3" t="s">
        <v>44</v>
      </c>
      <c r="L976" s="3" t="str">
        <f t="shared" si="3"/>
        <v>Item atualizado</v>
      </c>
      <c r="M976" s="3"/>
      <c r="N976" s="3" t="s">
        <v>605</v>
      </c>
      <c r="O976" s="3"/>
    </row>
    <row r="977" spans="1:15" ht="22.5" customHeight="1" x14ac:dyDescent="0.2">
      <c r="A977" s="3" t="s">
        <v>1764</v>
      </c>
      <c r="B977" s="3" t="str">
        <f ca="1">IFERROR(__xludf.DUMMYFUNCTION("REGEXEXTRACT(A977, ""\.(?:GOV|EXT)\.([A-Z0-9\-]+)"")
"),"FES-PE")</f>
        <v>FES-PE</v>
      </c>
      <c r="C977" s="3" t="s">
        <v>34</v>
      </c>
      <c r="D977" s="3" t="s">
        <v>1216</v>
      </c>
      <c r="E977" s="14" t="str">
        <f ca="1">IFERROR(__xludf.DUMMYFUNCTION("REGEXEXTRACT(A977, ""-(.*)"")"),"ARP.0018.00.2024.GOV.FES-PE.PE")</f>
        <v>ARP.0018.00.2024.GOV.FES-PE.PE</v>
      </c>
      <c r="F977" s="3" t="s">
        <v>737</v>
      </c>
      <c r="G977" s="3"/>
      <c r="H977" s="9">
        <v>45617</v>
      </c>
      <c r="I977" s="3" t="s">
        <v>37</v>
      </c>
      <c r="J977" s="3" t="str">
        <f>VLOOKUP(A977,'TODOS OS PROCESSOS ATUALIZADOS '!A:I,7,0)</f>
        <v>Cancelada</v>
      </c>
      <c r="K977" s="3" t="s">
        <v>38</v>
      </c>
      <c r="L977" s="3" t="str">
        <f t="shared" si="3"/>
        <v>Item não atualizado</v>
      </c>
      <c r="M977" s="3"/>
      <c r="N977" s="3" t="s">
        <v>605</v>
      </c>
      <c r="O977" s="3"/>
    </row>
    <row r="978" spans="1:15" ht="22.5" customHeight="1" x14ac:dyDescent="0.2">
      <c r="A978" s="3" t="s">
        <v>1765</v>
      </c>
      <c r="B978" s="3" t="str">
        <f ca="1">IFERROR(__xludf.DUMMYFUNCTION("REGEXEXTRACT(A978, ""\.(?:GOV|EXT)\.([A-Z0-9\-]+)"")
"),"FES-PE")</f>
        <v>FES-PE</v>
      </c>
      <c r="C978" s="3" t="s">
        <v>34</v>
      </c>
      <c r="D978" s="3" t="s">
        <v>1216</v>
      </c>
      <c r="E978" s="14" t="str">
        <f ca="1">IFERROR(__xludf.DUMMYFUNCTION("REGEXEXTRACT(A978, ""-(.*)"")"),"ARP.0083.04.2024.GOV.FES-PE.PE")</f>
        <v>ARP.0083.04.2024.GOV.FES-PE.PE</v>
      </c>
      <c r="F978" s="3" t="s">
        <v>1365</v>
      </c>
      <c r="G978" s="3" t="s">
        <v>3</v>
      </c>
      <c r="H978" s="9">
        <v>45615</v>
      </c>
      <c r="I978" s="3" t="s">
        <v>37</v>
      </c>
      <c r="J978" s="3" t="str">
        <f>VLOOKUP(A978,'TODOS OS PROCESSOS ATUALIZADOS '!A:I,7,0)</f>
        <v>Cancelada</v>
      </c>
      <c r="K978" s="3" t="s">
        <v>38</v>
      </c>
      <c r="L978" s="3" t="str">
        <f t="shared" si="3"/>
        <v>Item não atualizado</v>
      </c>
      <c r="M978" s="3"/>
      <c r="N978" s="3" t="s">
        <v>605</v>
      </c>
      <c r="O978" s="3"/>
    </row>
    <row r="979" spans="1:15" ht="22.5" customHeight="1" x14ac:dyDescent="0.2">
      <c r="A979" s="3" t="s">
        <v>1766</v>
      </c>
      <c r="B979" s="3" t="str">
        <f ca="1">IFERROR(__xludf.DUMMYFUNCTION("REGEXEXTRACT(A979, ""\.(?:GOV|EXT)\.([A-Z0-9\-]+)"")
"),"FES-PE")</f>
        <v>FES-PE</v>
      </c>
      <c r="C979" s="3" t="s">
        <v>34</v>
      </c>
      <c r="D979" s="3" t="s">
        <v>1216</v>
      </c>
      <c r="E979" s="14" t="str">
        <f ca="1">IFERROR(__xludf.DUMMYFUNCTION("REGEXEXTRACT(A979, ""-(.*)"")"),"ARP.0088.07.2024.GOV.FES-PE.PE")</f>
        <v>ARP.0088.07.2024.GOV.FES-PE.PE</v>
      </c>
      <c r="F979" s="6" t="s">
        <v>797</v>
      </c>
      <c r="G979" s="3"/>
      <c r="H979" s="9">
        <v>45614</v>
      </c>
      <c r="I979" s="3" t="s">
        <v>44</v>
      </c>
      <c r="J979" s="3" t="str">
        <f>VLOOKUP(A979,'TODOS OS PROCESSOS ATUALIZADOS '!A:I,7,0)</f>
        <v>Autorizada Sucesso</v>
      </c>
      <c r="K979" s="3" t="s">
        <v>44</v>
      </c>
      <c r="L979" s="3" t="str">
        <f t="shared" si="3"/>
        <v>Item atualizado</v>
      </c>
      <c r="M979" s="3"/>
      <c r="N979" s="3" t="s">
        <v>605</v>
      </c>
      <c r="O979" s="3"/>
    </row>
    <row r="980" spans="1:15" ht="22.5" customHeight="1" x14ac:dyDescent="0.2">
      <c r="A980" s="3" t="s">
        <v>1767</v>
      </c>
      <c r="B980" s="3" t="str">
        <f ca="1">IFERROR(__xludf.DUMMYFUNCTION("REGEXEXTRACT(A980, ""\.(?:GOV|EXT)\.([A-Z0-9\-]+)"")
"),"FES-PE")</f>
        <v>FES-PE</v>
      </c>
      <c r="C980" s="3" t="s">
        <v>34</v>
      </c>
      <c r="D980" s="3" t="s">
        <v>1216</v>
      </c>
      <c r="E980" s="14" t="str">
        <f ca="1">IFERROR(__xludf.DUMMYFUNCTION("REGEXEXTRACT(A980, ""-(.*)"")"),"ARP.0088.00.2024.GOV.FES-PE.PE")</f>
        <v>ARP.0088.00.2024.GOV.FES-PE.PE</v>
      </c>
      <c r="F980" s="3" t="s">
        <v>797</v>
      </c>
      <c r="G980" s="3" t="s">
        <v>3</v>
      </c>
      <c r="H980" s="9">
        <v>45614</v>
      </c>
      <c r="I980" s="3" t="s">
        <v>37</v>
      </c>
      <c r="J980" s="3" t="str">
        <f>VLOOKUP(A980,'TODOS OS PROCESSOS ATUALIZADOS '!A:I,7,0)</f>
        <v>Cancelada</v>
      </c>
      <c r="K980" s="3" t="s">
        <v>38</v>
      </c>
      <c r="L980" s="3" t="str">
        <f t="shared" si="3"/>
        <v>Item não atualizado</v>
      </c>
      <c r="M980" s="3"/>
      <c r="N980" s="3" t="s">
        <v>605</v>
      </c>
      <c r="O980" s="3"/>
    </row>
    <row r="981" spans="1:15" ht="22.5" customHeight="1" x14ac:dyDescent="0.2">
      <c r="A981" s="3" t="s">
        <v>1768</v>
      </c>
      <c r="B981" s="3" t="str">
        <f ca="1">IFERROR(__xludf.DUMMYFUNCTION("REGEXEXTRACT(A981, ""\.(?:GOV|EXT)\.([A-Z0-9\-]+)"")
"),"FES-PE")</f>
        <v>FES-PE</v>
      </c>
      <c r="C981" s="3" t="s">
        <v>34</v>
      </c>
      <c r="D981" s="3" t="s">
        <v>1216</v>
      </c>
      <c r="E981" s="14" t="str">
        <f ca="1">IFERROR(__xludf.DUMMYFUNCTION("REGEXEXTRACT(A981, ""-(.*)"")"),"ARP.0088.00.2024.GOV.FES-PE.PE")</f>
        <v>ARP.0088.00.2024.GOV.FES-PE.PE</v>
      </c>
      <c r="F981" s="3" t="s">
        <v>797</v>
      </c>
      <c r="G981" s="3" t="s">
        <v>3</v>
      </c>
      <c r="H981" s="9">
        <v>45614</v>
      </c>
      <c r="I981" s="3" t="s">
        <v>37</v>
      </c>
      <c r="J981" s="3" t="str">
        <f>VLOOKUP(A981,'TODOS OS PROCESSOS ATUALIZADOS '!A:I,7,0)</f>
        <v>Cancelada</v>
      </c>
      <c r="K981" s="3" t="s">
        <v>38</v>
      </c>
      <c r="L981" s="3" t="str">
        <f t="shared" si="3"/>
        <v>Item não atualizado</v>
      </c>
      <c r="M981" s="3"/>
      <c r="N981" s="3" t="s">
        <v>605</v>
      </c>
      <c r="O981" s="3"/>
    </row>
    <row r="982" spans="1:15" ht="22.5" customHeight="1" x14ac:dyDescent="0.2">
      <c r="A982" s="3" t="s">
        <v>1769</v>
      </c>
      <c r="B982" s="3" t="str">
        <f ca="1">IFERROR(__xludf.DUMMYFUNCTION("REGEXEXTRACT(A982, ""\.(?:GOV|EXT)\.([A-Z0-9\-]+)"")
"),"FES-PE")</f>
        <v>FES-PE</v>
      </c>
      <c r="C982" s="3" t="s">
        <v>34</v>
      </c>
      <c r="D982" s="3" t="s">
        <v>1216</v>
      </c>
      <c r="E982" s="14" t="str">
        <f ca="1">IFERROR(__xludf.DUMMYFUNCTION("REGEXEXTRACT(A982, ""-(.*)"")"),"ARP.0088.00.2024.GOV.FES-PE.PE")</f>
        <v>ARP.0088.00.2024.GOV.FES-PE.PE</v>
      </c>
      <c r="F982" s="6" t="s">
        <v>797</v>
      </c>
      <c r="G982" s="3"/>
      <c r="H982" s="9">
        <v>45614</v>
      </c>
      <c r="I982" s="3" t="s">
        <v>44</v>
      </c>
      <c r="J982" s="3" t="str">
        <f>VLOOKUP(A982,'TODOS OS PROCESSOS ATUALIZADOS '!A:I,7,0)</f>
        <v>Autorizada Sucesso</v>
      </c>
      <c r="K982" s="3" t="s">
        <v>44</v>
      </c>
      <c r="L982" s="3" t="str">
        <f t="shared" si="3"/>
        <v>Item atualizado</v>
      </c>
      <c r="M982" s="3"/>
      <c r="N982" s="3" t="s">
        <v>605</v>
      </c>
      <c r="O982" s="3"/>
    </row>
    <row r="983" spans="1:15" ht="22.5" customHeight="1" x14ac:dyDescent="0.2">
      <c r="A983" s="3" t="s">
        <v>1770</v>
      </c>
      <c r="B983" s="3" t="str">
        <f ca="1">IFERROR(__xludf.DUMMYFUNCTION("REGEXEXTRACT(A983, ""\.(?:GOV|EXT)\.([A-Z0-9\-]+)"")
"),"FES-PE")</f>
        <v>FES-PE</v>
      </c>
      <c r="C983" s="3" t="s">
        <v>34</v>
      </c>
      <c r="D983" s="3" t="s">
        <v>1216</v>
      </c>
      <c r="E983" s="14" t="str">
        <f ca="1">IFERROR(__xludf.DUMMYFUNCTION("REGEXEXTRACT(A983, ""-(.*)"")"),"ARP.0090.05.2024.GOV.FES-PE.PE")</f>
        <v>ARP.0090.05.2024.GOV.FES-PE.PE</v>
      </c>
      <c r="F983" s="6" t="s">
        <v>1771</v>
      </c>
      <c r="G983" s="3"/>
      <c r="H983" s="9">
        <v>45614</v>
      </c>
      <c r="I983" s="3" t="s">
        <v>44</v>
      </c>
      <c r="J983" s="3" t="str">
        <f>VLOOKUP(A983,'TODOS OS PROCESSOS ATUALIZADOS '!A:I,7,0)</f>
        <v>Autorizada Sucesso</v>
      </c>
      <c r="K983" s="3" t="s">
        <v>44</v>
      </c>
      <c r="L983" s="3" t="str">
        <f t="shared" si="3"/>
        <v>Item atualizado</v>
      </c>
      <c r="M983" s="3"/>
      <c r="N983" s="3" t="s">
        <v>605</v>
      </c>
      <c r="O983" s="3"/>
    </row>
    <row r="984" spans="1:15" ht="22.5" customHeight="1" x14ac:dyDescent="0.2">
      <c r="A984" s="3" t="s">
        <v>1772</v>
      </c>
      <c r="B984" s="3" t="str">
        <f ca="1">IFERROR(__xludf.DUMMYFUNCTION("REGEXEXTRACT(A984, ""\.(?:GOV|EXT)\.([A-Z0-9\-]+)"")
"),"FES-PE")</f>
        <v>FES-PE</v>
      </c>
      <c r="C984" s="3" t="s">
        <v>34</v>
      </c>
      <c r="D984" s="3" t="s">
        <v>1216</v>
      </c>
      <c r="E984" s="14" t="str">
        <f ca="1">IFERROR(__xludf.DUMMYFUNCTION("REGEXEXTRACT(A984, ""-(.*)"")"),"ARP.0090.02.2024.GOV.FES-PE.PE")</f>
        <v>ARP.0090.02.2024.GOV.FES-PE.PE</v>
      </c>
      <c r="F984" s="6" t="s">
        <v>1771</v>
      </c>
      <c r="G984" s="3"/>
      <c r="H984" s="9">
        <v>45614</v>
      </c>
      <c r="I984" s="3" t="s">
        <v>44</v>
      </c>
      <c r="J984" s="3" t="str">
        <f>VLOOKUP(A984,'TODOS OS PROCESSOS ATUALIZADOS '!A:I,7,0)</f>
        <v>Autorizada Sucesso</v>
      </c>
      <c r="K984" s="3" t="s">
        <v>44</v>
      </c>
      <c r="L984" s="3" t="str">
        <f t="shared" si="3"/>
        <v>Item atualizado</v>
      </c>
      <c r="M984" s="3"/>
      <c r="N984" s="3" t="s">
        <v>605</v>
      </c>
      <c r="O984" s="3"/>
    </row>
    <row r="985" spans="1:15" ht="22.5" customHeight="1" x14ac:dyDescent="0.2">
      <c r="A985" s="3" t="s">
        <v>1773</v>
      </c>
      <c r="B985" s="3" t="str">
        <f ca="1">IFERROR(__xludf.DUMMYFUNCTION("REGEXEXTRACT(A985, ""\.(?:GOV|EXT)\.([A-Z0-9\-]+)"")
"),"FES-PE")</f>
        <v>FES-PE</v>
      </c>
      <c r="C985" s="3" t="s">
        <v>34</v>
      </c>
      <c r="D985" s="3" t="s">
        <v>1216</v>
      </c>
      <c r="E985" s="14" t="str">
        <f ca="1">IFERROR(__xludf.DUMMYFUNCTION("REGEXEXTRACT(A985, ""-(.*)"")"),"ARP.0090.02.2024.GOV.FES-PE.PE")</f>
        <v>ARP.0090.02.2024.GOV.FES-PE.PE</v>
      </c>
      <c r="F985" s="6" t="s">
        <v>1771</v>
      </c>
      <c r="G985" s="3"/>
      <c r="H985" s="9">
        <v>45614</v>
      </c>
      <c r="I985" s="3" t="s">
        <v>44</v>
      </c>
      <c r="J985" s="3" t="str">
        <f>VLOOKUP(A985,'TODOS OS PROCESSOS ATUALIZADOS '!A:I,7,0)</f>
        <v>Autorizada Sucesso</v>
      </c>
      <c r="K985" s="3" t="s">
        <v>44</v>
      </c>
      <c r="L985" s="3" t="str">
        <f t="shared" si="3"/>
        <v>Item atualizado</v>
      </c>
      <c r="M985" s="3"/>
      <c r="N985" s="3" t="s">
        <v>605</v>
      </c>
      <c r="O985" s="3"/>
    </row>
    <row r="986" spans="1:15" ht="22.5" customHeight="1" x14ac:dyDescent="0.2">
      <c r="A986" s="3" t="s">
        <v>1774</v>
      </c>
      <c r="B986" s="3" t="str">
        <f ca="1">IFERROR(__xludf.DUMMYFUNCTION("REGEXEXTRACT(A986, ""\.(?:GOV|EXT)\.([A-Z0-9\-]+)"")
"),"FES-PE")</f>
        <v>FES-PE</v>
      </c>
      <c r="C986" s="3" t="s">
        <v>34</v>
      </c>
      <c r="D986" s="3" t="s">
        <v>1216</v>
      </c>
      <c r="E986" s="14" t="str">
        <f ca="1">IFERROR(__xludf.DUMMYFUNCTION("REGEXEXTRACT(A986, ""-(.*)"")"),"ARP.0049.00.2024.GOV.FES-PE.PE")</f>
        <v>ARP.0049.00.2024.GOV.FES-PE.PE</v>
      </c>
      <c r="F986" s="3" t="s">
        <v>1432</v>
      </c>
      <c r="G986" s="3"/>
      <c r="H986" s="9">
        <v>45610</v>
      </c>
      <c r="I986" s="3" t="s">
        <v>37</v>
      </c>
      <c r="J986" s="3" t="str">
        <f>VLOOKUP(A986,'TODOS OS PROCESSOS ATUALIZADOS '!A:I,7,0)</f>
        <v>Cancelada</v>
      </c>
      <c r="K986" s="3" t="s">
        <v>38</v>
      </c>
      <c r="L986" s="3" t="str">
        <f t="shared" si="3"/>
        <v>Item não atualizado</v>
      </c>
      <c r="M986" s="3"/>
      <c r="N986" s="3" t="s">
        <v>605</v>
      </c>
      <c r="O986" s="3"/>
    </row>
    <row r="987" spans="1:15" ht="22.5" customHeight="1" x14ac:dyDescent="0.2">
      <c r="A987" s="3" t="s">
        <v>1775</v>
      </c>
      <c r="B987" s="3" t="str">
        <f ca="1">IFERROR(__xludf.DUMMYFUNCTION("REGEXEXTRACT(A987, ""\.(?:GOV|EXT)\.([A-Z0-9\-]+)"")
"),"FES-PE")</f>
        <v>FES-PE</v>
      </c>
      <c r="C987" s="3" t="s">
        <v>34</v>
      </c>
      <c r="D987" s="3" t="s">
        <v>1216</v>
      </c>
      <c r="E987" s="14" t="str">
        <f ca="1">IFERROR(__xludf.DUMMYFUNCTION("REGEXEXTRACT(A987, ""-(.*)"")"),"ARP.0049.00.2024.GOV.FES-PE.PE")</f>
        <v>ARP.0049.00.2024.GOV.FES-PE.PE</v>
      </c>
      <c r="F987" s="3" t="s">
        <v>1432</v>
      </c>
      <c r="G987" s="3"/>
      <c r="H987" s="9">
        <v>45610</v>
      </c>
      <c r="I987" s="3" t="s">
        <v>37</v>
      </c>
      <c r="J987" s="3" t="str">
        <f>VLOOKUP(A987,'TODOS OS PROCESSOS ATUALIZADOS '!A:I,7,0)</f>
        <v>Cancelada</v>
      </c>
      <c r="K987" s="3" t="s">
        <v>38</v>
      </c>
      <c r="L987" s="3" t="str">
        <f t="shared" si="3"/>
        <v>Item não atualizado</v>
      </c>
      <c r="M987" s="3"/>
      <c r="N987" s="3" t="s">
        <v>605</v>
      </c>
      <c r="O987" s="3"/>
    </row>
    <row r="988" spans="1:15" ht="22.5" customHeight="1" x14ac:dyDescent="0.2">
      <c r="A988" s="3" t="s">
        <v>1776</v>
      </c>
      <c r="B988" s="3" t="str">
        <f ca="1">IFERROR(__xludf.DUMMYFUNCTION("REGEXEXTRACT(A988, ""\.(?:GOV|EXT)\.([A-Z0-9\-]+)"")
"),"FES-PE")</f>
        <v>FES-PE</v>
      </c>
      <c r="C988" s="3" t="s">
        <v>34</v>
      </c>
      <c r="D988" s="3" t="s">
        <v>1216</v>
      </c>
      <c r="E988" s="14" t="str">
        <f ca="1">IFERROR(__xludf.DUMMYFUNCTION("REGEXEXTRACT(A988, ""-(.*)"")"),"ARP.0052.08.2024.GOV.FES-PE.PE")</f>
        <v>ARP.0052.08.2024.GOV.FES-PE.PE</v>
      </c>
      <c r="F988" s="6" t="s">
        <v>1409</v>
      </c>
      <c r="G988" s="3"/>
      <c r="H988" s="9">
        <v>45609</v>
      </c>
      <c r="I988" s="3" t="s">
        <v>44</v>
      </c>
      <c r="J988" s="3" t="str">
        <f>VLOOKUP(A988,'TODOS OS PROCESSOS ATUALIZADOS '!A:I,7,0)</f>
        <v>Autorizada Sucesso</v>
      </c>
      <c r="K988" s="3" t="s">
        <v>44</v>
      </c>
      <c r="L988" s="3" t="str">
        <f t="shared" si="3"/>
        <v>Item atualizado</v>
      </c>
      <c r="M988" s="3"/>
      <c r="N988" s="3" t="s">
        <v>605</v>
      </c>
      <c r="O988" s="3"/>
    </row>
    <row r="989" spans="1:15" ht="22.5" customHeight="1" x14ac:dyDescent="0.2">
      <c r="A989" s="3" t="s">
        <v>1777</v>
      </c>
      <c r="B989" s="3" t="str">
        <f ca="1">IFERROR(__xludf.DUMMYFUNCTION("REGEXEXTRACT(A989, ""\.(?:GOV|EXT)\.([A-Z0-9\-]+)"")
"),"FES-PE")</f>
        <v>FES-PE</v>
      </c>
      <c r="C989" s="3" t="s">
        <v>34</v>
      </c>
      <c r="D989" s="3" t="s">
        <v>1216</v>
      </c>
      <c r="E989" s="14" t="str">
        <f ca="1">IFERROR(__xludf.DUMMYFUNCTION("REGEXEXTRACT(A989, ""-(.*)"")"),"ARP.0031.14.2024.GOV.FES-PE.PE")</f>
        <v>ARP.0031.14.2024.GOV.FES-PE.PE</v>
      </c>
      <c r="F989" s="6" t="s">
        <v>1646</v>
      </c>
      <c r="G989" s="3"/>
      <c r="H989" s="9">
        <v>45609</v>
      </c>
      <c r="I989" s="3" t="s">
        <v>44</v>
      </c>
      <c r="J989" s="3" t="str">
        <f>VLOOKUP(A989,'TODOS OS PROCESSOS ATUALIZADOS '!A:I,7,0)</f>
        <v>Autorizada Sucesso</v>
      </c>
      <c r="K989" s="3" t="s">
        <v>44</v>
      </c>
      <c r="L989" s="3" t="str">
        <f t="shared" si="3"/>
        <v>Item atualizado</v>
      </c>
      <c r="M989" s="3"/>
      <c r="N989" s="3" t="s">
        <v>605</v>
      </c>
      <c r="O989" s="3"/>
    </row>
    <row r="990" spans="1:15" ht="22.5" customHeight="1" x14ac:dyDescent="0.2">
      <c r="A990" s="3" t="s">
        <v>1778</v>
      </c>
      <c r="B990" s="3" t="str">
        <f ca="1">IFERROR(__xludf.DUMMYFUNCTION("REGEXEXTRACT(A990, ""\.(?:GOV|EXT)\.([A-Z0-9\-]+)"")
"),"FES-PE")</f>
        <v>FES-PE</v>
      </c>
      <c r="C990" s="3" t="s">
        <v>34</v>
      </c>
      <c r="D990" s="3" t="s">
        <v>1216</v>
      </c>
      <c r="E990" s="14" t="str">
        <f ca="1">IFERROR(__xludf.DUMMYFUNCTION("REGEXEXTRACT(A990, ""-(.*)"")"),"ARP.0043.02.2024.GOV.FES-PE.PE")</f>
        <v>ARP.0043.02.2024.GOV.FES-PE.PE</v>
      </c>
      <c r="F990" s="6" t="s">
        <v>1779</v>
      </c>
      <c r="G990" s="3"/>
      <c r="H990" s="9">
        <v>45609</v>
      </c>
      <c r="I990" s="3" t="s">
        <v>44</v>
      </c>
      <c r="J990" s="3" t="str">
        <f>VLOOKUP(A990,'TODOS OS PROCESSOS ATUALIZADOS '!A:I,7,0)</f>
        <v>Autorizada Sucesso</v>
      </c>
      <c r="K990" s="3" t="s">
        <v>44</v>
      </c>
      <c r="L990" s="3" t="str">
        <f t="shared" si="3"/>
        <v>Item atualizado</v>
      </c>
      <c r="M990" s="3"/>
      <c r="N990" s="3" t="s">
        <v>605</v>
      </c>
      <c r="O990" s="3"/>
    </row>
    <row r="991" spans="1:15" ht="22.5" customHeight="1" x14ac:dyDescent="0.2">
      <c r="A991" s="3" t="s">
        <v>1780</v>
      </c>
      <c r="B991" s="3" t="str">
        <f ca="1">IFERROR(__xludf.DUMMYFUNCTION("REGEXEXTRACT(A991, ""\.(?:GOV|EXT)\.([A-Z0-9\-]+)"")
"),"CISAM")</f>
        <v>CISAM</v>
      </c>
      <c r="C991" s="3" t="s">
        <v>34</v>
      </c>
      <c r="D991" s="3" t="s">
        <v>1216</v>
      </c>
      <c r="E991" s="14" t="str">
        <f ca="1">IFERROR(__xludf.DUMMYFUNCTION("REGEXEXTRACT(A991, ""-(.*)"")"),"ARP.0063.05.2024.GOV.CISAM.PE")</f>
        <v>ARP.0063.05.2024.GOV.CISAM.PE</v>
      </c>
      <c r="F991" s="3" t="s">
        <v>1321</v>
      </c>
      <c r="G991" s="3"/>
      <c r="H991" s="9">
        <v>45609</v>
      </c>
      <c r="I991" s="3" t="s">
        <v>37</v>
      </c>
      <c r="J991" s="3" t="str">
        <f>VLOOKUP(A991,'TODOS OS PROCESSOS ATUALIZADOS '!A:I,7,0)</f>
        <v>Cancelada por fim vigencia ATA</v>
      </c>
      <c r="K991" s="3" t="s">
        <v>38</v>
      </c>
      <c r="L991" s="3" t="str">
        <f t="shared" si="3"/>
        <v>Item atualizado</v>
      </c>
      <c r="M991" s="3"/>
      <c r="N991" s="3" t="s">
        <v>605</v>
      </c>
      <c r="O991" s="3"/>
    </row>
    <row r="992" spans="1:15" ht="22.5" customHeight="1" x14ac:dyDescent="0.2">
      <c r="A992" s="3" t="s">
        <v>1781</v>
      </c>
      <c r="B992" s="3" t="str">
        <f ca="1">IFERROR(__xludf.DUMMYFUNCTION("REGEXEXTRACT(A992, ""\.(?:GOV|EXT)\.([A-Z0-9\-]+)"")
"),"CISAM")</f>
        <v>CISAM</v>
      </c>
      <c r="C992" s="3" t="s">
        <v>34</v>
      </c>
      <c r="D992" s="3" t="s">
        <v>1216</v>
      </c>
      <c r="E992" s="14" t="str">
        <f ca="1">IFERROR(__xludf.DUMMYFUNCTION("REGEXEXTRACT(A992, ""-(.*)"")"),"ARP.0063.05.2024.GOV.CISAM.PE")</f>
        <v>ARP.0063.05.2024.GOV.CISAM.PE</v>
      </c>
      <c r="F992" s="3" t="s">
        <v>1321</v>
      </c>
      <c r="G992" s="3"/>
      <c r="H992" s="9">
        <v>45608</v>
      </c>
      <c r="I992" s="3" t="s">
        <v>37</v>
      </c>
      <c r="J992" s="3" t="str">
        <f>VLOOKUP(A992,'TODOS OS PROCESSOS ATUALIZADOS '!A:I,7,0)</f>
        <v>Cancelada</v>
      </c>
      <c r="K992" s="3" t="s">
        <v>38</v>
      </c>
      <c r="L992" s="3" t="str">
        <f t="shared" si="3"/>
        <v>Item não atualizado</v>
      </c>
      <c r="M992" s="3"/>
      <c r="N992" s="3" t="s">
        <v>605</v>
      </c>
      <c r="O992" s="3"/>
    </row>
    <row r="993" spans="1:15" ht="22.5" customHeight="1" x14ac:dyDescent="0.2">
      <c r="A993" s="3" t="s">
        <v>1782</v>
      </c>
      <c r="B993" s="3" t="str">
        <f ca="1">IFERROR(__xludf.DUMMYFUNCTION("REGEXEXTRACT(A993, ""\.(?:GOV|EXT)\.([A-Z0-9\-]+)"")
"),"SAD")</f>
        <v>SAD</v>
      </c>
      <c r="C993" s="3" t="s">
        <v>34</v>
      </c>
      <c r="D993" s="3" t="s">
        <v>1216</v>
      </c>
      <c r="E993" s="14" t="str">
        <f ca="1">IFERROR(__xludf.DUMMYFUNCTION("REGEXEXTRACT(A993, ""-(.*)"")"),"ARPC.0005.00.2024.GOV.SAD.PE")</f>
        <v>ARPC.0005.00.2024.GOV.SAD.PE</v>
      </c>
      <c r="F993" s="3" t="s">
        <v>1783</v>
      </c>
      <c r="G993" s="3"/>
      <c r="H993" s="9">
        <v>45608</v>
      </c>
      <c r="I993" s="3" t="s">
        <v>37</v>
      </c>
      <c r="J993" s="3" t="str">
        <f>VLOOKUP(A993,'TODOS OS PROCESSOS ATUALIZADOS '!A:I,7,0)</f>
        <v>Cancelada</v>
      </c>
      <c r="K993" s="3" t="s">
        <v>38</v>
      </c>
      <c r="L993" s="3" t="str">
        <f t="shared" si="3"/>
        <v>Item não atualizado</v>
      </c>
      <c r="M993" s="3"/>
      <c r="N993" s="3" t="s">
        <v>605</v>
      </c>
      <c r="O993" s="3"/>
    </row>
    <row r="994" spans="1:15" ht="22.5" customHeight="1" x14ac:dyDescent="0.2">
      <c r="A994" s="3" t="s">
        <v>1784</v>
      </c>
      <c r="B994" s="3" t="str">
        <f ca="1">IFERROR(__xludf.DUMMYFUNCTION("REGEXEXTRACT(A994, ""\.(?:GOV|EXT)\.([A-Z0-9\-]+)"")
"),"FES-PE")</f>
        <v>FES-PE</v>
      </c>
      <c r="C994" s="3" t="s">
        <v>34</v>
      </c>
      <c r="D994" s="3" t="s">
        <v>1216</v>
      </c>
      <c r="E994" s="14" t="str">
        <f ca="1">IFERROR(__xludf.DUMMYFUNCTION("REGEXEXTRACT(A994, ""-(.*)"")"),"ARP.0040.00.2024.GOV.FES-PE.PE")</f>
        <v>ARP.0040.00.2024.GOV.FES-PE.PE</v>
      </c>
      <c r="F994" s="3" t="s">
        <v>1724</v>
      </c>
      <c r="G994" s="3"/>
      <c r="H994" s="9">
        <v>45608</v>
      </c>
      <c r="I994" s="3" t="s">
        <v>37</v>
      </c>
      <c r="J994" s="3" t="str">
        <f>VLOOKUP(A994,'TODOS OS PROCESSOS ATUALIZADOS '!A:I,7,0)</f>
        <v>Cancelada</v>
      </c>
      <c r="K994" s="3" t="s">
        <v>38</v>
      </c>
      <c r="L994" s="3" t="str">
        <f t="shared" si="3"/>
        <v>Item não atualizado</v>
      </c>
      <c r="M994" s="3"/>
      <c r="N994" s="3" t="s">
        <v>605</v>
      </c>
      <c r="O994" s="3"/>
    </row>
    <row r="995" spans="1:15" ht="22.5" customHeight="1" x14ac:dyDescent="0.2">
      <c r="A995" s="3" t="s">
        <v>1785</v>
      </c>
      <c r="B995" s="3" t="str">
        <f ca="1">IFERROR(__xludf.DUMMYFUNCTION("REGEXEXTRACT(A995, ""\.(?:GOV|EXT)\.([A-Z0-9\-]+)"")
"),"FES-PE")</f>
        <v>FES-PE</v>
      </c>
      <c r="C995" s="3" t="s">
        <v>34</v>
      </c>
      <c r="D995" s="3" t="s">
        <v>1216</v>
      </c>
      <c r="E995" s="14" t="str">
        <f ca="1">IFERROR(__xludf.DUMMYFUNCTION("REGEXEXTRACT(A995, ""-(.*)"")"),"ARP.0061.02.2024.GOV.FES-PE.PE")</f>
        <v>ARP.0061.02.2024.GOV.FES-PE.PE</v>
      </c>
      <c r="F995" s="6" t="s">
        <v>1392</v>
      </c>
      <c r="G995" s="3"/>
      <c r="H995" s="9">
        <v>45607</v>
      </c>
      <c r="I995" s="3" t="s">
        <v>44</v>
      </c>
      <c r="J995" s="3" t="str">
        <f>VLOOKUP(A995,'TODOS OS PROCESSOS ATUALIZADOS '!A:I,7,0)</f>
        <v>Autorizada Sucesso</v>
      </c>
      <c r="K995" s="3" t="s">
        <v>44</v>
      </c>
      <c r="L995" s="3" t="str">
        <f t="shared" si="3"/>
        <v>Item atualizado</v>
      </c>
      <c r="M995" s="3"/>
      <c r="N995" s="3" t="s">
        <v>605</v>
      </c>
      <c r="O995" s="3"/>
    </row>
    <row r="996" spans="1:15" ht="22.5" customHeight="1" x14ac:dyDescent="0.2">
      <c r="A996" s="3" t="s">
        <v>1786</v>
      </c>
      <c r="B996" s="3" t="str">
        <f ca="1">IFERROR(__xludf.DUMMYFUNCTION("REGEXEXTRACT(A996, ""\.(?:GOV|EXT)\.([A-Z0-9\-]+)"")
"),"FES-PE")</f>
        <v>FES-PE</v>
      </c>
      <c r="C996" s="3" t="s">
        <v>34</v>
      </c>
      <c r="D996" s="3" t="s">
        <v>1216</v>
      </c>
      <c r="E996" s="14" t="str">
        <f ca="1">IFERROR(__xludf.DUMMYFUNCTION("REGEXEXTRACT(A996, ""-(.*)"")"),"ARP.0040.03.2024.GOV.FES-PE.PE")</f>
        <v>ARP.0040.03.2024.GOV.FES-PE.PE</v>
      </c>
      <c r="F996" s="6" t="s">
        <v>1724</v>
      </c>
      <c r="G996" s="3"/>
      <c r="H996" s="9">
        <v>45607</v>
      </c>
      <c r="I996" s="3" t="s">
        <v>44</v>
      </c>
      <c r="J996" s="3" t="str">
        <f>VLOOKUP(A996,'TODOS OS PROCESSOS ATUALIZADOS '!A:I,7,0)</f>
        <v>Autorizada Sucesso</v>
      </c>
      <c r="K996" s="3" t="s">
        <v>44</v>
      </c>
      <c r="L996" s="3" t="str">
        <f t="shared" si="3"/>
        <v>Item atualizado</v>
      </c>
      <c r="M996" s="3"/>
      <c r="N996" s="3" t="s">
        <v>605</v>
      </c>
      <c r="O996" s="3"/>
    </row>
    <row r="997" spans="1:15" ht="22.5" customHeight="1" x14ac:dyDescent="0.2">
      <c r="A997" s="3" t="s">
        <v>1787</v>
      </c>
      <c r="B997" s="3" t="str">
        <f ca="1">IFERROR(__xludf.DUMMYFUNCTION("REGEXEXTRACT(A997, ""\.(?:GOV|EXT)\.([A-Z0-9\-]+)"")
"),"FES-PE")</f>
        <v>FES-PE</v>
      </c>
      <c r="C997" s="3" t="s">
        <v>34</v>
      </c>
      <c r="D997" s="3" t="s">
        <v>1216</v>
      </c>
      <c r="E997" s="14" t="str">
        <f ca="1">IFERROR(__xludf.DUMMYFUNCTION("REGEXEXTRACT(A997, ""-(.*)"")"),"ARP.0075.00.2024.GOV.FES-PE.PE")</f>
        <v>ARP.0075.00.2024.GOV.FES-PE.PE</v>
      </c>
      <c r="F997" s="3" t="s">
        <v>1384</v>
      </c>
      <c r="G997" s="3"/>
      <c r="H997" s="9">
        <v>45607</v>
      </c>
      <c r="I997" s="3" t="s">
        <v>37</v>
      </c>
      <c r="J997" s="3" t="str">
        <f>VLOOKUP(A997,'TODOS OS PROCESSOS ATUALIZADOS '!A:I,7,0)</f>
        <v>Cancelada por fim vigencia ATA</v>
      </c>
      <c r="K997" s="3" t="s">
        <v>38</v>
      </c>
      <c r="L997" s="3" t="str">
        <f t="shared" si="3"/>
        <v>Item atualizado</v>
      </c>
      <c r="M997" s="3"/>
      <c r="N997" s="3" t="s">
        <v>605</v>
      </c>
      <c r="O997" s="3"/>
    </row>
    <row r="998" spans="1:15" ht="22.5" customHeight="1" x14ac:dyDescent="0.2">
      <c r="A998" s="3" t="s">
        <v>1788</v>
      </c>
      <c r="B998" s="3" t="str">
        <f ca="1">IFERROR(__xludf.DUMMYFUNCTION("REGEXEXTRACT(A998, ""\.(?:GOV|EXT)\.([A-Z0-9\-]+)"")
"),"FES-PE")</f>
        <v>FES-PE</v>
      </c>
      <c r="C998" s="3" t="s">
        <v>34</v>
      </c>
      <c r="D998" s="3" t="s">
        <v>1216</v>
      </c>
      <c r="E998" s="14" t="str">
        <f ca="1">IFERROR(__xludf.DUMMYFUNCTION("REGEXEXTRACT(A998, ""-(.*)"")"),"ARP.0075.00.2024.GOV.FES-PE.PE")</f>
        <v>ARP.0075.00.2024.GOV.FES-PE.PE</v>
      </c>
      <c r="F998" s="3" t="s">
        <v>1384</v>
      </c>
      <c r="G998" s="3"/>
      <c r="H998" s="9">
        <v>45607</v>
      </c>
      <c r="I998" s="3" t="s">
        <v>37</v>
      </c>
      <c r="J998" s="3" t="str">
        <f>VLOOKUP(A998,'TODOS OS PROCESSOS ATUALIZADOS '!A:I,7,0)</f>
        <v>Cancelada</v>
      </c>
      <c r="K998" s="3" t="s">
        <v>38</v>
      </c>
      <c r="L998" s="3" t="str">
        <f t="shared" si="3"/>
        <v>Item não atualizado</v>
      </c>
      <c r="M998" s="3"/>
      <c r="N998" s="3" t="s">
        <v>605</v>
      </c>
      <c r="O998" s="3"/>
    </row>
    <row r="999" spans="1:15" ht="22.5" customHeight="1" x14ac:dyDescent="0.2">
      <c r="A999" s="3" t="s">
        <v>1789</v>
      </c>
      <c r="B999" s="3" t="str">
        <f ca="1">IFERROR(__xludf.DUMMYFUNCTION("REGEXEXTRACT(A999, ""\.(?:GOV|EXT)\.([A-Z0-9\-]+)"")
"),"FES-PE")</f>
        <v>FES-PE</v>
      </c>
      <c r="C999" s="3" t="s">
        <v>34</v>
      </c>
      <c r="D999" s="3" t="s">
        <v>1216</v>
      </c>
      <c r="E999" s="14" t="str">
        <f ca="1">IFERROR(__xludf.DUMMYFUNCTION("REGEXEXTRACT(A999, ""-(.*)"")"),"ARP.0088.03.2024.GOV.FES-PE.PE")</f>
        <v>ARP.0088.03.2024.GOV.FES-PE.PE</v>
      </c>
      <c r="F999" s="6" t="s">
        <v>797</v>
      </c>
      <c r="G999" s="3"/>
      <c r="H999" s="9">
        <v>45607</v>
      </c>
      <c r="I999" s="3" t="s">
        <v>44</v>
      </c>
      <c r="J999" s="3" t="str">
        <f>VLOOKUP(A999,'TODOS OS PROCESSOS ATUALIZADOS '!A:I,7,0)</f>
        <v>Autorizada Sucesso</v>
      </c>
      <c r="K999" s="3" t="s">
        <v>44</v>
      </c>
      <c r="L999" s="3" t="str">
        <f t="shared" si="3"/>
        <v>Item atualizado</v>
      </c>
      <c r="M999" s="3"/>
      <c r="N999" s="3" t="s">
        <v>605</v>
      </c>
      <c r="O999" s="3"/>
    </row>
    <row r="1000" spans="1:15" ht="22.5" customHeight="1" x14ac:dyDescent="0.2">
      <c r="A1000" s="3" t="s">
        <v>1790</v>
      </c>
      <c r="B1000" s="3" t="str">
        <f ca="1">IFERROR(__xludf.DUMMYFUNCTION("REGEXEXTRACT(A1000, ""\.(?:GOV|EXT)\.([A-Z0-9\-]+)"")
"),"SAD")</f>
        <v>SAD</v>
      </c>
      <c r="C1000" s="3" t="s">
        <v>34</v>
      </c>
      <c r="D1000" s="3" t="s">
        <v>1216</v>
      </c>
      <c r="E1000" s="14" t="str">
        <f ca="1">IFERROR(__xludf.DUMMYFUNCTION("REGEXEXTRACT(A1000, ""-(.*)"")"),"ARPC.0026.00.2024.GOV.SAD.PE")</f>
        <v>ARPC.0026.00.2024.GOV.SAD.PE</v>
      </c>
      <c r="F1000" s="6" t="s">
        <v>527</v>
      </c>
      <c r="G1000" s="3"/>
      <c r="H1000" s="9">
        <v>45604</v>
      </c>
      <c r="I1000" s="3" t="s">
        <v>44</v>
      </c>
      <c r="J1000" s="3" t="str">
        <f>VLOOKUP(A1000,'TODOS OS PROCESSOS ATUALIZADOS '!A:I,7,0)</f>
        <v>Autorizada Sucesso</v>
      </c>
      <c r="K1000" s="3" t="s">
        <v>44</v>
      </c>
      <c r="L1000" s="3" t="str">
        <f t="shared" si="3"/>
        <v>Item atualizado</v>
      </c>
      <c r="M1000" s="3"/>
      <c r="N1000" s="3" t="s">
        <v>605</v>
      </c>
      <c r="O1000" s="3"/>
    </row>
    <row r="1001" spans="1:15" ht="22.5" customHeight="1" x14ac:dyDescent="0.2">
      <c r="A1001" s="3" t="s">
        <v>1791</v>
      </c>
      <c r="B1001" s="3" t="str">
        <f ca="1">IFERROR(__xludf.DUMMYFUNCTION("REGEXEXTRACT(A1001, ""\.(?:GOV|EXT)\.([A-Z0-9\-]+)"")
"),"SAD")</f>
        <v>SAD</v>
      </c>
      <c r="C1001" s="3" t="s">
        <v>34</v>
      </c>
      <c r="D1001" s="3" t="s">
        <v>1216</v>
      </c>
      <c r="E1001" s="14" t="str">
        <f ca="1">IFERROR(__xludf.DUMMYFUNCTION("REGEXEXTRACT(A1001, ""-(.*)"")"),"ARPC.0018.00.2024.GOV.SAD.PE")</f>
        <v>ARPC.0018.00.2024.GOV.SAD.PE</v>
      </c>
      <c r="F1001" s="6" t="s">
        <v>1349</v>
      </c>
      <c r="G1001" s="3"/>
      <c r="H1001" s="9">
        <v>45603</v>
      </c>
      <c r="I1001" s="3" t="s">
        <v>44</v>
      </c>
      <c r="J1001" s="3" t="str">
        <f>VLOOKUP(A1001,'TODOS OS PROCESSOS ATUALIZADOS '!A:I,7,0)</f>
        <v>Autorizada Sucesso</v>
      </c>
      <c r="K1001" s="3" t="s">
        <v>44</v>
      </c>
      <c r="L1001" s="3" t="str">
        <f t="shared" si="3"/>
        <v>Item atualizado</v>
      </c>
      <c r="M1001" s="3"/>
      <c r="N1001" s="3" t="s">
        <v>605</v>
      </c>
      <c r="O1001" s="3"/>
    </row>
    <row r="1002" spans="1:15" ht="22.5" customHeight="1" x14ac:dyDescent="0.2">
      <c r="A1002" s="3" t="s">
        <v>1792</v>
      </c>
      <c r="B1002" s="3" t="str">
        <f ca="1">IFERROR(__xludf.DUMMYFUNCTION("REGEXEXTRACT(A1002, ""\.(?:GOV|EXT)\.([A-Z0-9\-]+)"")
"),"SAD")</f>
        <v>SAD</v>
      </c>
      <c r="C1002" s="3" t="s">
        <v>34</v>
      </c>
      <c r="D1002" s="3" t="s">
        <v>1216</v>
      </c>
      <c r="E1002" s="14" t="str">
        <f ca="1">IFERROR(__xludf.DUMMYFUNCTION("REGEXEXTRACT(A1002, ""-(.*)"")"),"ARPC.0018.00.2024.GOV.SAD.PE")</f>
        <v>ARPC.0018.00.2024.GOV.SAD.PE</v>
      </c>
      <c r="F1002" s="6" t="s">
        <v>1349</v>
      </c>
      <c r="G1002" s="3"/>
      <c r="H1002" s="9">
        <v>45603</v>
      </c>
      <c r="I1002" s="3" t="s">
        <v>44</v>
      </c>
      <c r="J1002" s="3" t="str">
        <f>VLOOKUP(A1002,'TODOS OS PROCESSOS ATUALIZADOS '!A:I,7,0)</f>
        <v>Autorizada Sucesso</v>
      </c>
      <c r="K1002" s="3" t="s">
        <v>44</v>
      </c>
      <c r="L1002" s="3" t="str">
        <f t="shared" si="3"/>
        <v>Item atualizado</v>
      </c>
      <c r="M1002" s="3"/>
      <c r="N1002" s="3" t="s">
        <v>605</v>
      </c>
      <c r="O1002" s="3"/>
    </row>
    <row r="1003" spans="1:15" ht="22.5" customHeight="1" x14ac:dyDescent="0.2">
      <c r="A1003" s="3" t="s">
        <v>1793</v>
      </c>
      <c r="B1003" s="3" t="str">
        <f ca="1">IFERROR(__xludf.DUMMYFUNCTION("REGEXEXTRACT(A1003, ""\.(?:GOV|EXT)\.([A-Z0-9\-]+)"")
"),"SAD")</f>
        <v>SAD</v>
      </c>
      <c r="C1003" s="3" t="s">
        <v>34</v>
      </c>
      <c r="D1003" s="3" t="s">
        <v>1216</v>
      </c>
      <c r="E1003" s="14" t="str">
        <f ca="1">IFERROR(__xludf.DUMMYFUNCTION("REGEXEXTRACT(A1003, ""-(.*)"")"),"ARPC.0018.00.2024.GOV.SAD.PE")</f>
        <v>ARPC.0018.00.2024.GOV.SAD.PE</v>
      </c>
      <c r="F1003" s="6" t="s">
        <v>1349</v>
      </c>
      <c r="G1003" s="3"/>
      <c r="H1003" s="9">
        <v>45603</v>
      </c>
      <c r="I1003" s="3" t="s">
        <v>44</v>
      </c>
      <c r="J1003" s="3" t="str">
        <f>VLOOKUP(A1003,'TODOS OS PROCESSOS ATUALIZADOS '!A:I,7,0)</f>
        <v>Autorizada Sucesso</v>
      </c>
      <c r="K1003" s="3" t="s">
        <v>44</v>
      </c>
      <c r="L1003" s="3" t="str">
        <f t="shared" si="3"/>
        <v>Item atualizado</v>
      </c>
      <c r="M1003" s="3"/>
      <c r="N1003" s="3" t="s">
        <v>605</v>
      </c>
      <c r="O1003" s="3"/>
    </row>
    <row r="1004" spans="1:15" ht="22.5" customHeight="1" x14ac:dyDescent="0.2">
      <c r="A1004" s="3" t="s">
        <v>1794</v>
      </c>
      <c r="B1004" s="3" t="str">
        <f ca="1">IFERROR(__xludf.DUMMYFUNCTION("REGEXEXTRACT(A1004, ""\.(?:GOV|EXT)\.([A-Z0-9\-]+)"")
"),"SAD")</f>
        <v>SAD</v>
      </c>
      <c r="C1004" s="3" t="s">
        <v>34</v>
      </c>
      <c r="D1004" s="3" t="s">
        <v>1216</v>
      </c>
      <c r="E1004" s="14" t="str">
        <f ca="1">IFERROR(__xludf.DUMMYFUNCTION("REGEXEXTRACT(A1004, ""-(.*)"")"),"ARPC.0018.00.2024.GOV.SAD.PE")</f>
        <v>ARPC.0018.00.2024.GOV.SAD.PE</v>
      </c>
      <c r="F1004" s="6" t="s">
        <v>1349</v>
      </c>
      <c r="G1004" s="3"/>
      <c r="H1004" s="9">
        <v>45603</v>
      </c>
      <c r="I1004" s="3" t="s">
        <v>44</v>
      </c>
      <c r="J1004" s="3" t="str">
        <f>VLOOKUP(A1004,'TODOS OS PROCESSOS ATUALIZADOS '!A:I,7,0)</f>
        <v>Autorizada Sucesso</v>
      </c>
      <c r="K1004" s="3" t="s">
        <v>44</v>
      </c>
      <c r="L1004" s="3" t="str">
        <f t="shared" si="3"/>
        <v>Item atualizado</v>
      </c>
      <c r="M1004" s="3"/>
      <c r="N1004" s="3" t="s">
        <v>605</v>
      </c>
      <c r="O1004" s="3"/>
    </row>
    <row r="1005" spans="1:15" ht="22.5" customHeight="1" x14ac:dyDescent="0.2">
      <c r="A1005" s="3" t="s">
        <v>1795</v>
      </c>
      <c r="B1005" s="3" t="str">
        <f ca="1">IFERROR(__xludf.DUMMYFUNCTION("REGEXEXTRACT(A1005, ""\.(?:GOV|EXT)\.([A-Z0-9\-]+)"")
"),"FES-PE")</f>
        <v>FES-PE</v>
      </c>
      <c r="C1005" s="3" t="s">
        <v>34</v>
      </c>
      <c r="D1005" s="3" t="s">
        <v>1216</v>
      </c>
      <c r="E1005" s="14" t="str">
        <f ca="1">IFERROR(__xludf.DUMMYFUNCTION("REGEXEXTRACT(A1005, ""-(.*)"")"),"ARP.0083.04.2024.GOV.FES-PE.PE")</f>
        <v>ARP.0083.04.2024.GOV.FES-PE.PE</v>
      </c>
      <c r="F1005" s="6" t="s">
        <v>1365</v>
      </c>
      <c r="G1005" s="3"/>
      <c r="H1005" s="9">
        <v>45601</v>
      </c>
      <c r="I1005" s="3" t="s">
        <v>44</v>
      </c>
      <c r="J1005" s="3" t="str">
        <f>VLOOKUP(A1005,'TODOS OS PROCESSOS ATUALIZADOS '!A:I,7,0)</f>
        <v>Autorizada Sucesso</v>
      </c>
      <c r="K1005" s="3" t="s">
        <v>44</v>
      </c>
      <c r="L1005" s="3" t="str">
        <f t="shared" si="3"/>
        <v>Item atualizado</v>
      </c>
      <c r="M1005" s="3"/>
      <c r="N1005" s="3" t="s">
        <v>605</v>
      </c>
      <c r="O1005" s="3"/>
    </row>
    <row r="1006" spans="1:15" ht="22.5" customHeight="1" x14ac:dyDescent="0.2">
      <c r="A1006" s="3" t="s">
        <v>1796</v>
      </c>
      <c r="B1006" s="3" t="str">
        <f ca="1">IFERROR(__xludf.DUMMYFUNCTION("REGEXEXTRACT(A1006, ""\.(?:GOV|EXT)\.([A-Z0-9\-]+)"")
"),"FES-PE")</f>
        <v>FES-PE</v>
      </c>
      <c r="C1006" s="3" t="s">
        <v>34</v>
      </c>
      <c r="D1006" s="3" t="s">
        <v>1216</v>
      </c>
      <c r="E1006" s="14" t="str">
        <f ca="1">IFERROR(__xludf.DUMMYFUNCTION("REGEXEXTRACT(A1006, ""-(.*)"")"),"ARP.0038.02.2024.GOV.FES-PE.PE")</f>
        <v>ARP.0038.02.2024.GOV.FES-PE.PE</v>
      </c>
      <c r="F1006" s="3" t="s">
        <v>801</v>
      </c>
      <c r="G1006" s="3" t="s">
        <v>3</v>
      </c>
      <c r="H1006" s="9">
        <v>45594</v>
      </c>
      <c r="I1006" s="3" t="s">
        <v>37</v>
      </c>
      <c r="J1006" s="3" t="str">
        <f>VLOOKUP(A1006,'TODOS OS PROCESSOS ATUALIZADOS '!A:I,7,0)</f>
        <v>Cancelada</v>
      </c>
      <c r="K1006" s="3" t="s">
        <v>38</v>
      </c>
      <c r="L1006" s="3" t="str">
        <f t="shared" si="3"/>
        <v>Item não atualizado</v>
      </c>
      <c r="M1006" s="3"/>
      <c r="N1006" s="3" t="s">
        <v>605</v>
      </c>
      <c r="O1006" s="3"/>
    </row>
    <row r="1007" spans="1:15" ht="22.5" customHeight="1" x14ac:dyDescent="0.2">
      <c r="A1007" s="3" t="s">
        <v>1797</v>
      </c>
      <c r="B1007" s="3" t="str">
        <f ca="1">IFERROR(__xludf.DUMMYFUNCTION("REGEXEXTRACT(A1007, ""\.(?:GOV|EXT)\.([A-Z0-9\-]+)"")
"),"FES-PE")</f>
        <v>FES-PE</v>
      </c>
      <c r="C1007" s="3" t="s">
        <v>34</v>
      </c>
      <c r="D1007" s="3" t="s">
        <v>1216</v>
      </c>
      <c r="E1007" s="14" t="str">
        <f ca="1">IFERROR(__xludf.DUMMYFUNCTION("REGEXEXTRACT(A1007, ""-(.*)"")"),"ARP.0083.02.2024.GOV.FES-PE.PE")</f>
        <v>ARP.0083.02.2024.GOV.FES-PE.PE</v>
      </c>
      <c r="F1007" s="6" t="s">
        <v>1365</v>
      </c>
      <c r="G1007" s="3"/>
      <c r="H1007" s="9">
        <v>45590</v>
      </c>
      <c r="I1007" s="3" t="s">
        <v>44</v>
      </c>
      <c r="J1007" s="3" t="str">
        <f>VLOOKUP(A1007,'TODOS OS PROCESSOS ATUALIZADOS '!A:I,7,0)</f>
        <v>Autorizada Sucesso</v>
      </c>
      <c r="K1007" s="3" t="s">
        <v>44</v>
      </c>
      <c r="L1007" s="3" t="str">
        <f t="shared" si="3"/>
        <v>Item atualizado</v>
      </c>
      <c r="M1007" s="3"/>
      <c r="N1007" s="3" t="s">
        <v>605</v>
      </c>
      <c r="O1007" s="3"/>
    </row>
    <row r="1008" spans="1:15" ht="22.5" customHeight="1" x14ac:dyDescent="0.2">
      <c r="A1008" s="3" t="s">
        <v>1798</v>
      </c>
      <c r="B1008" s="3" t="str">
        <f ca="1">IFERROR(__xludf.DUMMYFUNCTION("REGEXEXTRACT(A1008, ""\.(?:GOV|EXT)\.([A-Z0-9\-]+)"")
"),"FES-PE")</f>
        <v>FES-PE</v>
      </c>
      <c r="C1008" s="3" t="s">
        <v>34</v>
      </c>
      <c r="D1008" s="3" t="s">
        <v>1216</v>
      </c>
      <c r="E1008" s="14" t="str">
        <f ca="1">IFERROR(__xludf.DUMMYFUNCTION("REGEXEXTRACT(A1008, ""-(.*)"")"),"ARP.0083.03.2024.GOV.FES-PE.PE")</f>
        <v>ARP.0083.03.2024.GOV.FES-PE.PE</v>
      </c>
      <c r="F1008" s="3" t="s">
        <v>1365</v>
      </c>
      <c r="G1008" s="3"/>
      <c r="H1008" s="9">
        <v>45590</v>
      </c>
      <c r="I1008" s="3" t="s">
        <v>37</v>
      </c>
      <c r="J1008" s="3" t="str">
        <f>VLOOKUP(A1008,'TODOS OS PROCESSOS ATUALIZADOS '!A:I,7,0)</f>
        <v>Cancelada</v>
      </c>
      <c r="K1008" s="3" t="s">
        <v>38</v>
      </c>
      <c r="L1008" s="3" t="str">
        <f t="shared" si="3"/>
        <v>Item não atualizado</v>
      </c>
      <c r="M1008" s="3"/>
      <c r="N1008" s="3" t="s">
        <v>605</v>
      </c>
      <c r="O1008" s="3"/>
    </row>
    <row r="1009" spans="1:15" ht="22.5" customHeight="1" x14ac:dyDescent="0.2">
      <c r="A1009" s="3" t="s">
        <v>1799</v>
      </c>
      <c r="B1009" s="3" t="str">
        <f ca="1">IFERROR(__xludf.DUMMYFUNCTION("REGEXEXTRACT(A1009, ""\.(?:GOV|EXT)\.([A-Z0-9\-]+)"")
"),"FES-PE")</f>
        <v>FES-PE</v>
      </c>
      <c r="C1009" s="3" t="s">
        <v>34</v>
      </c>
      <c r="D1009" s="3" t="s">
        <v>1216</v>
      </c>
      <c r="E1009" s="14" t="str">
        <f ca="1">IFERROR(__xludf.DUMMYFUNCTION("REGEXEXTRACT(A1009, ""-(.*)"")"),"ARP.0083.03.2024.GOV.FES-PE.PE")</f>
        <v>ARP.0083.03.2024.GOV.FES-PE.PE</v>
      </c>
      <c r="F1009" s="3" t="s">
        <v>1365</v>
      </c>
      <c r="G1009" s="3"/>
      <c r="H1009" s="9">
        <v>45590</v>
      </c>
      <c r="I1009" s="3" t="s">
        <v>37</v>
      </c>
      <c r="J1009" s="3" t="str">
        <f>VLOOKUP(A1009,'TODOS OS PROCESSOS ATUALIZADOS '!A:I,7,0)</f>
        <v>Cancelada</v>
      </c>
      <c r="K1009" s="3" t="s">
        <v>38</v>
      </c>
      <c r="L1009" s="3" t="str">
        <f t="shared" si="3"/>
        <v>Item não atualizado</v>
      </c>
      <c r="M1009" s="3"/>
      <c r="N1009" s="3" t="s">
        <v>605</v>
      </c>
      <c r="O1009" s="3"/>
    </row>
    <row r="1010" spans="1:15" ht="22.5" customHeight="1" x14ac:dyDescent="0.2">
      <c r="A1010" s="3" t="s">
        <v>1800</v>
      </c>
      <c r="B1010" s="3" t="str">
        <f ca="1">IFERROR(__xludf.DUMMYFUNCTION("REGEXEXTRACT(A1010, ""\.(?:GOV|EXT)\.([A-Z0-9\-]+)"")
"),"FES-PE")</f>
        <v>FES-PE</v>
      </c>
      <c r="C1010" s="3" t="s">
        <v>34</v>
      </c>
      <c r="D1010" s="3" t="s">
        <v>1216</v>
      </c>
      <c r="E1010" s="14" t="str">
        <f ca="1">IFERROR(__xludf.DUMMYFUNCTION("REGEXEXTRACT(A1010, ""-(.*)"")"),"ARP.0083.05.2024.GOV.FES-PE.PE")</f>
        <v>ARP.0083.05.2024.GOV.FES-PE.PE</v>
      </c>
      <c r="F1010" s="3" t="s">
        <v>1365</v>
      </c>
      <c r="G1010" s="3" t="s">
        <v>3</v>
      </c>
      <c r="H1010" s="9">
        <v>45590</v>
      </c>
      <c r="I1010" s="3" t="s">
        <v>37</v>
      </c>
      <c r="J1010" s="3" t="str">
        <f>VLOOKUP(A1010,'TODOS OS PROCESSOS ATUALIZADOS '!A:I,7,0)</f>
        <v>Cancelada</v>
      </c>
      <c r="K1010" s="3" t="s">
        <v>38</v>
      </c>
      <c r="L1010" s="3" t="str">
        <f t="shared" si="3"/>
        <v>Item não atualizado</v>
      </c>
      <c r="M1010" s="3"/>
      <c r="N1010" s="3" t="s">
        <v>605</v>
      </c>
      <c r="O1010" s="3"/>
    </row>
    <row r="1011" spans="1:15" ht="22.5" customHeight="1" x14ac:dyDescent="0.2">
      <c r="A1011" s="3" t="s">
        <v>1801</v>
      </c>
      <c r="B1011" s="3" t="str">
        <f ca="1">IFERROR(__xludf.DUMMYFUNCTION("REGEXEXTRACT(A1011, ""\.(?:GOV|EXT)\.([A-Z0-9\-]+)"")
"),"CISAM")</f>
        <v>CISAM</v>
      </c>
      <c r="C1011" s="3" t="s">
        <v>34</v>
      </c>
      <c r="D1011" s="3" t="s">
        <v>1216</v>
      </c>
      <c r="E1011" s="14" t="str">
        <f ca="1">IFERROR(__xludf.DUMMYFUNCTION("REGEXEXTRACT(A1011, ""-(.*)"")"),"ARP.0065.00.2024.GOV.CISAM.PE")</f>
        <v>ARP.0065.00.2024.GOV.CISAM.PE</v>
      </c>
      <c r="F1011" s="3" t="s">
        <v>311</v>
      </c>
      <c r="G1011" s="3"/>
      <c r="H1011" s="9">
        <v>45586</v>
      </c>
      <c r="I1011" s="3" t="s">
        <v>37</v>
      </c>
      <c r="J1011" s="3" t="str">
        <f>VLOOKUP(A1011,'TODOS OS PROCESSOS ATUALIZADOS '!A:I,7,0)</f>
        <v>Cancelada por fim vigencia ATA</v>
      </c>
      <c r="K1011" s="3" t="s">
        <v>38</v>
      </c>
      <c r="L1011" s="3" t="str">
        <f t="shared" si="3"/>
        <v>Item atualizado</v>
      </c>
      <c r="M1011" s="3"/>
      <c r="N1011" s="3" t="s">
        <v>605</v>
      </c>
      <c r="O1011" s="3"/>
    </row>
    <row r="1012" spans="1:15" ht="22.5" customHeight="1" x14ac:dyDescent="0.2">
      <c r="A1012" s="3" t="s">
        <v>1802</v>
      </c>
      <c r="B1012" s="3" t="str">
        <f ca="1">IFERROR(__xludf.DUMMYFUNCTION("REGEXEXTRACT(A1012, ""\.(?:GOV|EXT)\.([A-Z0-9\-]+)"")
"),"SAD")</f>
        <v>SAD</v>
      </c>
      <c r="C1012" s="3" t="s">
        <v>34</v>
      </c>
      <c r="D1012" s="3" t="s">
        <v>1216</v>
      </c>
      <c r="E1012" s="14" t="str">
        <f ca="1">IFERROR(__xludf.DUMMYFUNCTION("REGEXEXTRACT(A1012, ""-(.*)"")"),"ARPC.0021.00.2024.GOV.SAD.PE")</f>
        <v>ARPC.0021.00.2024.GOV.SAD.PE</v>
      </c>
      <c r="F1012" s="3" t="s">
        <v>1803</v>
      </c>
      <c r="G1012" s="3"/>
      <c r="H1012" s="9">
        <v>45583</v>
      </c>
      <c r="I1012" s="3" t="s">
        <v>37</v>
      </c>
      <c r="J1012" s="3" t="str">
        <f>VLOOKUP(A1012,'TODOS OS PROCESSOS ATUALIZADOS '!A:I,7,0)</f>
        <v>Cancelada por fim vigencia ATA</v>
      </c>
      <c r="K1012" s="3" t="s">
        <v>38</v>
      </c>
      <c r="L1012" s="3" t="str">
        <f t="shared" si="3"/>
        <v>Item atualizado</v>
      </c>
      <c r="M1012" s="3"/>
      <c r="N1012" s="3" t="s">
        <v>605</v>
      </c>
      <c r="O1012" s="3"/>
    </row>
    <row r="1013" spans="1:15" ht="22.5" customHeight="1" x14ac:dyDescent="0.2">
      <c r="A1013" s="3" t="s">
        <v>1804</v>
      </c>
      <c r="B1013" s="3" t="str">
        <f ca="1">IFERROR(__xludf.DUMMYFUNCTION("REGEXEXTRACT(A1013, ""\.(?:GOV|EXT)\.([A-Z0-9\-]+)"")
"),"FES-PE")</f>
        <v>FES-PE</v>
      </c>
      <c r="C1013" s="3" t="s">
        <v>34</v>
      </c>
      <c r="D1013" s="3" t="s">
        <v>1216</v>
      </c>
      <c r="E1013" s="14" t="str">
        <f ca="1">IFERROR(__xludf.DUMMYFUNCTION("REGEXEXTRACT(A1013, ""-(.*)"")"),"ARP.0065.01.2024.GOV.FES-PE.PE")</f>
        <v>ARP.0065.01.2024.GOV.FES-PE.PE</v>
      </c>
      <c r="F1013" s="6" t="s">
        <v>1805</v>
      </c>
      <c r="G1013" s="3"/>
      <c r="H1013" s="9">
        <v>45582</v>
      </c>
      <c r="I1013" s="3" t="s">
        <v>44</v>
      </c>
      <c r="J1013" s="3" t="str">
        <f>VLOOKUP(A1013,'TODOS OS PROCESSOS ATUALIZADOS '!A:I,7,0)</f>
        <v>Autorizada Sucesso</v>
      </c>
      <c r="K1013" s="3" t="s">
        <v>44</v>
      </c>
      <c r="L1013" s="3" t="str">
        <f t="shared" si="3"/>
        <v>Item atualizado</v>
      </c>
      <c r="M1013" s="3"/>
      <c r="N1013" s="3" t="s">
        <v>605</v>
      </c>
      <c r="O1013" s="3"/>
    </row>
    <row r="1014" spans="1:15" ht="22.5" customHeight="1" x14ac:dyDescent="0.2">
      <c r="A1014" s="3" t="s">
        <v>1806</v>
      </c>
      <c r="B1014" s="3" t="str">
        <f ca="1">IFERROR(__xludf.DUMMYFUNCTION("REGEXEXTRACT(A1014, ""\.(?:GOV|EXT)\.([A-Z0-9\-]+)"")
"),"#N/A")</f>
        <v>#N/A</v>
      </c>
      <c r="C1014" s="3" t="s">
        <v>34</v>
      </c>
      <c r="D1014" s="3" t="s">
        <v>1216</v>
      </c>
      <c r="E1014" s="14" t="str">
        <f ca="1">IFERROR(__xludf.DUMMYFUNCTION("REGEXEXTRACT(A1014, ""-(.*)"")"),"ARP.0001.00.2024.FES-PE.PE")</f>
        <v>ARP.0001.00.2024.FES-PE.PE</v>
      </c>
      <c r="F1014" s="6" t="s">
        <v>1248</v>
      </c>
      <c r="G1014" s="3"/>
      <c r="H1014" s="9">
        <v>45580</v>
      </c>
      <c r="I1014" s="3" t="s">
        <v>44</v>
      </c>
      <c r="J1014" s="3" t="str">
        <f>VLOOKUP(A1014,'TODOS OS PROCESSOS ATUALIZADOS '!A:I,7,0)</f>
        <v>Autorizada Sucesso</v>
      </c>
      <c r="K1014" s="3" t="s">
        <v>44</v>
      </c>
      <c r="L1014" s="3" t="str">
        <f t="shared" si="3"/>
        <v>Item atualizado</v>
      </c>
      <c r="M1014" s="3"/>
      <c r="N1014" s="3" t="s">
        <v>605</v>
      </c>
      <c r="O1014" s="3"/>
    </row>
    <row r="1015" spans="1:15" ht="22.5" customHeight="1" x14ac:dyDescent="0.2">
      <c r="A1015" s="3" t="s">
        <v>1807</v>
      </c>
      <c r="B1015" s="3" t="str">
        <f ca="1">IFERROR(__xludf.DUMMYFUNCTION("REGEXEXTRACT(A1015, ""\.(?:GOV|EXT)\.([A-Z0-9\-]+)"")
"),"SAD")</f>
        <v>SAD</v>
      </c>
      <c r="C1015" s="3" t="s">
        <v>34</v>
      </c>
      <c r="D1015" s="3" t="s">
        <v>1216</v>
      </c>
      <c r="E1015" s="14" t="str">
        <f ca="1">IFERROR(__xludf.DUMMYFUNCTION("REGEXEXTRACT(A1015, ""-(.*)"")"),"ARPC.0006.00.2024.GOV.SAD.PE")</f>
        <v>ARPC.0006.00.2024.GOV.SAD.PE</v>
      </c>
      <c r="F1015" s="6" t="s">
        <v>1658</v>
      </c>
      <c r="G1015" s="3"/>
      <c r="H1015" s="9">
        <v>45579</v>
      </c>
      <c r="I1015" s="3" t="s">
        <v>44</v>
      </c>
      <c r="J1015" s="3" t="str">
        <f>VLOOKUP(A1015,'TODOS OS PROCESSOS ATUALIZADOS '!A:I,7,0)</f>
        <v>Autorizada Sucesso</v>
      </c>
      <c r="K1015" s="3" t="s">
        <v>44</v>
      </c>
      <c r="L1015" s="3" t="str">
        <f t="shared" si="3"/>
        <v>Item atualizado</v>
      </c>
      <c r="M1015" s="3"/>
      <c r="N1015" s="3" t="s">
        <v>605</v>
      </c>
      <c r="O1015" s="3"/>
    </row>
    <row r="1016" spans="1:15" ht="22.5" customHeight="1" x14ac:dyDescent="0.2">
      <c r="A1016" s="3" t="s">
        <v>1808</v>
      </c>
      <c r="B1016" s="3" t="str">
        <f ca="1">IFERROR(__xludf.DUMMYFUNCTION("REGEXEXTRACT(A1016, ""\.(?:GOV|EXT)\.([A-Z0-9\-]+)"")
"),"FES-PE")</f>
        <v>FES-PE</v>
      </c>
      <c r="C1016" s="3" t="s">
        <v>34</v>
      </c>
      <c r="D1016" s="3" t="s">
        <v>1216</v>
      </c>
      <c r="E1016" s="14" t="str">
        <f ca="1">IFERROR(__xludf.DUMMYFUNCTION("REGEXEXTRACT(A1016, ""-(.*)"")"),"ARP.0018.01.2024.GOV.FES-PE.PE")</f>
        <v>ARP.0018.01.2024.GOV.FES-PE.PE</v>
      </c>
      <c r="F1016" s="6" t="s">
        <v>737</v>
      </c>
      <c r="G1016" s="3"/>
      <c r="H1016" s="9">
        <v>45576</v>
      </c>
      <c r="I1016" s="3" t="s">
        <v>44</v>
      </c>
      <c r="J1016" s="3" t="str">
        <f>VLOOKUP(A1016,'TODOS OS PROCESSOS ATUALIZADOS '!A:I,7,0)</f>
        <v>Autorizada Sucesso</v>
      </c>
      <c r="K1016" s="3" t="s">
        <v>44</v>
      </c>
      <c r="L1016" s="3" t="str">
        <f t="shared" si="3"/>
        <v>Item atualizado</v>
      </c>
      <c r="M1016" s="3"/>
      <c r="N1016" s="3" t="s">
        <v>605</v>
      </c>
      <c r="O1016" s="3"/>
    </row>
    <row r="1017" spans="1:15" ht="22.5" customHeight="1" x14ac:dyDescent="0.2">
      <c r="A1017" s="3" t="s">
        <v>1809</v>
      </c>
      <c r="B1017" s="3" t="str">
        <f ca="1">IFERROR(__xludf.DUMMYFUNCTION("REGEXEXTRACT(A1017, ""\.(?:GOV|EXT)\.([A-Z0-9\-]+)"")
"),"UPECMN")</f>
        <v>UPECMN</v>
      </c>
      <c r="C1017" s="3" t="s">
        <v>34</v>
      </c>
      <c r="D1017" s="3" t="s">
        <v>1216</v>
      </c>
      <c r="E1017" s="14" t="str">
        <f ca="1">IFERROR(__xludf.DUMMYFUNCTION("REGEXEXTRACT(A1017, ""-(.*)"")"),"ARP.0005.00.2024.GOV.UPECMN.PE")</f>
        <v>ARP.0005.00.2024.GOV.UPECMN.PE</v>
      </c>
      <c r="F1017" s="6" t="s">
        <v>714</v>
      </c>
      <c r="G1017" s="3"/>
      <c r="H1017" s="9">
        <v>45575</v>
      </c>
      <c r="I1017" s="3" t="s">
        <v>44</v>
      </c>
      <c r="J1017" s="3" t="str">
        <f>VLOOKUP(A1017,'TODOS OS PROCESSOS ATUALIZADOS '!A:I,7,0)</f>
        <v>Autorizada Sucesso</v>
      </c>
      <c r="K1017" s="3" t="s">
        <v>44</v>
      </c>
      <c r="L1017" s="3" t="str">
        <f t="shared" si="3"/>
        <v>Item atualizado</v>
      </c>
      <c r="M1017" s="3"/>
      <c r="N1017" s="3" t="s">
        <v>605</v>
      </c>
      <c r="O1017" s="3"/>
    </row>
    <row r="1018" spans="1:15" ht="22.5" customHeight="1" x14ac:dyDescent="0.2">
      <c r="A1018" s="3" t="s">
        <v>1810</v>
      </c>
      <c r="B1018" s="3" t="str">
        <f ca="1">IFERROR(__xludf.DUMMYFUNCTION("REGEXEXTRACT(A1018, ""\.(?:GOV|EXT)\.([A-Z0-9\-]+)"")
"),"FES-PE")</f>
        <v>FES-PE</v>
      </c>
      <c r="C1018" s="3" t="s">
        <v>34</v>
      </c>
      <c r="D1018" s="3" t="s">
        <v>1216</v>
      </c>
      <c r="E1018" s="14" t="str">
        <f ca="1">IFERROR(__xludf.DUMMYFUNCTION("REGEXEXTRACT(A1018, ""-(.*)"")"),"ARP.0024.00.2024.GOV.FES-PE.PE")</f>
        <v>ARP.0024.00.2024.GOV.FES-PE.PE</v>
      </c>
      <c r="F1018" s="3" t="s">
        <v>1762</v>
      </c>
      <c r="G1018" s="3"/>
      <c r="H1018" s="9">
        <v>45575</v>
      </c>
      <c r="I1018" s="3" t="s">
        <v>37</v>
      </c>
      <c r="J1018" s="3" t="str">
        <f>VLOOKUP(A1018,'TODOS OS PROCESSOS ATUALIZADOS '!A:I,7,0)</f>
        <v>Cancelada</v>
      </c>
      <c r="K1018" s="3" t="s">
        <v>38</v>
      </c>
      <c r="L1018" s="3" t="str">
        <f t="shared" si="3"/>
        <v>Item não atualizado</v>
      </c>
      <c r="M1018" s="3"/>
      <c r="N1018" s="3" t="s">
        <v>605</v>
      </c>
      <c r="O1018" s="3"/>
    </row>
    <row r="1019" spans="1:15" ht="22.5" customHeight="1" x14ac:dyDescent="0.2">
      <c r="A1019" s="3" t="s">
        <v>1811</v>
      </c>
      <c r="B1019" s="3" t="str">
        <f ca="1">IFERROR(__xludf.DUMMYFUNCTION("REGEXEXTRACT(A1019, ""\.(?:GOV|EXT)\.([A-Z0-9\-]+)"")
"),"FES-PE")</f>
        <v>FES-PE</v>
      </c>
      <c r="C1019" s="3" t="s">
        <v>34</v>
      </c>
      <c r="D1019" s="3" t="s">
        <v>1216</v>
      </c>
      <c r="E1019" s="14" t="str">
        <f ca="1">IFERROR(__xludf.DUMMYFUNCTION("REGEXEXTRACT(A1019, ""-(.*)"")"),"ARP.0075.01.2024.GOV.FES-PE.PE")</f>
        <v>ARP.0075.01.2024.GOV.FES-PE.PE</v>
      </c>
      <c r="F1019" s="6" t="s">
        <v>1384</v>
      </c>
      <c r="G1019" s="3"/>
      <c r="H1019" s="9">
        <v>45574</v>
      </c>
      <c r="I1019" s="3" t="s">
        <v>44</v>
      </c>
      <c r="J1019" s="3" t="str">
        <f>VLOOKUP(A1019,'TODOS OS PROCESSOS ATUALIZADOS '!A:I,7,0)</f>
        <v>Autorizada Sucesso</v>
      </c>
      <c r="K1019" s="3" t="s">
        <v>44</v>
      </c>
      <c r="L1019" s="3" t="str">
        <f t="shared" si="3"/>
        <v>Item atualizado</v>
      </c>
      <c r="M1019" s="3"/>
      <c r="N1019" s="3" t="s">
        <v>605</v>
      </c>
      <c r="O1019" s="3"/>
    </row>
    <row r="1020" spans="1:15" ht="22.5" customHeight="1" x14ac:dyDescent="0.2">
      <c r="A1020" s="3" t="s">
        <v>1812</v>
      </c>
      <c r="B1020" s="3" t="str">
        <f ca="1">IFERROR(__xludf.DUMMYFUNCTION("REGEXEXTRACT(A1020, ""\.(?:GOV|EXT)\.([A-Z0-9\-]+)"")
"),"FES-PE")</f>
        <v>FES-PE</v>
      </c>
      <c r="C1020" s="3" t="s">
        <v>34</v>
      </c>
      <c r="D1020" s="3" t="s">
        <v>1216</v>
      </c>
      <c r="E1020" s="14" t="str">
        <f ca="1">IFERROR(__xludf.DUMMYFUNCTION("REGEXEXTRACT(A1020, ""-(.*)"")"),"ARP.0075.01.2024.GOV.FES-PE.PE")</f>
        <v>ARP.0075.01.2024.GOV.FES-PE.PE</v>
      </c>
      <c r="F1020" s="6" t="s">
        <v>1384</v>
      </c>
      <c r="G1020" s="3"/>
      <c r="H1020" s="9">
        <v>45574</v>
      </c>
      <c r="I1020" s="3" t="s">
        <v>44</v>
      </c>
      <c r="J1020" s="3" t="str">
        <f>VLOOKUP(A1020,'TODOS OS PROCESSOS ATUALIZADOS '!A:I,7,0)</f>
        <v>Autorizada Sucesso</v>
      </c>
      <c r="K1020" s="3" t="s">
        <v>44</v>
      </c>
      <c r="L1020" s="3" t="str">
        <f t="shared" si="3"/>
        <v>Item atualizado</v>
      </c>
      <c r="M1020" s="3"/>
      <c r="N1020" s="3" t="s">
        <v>605</v>
      </c>
      <c r="O1020" s="3"/>
    </row>
    <row r="1021" spans="1:15" ht="22.5" customHeight="1" x14ac:dyDescent="0.2">
      <c r="A1021" s="3" t="s">
        <v>1813</v>
      </c>
      <c r="B1021" s="3" t="str">
        <f ca="1">IFERROR(__xludf.DUMMYFUNCTION("REGEXEXTRACT(A1021, ""\.(?:GOV|EXT)\.([A-Z0-9\-]+)"")
"),"FES-PE")</f>
        <v>FES-PE</v>
      </c>
      <c r="C1021" s="3" t="s">
        <v>34</v>
      </c>
      <c r="D1021" s="3" t="s">
        <v>1216</v>
      </c>
      <c r="E1021" s="14" t="str">
        <f ca="1">IFERROR(__xludf.DUMMYFUNCTION("REGEXEXTRACT(A1021, ""-(.*)"")"),"ARP.0022.01.2024.GOV.FES-PE.PE")</f>
        <v>ARP.0022.01.2024.GOV.FES-PE.PE</v>
      </c>
      <c r="F1021" s="6" t="s">
        <v>1814</v>
      </c>
      <c r="G1021" s="3"/>
      <c r="H1021" s="9">
        <v>45572</v>
      </c>
      <c r="I1021" s="3" t="s">
        <v>44</v>
      </c>
      <c r="J1021" s="3" t="str">
        <f>VLOOKUP(A1021,'TODOS OS PROCESSOS ATUALIZADOS '!A:I,7,0)</f>
        <v>Autorizada Sucesso</v>
      </c>
      <c r="K1021" s="3" t="s">
        <v>44</v>
      </c>
      <c r="L1021" s="3" t="str">
        <f t="shared" si="3"/>
        <v>Item atualizado</v>
      </c>
      <c r="M1021" s="3"/>
      <c r="N1021" s="3" t="s">
        <v>605</v>
      </c>
      <c r="O1021" s="3"/>
    </row>
    <row r="1022" spans="1:15" ht="22.5" customHeight="1" x14ac:dyDescent="0.2">
      <c r="A1022" s="3" t="s">
        <v>1815</v>
      </c>
      <c r="B1022" s="3" t="str">
        <f ca="1">IFERROR(__xludf.DUMMYFUNCTION("REGEXEXTRACT(A1022, ""\.(?:GOV|EXT)\.([A-Z0-9\-]+)"")
"),"FES-PE")</f>
        <v>FES-PE</v>
      </c>
      <c r="C1022" s="3" t="s">
        <v>34</v>
      </c>
      <c r="D1022" s="3" t="s">
        <v>1216</v>
      </c>
      <c r="E1022" s="14" t="str">
        <f ca="1">IFERROR(__xludf.DUMMYFUNCTION("REGEXEXTRACT(A1022, ""-(.*)"")"),"ARP.0031.16.2024.GOV.FES-PE.PE")</f>
        <v>ARP.0031.16.2024.GOV.FES-PE.PE</v>
      </c>
      <c r="F1022" s="6" t="s">
        <v>1646</v>
      </c>
      <c r="G1022" s="3"/>
      <c r="H1022" s="9">
        <v>45569</v>
      </c>
      <c r="I1022" s="3" t="s">
        <v>44</v>
      </c>
      <c r="J1022" s="3" t="str">
        <f>VLOOKUP(A1022,'TODOS OS PROCESSOS ATUALIZADOS '!A:I,7,0)</f>
        <v>Autorizada Sucesso</v>
      </c>
      <c r="K1022" s="3" t="s">
        <v>44</v>
      </c>
      <c r="L1022" s="3" t="str">
        <f t="shared" ref="L1022:L1249" si="4">IFERROR(IF(J1022=I1022, "Item não atualizado", "Item atualizado"), "Item não localizado")</f>
        <v>Item atualizado</v>
      </c>
      <c r="M1022" s="3"/>
      <c r="N1022" s="3" t="s">
        <v>605</v>
      </c>
      <c r="O1022" s="3"/>
    </row>
    <row r="1023" spans="1:15" ht="22.5" customHeight="1" x14ac:dyDescent="0.2">
      <c r="A1023" s="3" t="s">
        <v>1816</v>
      </c>
      <c r="B1023" s="3" t="str">
        <f ca="1">IFERROR(__xludf.DUMMYFUNCTION("REGEXEXTRACT(A1023, ""\.(?:GOV|EXT)\.([A-Z0-9\-]+)"")
"),"FES-PE")</f>
        <v>FES-PE</v>
      </c>
      <c r="C1023" s="3" t="s">
        <v>34</v>
      </c>
      <c r="D1023" s="3" t="s">
        <v>1216</v>
      </c>
      <c r="E1023" s="14" t="str">
        <f ca="1">IFERROR(__xludf.DUMMYFUNCTION("REGEXEXTRACT(A1023, ""-(.*)"")"),"ARP.0031.16.2024.GOV.FES-PE.PE")</f>
        <v>ARP.0031.16.2024.GOV.FES-PE.PE</v>
      </c>
      <c r="F1023" s="3" t="s">
        <v>1646</v>
      </c>
      <c r="G1023" s="3" t="s">
        <v>3</v>
      </c>
      <c r="H1023" s="9">
        <v>45568</v>
      </c>
      <c r="I1023" s="3" t="s">
        <v>37</v>
      </c>
      <c r="J1023" s="3" t="str">
        <f>VLOOKUP(A1023,'TODOS OS PROCESSOS ATUALIZADOS '!A:I,7,0)</f>
        <v>Cancelada</v>
      </c>
      <c r="K1023" s="3" t="s">
        <v>38</v>
      </c>
      <c r="L1023" s="3" t="str">
        <f t="shared" si="4"/>
        <v>Item não atualizado</v>
      </c>
      <c r="M1023" s="3"/>
      <c r="N1023" s="3" t="s">
        <v>605</v>
      </c>
      <c r="O1023" s="3"/>
    </row>
    <row r="1024" spans="1:15" ht="22.5" customHeight="1" x14ac:dyDescent="0.2">
      <c r="A1024" s="3" t="s">
        <v>1817</v>
      </c>
      <c r="B1024" s="3" t="str">
        <f ca="1">IFERROR(__xludf.DUMMYFUNCTION("REGEXEXTRACT(A1024, ""\.(?:GOV|EXT)\.([A-Z0-9\-]+)"")
"),"FES-PE")</f>
        <v>FES-PE</v>
      </c>
      <c r="C1024" s="3" t="s">
        <v>34</v>
      </c>
      <c r="D1024" s="3" t="s">
        <v>1216</v>
      </c>
      <c r="E1024" s="14" t="str">
        <f ca="1">IFERROR(__xludf.DUMMYFUNCTION("REGEXEXTRACT(A1024, ""-(.*)"")"),"ARP.0031.16.2024.GOV.FES-PE.PE")</f>
        <v>ARP.0031.16.2024.GOV.FES-PE.PE</v>
      </c>
      <c r="F1024" s="3" t="s">
        <v>1646</v>
      </c>
      <c r="G1024" s="3"/>
      <c r="H1024" s="9">
        <v>45568</v>
      </c>
      <c r="I1024" s="3" t="s">
        <v>37</v>
      </c>
      <c r="J1024" s="3" t="str">
        <f>VLOOKUP(A1024,'TODOS OS PROCESSOS ATUALIZADOS '!A:I,7,0)</f>
        <v>Cancelada</v>
      </c>
      <c r="K1024" s="3" t="s">
        <v>38</v>
      </c>
      <c r="L1024" s="3" t="str">
        <f t="shared" si="4"/>
        <v>Item não atualizado</v>
      </c>
      <c r="M1024" s="3"/>
      <c r="N1024" s="3" t="s">
        <v>605</v>
      </c>
      <c r="O1024" s="3"/>
    </row>
    <row r="1025" spans="1:15" ht="22.5" customHeight="1" x14ac:dyDescent="0.2">
      <c r="A1025" s="3" t="s">
        <v>1818</v>
      </c>
      <c r="B1025" s="3" t="str">
        <f ca="1">IFERROR(__xludf.DUMMYFUNCTION("REGEXEXTRACT(A1025, ""\.(?:GOV|EXT)\.([A-Z0-9\-]+)"")
"),"FES-PE")</f>
        <v>FES-PE</v>
      </c>
      <c r="C1025" s="3" t="s">
        <v>34</v>
      </c>
      <c r="D1025" s="3" t="s">
        <v>1216</v>
      </c>
      <c r="E1025" s="14" t="str">
        <f ca="1">IFERROR(__xludf.DUMMYFUNCTION("REGEXEXTRACT(A1025, ""-(.*)"")"),"ARP.0031.16.2024.GOV.FES-PE.PE")</f>
        <v>ARP.0031.16.2024.GOV.FES-PE.PE</v>
      </c>
      <c r="F1025" s="3" t="s">
        <v>1646</v>
      </c>
      <c r="G1025" s="3"/>
      <c r="H1025" s="9">
        <v>45568</v>
      </c>
      <c r="I1025" s="3" t="s">
        <v>37</v>
      </c>
      <c r="J1025" s="3" t="str">
        <f>VLOOKUP(A1025,'TODOS OS PROCESSOS ATUALIZADOS '!A:I,7,0)</f>
        <v>Cancelada</v>
      </c>
      <c r="K1025" s="3" t="s">
        <v>38</v>
      </c>
      <c r="L1025" s="3" t="str">
        <f t="shared" si="4"/>
        <v>Item não atualizado</v>
      </c>
      <c r="M1025" s="3"/>
      <c r="N1025" s="3" t="s">
        <v>605</v>
      </c>
      <c r="O1025" s="3"/>
    </row>
    <row r="1026" spans="1:15" ht="22.5" customHeight="1" x14ac:dyDescent="0.2">
      <c r="A1026" s="3" t="s">
        <v>1819</v>
      </c>
      <c r="B1026" s="3" t="str">
        <f ca="1">IFERROR(__xludf.DUMMYFUNCTION("REGEXEXTRACT(A1026, ""\.(?:GOV|EXT)\.([A-Z0-9\-]+)"")
"),"FES-PE")</f>
        <v>FES-PE</v>
      </c>
      <c r="C1026" s="3" t="s">
        <v>34</v>
      </c>
      <c r="D1026" s="3" t="s">
        <v>1216</v>
      </c>
      <c r="E1026" s="14" t="str">
        <f ca="1">IFERROR(__xludf.DUMMYFUNCTION("REGEXEXTRACT(A1026, ""-(.*)"")"),"ARP.0034.01.2024.GOV.FES-PE.PE")</f>
        <v>ARP.0034.01.2024.GOV.FES-PE.PE</v>
      </c>
      <c r="F1026" s="3" t="s">
        <v>691</v>
      </c>
      <c r="G1026" s="3"/>
      <c r="H1026" s="9">
        <v>45568</v>
      </c>
      <c r="I1026" s="3" t="s">
        <v>37</v>
      </c>
      <c r="J1026" s="3" t="str">
        <f>VLOOKUP(A1026,'TODOS OS PROCESSOS ATUALIZADOS '!A:I,7,0)</f>
        <v>Cancelada</v>
      </c>
      <c r="K1026" s="3" t="s">
        <v>38</v>
      </c>
      <c r="L1026" s="3" t="str">
        <f t="shared" si="4"/>
        <v>Item não atualizado</v>
      </c>
      <c r="M1026" s="3"/>
      <c r="N1026" s="3" t="s">
        <v>605</v>
      </c>
      <c r="O1026" s="3"/>
    </row>
    <row r="1027" spans="1:15" ht="22.5" customHeight="1" x14ac:dyDescent="0.2">
      <c r="A1027" s="3" t="s">
        <v>1820</v>
      </c>
      <c r="B1027" s="3" t="str">
        <f ca="1">IFERROR(__xludf.DUMMYFUNCTION("REGEXEXTRACT(A1027, ""\.(?:GOV|EXT)\.([A-Z0-9\-]+)"")
"),"CISAM")</f>
        <v>CISAM</v>
      </c>
      <c r="C1027" s="3" t="s">
        <v>34</v>
      </c>
      <c r="D1027" s="3" t="s">
        <v>1216</v>
      </c>
      <c r="E1027" s="14" t="str">
        <f ca="1">IFERROR(__xludf.DUMMYFUNCTION("REGEXEXTRACT(A1027, ""-(.*)"")"),"ARP.0063.05.2024.GOV.CISAM.PE")</f>
        <v>ARP.0063.05.2024.GOV.CISAM.PE</v>
      </c>
      <c r="F1027" s="3" t="s">
        <v>1321</v>
      </c>
      <c r="G1027" s="3"/>
      <c r="H1027" s="9">
        <v>45568</v>
      </c>
      <c r="I1027" s="3" t="s">
        <v>37</v>
      </c>
      <c r="J1027" s="3" t="str">
        <f>VLOOKUP(A1027,'TODOS OS PROCESSOS ATUALIZADOS '!A:I,7,0)</f>
        <v>Cancelada</v>
      </c>
      <c r="K1027" s="3" t="s">
        <v>38</v>
      </c>
      <c r="L1027" s="3" t="str">
        <f t="shared" si="4"/>
        <v>Item não atualizado</v>
      </c>
      <c r="M1027" s="3"/>
      <c r="N1027" s="3" t="s">
        <v>605</v>
      </c>
      <c r="O1027" s="3"/>
    </row>
    <row r="1028" spans="1:15" ht="22.5" customHeight="1" x14ac:dyDescent="0.2">
      <c r="A1028" s="3" t="s">
        <v>1821</v>
      </c>
      <c r="B1028" s="3" t="str">
        <f ca="1">IFERROR(__xludf.DUMMYFUNCTION("REGEXEXTRACT(A1028, ""\.(?:GOV|EXT)\.([A-Z0-9\-]+)"")
"),"FES-PE")</f>
        <v>FES-PE</v>
      </c>
      <c r="C1028" s="3" t="s">
        <v>34</v>
      </c>
      <c r="D1028" s="3" t="s">
        <v>1216</v>
      </c>
      <c r="E1028" s="14" t="str">
        <f ca="1">IFERROR(__xludf.DUMMYFUNCTION("REGEXEXTRACT(A1028, ""-(.*)"")"),"ARP.0031.16.2024.GOV.FES-PE.PE")</f>
        <v>ARP.0031.16.2024.GOV.FES-PE.PE</v>
      </c>
      <c r="F1028" s="3" t="s">
        <v>1646</v>
      </c>
      <c r="G1028" s="3"/>
      <c r="H1028" s="9">
        <v>45568</v>
      </c>
      <c r="I1028" s="3" t="s">
        <v>37</v>
      </c>
      <c r="J1028" s="3" t="str">
        <f>VLOOKUP(A1028,'TODOS OS PROCESSOS ATUALIZADOS '!A:I,7,0)</f>
        <v>Cancelada</v>
      </c>
      <c r="K1028" s="3" t="s">
        <v>38</v>
      </c>
      <c r="L1028" s="3" t="str">
        <f t="shared" si="4"/>
        <v>Item não atualizado</v>
      </c>
      <c r="M1028" s="3"/>
      <c r="N1028" s="3" t="s">
        <v>605</v>
      </c>
      <c r="O1028" s="3"/>
    </row>
    <row r="1029" spans="1:15" ht="22.5" customHeight="1" x14ac:dyDescent="0.2">
      <c r="A1029" s="3" t="s">
        <v>1822</v>
      </c>
      <c r="B1029" s="3" t="str">
        <f ca="1">IFERROR(__xludf.DUMMYFUNCTION("REGEXEXTRACT(A1029, ""\.(?:GOV|EXT)\.([A-Z0-9\-]+)"")
"),"FES-PE")</f>
        <v>FES-PE</v>
      </c>
      <c r="C1029" s="3" t="s">
        <v>34</v>
      </c>
      <c r="D1029" s="3" t="s">
        <v>1216</v>
      </c>
      <c r="E1029" s="14" t="str">
        <f ca="1">IFERROR(__xludf.DUMMYFUNCTION("REGEXEXTRACT(A1029, ""-(.*)"")"),"ARP.0031.16.2024.GOV.FES-PE.PE")</f>
        <v>ARP.0031.16.2024.GOV.FES-PE.PE</v>
      </c>
      <c r="F1029" s="3" t="s">
        <v>1646</v>
      </c>
      <c r="G1029" s="3"/>
      <c r="H1029" s="9">
        <v>45568</v>
      </c>
      <c r="I1029" s="3" t="s">
        <v>37</v>
      </c>
      <c r="J1029" s="3" t="str">
        <f>VLOOKUP(A1029,'TODOS OS PROCESSOS ATUALIZADOS '!A:I,7,0)</f>
        <v>Cancelada</v>
      </c>
      <c r="K1029" s="3" t="s">
        <v>38</v>
      </c>
      <c r="L1029" s="3" t="str">
        <f t="shared" si="4"/>
        <v>Item não atualizado</v>
      </c>
      <c r="M1029" s="3"/>
      <c r="N1029" s="3" t="s">
        <v>605</v>
      </c>
      <c r="O1029" s="3"/>
    </row>
    <row r="1030" spans="1:15" ht="22.5" customHeight="1" x14ac:dyDescent="0.2">
      <c r="A1030" s="3" t="s">
        <v>1823</v>
      </c>
      <c r="B1030" s="3" t="str">
        <f ca="1">IFERROR(__xludf.DUMMYFUNCTION("REGEXEXTRACT(A1030, ""\.(?:GOV|EXT)\.([A-Z0-9\-]+)"")
"),"FES-PE")</f>
        <v>FES-PE</v>
      </c>
      <c r="C1030" s="3" t="s">
        <v>34</v>
      </c>
      <c r="D1030" s="3" t="s">
        <v>1216</v>
      </c>
      <c r="E1030" s="14" t="str">
        <f ca="1">IFERROR(__xludf.DUMMYFUNCTION("REGEXEXTRACT(A1030, ""-(.*)"")"),"ARP.0031.16.2024.GOV.FES-PE.PE")</f>
        <v>ARP.0031.16.2024.GOV.FES-PE.PE</v>
      </c>
      <c r="F1030" s="3" t="s">
        <v>1646</v>
      </c>
      <c r="G1030" s="3"/>
      <c r="H1030" s="9">
        <v>45566</v>
      </c>
      <c r="I1030" s="3" t="s">
        <v>37</v>
      </c>
      <c r="J1030" s="3" t="str">
        <f>VLOOKUP(A1030,'TODOS OS PROCESSOS ATUALIZADOS '!A:I,7,0)</f>
        <v>Cancelada</v>
      </c>
      <c r="K1030" s="3" t="s">
        <v>38</v>
      </c>
      <c r="L1030" s="3" t="str">
        <f t="shared" si="4"/>
        <v>Item não atualizado</v>
      </c>
      <c r="M1030" s="3"/>
      <c r="N1030" s="3" t="s">
        <v>605</v>
      </c>
      <c r="O1030" s="3"/>
    </row>
    <row r="1031" spans="1:15" ht="22.5" customHeight="1" x14ac:dyDescent="0.2">
      <c r="A1031" s="3" t="s">
        <v>1824</v>
      </c>
      <c r="B1031" s="3" t="str">
        <f ca="1">IFERROR(__xludf.DUMMYFUNCTION("REGEXEXTRACT(A1031, ""\.(?:GOV|EXT)\.([A-Z0-9\-]+)"")
"),"FES-PE")</f>
        <v>FES-PE</v>
      </c>
      <c r="C1031" s="3" t="s">
        <v>34</v>
      </c>
      <c r="D1031" s="3" t="s">
        <v>1216</v>
      </c>
      <c r="E1031" s="14" t="str">
        <f ca="1">IFERROR(__xludf.DUMMYFUNCTION("REGEXEXTRACT(A1031, ""-(.*)"")"),"ARP.0031.16.2024.GOV.FES-PE.PE")</f>
        <v>ARP.0031.16.2024.GOV.FES-PE.PE</v>
      </c>
      <c r="F1031" s="3" t="s">
        <v>1646</v>
      </c>
      <c r="G1031" s="3"/>
      <c r="H1031" s="9">
        <v>45565</v>
      </c>
      <c r="I1031" s="3" t="s">
        <v>37</v>
      </c>
      <c r="J1031" s="3" t="str">
        <f>VLOOKUP(A1031,'TODOS OS PROCESSOS ATUALIZADOS '!A:I,7,0)</f>
        <v>Cancelada</v>
      </c>
      <c r="K1031" s="3" t="s">
        <v>38</v>
      </c>
      <c r="L1031" s="3" t="str">
        <f t="shared" si="4"/>
        <v>Item não atualizado</v>
      </c>
      <c r="M1031" s="3"/>
      <c r="N1031" s="3" t="s">
        <v>605</v>
      </c>
      <c r="O1031" s="3"/>
    </row>
    <row r="1032" spans="1:15" ht="22.5" customHeight="1" x14ac:dyDescent="0.2">
      <c r="A1032" s="3" t="s">
        <v>1825</v>
      </c>
      <c r="B1032" s="3" t="str">
        <f ca="1">IFERROR(__xludf.DUMMYFUNCTION("REGEXEXTRACT(A1032, ""\.(?:GOV|EXT)\.([A-Z0-9\-]+)"")
"),"FES-PE")</f>
        <v>FES-PE</v>
      </c>
      <c r="C1032" s="3" t="s">
        <v>34</v>
      </c>
      <c r="D1032" s="3" t="s">
        <v>1216</v>
      </c>
      <c r="E1032" s="14" t="str">
        <f ca="1">IFERROR(__xludf.DUMMYFUNCTION("REGEXEXTRACT(A1032, ""-(.*)"")"),"ARP.0018.00.2024.GOV.FES-PE.PE")</f>
        <v>ARP.0018.00.2024.GOV.FES-PE.PE</v>
      </c>
      <c r="F1032" s="6" t="s">
        <v>737</v>
      </c>
      <c r="G1032" s="3"/>
      <c r="H1032" s="9">
        <v>45565</v>
      </c>
      <c r="I1032" s="3" t="s">
        <v>44</v>
      </c>
      <c r="J1032" s="3" t="str">
        <f>VLOOKUP(A1032,'TODOS OS PROCESSOS ATUALIZADOS '!A:I,7,0)</f>
        <v>Autorizada Sucesso</v>
      </c>
      <c r="K1032" s="3" t="s">
        <v>44</v>
      </c>
      <c r="L1032" s="3" t="str">
        <f t="shared" si="4"/>
        <v>Item atualizado</v>
      </c>
      <c r="M1032" s="3"/>
      <c r="N1032" s="3" t="s">
        <v>605</v>
      </c>
      <c r="O1032" s="3"/>
    </row>
    <row r="1033" spans="1:15" ht="22.5" customHeight="1" x14ac:dyDescent="0.2">
      <c r="A1033" s="3" t="s">
        <v>1826</v>
      </c>
      <c r="B1033" s="3" t="str">
        <f ca="1">IFERROR(__xludf.DUMMYFUNCTION("REGEXEXTRACT(A1033, ""\.(?:GOV|EXT)\.([A-Z0-9\-]+)"")
"),"FES-PE")</f>
        <v>FES-PE</v>
      </c>
      <c r="C1033" s="3" t="s">
        <v>34</v>
      </c>
      <c r="D1033" s="3" t="s">
        <v>1216</v>
      </c>
      <c r="E1033" s="14" t="str">
        <f ca="1">IFERROR(__xludf.DUMMYFUNCTION("REGEXEXTRACT(A1033, ""-(.*)"")"),"ARP.0066.03.2024.GOV.FES-PE.PE")</f>
        <v>ARP.0066.03.2024.GOV.FES-PE.PE</v>
      </c>
      <c r="F1033" s="3" t="s">
        <v>522</v>
      </c>
      <c r="G1033" s="3"/>
      <c r="H1033" s="9">
        <v>45561</v>
      </c>
      <c r="I1033" s="3" t="s">
        <v>37</v>
      </c>
      <c r="J1033" s="3" t="str">
        <f>VLOOKUP(A1033,'TODOS OS PROCESSOS ATUALIZADOS '!A:I,7,0)</f>
        <v>Cancelada por fim vigencia ATA</v>
      </c>
      <c r="K1033" s="3" t="s">
        <v>38</v>
      </c>
      <c r="L1033" s="3" t="str">
        <f t="shared" si="4"/>
        <v>Item atualizado</v>
      </c>
      <c r="M1033" s="3"/>
      <c r="N1033" s="3" t="s">
        <v>605</v>
      </c>
      <c r="O1033" s="3"/>
    </row>
    <row r="1034" spans="1:15" ht="22.5" customHeight="1" x14ac:dyDescent="0.2">
      <c r="A1034" s="3" t="s">
        <v>1827</v>
      </c>
      <c r="B1034" s="3" t="str">
        <f ca="1">IFERROR(__xludf.DUMMYFUNCTION("REGEXEXTRACT(A1034, ""\.(?:GOV|EXT)\.([A-Z0-9\-]+)"")
"),"FES-PE")</f>
        <v>FES-PE</v>
      </c>
      <c r="C1034" s="3" t="s">
        <v>34</v>
      </c>
      <c r="D1034" s="3" t="s">
        <v>1216</v>
      </c>
      <c r="E1034" s="14" t="str">
        <f ca="1">IFERROR(__xludf.DUMMYFUNCTION("REGEXEXTRACT(A1034, ""-(.*)"")"),"ARP.0066.02.2024.GOV.FES-PE.PE")</f>
        <v>ARP.0066.02.2024.GOV.FES-PE.PE</v>
      </c>
      <c r="F1034" s="3" t="s">
        <v>522</v>
      </c>
      <c r="G1034" s="3"/>
      <c r="H1034" s="9">
        <v>45561</v>
      </c>
      <c r="I1034" s="3" t="s">
        <v>37</v>
      </c>
      <c r="J1034" s="3" t="str">
        <f>VLOOKUP(A1034,'TODOS OS PROCESSOS ATUALIZADOS '!A:I,7,0)</f>
        <v>Cancelada</v>
      </c>
      <c r="K1034" s="3" t="s">
        <v>38</v>
      </c>
      <c r="L1034" s="3" t="str">
        <f t="shared" si="4"/>
        <v>Item não atualizado</v>
      </c>
      <c r="M1034" s="3"/>
      <c r="N1034" s="3" t="s">
        <v>605</v>
      </c>
      <c r="O1034" s="3"/>
    </row>
    <row r="1035" spans="1:15" ht="22.5" customHeight="1" x14ac:dyDescent="0.2">
      <c r="A1035" s="3" t="s">
        <v>1828</v>
      </c>
      <c r="B1035" s="3" t="str">
        <f ca="1">IFERROR(__xludf.DUMMYFUNCTION("REGEXEXTRACT(A1035, ""\.(?:GOV|EXT)\.([A-Z0-9\-]+)"")
"),"FES-PE")</f>
        <v>FES-PE</v>
      </c>
      <c r="C1035" s="3" t="s">
        <v>34</v>
      </c>
      <c r="D1035" s="3" t="s">
        <v>1216</v>
      </c>
      <c r="E1035" s="14" t="str">
        <f ca="1">IFERROR(__xludf.DUMMYFUNCTION("REGEXEXTRACT(A1035, ""-(.*)"")"),"ARP.0066.01.2024.GOV.FES-PE.PE")</f>
        <v>ARP.0066.01.2024.GOV.FES-PE.PE</v>
      </c>
      <c r="F1035" s="3" t="s">
        <v>522</v>
      </c>
      <c r="G1035" s="3"/>
      <c r="H1035" s="9">
        <v>45561</v>
      </c>
      <c r="I1035" s="3" t="s">
        <v>37</v>
      </c>
      <c r="J1035" s="3" t="str">
        <f>VLOOKUP(A1035,'TODOS OS PROCESSOS ATUALIZADOS '!A:I,7,0)</f>
        <v>Cancelada</v>
      </c>
      <c r="K1035" s="3" t="s">
        <v>38</v>
      </c>
      <c r="L1035" s="3" t="str">
        <f t="shared" si="4"/>
        <v>Item não atualizado</v>
      </c>
      <c r="M1035" s="3"/>
      <c r="N1035" s="3" t="s">
        <v>605</v>
      </c>
      <c r="O1035" s="3"/>
    </row>
    <row r="1036" spans="1:15" ht="22.5" customHeight="1" x14ac:dyDescent="0.2">
      <c r="A1036" s="3" t="s">
        <v>1829</v>
      </c>
      <c r="B1036" s="3" t="str">
        <f ca="1">IFERROR(__xludf.DUMMYFUNCTION("REGEXEXTRACT(A1036, ""\.(?:GOV|EXT)\.([A-Z0-9\-]+)"")
"),"FES-PE")</f>
        <v>FES-PE</v>
      </c>
      <c r="C1036" s="3" t="s">
        <v>34</v>
      </c>
      <c r="D1036" s="3" t="s">
        <v>1216</v>
      </c>
      <c r="E1036" s="14" t="str">
        <f ca="1">IFERROR(__xludf.DUMMYFUNCTION("REGEXEXTRACT(A1036, ""-(.*)"")"),"ARP.0031.16.2024.GOV.FES-PE.PE")</f>
        <v>ARP.0031.16.2024.GOV.FES-PE.PE</v>
      </c>
      <c r="F1036" s="3" t="s">
        <v>1646</v>
      </c>
      <c r="G1036" s="3"/>
      <c r="H1036" s="9">
        <v>45561</v>
      </c>
      <c r="I1036" s="3" t="s">
        <v>37</v>
      </c>
      <c r="J1036" s="3" t="str">
        <f>VLOOKUP(A1036,'TODOS OS PROCESSOS ATUALIZADOS '!A:I,7,0)</f>
        <v>Cancelada</v>
      </c>
      <c r="K1036" s="3" t="s">
        <v>38</v>
      </c>
      <c r="L1036" s="3" t="str">
        <f t="shared" si="4"/>
        <v>Item não atualizado</v>
      </c>
      <c r="M1036" s="3"/>
      <c r="N1036" s="3" t="s">
        <v>605</v>
      </c>
      <c r="O1036" s="3"/>
    </row>
    <row r="1037" spans="1:15" ht="22.5" customHeight="1" x14ac:dyDescent="0.2">
      <c r="A1037" s="3" t="s">
        <v>1830</v>
      </c>
      <c r="B1037" s="3" t="str">
        <f ca="1">IFERROR(__xludf.DUMMYFUNCTION("REGEXEXTRACT(A1037, ""\.(?:GOV|EXT)\.([A-Z0-9\-]+)"")
"),"FES-PE")</f>
        <v>FES-PE</v>
      </c>
      <c r="C1037" s="3" t="s">
        <v>34</v>
      </c>
      <c r="D1037" s="3" t="s">
        <v>1216</v>
      </c>
      <c r="E1037" s="14" t="str">
        <f ca="1">IFERROR(__xludf.DUMMYFUNCTION("REGEXEXTRACT(A1037, ""-(.*)"")"),"ARP.0066.08.2024.GOV.FES-PE.PE")</f>
        <v>ARP.0066.08.2024.GOV.FES-PE.PE</v>
      </c>
      <c r="F1037" s="6" t="s">
        <v>522</v>
      </c>
      <c r="G1037" s="3"/>
      <c r="H1037" s="9">
        <v>45560</v>
      </c>
      <c r="I1037" s="3" t="s">
        <v>44</v>
      </c>
      <c r="J1037" s="3" t="str">
        <f>VLOOKUP(A1037,'TODOS OS PROCESSOS ATUALIZADOS '!A:I,7,0)</f>
        <v>Autorizada Sucesso</v>
      </c>
      <c r="K1037" s="3" t="s">
        <v>44</v>
      </c>
      <c r="L1037" s="3" t="str">
        <f t="shared" si="4"/>
        <v>Item atualizado</v>
      </c>
      <c r="M1037" s="3"/>
      <c r="N1037" s="3" t="s">
        <v>605</v>
      </c>
      <c r="O1037" s="3"/>
    </row>
    <row r="1038" spans="1:15" ht="22.5" customHeight="1" x14ac:dyDescent="0.2">
      <c r="A1038" s="3" t="s">
        <v>1831</v>
      </c>
      <c r="B1038" s="3" t="str">
        <f ca="1">IFERROR(__xludf.DUMMYFUNCTION("REGEXEXTRACT(A1038, ""\.(?:GOV|EXT)\.([A-Z0-9\-]+)"")
"),"FES-PE")</f>
        <v>FES-PE</v>
      </c>
      <c r="C1038" s="3" t="s">
        <v>34</v>
      </c>
      <c r="D1038" s="3" t="s">
        <v>1216</v>
      </c>
      <c r="E1038" s="14" t="str">
        <f ca="1">IFERROR(__xludf.DUMMYFUNCTION("REGEXEXTRACT(A1038, ""-(.*)"")"),"ARP.0066.04.2024.GOV.FES-PE.PE")</f>
        <v>ARP.0066.04.2024.GOV.FES-PE.PE</v>
      </c>
      <c r="F1038" s="3" t="s">
        <v>522</v>
      </c>
      <c r="G1038" s="3"/>
      <c r="H1038" s="9">
        <v>45560</v>
      </c>
      <c r="I1038" s="3" t="s">
        <v>37</v>
      </c>
      <c r="J1038" s="3" t="str">
        <f>VLOOKUP(A1038,'TODOS OS PROCESSOS ATUALIZADOS '!A:I,7,0)</f>
        <v>Cancelada por fim vigencia ATA</v>
      </c>
      <c r="K1038" s="3" t="s">
        <v>38</v>
      </c>
      <c r="L1038" s="3" t="str">
        <f t="shared" si="4"/>
        <v>Item atualizado</v>
      </c>
      <c r="M1038" s="3"/>
      <c r="N1038" s="3" t="s">
        <v>605</v>
      </c>
      <c r="O1038" s="3"/>
    </row>
    <row r="1039" spans="1:15" ht="22.5" customHeight="1" x14ac:dyDescent="0.2">
      <c r="A1039" s="3" t="s">
        <v>1832</v>
      </c>
      <c r="B1039" s="3" t="str">
        <f ca="1">IFERROR(__xludf.DUMMYFUNCTION("REGEXEXTRACT(A1039, ""\.(?:GOV|EXT)\.([A-Z0-9\-]+)"")
"),"FES-PE")</f>
        <v>FES-PE</v>
      </c>
      <c r="C1039" s="3" t="s">
        <v>34</v>
      </c>
      <c r="D1039" s="3" t="s">
        <v>1216</v>
      </c>
      <c r="E1039" s="14" t="str">
        <f ca="1">IFERROR(__xludf.DUMMYFUNCTION("REGEXEXTRACT(A1039, ""-(.*)"")"),"ARP.0066.06.2024.GOV.FES-PE.PE")</f>
        <v>ARP.0066.06.2024.GOV.FES-PE.PE</v>
      </c>
      <c r="F1039" s="6" t="s">
        <v>522</v>
      </c>
      <c r="G1039" s="3"/>
      <c r="H1039" s="9">
        <v>45560</v>
      </c>
      <c r="I1039" s="3" t="s">
        <v>44</v>
      </c>
      <c r="J1039" s="3" t="str">
        <f>VLOOKUP(A1039,'TODOS OS PROCESSOS ATUALIZADOS '!A:I,7,0)</f>
        <v>Autorizada Sucesso</v>
      </c>
      <c r="K1039" s="3" t="s">
        <v>44</v>
      </c>
      <c r="L1039" s="3" t="str">
        <f t="shared" si="4"/>
        <v>Item atualizado</v>
      </c>
      <c r="M1039" s="3"/>
      <c r="N1039" s="3" t="s">
        <v>605</v>
      </c>
      <c r="O1039" s="3"/>
    </row>
    <row r="1040" spans="1:15" ht="22.5" customHeight="1" x14ac:dyDescent="0.2">
      <c r="A1040" s="3" t="s">
        <v>1833</v>
      </c>
      <c r="B1040" s="3" t="str">
        <f ca="1">IFERROR(__xludf.DUMMYFUNCTION("REGEXEXTRACT(A1040, ""\.(?:GOV|EXT)\.([A-Z0-9\-]+)"")
"),"FES-PE")</f>
        <v>FES-PE</v>
      </c>
      <c r="C1040" s="3" t="s">
        <v>34</v>
      </c>
      <c r="D1040" s="3" t="s">
        <v>1216</v>
      </c>
      <c r="E1040" s="14" t="str">
        <f ca="1">IFERROR(__xludf.DUMMYFUNCTION("REGEXEXTRACT(A1040, ""-(.*)"")"),"ARP.0025.01.2024.GOV.FES-PE.PE")</f>
        <v>ARP.0025.01.2024.GOV.FES-PE.PE</v>
      </c>
      <c r="F1040" s="6" t="s">
        <v>739</v>
      </c>
      <c r="G1040" s="3"/>
      <c r="H1040" s="9">
        <v>45559</v>
      </c>
      <c r="I1040" s="3" t="s">
        <v>44</v>
      </c>
      <c r="J1040" s="3" t="str">
        <f>VLOOKUP(A1040,'TODOS OS PROCESSOS ATUALIZADOS '!A:I,7,0)</f>
        <v>Autorizada Sucesso</v>
      </c>
      <c r="K1040" s="3" t="s">
        <v>44</v>
      </c>
      <c r="L1040" s="3" t="str">
        <f t="shared" si="4"/>
        <v>Item atualizado</v>
      </c>
      <c r="M1040" s="3"/>
      <c r="N1040" s="3" t="s">
        <v>605</v>
      </c>
      <c r="O1040" s="3"/>
    </row>
    <row r="1041" spans="1:15" ht="22.5" customHeight="1" x14ac:dyDescent="0.2">
      <c r="A1041" s="3" t="s">
        <v>1834</v>
      </c>
      <c r="B1041" s="3" t="str">
        <f ca="1">IFERROR(__xludf.DUMMYFUNCTION("REGEXEXTRACT(A1041, ""\.(?:GOV|EXT)\.([A-Z0-9\-]+)"")
"),"FES-PE")</f>
        <v>FES-PE</v>
      </c>
      <c r="C1041" s="3" t="s">
        <v>34</v>
      </c>
      <c r="D1041" s="3" t="s">
        <v>1216</v>
      </c>
      <c r="E1041" s="14" t="str">
        <f ca="1">IFERROR(__xludf.DUMMYFUNCTION("REGEXEXTRACT(A1041, ""-(.*)"")"),"ARP.0063.03.2024.GOV.FES-PE.PE")</f>
        <v>ARP.0063.03.2024.GOV.FES-PE.PE</v>
      </c>
      <c r="F1041" s="6" t="s">
        <v>1386</v>
      </c>
      <c r="G1041" s="3"/>
      <c r="H1041" s="9">
        <v>45558</v>
      </c>
      <c r="I1041" s="3" t="s">
        <v>44</v>
      </c>
      <c r="J1041" s="3" t="str">
        <f>VLOOKUP(A1041,'TODOS OS PROCESSOS ATUALIZADOS '!A:I,7,0)</f>
        <v>Autorizada Sucesso</v>
      </c>
      <c r="K1041" s="3" t="s">
        <v>44</v>
      </c>
      <c r="L1041" s="3" t="str">
        <f t="shared" si="4"/>
        <v>Item atualizado</v>
      </c>
      <c r="M1041" s="3"/>
      <c r="N1041" s="3" t="s">
        <v>605</v>
      </c>
      <c r="O1041" s="3"/>
    </row>
    <row r="1042" spans="1:15" ht="22.5" customHeight="1" x14ac:dyDescent="0.2">
      <c r="A1042" s="3" t="s">
        <v>1835</v>
      </c>
      <c r="B1042" s="3" t="str">
        <f ca="1">IFERROR(__xludf.DUMMYFUNCTION("REGEXEXTRACT(A1042, ""\.(?:GOV|EXT)\.([A-Z0-9\-]+)"")
"),"FES-PE")</f>
        <v>FES-PE</v>
      </c>
      <c r="C1042" s="3" t="s">
        <v>34</v>
      </c>
      <c r="D1042" s="3" t="s">
        <v>1216</v>
      </c>
      <c r="E1042" s="14" t="str">
        <f ca="1">IFERROR(__xludf.DUMMYFUNCTION("REGEXEXTRACT(A1042, ""-(.*)"")"),"ARP.0031.16.2024.GOV.FES-PE.PE")</f>
        <v>ARP.0031.16.2024.GOV.FES-PE.PE</v>
      </c>
      <c r="F1042" s="3" t="s">
        <v>1646</v>
      </c>
      <c r="G1042" s="3"/>
      <c r="H1042" s="9">
        <v>45558</v>
      </c>
      <c r="I1042" s="3" t="s">
        <v>37</v>
      </c>
      <c r="J1042" s="3" t="str">
        <f>VLOOKUP(A1042,'TODOS OS PROCESSOS ATUALIZADOS '!A:I,7,0)</f>
        <v>Cancelada</v>
      </c>
      <c r="K1042" s="3" t="s">
        <v>38</v>
      </c>
      <c r="L1042" s="3" t="str">
        <f t="shared" si="4"/>
        <v>Item não atualizado</v>
      </c>
      <c r="M1042" s="3"/>
      <c r="N1042" s="3" t="s">
        <v>605</v>
      </c>
      <c r="O1042" s="3"/>
    </row>
    <row r="1043" spans="1:15" ht="22.5" customHeight="1" x14ac:dyDescent="0.2">
      <c r="A1043" s="3" t="s">
        <v>1836</v>
      </c>
      <c r="B1043" s="3" t="str">
        <f ca="1">IFERROR(__xludf.DUMMYFUNCTION("REGEXEXTRACT(A1043, ""\.(?:GOV|EXT)\.([A-Z0-9\-]+)"")
"),"FES-PE")</f>
        <v>FES-PE</v>
      </c>
      <c r="C1043" s="3" t="s">
        <v>34</v>
      </c>
      <c r="D1043" s="3" t="s">
        <v>1216</v>
      </c>
      <c r="E1043" s="14" t="str">
        <f ca="1">IFERROR(__xludf.DUMMYFUNCTION("REGEXEXTRACT(A1043, ""-(.*)"")"),"ARP.0052.10.2024.GOV.FES-PE.PE")</f>
        <v>ARP.0052.10.2024.GOV.FES-PE.PE</v>
      </c>
      <c r="F1043" s="6" t="s">
        <v>1409</v>
      </c>
      <c r="G1043" s="3"/>
      <c r="H1043" s="9">
        <v>45558</v>
      </c>
      <c r="I1043" s="3" t="s">
        <v>44</v>
      </c>
      <c r="J1043" s="3" t="str">
        <f>VLOOKUP(A1043,'TODOS OS PROCESSOS ATUALIZADOS '!A:I,7,0)</f>
        <v>Autorizada Sucesso</v>
      </c>
      <c r="K1043" s="3" t="s">
        <v>44</v>
      </c>
      <c r="L1043" s="3" t="str">
        <f t="shared" si="4"/>
        <v>Item atualizado</v>
      </c>
      <c r="M1043" s="3"/>
      <c r="N1043" s="3" t="s">
        <v>605</v>
      </c>
      <c r="O1043" s="3"/>
    </row>
    <row r="1044" spans="1:15" ht="22.5" customHeight="1" x14ac:dyDescent="0.2">
      <c r="A1044" s="3" t="s">
        <v>1837</v>
      </c>
      <c r="B1044" s="3" t="str">
        <f ca="1">IFERROR(__xludf.DUMMYFUNCTION("REGEXEXTRACT(A1044, ""\.(?:GOV|EXT)\.([A-Z0-9\-]+)"")
"),"FES-PE")</f>
        <v>FES-PE</v>
      </c>
      <c r="C1044" s="3" t="s">
        <v>34</v>
      </c>
      <c r="D1044" s="3" t="s">
        <v>1216</v>
      </c>
      <c r="E1044" s="14" t="str">
        <f ca="1">IFERROR(__xludf.DUMMYFUNCTION("REGEXEXTRACT(A1044, ""-(.*)"")"),"ARP.0052.10.2024.GOV.FES-PE.PE")</f>
        <v>ARP.0052.10.2024.GOV.FES-PE.PE</v>
      </c>
      <c r="F1044" s="6" t="s">
        <v>1409</v>
      </c>
      <c r="G1044" s="3"/>
      <c r="H1044" s="9">
        <v>45558</v>
      </c>
      <c r="I1044" s="3" t="s">
        <v>44</v>
      </c>
      <c r="J1044" s="3" t="str">
        <f>VLOOKUP(A1044,'TODOS OS PROCESSOS ATUALIZADOS '!A:I,7,0)</f>
        <v>Autorizada Sucesso</v>
      </c>
      <c r="K1044" s="3" t="s">
        <v>44</v>
      </c>
      <c r="L1044" s="3" t="str">
        <f t="shared" si="4"/>
        <v>Item atualizado</v>
      </c>
      <c r="M1044" s="3"/>
      <c r="N1044" s="3" t="s">
        <v>605</v>
      </c>
      <c r="O1044" s="3"/>
    </row>
    <row r="1045" spans="1:15" ht="22.5" customHeight="1" x14ac:dyDescent="0.2">
      <c r="A1045" s="3" t="s">
        <v>1838</v>
      </c>
      <c r="B1045" s="3" t="str">
        <f ca="1">IFERROR(__xludf.DUMMYFUNCTION("REGEXEXTRACT(A1045, ""\.(?:GOV|EXT)\.([A-Z0-9\-]+)"")
"),"FES-PE")</f>
        <v>FES-PE</v>
      </c>
      <c r="C1045" s="3" t="s">
        <v>34</v>
      </c>
      <c r="D1045" s="3" t="s">
        <v>1216</v>
      </c>
      <c r="E1045" s="14" t="str">
        <f ca="1">IFERROR(__xludf.DUMMYFUNCTION("REGEXEXTRACT(A1045, ""-(.*)"")"),"ARP.0025.06.2024.GOV.FES-PE.PE")</f>
        <v>ARP.0025.06.2024.GOV.FES-PE.PE</v>
      </c>
      <c r="F1045" s="6" t="s">
        <v>739</v>
      </c>
      <c r="G1045" s="3"/>
      <c r="H1045" s="9">
        <v>45558</v>
      </c>
      <c r="I1045" s="3" t="s">
        <v>44</v>
      </c>
      <c r="J1045" s="3" t="str">
        <f>VLOOKUP(A1045,'TODOS OS PROCESSOS ATUALIZADOS '!A:I,7,0)</f>
        <v>Autorizada Sucesso</v>
      </c>
      <c r="K1045" s="3" t="s">
        <v>44</v>
      </c>
      <c r="L1045" s="3" t="str">
        <f t="shared" si="4"/>
        <v>Item atualizado</v>
      </c>
      <c r="M1045" s="3"/>
      <c r="N1045" s="3" t="s">
        <v>605</v>
      </c>
      <c r="O1045" s="3"/>
    </row>
    <row r="1046" spans="1:15" ht="22.5" customHeight="1" x14ac:dyDescent="0.2">
      <c r="A1046" s="3" t="s">
        <v>1839</v>
      </c>
      <c r="B1046" s="3" t="str">
        <f ca="1">IFERROR(__xludf.DUMMYFUNCTION("REGEXEXTRACT(A1046, ""\.(?:GOV|EXT)\.([A-Z0-9\-]+)"")
"),"SAD")</f>
        <v>SAD</v>
      </c>
      <c r="C1046" s="3" t="s">
        <v>34</v>
      </c>
      <c r="D1046" s="3" t="s">
        <v>1216</v>
      </c>
      <c r="E1046" s="14" t="str">
        <f ca="1">IFERROR(__xludf.DUMMYFUNCTION("REGEXEXTRACT(A1046, ""-(.*)"")"),"ARPC.0018.00.2024.GOV.SAD.PE")</f>
        <v>ARPC.0018.00.2024.GOV.SAD.PE</v>
      </c>
      <c r="F1046" s="3" t="s">
        <v>1349</v>
      </c>
      <c r="G1046" s="3"/>
      <c r="H1046" s="9">
        <v>45557</v>
      </c>
      <c r="I1046" s="3" t="s">
        <v>37</v>
      </c>
      <c r="J1046" s="3" t="str">
        <f>VLOOKUP(A1046,'TODOS OS PROCESSOS ATUALIZADOS '!A:I,7,0)</f>
        <v>Cancelada</v>
      </c>
      <c r="K1046" s="3" t="s">
        <v>38</v>
      </c>
      <c r="L1046" s="3" t="str">
        <f t="shared" si="4"/>
        <v>Item não atualizado</v>
      </c>
      <c r="M1046" s="3"/>
      <c r="N1046" s="3" t="s">
        <v>605</v>
      </c>
      <c r="O1046" s="3"/>
    </row>
    <row r="1047" spans="1:15" ht="22.5" customHeight="1" x14ac:dyDescent="0.2">
      <c r="A1047" s="3" t="s">
        <v>1840</v>
      </c>
      <c r="B1047" s="3" t="str">
        <f ca="1">IFERROR(__xludf.DUMMYFUNCTION("REGEXEXTRACT(A1047, ""\.(?:GOV|EXT)\.([A-Z0-9\-]+)"")
"),"FES-PE")</f>
        <v>FES-PE</v>
      </c>
      <c r="C1047" s="3" t="s">
        <v>34</v>
      </c>
      <c r="D1047" s="3" t="s">
        <v>1216</v>
      </c>
      <c r="E1047" s="14" t="str">
        <f ca="1">IFERROR(__xludf.DUMMYFUNCTION("REGEXEXTRACT(A1047, ""-(.*)"")"),"ARP.0052.03.2024.GOV.FES-PE.PE")</f>
        <v>ARP.0052.03.2024.GOV.FES-PE.PE</v>
      </c>
      <c r="F1047" s="6" t="s">
        <v>1409</v>
      </c>
      <c r="G1047" s="3"/>
      <c r="H1047" s="9">
        <v>45555</v>
      </c>
      <c r="I1047" s="3" t="s">
        <v>44</v>
      </c>
      <c r="J1047" s="3" t="str">
        <f>VLOOKUP(A1047,'TODOS OS PROCESSOS ATUALIZADOS '!A:I,7,0)</f>
        <v>Autorizada Sucesso</v>
      </c>
      <c r="K1047" s="3" t="s">
        <v>44</v>
      </c>
      <c r="L1047" s="3" t="str">
        <f t="shared" si="4"/>
        <v>Item atualizado</v>
      </c>
      <c r="M1047" s="3"/>
      <c r="N1047" s="3" t="s">
        <v>605</v>
      </c>
      <c r="O1047" s="3"/>
    </row>
    <row r="1048" spans="1:15" ht="22.5" customHeight="1" x14ac:dyDescent="0.2">
      <c r="A1048" s="3" t="s">
        <v>1841</v>
      </c>
      <c r="B1048" s="3" t="str">
        <f ca="1">IFERROR(__xludf.DUMMYFUNCTION("REGEXEXTRACT(A1048, ""\.(?:GOV|EXT)\.([A-Z0-9\-]+)"")
"),"FES-PE")</f>
        <v>FES-PE</v>
      </c>
      <c r="C1048" s="3" t="s">
        <v>34</v>
      </c>
      <c r="D1048" s="3" t="s">
        <v>1216</v>
      </c>
      <c r="E1048" s="14" t="str">
        <f ca="1">IFERROR(__xludf.DUMMYFUNCTION("REGEXEXTRACT(A1048, ""-(.*)"")"),"ARP.0052.03.2024.GOV.FES-PE.PE")</f>
        <v>ARP.0052.03.2024.GOV.FES-PE.PE</v>
      </c>
      <c r="F1048" s="6" t="s">
        <v>1409</v>
      </c>
      <c r="G1048" s="3"/>
      <c r="H1048" s="9">
        <v>45555</v>
      </c>
      <c r="I1048" s="3" t="s">
        <v>44</v>
      </c>
      <c r="J1048" s="3" t="str">
        <f>VLOOKUP(A1048,'TODOS OS PROCESSOS ATUALIZADOS '!A:I,7,0)</f>
        <v>Autorizada Sucesso</v>
      </c>
      <c r="K1048" s="3" t="s">
        <v>44</v>
      </c>
      <c r="L1048" s="3" t="str">
        <f t="shared" si="4"/>
        <v>Item atualizado</v>
      </c>
      <c r="M1048" s="3"/>
      <c r="N1048" s="3" t="s">
        <v>605</v>
      </c>
      <c r="O1048" s="3"/>
    </row>
    <row r="1049" spans="1:15" ht="22.5" customHeight="1" x14ac:dyDescent="0.2">
      <c r="A1049" s="3" t="s">
        <v>1842</v>
      </c>
      <c r="B1049" s="3" t="str">
        <f ca="1">IFERROR(__xludf.DUMMYFUNCTION("REGEXEXTRACT(A1049, ""\.(?:GOV|EXT)\.([A-Z0-9\-]+)"")
"),"CISAM")</f>
        <v>CISAM</v>
      </c>
      <c r="C1049" s="3" t="s">
        <v>34</v>
      </c>
      <c r="D1049" s="3" t="s">
        <v>1216</v>
      </c>
      <c r="E1049" s="14" t="str">
        <f ca="1">IFERROR(__xludf.DUMMYFUNCTION("REGEXEXTRACT(A1049, ""-(.*)"")"),"ARP.0063.05.2024.GOV.CISAM.PE")</f>
        <v>ARP.0063.05.2024.GOV.CISAM.PE</v>
      </c>
      <c r="F1049" s="3" t="s">
        <v>1321</v>
      </c>
      <c r="G1049" s="3"/>
      <c r="H1049" s="9">
        <v>45555</v>
      </c>
      <c r="I1049" s="3" t="s">
        <v>37</v>
      </c>
      <c r="J1049" s="3" t="str">
        <f>VLOOKUP(A1049,'TODOS OS PROCESSOS ATUALIZADOS '!A:I,7,0)</f>
        <v>Cancelada</v>
      </c>
      <c r="K1049" s="3" t="s">
        <v>38</v>
      </c>
      <c r="L1049" s="3" t="str">
        <f t="shared" si="4"/>
        <v>Item não atualizado</v>
      </c>
      <c r="M1049" s="3"/>
      <c r="N1049" s="3" t="s">
        <v>605</v>
      </c>
      <c r="O1049" s="3"/>
    </row>
    <row r="1050" spans="1:15" ht="22.5" customHeight="1" x14ac:dyDescent="0.2">
      <c r="A1050" s="3" t="s">
        <v>1843</v>
      </c>
      <c r="B1050" s="3" t="str">
        <f ca="1">IFERROR(__xludf.DUMMYFUNCTION("REGEXEXTRACT(A1050, ""\.(?:GOV|EXT)\.([A-Z0-9\-]+)"")
"),"FES-PE")</f>
        <v>FES-PE</v>
      </c>
      <c r="C1050" s="3" t="s">
        <v>34</v>
      </c>
      <c r="D1050" s="3" t="s">
        <v>1216</v>
      </c>
      <c r="E1050" s="14" t="str">
        <f ca="1">IFERROR(__xludf.DUMMYFUNCTION("REGEXEXTRACT(A1050, ""-(.*)"")"),"ARP.0064.00.2024.GOV.FES-PE.PE")</f>
        <v>ARP.0064.00.2024.GOV.FES-PE.PE</v>
      </c>
      <c r="F1050" s="6" t="s">
        <v>1330</v>
      </c>
      <c r="G1050" s="3"/>
      <c r="H1050" s="9">
        <v>45555</v>
      </c>
      <c r="I1050" s="3" t="s">
        <v>44</v>
      </c>
      <c r="J1050" s="3" t="str">
        <f>VLOOKUP(A1050,'TODOS OS PROCESSOS ATUALIZADOS '!A:I,7,0)</f>
        <v>Autorizada Sucesso</v>
      </c>
      <c r="K1050" s="3" t="s">
        <v>44</v>
      </c>
      <c r="L1050" s="3" t="str">
        <f t="shared" si="4"/>
        <v>Item atualizado</v>
      </c>
      <c r="M1050" s="3"/>
      <c r="N1050" s="3" t="s">
        <v>605</v>
      </c>
      <c r="O1050" s="3"/>
    </row>
    <row r="1051" spans="1:15" ht="22.5" customHeight="1" x14ac:dyDescent="0.2">
      <c r="A1051" s="3" t="s">
        <v>1844</v>
      </c>
      <c r="B1051" s="3" t="str">
        <f ca="1">IFERROR(__xludf.DUMMYFUNCTION("REGEXEXTRACT(A1051, ""\.(?:GOV|EXT)\.([A-Z0-9\-]+)"")
"),"FES-PE")</f>
        <v>FES-PE</v>
      </c>
      <c r="C1051" s="3" t="s">
        <v>34</v>
      </c>
      <c r="D1051" s="3" t="s">
        <v>1216</v>
      </c>
      <c r="E1051" s="14" t="str">
        <f ca="1">IFERROR(__xludf.DUMMYFUNCTION("REGEXEXTRACT(A1051, ""-(.*)"")"),"ARP.0022.00.2024.GOV.FES-PE.PE")</f>
        <v>ARP.0022.00.2024.GOV.FES-PE.PE</v>
      </c>
      <c r="F1051" s="6" t="s">
        <v>1814</v>
      </c>
      <c r="G1051" s="3"/>
      <c r="H1051" s="9">
        <v>45555</v>
      </c>
      <c r="I1051" s="3" t="s">
        <v>44</v>
      </c>
      <c r="J1051" s="3" t="str">
        <f>VLOOKUP(A1051,'TODOS OS PROCESSOS ATUALIZADOS '!A:I,7,0)</f>
        <v>Autorizada Sucesso</v>
      </c>
      <c r="K1051" s="3" t="s">
        <v>44</v>
      </c>
      <c r="L1051" s="3" t="str">
        <f t="shared" si="4"/>
        <v>Item atualizado</v>
      </c>
      <c r="M1051" s="3"/>
      <c r="N1051" s="3" t="s">
        <v>605</v>
      </c>
      <c r="O1051" s="3"/>
    </row>
    <row r="1052" spans="1:15" ht="22.5" customHeight="1" x14ac:dyDescent="0.2">
      <c r="A1052" s="3" t="s">
        <v>1845</v>
      </c>
      <c r="B1052" s="3" t="str">
        <f ca="1">IFERROR(__xludf.DUMMYFUNCTION("REGEXEXTRACT(A1052, ""\.(?:GOV|EXT)\.([A-Z0-9\-]+)"")
"),"FES-PE")</f>
        <v>FES-PE</v>
      </c>
      <c r="C1052" s="3" t="s">
        <v>34</v>
      </c>
      <c r="D1052" s="3" t="s">
        <v>1216</v>
      </c>
      <c r="E1052" s="14" t="str">
        <f ca="1">IFERROR(__xludf.DUMMYFUNCTION("REGEXEXTRACT(A1052, ""-(.*)"")"),"ARP.0031.16.2024.GOV.FES-PE.PE")</f>
        <v>ARP.0031.16.2024.GOV.FES-PE.PE</v>
      </c>
      <c r="F1052" s="3" t="s">
        <v>1646</v>
      </c>
      <c r="G1052" s="3"/>
      <c r="H1052" s="9">
        <v>45555</v>
      </c>
      <c r="I1052" s="3" t="s">
        <v>37</v>
      </c>
      <c r="J1052" s="3" t="str">
        <f>VLOOKUP(A1052,'TODOS OS PROCESSOS ATUALIZADOS '!A:I,7,0)</f>
        <v>Cancelada</v>
      </c>
      <c r="K1052" s="3" t="s">
        <v>38</v>
      </c>
      <c r="L1052" s="3" t="str">
        <f t="shared" si="4"/>
        <v>Item não atualizado</v>
      </c>
      <c r="M1052" s="3"/>
      <c r="N1052" s="3" t="s">
        <v>605</v>
      </c>
      <c r="O1052" s="3"/>
    </row>
    <row r="1053" spans="1:15" ht="22.5" customHeight="1" x14ac:dyDescent="0.2">
      <c r="A1053" s="3" t="s">
        <v>1846</v>
      </c>
      <c r="B1053" s="3" t="str">
        <f ca="1">IFERROR(__xludf.DUMMYFUNCTION("REGEXEXTRACT(A1053, ""\.(?:GOV|EXT)\.([A-Z0-9\-]+)"")
"),"FES-PE")</f>
        <v>FES-PE</v>
      </c>
      <c r="C1053" s="3" t="s">
        <v>34</v>
      </c>
      <c r="D1053" s="3" t="s">
        <v>1216</v>
      </c>
      <c r="E1053" s="14" t="str">
        <f ca="1">IFERROR(__xludf.DUMMYFUNCTION("REGEXEXTRACT(A1053, ""-(.*)"")"),"ARP.0031.16.2024.GOV.FES-PE.PE")</f>
        <v>ARP.0031.16.2024.GOV.FES-PE.PE</v>
      </c>
      <c r="F1053" s="3" t="s">
        <v>1646</v>
      </c>
      <c r="G1053" s="3"/>
      <c r="H1053" s="9">
        <v>45554</v>
      </c>
      <c r="I1053" s="3" t="s">
        <v>37</v>
      </c>
      <c r="J1053" s="3" t="str">
        <f>VLOOKUP(A1053,'TODOS OS PROCESSOS ATUALIZADOS '!A:I,7,0)</f>
        <v>Cancelada</v>
      </c>
      <c r="K1053" s="3" t="s">
        <v>38</v>
      </c>
      <c r="L1053" s="3" t="str">
        <f t="shared" si="4"/>
        <v>Item não atualizado</v>
      </c>
      <c r="M1053" s="3"/>
      <c r="N1053" s="3" t="s">
        <v>605</v>
      </c>
      <c r="O1053" s="3"/>
    </row>
    <row r="1054" spans="1:15" ht="22.5" customHeight="1" x14ac:dyDescent="0.2">
      <c r="A1054" s="3" t="s">
        <v>1847</v>
      </c>
      <c r="B1054" s="3" t="str">
        <f ca="1">IFERROR(__xludf.DUMMYFUNCTION("REGEXEXTRACT(A1054, ""\.(?:GOV|EXT)\.([A-Z0-9\-]+)"")
"),"FES-PE")</f>
        <v>FES-PE</v>
      </c>
      <c r="C1054" s="3" t="s">
        <v>34</v>
      </c>
      <c r="D1054" s="3" t="s">
        <v>1216</v>
      </c>
      <c r="E1054" s="14" t="str">
        <f ca="1">IFERROR(__xludf.DUMMYFUNCTION("REGEXEXTRACT(A1054, ""-(.*)"")"),"ARP.0031.16.2024.GOV.FES-PE.PE")</f>
        <v>ARP.0031.16.2024.GOV.FES-PE.PE</v>
      </c>
      <c r="F1054" s="3" t="s">
        <v>1646</v>
      </c>
      <c r="G1054" s="3"/>
      <c r="H1054" s="9">
        <v>45553</v>
      </c>
      <c r="I1054" s="3" t="s">
        <v>37</v>
      </c>
      <c r="J1054" s="3" t="str">
        <f>VLOOKUP(A1054,'TODOS OS PROCESSOS ATUALIZADOS '!A:I,7,0)</f>
        <v>Cancelada</v>
      </c>
      <c r="K1054" s="3" t="s">
        <v>38</v>
      </c>
      <c r="L1054" s="3" t="str">
        <f t="shared" si="4"/>
        <v>Item não atualizado</v>
      </c>
      <c r="M1054" s="3"/>
      <c r="N1054" s="3" t="s">
        <v>605</v>
      </c>
      <c r="O1054" s="3"/>
    </row>
    <row r="1055" spans="1:15" ht="22.5" customHeight="1" x14ac:dyDescent="0.2">
      <c r="A1055" s="3" t="s">
        <v>1848</v>
      </c>
      <c r="B1055" s="3" t="str">
        <f ca="1">IFERROR(__xludf.DUMMYFUNCTION("REGEXEXTRACT(A1055, ""\.(?:GOV|EXT)\.([A-Z0-9\-]+)"")
"),"FES-PE")</f>
        <v>FES-PE</v>
      </c>
      <c r="C1055" s="3" t="s">
        <v>34</v>
      </c>
      <c r="D1055" s="3" t="s">
        <v>1216</v>
      </c>
      <c r="E1055" s="14" t="str">
        <f ca="1">IFERROR(__xludf.DUMMYFUNCTION("REGEXEXTRACT(A1055, ""-(.*)"")"),"ARP.0031.16.2024.GOV.FES-PE.PE")</f>
        <v>ARP.0031.16.2024.GOV.FES-PE.PE</v>
      </c>
      <c r="F1055" s="3" t="s">
        <v>1646</v>
      </c>
      <c r="G1055" s="3" t="s">
        <v>3</v>
      </c>
      <c r="H1055" s="9">
        <v>45553</v>
      </c>
      <c r="I1055" s="3" t="s">
        <v>37</v>
      </c>
      <c r="J1055" s="3" t="str">
        <f>VLOOKUP(A1055,'TODOS OS PROCESSOS ATUALIZADOS '!A:I,7,0)</f>
        <v>Cancelada</v>
      </c>
      <c r="K1055" s="3" t="s">
        <v>38</v>
      </c>
      <c r="L1055" s="3" t="str">
        <f t="shared" si="4"/>
        <v>Item não atualizado</v>
      </c>
      <c r="M1055" s="3"/>
      <c r="N1055" s="3" t="s">
        <v>605</v>
      </c>
      <c r="O1055" s="3"/>
    </row>
    <row r="1056" spans="1:15" ht="22.5" customHeight="1" x14ac:dyDescent="0.2">
      <c r="A1056" s="3" t="s">
        <v>1849</v>
      </c>
      <c r="B1056" s="3" t="str">
        <f ca="1">IFERROR(__xludf.DUMMYFUNCTION("REGEXEXTRACT(A1056, ""\.(?:GOV|EXT)\.([A-Z0-9\-]+)"")
"),"FES-PE")</f>
        <v>FES-PE</v>
      </c>
      <c r="C1056" s="3" t="s">
        <v>34</v>
      </c>
      <c r="D1056" s="3" t="s">
        <v>1216</v>
      </c>
      <c r="E1056" s="14" t="str">
        <f ca="1">IFERROR(__xludf.DUMMYFUNCTION("REGEXEXTRACT(A1056, ""-(.*)"")"),"ARP.0031.16.2024.GOV.FES-PE.PE")</f>
        <v>ARP.0031.16.2024.GOV.FES-PE.PE</v>
      </c>
      <c r="F1056" s="3" t="s">
        <v>1646</v>
      </c>
      <c r="G1056" s="3" t="s">
        <v>3</v>
      </c>
      <c r="H1056" s="9">
        <v>45553</v>
      </c>
      <c r="I1056" s="3" t="s">
        <v>37</v>
      </c>
      <c r="J1056" s="3" t="str">
        <f>VLOOKUP(A1056,'TODOS OS PROCESSOS ATUALIZADOS '!A:I,7,0)</f>
        <v>Cancelada</v>
      </c>
      <c r="K1056" s="3" t="s">
        <v>38</v>
      </c>
      <c r="L1056" s="3" t="str">
        <f t="shared" si="4"/>
        <v>Item não atualizado</v>
      </c>
      <c r="M1056" s="3"/>
      <c r="N1056" s="3" t="s">
        <v>605</v>
      </c>
      <c r="O1056" s="3"/>
    </row>
    <row r="1057" spans="1:15" ht="22.5" customHeight="1" x14ac:dyDescent="0.2">
      <c r="A1057" s="3" t="s">
        <v>1850</v>
      </c>
      <c r="B1057" s="3" t="str">
        <f ca="1">IFERROR(__xludf.DUMMYFUNCTION("REGEXEXTRACT(A1057, ""\.(?:GOV|EXT)\.([A-Z0-9\-]+)"")
"),"SAD")</f>
        <v>SAD</v>
      </c>
      <c r="C1057" s="3" t="s">
        <v>34</v>
      </c>
      <c r="D1057" s="3" t="s">
        <v>1216</v>
      </c>
      <c r="E1057" s="14" t="str">
        <f ca="1">IFERROR(__xludf.DUMMYFUNCTION("REGEXEXTRACT(A1057, ""-(.*)"")"),"ARPC.0015.02.2024.GOV.SAD.PE")</f>
        <v>ARPC.0015.02.2024.GOV.SAD.PE</v>
      </c>
      <c r="F1057" s="6" t="s">
        <v>1851</v>
      </c>
      <c r="G1057" s="3"/>
      <c r="H1057" s="9">
        <v>45553</v>
      </c>
      <c r="I1057" s="3" t="s">
        <v>44</v>
      </c>
      <c r="J1057" s="3" t="str">
        <f>VLOOKUP(A1057,'TODOS OS PROCESSOS ATUALIZADOS '!A:I,7,0)</f>
        <v>Autorizada Sucesso</v>
      </c>
      <c r="K1057" s="3" t="s">
        <v>44</v>
      </c>
      <c r="L1057" s="3" t="str">
        <f t="shared" si="4"/>
        <v>Item atualizado</v>
      </c>
      <c r="M1057" s="3"/>
      <c r="N1057" s="3" t="s">
        <v>605</v>
      </c>
      <c r="O1057" s="3"/>
    </row>
    <row r="1058" spans="1:15" ht="22.5" customHeight="1" x14ac:dyDescent="0.2">
      <c r="A1058" s="3" t="s">
        <v>1852</v>
      </c>
      <c r="B1058" s="3" t="str">
        <f ca="1">IFERROR(__xludf.DUMMYFUNCTION("REGEXEXTRACT(A1058, ""\.(?:GOV|EXT)\.([A-Z0-9\-]+)"")
"),"SAD")</f>
        <v>SAD</v>
      </c>
      <c r="C1058" s="3" t="s">
        <v>34</v>
      </c>
      <c r="D1058" s="3" t="s">
        <v>1216</v>
      </c>
      <c r="E1058" s="14" t="str">
        <f ca="1">IFERROR(__xludf.DUMMYFUNCTION("REGEXEXTRACT(A1058, ""-(.*)"")"),"ARPC.0015.02.2024.GOV.SAD.PE")</f>
        <v>ARPC.0015.02.2024.GOV.SAD.PE</v>
      </c>
      <c r="F1058" s="3" t="s">
        <v>1851</v>
      </c>
      <c r="G1058" s="3"/>
      <c r="H1058" s="9">
        <v>45553</v>
      </c>
      <c r="I1058" s="3" t="s">
        <v>37</v>
      </c>
      <c r="J1058" s="3" t="str">
        <f>VLOOKUP(A1058,'TODOS OS PROCESSOS ATUALIZADOS '!A:I,7,0)</f>
        <v>Cancelada</v>
      </c>
      <c r="K1058" s="3" t="s">
        <v>38</v>
      </c>
      <c r="L1058" s="3" t="str">
        <f t="shared" si="4"/>
        <v>Item não atualizado</v>
      </c>
      <c r="M1058" s="3"/>
      <c r="N1058" s="3" t="s">
        <v>605</v>
      </c>
      <c r="O1058" s="3"/>
    </row>
    <row r="1059" spans="1:15" ht="22.5" customHeight="1" x14ac:dyDescent="0.2">
      <c r="A1059" s="3" t="s">
        <v>1853</v>
      </c>
      <c r="B1059" s="3" t="str">
        <f ca="1">IFERROR(__xludf.DUMMYFUNCTION("REGEXEXTRACT(A1059, ""\.(?:GOV|EXT)\.([A-Z0-9\-]+)"")
"),"FES-PE")</f>
        <v>FES-PE</v>
      </c>
      <c r="C1059" s="3" t="s">
        <v>34</v>
      </c>
      <c r="D1059" s="3" t="s">
        <v>1216</v>
      </c>
      <c r="E1059" s="14" t="str">
        <f ca="1">IFERROR(__xludf.DUMMYFUNCTION("REGEXEXTRACT(A1059, ""-(.*)"")"),"ARP.0031.16.2024.GOV.FES-PE.PE")</f>
        <v>ARP.0031.16.2024.GOV.FES-PE.PE</v>
      </c>
      <c r="F1059" s="3" t="s">
        <v>1646</v>
      </c>
      <c r="G1059" s="3"/>
      <c r="H1059" s="9">
        <v>45553</v>
      </c>
      <c r="I1059" s="3" t="s">
        <v>37</v>
      </c>
      <c r="J1059" s="3" t="str">
        <f>VLOOKUP(A1059,'TODOS OS PROCESSOS ATUALIZADOS '!A:I,7,0)</f>
        <v>Cancelada</v>
      </c>
      <c r="K1059" s="3" t="s">
        <v>38</v>
      </c>
      <c r="L1059" s="3" t="str">
        <f t="shared" si="4"/>
        <v>Item não atualizado</v>
      </c>
      <c r="M1059" s="3"/>
      <c r="N1059" s="3" t="s">
        <v>605</v>
      </c>
      <c r="O1059" s="3"/>
    </row>
    <row r="1060" spans="1:15" ht="22.5" customHeight="1" x14ac:dyDescent="0.2">
      <c r="A1060" s="3" t="s">
        <v>1854</v>
      </c>
      <c r="B1060" s="3" t="str">
        <f ca="1">IFERROR(__xludf.DUMMYFUNCTION("REGEXEXTRACT(A1060, ""\.(?:GOV|EXT)\.([A-Z0-9\-]+)"")
"),"FES-PE")</f>
        <v>FES-PE</v>
      </c>
      <c r="C1060" s="3" t="s">
        <v>34</v>
      </c>
      <c r="D1060" s="3" t="s">
        <v>1216</v>
      </c>
      <c r="E1060" s="14" t="str">
        <f ca="1">IFERROR(__xludf.DUMMYFUNCTION("REGEXEXTRACT(A1060, ""-(.*)"")"),"ARP.0031.16.2024.GOV.FES-PE.PE")</f>
        <v>ARP.0031.16.2024.GOV.FES-PE.PE</v>
      </c>
      <c r="F1060" s="3" t="s">
        <v>1646</v>
      </c>
      <c r="G1060" s="3"/>
      <c r="H1060" s="9">
        <v>45553</v>
      </c>
      <c r="I1060" s="3" t="s">
        <v>37</v>
      </c>
      <c r="J1060" s="3" t="str">
        <f>VLOOKUP(A1060,'TODOS OS PROCESSOS ATUALIZADOS '!A:I,7,0)</f>
        <v>Cancelada</v>
      </c>
      <c r="K1060" s="3" t="s">
        <v>38</v>
      </c>
      <c r="L1060" s="3" t="str">
        <f t="shared" si="4"/>
        <v>Item não atualizado</v>
      </c>
      <c r="M1060" s="3"/>
      <c r="N1060" s="3" t="s">
        <v>605</v>
      </c>
      <c r="O1060" s="3"/>
    </row>
    <row r="1061" spans="1:15" ht="22.5" customHeight="1" x14ac:dyDescent="0.2">
      <c r="A1061" s="3" t="s">
        <v>1855</v>
      </c>
      <c r="B1061" s="3" t="str">
        <f ca="1">IFERROR(__xludf.DUMMYFUNCTION("REGEXEXTRACT(A1061, ""\.(?:GOV|EXT)\.([A-Z0-9\-]+)"")
"),"FES-PE")</f>
        <v>FES-PE</v>
      </c>
      <c r="C1061" s="3" t="s">
        <v>34</v>
      </c>
      <c r="D1061" s="3" t="s">
        <v>1216</v>
      </c>
      <c r="E1061" s="14" t="str">
        <f ca="1">IFERROR(__xludf.DUMMYFUNCTION("REGEXEXTRACT(A1061, ""-(.*)"")"),"ARP.0022.01.2024.GOV.FES-PE.PE")</f>
        <v>ARP.0022.01.2024.GOV.FES-PE.PE</v>
      </c>
      <c r="F1061" s="6" t="s">
        <v>1814</v>
      </c>
      <c r="G1061" s="3"/>
      <c r="H1061" s="9">
        <v>45552</v>
      </c>
      <c r="I1061" s="3" t="s">
        <v>44</v>
      </c>
      <c r="J1061" s="3" t="str">
        <f>VLOOKUP(A1061,'TODOS OS PROCESSOS ATUALIZADOS '!A:I,7,0)</f>
        <v>Autorizada Sucesso</v>
      </c>
      <c r="K1061" s="3" t="s">
        <v>44</v>
      </c>
      <c r="L1061" s="3" t="str">
        <f t="shared" si="4"/>
        <v>Item atualizado</v>
      </c>
      <c r="M1061" s="3"/>
      <c r="N1061" s="3" t="s">
        <v>605</v>
      </c>
      <c r="O1061" s="3"/>
    </row>
    <row r="1062" spans="1:15" ht="22.5" customHeight="1" x14ac:dyDescent="0.2">
      <c r="A1062" s="3" t="s">
        <v>1856</v>
      </c>
      <c r="B1062" s="3" t="str">
        <f ca="1">IFERROR(__xludf.DUMMYFUNCTION("REGEXEXTRACT(A1062, ""\.(?:GOV|EXT)\.([A-Z0-9\-]+)"")
"),"FES-PE")</f>
        <v>FES-PE</v>
      </c>
      <c r="C1062" s="3" t="s">
        <v>34</v>
      </c>
      <c r="D1062" s="3" t="s">
        <v>1216</v>
      </c>
      <c r="E1062" s="14" t="str">
        <f ca="1">IFERROR(__xludf.DUMMYFUNCTION("REGEXEXTRACT(A1062, ""-(.*)"")"),"ARP.0022.01.2024.GOV.FES-PE.PE")</f>
        <v>ARP.0022.01.2024.GOV.FES-PE.PE</v>
      </c>
      <c r="F1062" s="6" t="s">
        <v>1814</v>
      </c>
      <c r="G1062" s="3"/>
      <c r="H1062" s="9">
        <v>45552</v>
      </c>
      <c r="I1062" s="3" t="s">
        <v>44</v>
      </c>
      <c r="J1062" s="3" t="str">
        <f>VLOOKUP(A1062,'TODOS OS PROCESSOS ATUALIZADOS '!A:I,7,0)</f>
        <v>Autorizada Integrado</v>
      </c>
      <c r="K1062" s="3" t="s">
        <v>44</v>
      </c>
      <c r="L1062" s="3" t="str">
        <f t="shared" si="4"/>
        <v>Item atualizado</v>
      </c>
      <c r="M1062" s="3"/>
      <c r="N1062" s="3" t="s">
        <v>605</v>
      </c>
      <c r="O1062" s="3"/>
    </row>
    <row r="1063" spans="1:15" ht="22.5" customHeight="1" x14ac:dyDescent="0.2">
      <c r="A1063" s="3" t="s">
        <v>1857</v>
      </c>
      <c r="B1063" s="3" t="str">
        <f ca="1">IFERROR(__xludf.DUMMYFUNCTION("REGEXEXTRACT(A1063, ""\.(?:GOV|EXT)\.([A-Z0-9\-]+)"")
"),"FES-PE")</f>
        <v>FES-PE</v>
      </c>
      <c r="C1063" s="3" t="s">
        <v>34</v>
      </c>
      <c r="D1063" s="3" t="s">
        <v>1216</v>
      </c>
      <c r="E1063" s="14" t="str">
        <f ca="1">IFERROR(__xludf.DUMMYFUNCTION("REGEXEXTRACT(A1063, ""-(.*)"")"),"ARP.0031.16.2024.GOV.FES-PE.PE")</f>
        <v>ARP.0031.16.2024.GOV.FES-PE.PE</v>
      </c>
      <c r="F1063" s="3" t="s">
        <v>1646</v>
      </c>
      <c r="G1063" s="3"/>
      <c r="H1063" s="9">
        <v>45552</v>
      </c>
      <c r="I1063" s="3" t="s">
        <v>37</v>
      </c>
      <c r="J1063" s="3" t="str">
        <f>VLOOKUP(A1063,'TODOS OS PROCESSOS ATUALIZADOS '!A:I,7,0)</f>
        <v>Cancelada</v>
      </c>
      <c r="K1063" s="3" t="s">
        <v>38</v>
      </c>
      <c r="L1063" s="3" t="str">
        <f t="shared" si="4"/>
        <v>Item não atualizado</v>
      </c>
      <c r="M1063" s="3"/>
      <c r="N1063" s="3" t="s">
        <v>605</v>
      </c>
      <c r="O1063" s="3"/>
    </row>
    <row r="1064" spans="1:15" ht="22.5" customHeight="1" x14ac:dyDescent="0.2">
      <c r="A1064" s="3" t="s">
        <v>1858</v>
      </c>
      <c r="B1064" s="3" t="str">
        <f ca="1">IFERROR(__xludf.DUMMYFUNCTION("REGEXEXTRACT(A1064, ""\.(?:GOV|EXT)\.([A-Z0-9\-]+)"")
"),"FES-PE")</f>
        <v>FES-PE</v>
      </c>
      <c r="C1064" s="3" t="s">
        <v>34</v>
      </c>
      <c r="D1064" s="3" t="s">
        <v>1216</v>
      </c>
      <c r="E1064" s="14" t="str">
        <f ca="1">IFERROR(__xludf.DUMMYFUNCTION("REGEXEXTRACT(A1064, ""-(.*)"")"),"ARP.0031.16.2024.GOV.FES-PE.PE")</f>
        <v>ARP.0031.16.2024.GOV.FES-PE.PE</v>
      </c>
      <c r="F1064" s="3" t="s">
        <v>1646</v>
      </c>
      <c r="G1064" s="3"/>
      <c r="H1064" s="9">
        <v>45552</v>
      </c>
      <c r="I1064" s="3" t="s">
        <v>37</v>
      </c>
      <c r="J1064" s="3" t="str">
        <f>VLOOKUP(A1064,'TODOS OS PROCESSOS ATUALIZADOS '!A:I,7,0)</f>
        <v>Cancelada</v>
      </c>
      <c r="K1064" s="3" t="s">
        <v>38</v>
      </c>
      <c r="L1064" s="3" t="str">
        <f t="shared" si="4"/>
        <v>Item não atualizado</v>
      </c>
      <c r="M1064" s="3"/>
      <c r="N1064" s="3" t="s">
        <v>605</v>
      </c>
      <c r="O1064" s="3"/>
    </row>
    <row r="1065" spans="1:15" ht="22.5" customHeight="1" x14ac:dyDescent="0.2">
      <c r="A1065" s="3" t="s">
        <v>1859</v>
      </c>
      <c r="B1065" s="3" t="str">
        <f ca="1">IFERROR(__xludf.DUMMYFUNCTION("REGEXEXTRACT(A1065, ""\.(?:GOV|EXT)\.([A-Z0-9\-]+)"")
"),"SAD")</f>
        <v>SAD</v>
      </c>
      <c r="C1065" s="3" t="s">
        <v>34</v>
      </c>
      <c r="D1065" s="3" t="s">
        <v>1216</v>
      </c>
      <c r="E1065" s="14" t="str">
        <f ca="1">IFERROR(__xludf.DUMMYFUNCTION("REGEXEXTRACT(A1065, ""-(.*)"")"),"ARPC.0018.00.2024.GOV.SAD.PE")</f>
        <v>ARPC.0018.00.2024.GOV.SAD.PE</v>
      </c>
      <c r="F1065" s="6" t="s">
        <v>1349</v>
      </c>
      <c r="G1065" s="3"/>
      <c r="H1065" s="9">
        <v>45552</v>
      </c>
      <c r="I1065" s="3" t="s">
        <v>44</v>
      </c>
      <c r="J1065" s="3" t="str">
        <f>VLOOKUP(A1065,'TODOS OS PROCESSOS ATUALIZADOS '!A:I,7,0)</f>
        <v>Autorizada Sucesso</v>
      </c>
      <c r="K1065" s="3" t="s">
        <v>44</v>
      </c>
      <c r="L1065" s="3" t="str">
        <f t="shared" si="4"/>
        <v>Item atualizado</v>
      </c>
      <c r="M1065" s="3"/>
      <c r="N1065" s="3" t="s">
        <v>605</v>
      </c>
      <c r="O1065" s="3"/>
    </row>
    <row r="1066" spans="1:15" ht="22.5" customHeight="1" x14ac:dyDescent="0.2">
      <c r="A1066" s="3" t="s">
        <v>1860</v>
      </c>
      <c r="B1066" s="3" t="str">
        <f ca="1">IFERROR(__xludf.DUMMYFUNCTION("REGEXEXTRACT(A1066, ""\.(?:GOV|EXT)\.([A-Z0-9\-]+)"")
"),"SAD")</f>
        <v>SAD</v>
      </c>
      <c r="C1066" s="3" t="s">
        <v>34</v>
      </c>
      <c r="D1066" s="3" t="s">
        <v>1216</v>
      </c>
      <c r="E1066" s="14" t="str">
        <f ca="1">IFERROR(__xludf.DUMMYFUNCTION("REGEXEXTRACT(A1066, ""-(.*)"")"),"ARPC.0018.00.2024.GOV.SAD.PE")</f>
        <v>ARPC.0018.00.2024.GOV.SAD.PE</v>
      </c>
      <c r="F1066" s="6" t="s">
        <v>1349</v>
      </c>
      <c r="G1066" s="3"/>
      <c r="H1066" s="9">
        <v>45552</v>
      </c>
      <c r="I1066" s="3" t="s">
        <v>44</v>
      </c>
      <c r="J1066" s="3" t="str">
        <f>VLOOKUP(A1066,'TODOS OS PROCESSOS ATUALIZADOS '!A:I,7,0)</f>
        <v>Autorizada Sucesso</v>
      </c>
      <c r="K1066" s="3" t="s">
        <v>44</v>
      </c>
      <c r="L1066" s="3" t="str">
        <f t="shared" si="4"/>
        <v>Item atualizado</v>
      </c>
      <c r="M1066" s="3"/>
      <c r="N1066" s="3" t="s">
        <v>605</v>
      </c>
      <c r="O1066" s="3"/>
    </row>
    <row r="1067" spans="1:15" ht="22.5" customHeight="1" x14ac:dyDescent="0.2">
      <c r="A1067" s="3" t="s">
        <v>1861</v>
      </c>
      <c r="B1067" s="3" t="str">
        <f ca="1">IFERROR(__xludf.DUMMYFUNCTION("REGEXEXTRACT(A1067, ""\.(?:GOV|EXT)\.([A-Z0-9\-]+)"")
"),"FES-PE")</f>
        <v>FES-PE</v>
      </c>
      <c r="C1067" s="3" t="s">
        <v>34</v>
      </c>
      <c r="D1067" s="3" t="s">
        <v>1216</v>
      </c>
      <c r="E1067" s="14" t="str">
        <f ca="1">IFERROR(__xludf.DUMMYFUNCTION("REGEXEXTRACT(A1067, ""-(.*)"")"),"ARP.0018.00.2024.GOV.FES-PE.PE")</f>
        <v>ARP.0018.00.2024.GOV.FES-PE.PE</v>
      </c>
      <c r="F1067" s="3" t="s">
        <v>737</v>
      </c>
      <c r="G1067" s="3"/>
      <c r="H1067" s="9">
        <v>45552</v>
      </c>
      <c r="I1067" s="3" t="s">
        <v>37</v>
      </c>
      <c r="J1067" s="3" t="str">
        <f>VLOOKUP(A1067,'TODOS OS PROCESSOS ATUALIZADOS '!A:I,7,0)</f>
        <v>Cancelada</v>
      </c>
      <c r="K1067" s="3" t="s">
        <v>38</v>
      </c>
      <c r="L1067" s="3" t="str">
        <f t="shared" si="4"/>
        <v>Item não atualizado</v>
      </c>
      <c r="M1067" s="3"/>
      <c r="N1067" s="3" t="s">
        <v>605</v>
      </c>
      <c r="O1067" s="3"/>
    </row>
    <row r="1068" spans="1:15" ht="22.5" customHeight="1" x14ac:dyDescent="0.2">
      <c r="A1068" s="3" t="s">
        <v>1862</v>
      </c>
      <c r="B1068" s="3" t="str">
        <f ca="1">IFERROR(__xludf.DUMMYFUNCTION("REGEXEXTRACT(A1068, ""\.(?:GOV|EXT)\.([A-Z0-9\-]+)"")
"),"FES-PE")</f>
        <v>FES-PE</v>
      </c>
      <c r="C1068" s="3" t="s">
        <v>34</v>
      </c>
      <c r="D1068" s="3" t="s">
        <v>1216</v>
      </c>
      <c r="E1068" s="14" t="str">
        <f ca="1">IFERROR(__xludf.DUMMYFUNCTION("REGEXEXTRACT(A1068, ""-(.*)"")"),"ARP.0018.00.2024.GOV.FES-PE.PE")</f>
        <v>ARP.0018.00.2024.GOV.FES-PE.PE</v>
      </c>
      <c r="F1068" s="3" t="s">
        <v>737</v>
      </c>
      <c r="G1068" s="3"/>
      <c r="H1068" s="9">
        <v>45552</v>
      </c>
      <c r="I1068" s="3" t="s">
        <v>37</v>
      </c>
      <c r="J1068" s="3" t="str">
        <f>VLOOKUP(A1068,'TODOS OS PROCESSOS ATUALIZADOS '!A:I,7,0)</f>
        <v>Cancelada</v>
      </c>
      <c r="K1068" s="3" t="s">
        <v>38</v>
      </c>
      <c r="L1068" s="3" t="str">
        <f t="shared" si="4"/>
        <v>Item não atualizado</v>
      </c>
      <c r="M1068" s="3"/>
      <c r="N1068" s="3" t="s">
        <v>605</v>
      </c>
      <c r="O1068" s="3"/>
    </row>
    <row r="1069" spans="1:15" ht="22.5" customHeight="1" x14ac:dyDescent="0.2">
      <c r="A1069" s="3" t="s">
        <v>1863</v>
      </c>
      <c r="B1069" s="3" t="str">
        <f ca="1">IFERROR(__xludf.DUMMYFUNCTION("REGEXEXTRACT(A1069, ""\.(?:GOV|EXT)\.([A-Z0-9\-]+)"")
"),"FES-PE")</f>
        <v>FES-PE</v>
      </c>
      <c r="C1069" s="3" t="s">
        <v>34</v>
      </c>
      <c r="D1069" s="3" t="s">
        <v>1216</v>
      </c>
      <c r="E1069" s="14" t="str">
        <f ca="1">IFERROR(__xludf.DUMMYFUNCTION("REGEXEXTRACT(A1069, ""-(.*)"")"),"ARP.0048.07.2024.GOV.FES-PE.PE")</f>
        <v>ARP.0048.07.2024.GOV.FES-PE.PE</v>
      </c>
      <c r="F1069" s="6" t="s">
        <v>1734</v>
      </c>
      <c r="G1069" s="3"/>
      <c r="H1069" s="9">
        <v>45551</v>
      </c>
      <c r="I1069" s="3" t="s">
        <v>44</v>
      </c>
      <c r="J1069" s="3" t="str">
        <f>VLOOKUP(A1069,'TODOS OS PROCESSOS ATUALIZADOS '!A:I,7,0)</f>
        <v>Autorizada Sucesso</v>
      </c>
      <c r="K1069" s="3" t="s">
        <v>44</v>
      </c>
      <c r="L1069" s="3" t="str">
        <f t="shared" si="4"/>
        <v>Item atualizado</v>
      </c>
      <c r="M1069" s="3"/>
      <c r="N1069" s="3" t="s">
        <v>605</v>
      </c>
      <c r="O1069" s="3"/>
    </row>
    <row r="1070" spans="1:15" ht="22.5" customHeight="1" x14ac:dyDescent="0.2">
      <c r="A1070" s="3" t="s">
        <v>1864</v>
      </c>
      <c r="B1070" s="3" t="str">
        <f ca="1">IFERROR(__xludf.DUMMYFUNCTION("REGEXEXTRACT(A1070, ""\.(?:GOV|EXT)\.([A-Z0-9\-]+)"")
"),"FES-PE")</f>
        <v>FES-PE</v>
      </c>
      <c r="C1070" s="3" t="s">
        <v>34</v>
      </c>
      <c r="D1070" s="3" t="s">
        <v>1216</v>
      </c>
      <c r="E1070" s="14" t="str">
        <f ca="1">IFERROR(__xludf.DUMMYFUNCTION("REGEXEXTRACT(A1070, ""-(.*)"")"),"ARP.0018.00.2024.GOV.FES-PE.PE")</f>
        <v>ARP.0018.00.2024.GOV.FES-PE.PE</v>
      </c>
      <c r="F1070" s="3" t="s">
        <v>737</v>
      </c>
      <c r="G1070" s="3"/>
      <c r="H1070" s="9">
        <v>45551</v>
      </c>
      <c r="I1070" s="3" t="s">
        <v>37</v>
      </c>
      <c r="J1070" s="3" t="str">
        <f>VLOOKUP(A1070,'TODOS OS PROCESSOS ATUALIZADOS '!A:I,7,0)</f>
        <v>Cancelada</v>
      </c>
      <c r="K1070" s="3" t="s">
        <v>38</v>
      </c>
      <c r="L1070" s="3" t="str">
        <f t="shared" si="4"/>
        <v>Item não atualizado</v>
      </c>
      <c r="M1070" s="3"/>
      <c r="N1070" s="3" t="s">
        <v>605</v>
      </c>
      <c r="O1070" s="3"/>
    </row>
    <row r="1071" spans="1:15" ht="22.5" customHeight="1" x14ac:dyDescent="0.2">
      <c r="A1071" s="3" t="s">
        <v>1865</v>
      </c>
      <c r="B1071" s="3" t="str">
        <f ca="1">IFERROR(__xludf.DUMMYFUNCTION("REGEXEXTRACT(A1071, ""\.(?:GOV|EXT)\.([A-Z0-9\-]+)"")
"),"FES-PE")</f>
        <v>FES-PE</v>
      </c>
      <c r="C1071" s="3" t="s">
        <v>34</v>
      </c>
      <c r="D1071" s="3" t="s">
        <v>1216</v>
      </c>
      <c r="E1071" s="14" t="str">
        <f ca="1">IFERROR(__xludf.DUMMYFUNCTION("REGEXEXTRACT(A1071, ""-(.*)"")"),"ARP.0065.01.2024.GOV.FES-PE.PE")</f>
        <v>ARP.0065.01.2024.GOV.FES-PE.PE</v>
      </c>
      <c r="F1071" s="3" t="s">
        <v>1805</v>
      </c>
      <c r="G1071" s="3"/>
      <c r="H1071" s="9">
        <v>45551</v>
      </c>
      <c r="I1071" s="3" t="s">
        <v>37</v>
      </c>
      <c r="J1071" s="3" t="str">
        <f>VLOOKUP(A1071,'TODOS OS PROCESSOS ATUALIZADOS '!A:I,7,0)</f>
        <v>Cancelada</v>
      </c>
      <c r="K1071" s="3" t="s">
        <v>38</v>
      </c>
      <c r="L1071" s="3" t="str">
        <f t="shared" si="4"/>
        <v>Item não atualizado</v>
      </c>
      <c r="M1071" s="3"/>
      <c r="N1071" s="3" t="s">
        <v>605</v>
      </c>
      <c r="O1071" s="3"/>
    </row>
    <row r="1072" spans="1:15" ht="22.5" customHeight="1" x14ac:dyDescent="0.2">
      <c r="A1072" s="3" t="s">
        <v>1866</v>
      </c>
      <c r="B1072" s="3" t="str">
        <f ca="1">IFERROR(__xludf.DUMMYFUNCTION("REGEXEXTRACT(A1072, ""\.(?:GOV|EXT)\.([A-Z0-9\-]+)"")
"),"FES-PE")</f>
        <v>FES-PE</v>
      </c>
      <c r="C1072" s="3" t="s">
        <v>34</v>
      </c>
      <c r="D1072" s="3" t="s">
        <v>1216</v>
      </c>
      <c r="E1072" s="14" t="str">
        <f ca="1">IFERROR(__xludf.DUMMYFUNCTION("REGEXEXTRACT(A1072, ""-(.*)"")"),"ARP.0065.01.2024.GOV.FES-PE.PE")</f>
        <v>ARP.0065.01.2024.GOV.FES-PE.PE</v>
      </c>
      <c r="F1072" s="3" t="s">
        <v>1805</v>
      </c>
      <c r="G1072" s="3"/>
      <c r="H1072" s="9">
        <v>45551</v>
      </c>
      <c r="I1072" s="3" t="s">
        <v>37</v>
      </c>
      <c r="J1072" s="3" t="str">
        <f>VLOOKUP(A1072,'TODOS OS PROCESSOS ATUALIZADOS '!A:I,7,0)</f>
        <v>Cancelada Sucesso</v>
      </c>
      <c r="K1072" s="3" t="s">
        <v>38</v>
      </c>
      <c r="L1072" s="3" t="str">
        <f t="shared" si="4"/>
        <v>Item atualizado</v>
      </c>
      <c r="M1072" s="3"/>
      <c r="N1072" s="3" t="s">
        <v>605</v>
      </c>
      <c r="O1072" s="3"/>
    </row>
    <row r="1073" spans="1:15" ht="22.5" customHeight="1" x14ac:dyDescent="0.2">
      <c r="A1073" s="3" t="s">
        <v>1867</v>
      </c>
      <c r="B1073" s="3" t="str">
        <f ca="1">IFERROR(__xludf.DUMMYFUNCTION("REGEXEXTRACT(A1073, ""\.(?:GOV|EXT)\.([A-Z0-9\-]+)"")
"),"FES-PE")</f>
        <v>FES-PE</v>
      </c>
      <c r="C1073" s="3" t="s">
        <v>34</v>
      </c>
      <c r="D1073" s="3" t="s">
        <v>1216</v>
      </c>
      <c r="E1073" s="14" t="str">
        <f ca="1">IFERROR(__xludf.DUMMYFUNCTION("REGEXEXTRACT(A1073, ""-(.*)"")"),"ARP.0065.01.2024.GOV.FES-PE.PE")</f>
        <v>ARP.0065.01.2024.GOV.FES-PE.PE</v>
      </c>
      <c r="F1073" s="3" t="s">
        <v>1805</v>
      </c>
      <c r="G1073" s="3"/>
      <c r="H1073" s="9">
        <v>45551</v>
      </c>
      <c r="I1073" s="3" t="s">
        <v>37</v>
      </c>
      <c r="J1073" s="3" t="str">
        <f>VLOOKUP(A1073,'TODOS OS PROCESSOS ATUALIZADOS '!A:I,7,0)</f>
        <v>Cancelada</v>
      </c>
      <c r="K1073" s="3" t="s">
        <v>38</v>
      </c>
      <c r="L1073" s="3" t="str">
        <f t="shared" si="4"/>
        <v>Item não atualizado</v>
      </c>
      <c r="M1073" s="3"/>
      <c r="N1073" s="3" t="s">
        <v>605</v>
      </c>
      <c r="O1073" s="3"/>
    </row>
    <row r="1074" spans="1:15" ht="22.5" customHeight="1" x14ac:dyDescent="0.2">
      <c r="A1074" s="3" t="s">
        <v>1868</v>
      </c>
      <c r="B1074" s="3" t="str">
        <f ca="1">IFERROR(__xludf.DUMMYFUNCTION("REGEXEXTRACT(A1074, ""\.(?:GOV|EXT)\.([A-Z0-9\-]+)"")
"),"FES-PE")</f>
        <v>FES-PE</v>
      </c>
      <c r="C1074" s="3" t="s">
        <v>34</v>
      </c>
      <c r="D1074" s="3" t="s">
        <v>1216</v>
      </c>
      <c r="E1074" s="14" t="str">
        <f ca="1">IFERROR(__xludf.DUMMYFUNCTION("REGEXEXTRACT(A1074, ""-(.*)"")"),"ARP.0018.00.2024.GOV.FES-PE.PE")</f>
        <v>ARP.0018.00.2024.GOV.FES-PE.PE</v>
      </c>
      <c r="F1074" s="6" t="s">
        <v>737</v>
      </c>
      <c r="G1074" s="3"/>
      <c r="H1074" s="9">
        <v>45551</v>
      </c>
      <c r="I1074" s="3" t="s">
        <v>44</v>
      </c>
      <c r="J1074" s="3" t="str">
        <f>VLOOKUP(A1074,'TODOS OS PROCESSOS ATUALIZADOS '!A:I,7,0)</f>
        <v>Autorizada Integrado</v>
      </c>
      <c r="K1074" s="3" t="s">
        <v>44</v>
      </c>
      <c r="L1074" s="3" t="str">
        <f t="shared" si="4"/>
        <v>Item atualizado</v>
      </c>
      <c r="M1074" s="3"/>
      <c r="N1074" s="3" t="s">
        <v>605</v>
      </c>
      <c r="O1074" s="3"/>
    </row>
    <row r="1075" spans="1:15" ht="22.5" customHeight="1" x14ac:dyDescent="0.2">
      <c r="A1075" s="3" t="s">
        <v>1869</v>
      </c>
      <c r="B1075" s="3" t="str">
        <f ca="1">IFERROR(__xludf.DUMMYFUNCTION("REGEXEXTRACT(A1075, ""\.(?:GOV|EXT)\.([A-Z0-9\-]+)"")
"),"FES-PE")</f>
        <v>FES-PE</v>
      </c>
      <c r="C1075" s="3" t="s">
        <v>34</v>
      </c>
      <c r="D1075" s="3" t="s">
        <v>1216</v>
      </c>
      <c r="E1075" s="14" t="str">
        <f ca="1">IFERROR(__xludf.DUMMYFUNCTION("REGEXEXTRACT(A1075, ""-(.*)"")"),"ARP.0065.06.2024.GOV.FES-PE.PE")</f>
        <v>ARP.0065.06.2024.GOV.FES-PE.PE</v>
      </c>
      <c r="F1075" s="3" t="s">
        <v>1805</v>
      </c>
      <c r="G1075" s="3"/>
      <c r="H1075" s="9">
        <v>45551</v>
      </c>
      <c r="I1075" s="3" t="s">
        <v>37</v>
      </c>
      <c r="J1075" s="3" t="str">
        <f>VLOOKUP(A1075,'TODOS OS PROCESSOS ATUALIZADOS '!A:I,7,0)</f>
        <v>Cancelada por fim vigencia ATA</v>
      </c>
      <c r="K1075" s="3" t="s">
        <v>38</v>
      </c>
      <c r="L1075" s="3" t="str">
        <f t="shared" si="4"/>
        <v>Item atualizado</v>
      </c>
      <c r="M1075" s="3"/>
      <c r="N1075" s="3" t="s">
        <v>605</v>
      </c>
      <c r="O1075" s="3"/>
    </row>
    <row r="1076" spans="1:15" ht="22.5" customHeight="1" x14ac:dyDescent="0.2">
      <c r="A1076" s="3" t="s">
        <v>1870</v>
      </c>
      <c r="B1076" s="3" t="str">
        <f ca="1">IFERROR(__xludf.DUMMYFUNCTION("REGEXEXTRACT(A1076, ""\.(?:GOV|EXT)\.([A-Z0-9\-]+)"")
"),"FES-PE")</f>
        <v>FES-PE</v>
      </c>
      <c r="C1076" s="3" t="s">
        <v>34</v>
      </c>
      <c r="D1076" s="3" t="s">
        <v>1216</v>
      </c>
      <c r="E1076" s="14" t="str">
        <f ca="1">IFERROR(__xludf.DUMMYFUNCTION("REGEXEXTRACT(A1076, ""-(.*)"")"),"ARP.0065.06.2024.GOV.FES-PE.PE")</f>
        <v>ARP.0065.06.2024.GOV.FES-PE.PE</v>
      </c>
      <c r="F1076" s="6" t="s">
        <v>1805</v>
      </c>
      <c r="G1076" s="3"/>
      <c r="H1076" s="9">
        <v>45551</v>
      </c>
      <c r="I1076" s="3" t="s">
        <v>44</v>
      </c>
      <c r="J1076" s="3" t="str">
        <f>VLOOKUP(A1076,'TODOS OS PROCESSOS ATUALIZADOS '!A:I,7,0)</f>
        <v>Autorizada Sucesso</v>
      </c>
      <c r="K1076" s="3" t="s">
        <v>44</v>
      </c>
      <c r="L1076" s="3" t="str">
        <f t="shared" si="4"/>
        <v>Item atualizado</v>
      </c>
      <c r="M1076" s="3"/>
      <c r="N1076" s="3" t="s">
        <v>605</v>
      </c>
      <c r="O1076" s="3"/>
    </row>
    <row r="1077" spans="1:15" ht="22.5" customHeight="1" x14ac:dyDescent="0.2">
      <c r="A1077" s="3" t="s">
        <v>1871</v>
      </c>
      <c r="B1077" s="3" t="str">
        <f ca="1">IFERROR(__xludf.DUMMYFUNCTION("REGEXEXTRACT(A1077, ""\.(?:GOV|EXT)\.([A-Z0-9\-]+)"")
"),"CISAM")</f>
        <v>CISAM</v>
      </c>
      <c r="C1077" s="3" t="s">
        <v>34</v>
      </c>
      <c r="D1077" s="3" t="s">
        <v>1216</v>
      </c>
      <c r="E1077" s="14" t="str">
        <f ca="1">IFERROR(__xludf.DUMMYFUNCTION("REGEXEXTRACT(A1077, ""-(.*)"")"),"ARP.0065.02.2024.GOV.CISAM.PE")</f>
        <v>ARP.0065.02.2024.GOV.CISAM.PE</v>
      </c>
      <c r="F1077" s="6" t="s">
        <v>311</v>
      </c>
      <c r="G1077" s="3"/>
      <c r="H1077" s="9">
        <v>45547</v>
      </c>
      <c r="I1077" s="3" t="s">
        <v>44</v>
      </c>
      <c r="J1077" s="3" t="str">
        <f>VLOOKUP(A1077,'TODOS OS PROCESSOS ATUALIZADOS '!A:I,7,0)</f>
        <v>Autorizada Sucesso</v>
      </c>
      <c r="K1077" s="3" t="s">
        <v>44</v>
      </c>
      <c r="L1077" s="3" t="str">
        <f t="shared" si="4"/>
        <v>Item atualizado</v>
      </c>
      <c r="M1077" s="3"/>
      <c r="N1077" s="3" t="s">
        <v>605</v>
      </c>
      <c r="O1077" s="3"/>
    </row>
    <row r="1078" spans="1:15" ht="22.5" customHeight="1" x14ac:dyDescent="0.2">
      <c r="A1078" s="3" t="s">
        <v>1872</v>
      </c>
      <c r="B1078" s="3" t="str">
        <f ca="1">IFERROR(__xludf.DUMMYFUNCTION("REGEXEXTRACT(A1078, ""\.(?:GOV|EXT)\.([A-Z0-9\-]+)"")
"),"SAD")</f>
        <v>SAD</v>
      </c>
      <c r="C1078" s="3" t="s">
        <v>34</v>
      </c>
      <c r="D1078" s="3" t="s">
        <v>1216</v>
      </c>
      <c r="E1078" s="14" t="str">
        <f ca="1">IFERROR(__xludf.DUMMYFUNCTION("REGEXEXTRACT(A1078, ""-(.*)"")"),"ARPC.0014.00.2024.GOV.SAD.PE")</f>
        <v>ARPC.0014.00.2024.GOV.SAD.PE</v>
      </c>
      <c r="F1078" s="6" t="s">
        <v>622</v>
      </c>
      <c r="G1078" s="3"/>
      <c r="H1078" s="9">
        <v>45546</v>
      </c>
      <c r="I1078" s="3" t="s">
        <v>44</v>
      </c>
      <c r="J1078" s="3" t="str">
        <f>VLOOKUP(A1078,'TODOS OS PROCESSOS ATUALIZADOS '!A:I,7,0)</f>
        <v>Autorizada Sucesso</v>
      </c>
      <c r="K1078" s="3" t="s">
        <v>44</v>
      </c>
      <c r="L1078" s="3" t="str">
        <f t="shared" si="4"/>
        <v>Item atualizado</v>
      </c>
      <c r="M1078" s="3"/>
      <c r="N1078" s="3" t="s">
        <v>605</v>
      </c>
      <c r="O1078" s="3"/>
    </row>
    <row r="1079" spans="1:15" ht="22.5" customHeight="1" x14ac:dyDescent="0.2">
      <c r="A1079" s="3" t="s">
        <v>1873</v>
      </c>
      <c r="B1079" s="3" t="str">
        <f ca="1">IFERROR(__xludf.DUMMYFUNCTION("REGEXEXTRACT(A1079, ""\.(?:GOV|EXT)\.([A-Z0-9\-]+)"")
"),"FES-PE")</f>
        <v>FES-PE</v>
      </c>
      <c r="C1079" s="3" t="s">
        <v>34</v>
      </c>
      <c r="D1079" s="3" t="s">
        <v>1216</v>
      </c>
      <c r="E1079" s="14" t="str">
        <f ca="1">IFERROR(__xludf.DUMMYFUNCTION("REGEXEXTRACT(A1079, ""-(.*)"")"),"ARP.0018.08.2024.GOV.FES-PE.PE")</f>
        <v>ARP.0018.08.2024.GOV.FES-PE.PE</v>
      </c>
      <c r="F1079" s="6" t="s">
        <v>737</v>
      </c>
      <c r="G1079" s="3"/>
      <c r="H1079" s="9">
        <v>45545</v>
      </c>
      <c r="I1079" s="3" t="s">
        <v>44</v>
      </c>
      <c r="J1079" s="3" t="str">
        <f>VLOOKUP(A1079,'TODOS OS PROCESSOS ATUALIZADOS '!A:I,7,0)</f>
        <v>Autorizada Sucesso</v>
      </c>
      <c r="K1079" s="3" t="s">
        <v>44</v>
      </c>
      <c r="L1079" s="3" t="str">
        <f t="shared" si="4"/>
        <v>Item atualizado</v>
      </c>
      <c r="M1079" s="3"/>
      <c r="N1079" s="3" t="s">
        <v>605</v>
      </c>
      <c r="O1079" s="3"/>
    </row>
    <row r="1080" spans="1:15" ht="22.5" customHeight="1" x14ac:dyDescent="0.2">
      <c r="A1080" s="3" t="s">
        <v>1874</v>
      </c>
      <c r="B1080" s="3" t="str">
        <f ca="1">IFERROR(__xludf.DUMMYFUNCTION("REGEXEXTRACT(A1080, ""\.(?:GOV|EXT)\.([A-Z0-9\-]+)"")
"),"FES-PE")</f>
        <v>FES-PE</v>
      </c>
      <c r="C1080" s="3" t="s">
        <v>34</v>
      </c>
      <c r="D1080" s="3" t="s">
        <v>1216</v>
      </c>
      <c r="E1080" s="14" t="str">
        <f ca="1">IFERROR(__xludf.DUMMYFUNCTION("REGEXEXTRACT(A1080, ""-(.*)"")"),"ARP.0022.04.2024.GOV.FES-PE.PE")</f>
        <v>ARP.0022.04.2024.GOV.FES-PE.PE</v>
      </c>
      <c r="F1080" s="6" t="s">
        <v>1814</v>
      </c>
      <c r="G1080" s="3"/>
      <c r="H1080" s="9">
        <v>45545</v>
      </c>
      <c r="I1080" s="3" t="s">
        <v>44</v>
      </c>
      <c r="J1080" s="3" t="str">
        <f>VLOOKUP(A1080,'TODOS OS PROCESSOS ATUALIZADOS '!A:I,7,0)</f>
        <v>Autorizada Sucesso</v>
      </c>
      <c r="K1080" s="3" t="s">
        <v>44</v>
      </c>
      <c r="L1080" s="3" t="str">
        <f t="shared" si="4"/>
        <v>Item atualizado</v>
      </c>
      <c r="M1080" s="3"/>
      <c r="N1080" s="3" t="s">
        <v>605</v>
      </c>
      <c r="O1080" s="3"/>
    </row>
    <row r="1081" spans="1:15" ht="22.5" customHeight="1" x14ac:dyDescent="0.2">
      <c r="A1081" s="3" t="s">
        <v>1875</v>
      </c>
      <c r="B1081" s="3" t="str">
        <f ca="1">IFERROR(__xludf.DUMMYFUNCTION("REGEXEXTRACT(A1081, ""\.(?:GOV|EXT)\.([A-Z0-9\-]+)"")
"),"FES-PE")</f>
        <v>FES-PE</v>
      </c>
      <c r="C1081" s="3" t="s">
        <v>34</v>
      </c>
      <c r="D1081" s="3" t="s">
        <v>1216</v>
      </c>
      <c r="E1081" s="14" t="str">
        <f ca="1">IFERROR(__xludf.DUMMYFUNCTION("REGEXEXTRACT(A1081, ""-(.*)"")"),"ARP.0018.00.2024.GOV.FES-PE.PE")</f>
        <v>ARP.0018.00.2024.GOV.FES-PE.PE</v>
      </c>
      <c r="F1081" s="6" t="s">
        <v>737</v>
      </c>
      <c r="G1081" s="3"/>
      <c r="H1081" s="9">
        <v>45541</v>
      </c>
      <c r="I1081" s="3" t="s">
        <v>44</v>
      </c>
      <c r="J1081" s="3" t="str">
        <f>VLOOKUP(A1081,'TODOS OS PROCESSOS ATUALIZADOS '!A:I,7,0)</f>
        <v>Autorizada Sucesso</v>
      </c>
      <c r="K1081" s="3" t="s">
        <v>44</v>
      </c>
      <c r="L1081" s="3" t="str">
        <f t="shared" si="4"/>
        <v>Item atualizado</v>
      </c>
      <c r="M1081" s="3"/>
      <c r="N1081" s="3" t="s">
        <v>605</v>
      </c>
      <c r="O1081" s="3"/>
    </row>
    <row r="1082" spans="1:15" ht="22.5" customHeight="1" x14ac:dyDescent="0.2">
      <c r="A1082" s="3" t="s">
        <v>1876</v>
      </c>
      <c r="B1082" s="3" t="str">
        <f ca="1">IFERROR(__xludf.DUMMYFUNCTION("REGEXEXTRACT(A1082, ""\.(?:GOV|EXT)\.([A-Z0-9\-]+)"")
"),"FES-PE")</f>
        <v>FES-PE</v>
      </c>
      <c r="C1082" s="3" t="s">
        <v>34</v>
      </c>
      <c r="D1082" s="3" t="s">
        <v>1216</v>
      </c>
      <c r="E1082" s="14" t="str">
        <f ca="1">IFERROR(__xludf.DUMMYFUNCTION("REGEXEXTRACT(A1082, ""-(.*)"")"),"ARP.0048.01.2024.GOV.FES-PE.PE")</f>
        <v>ARP.0048.01.2024.GOV.FES-PE.PE</v>
      </c>
      <c r="F1082" s="6" t="s">
        <v>1734</v>
      </c>
      <c r="G1082" s="3"/>
      <c r="H1082" s="9">
        <v>45541</v>
      </c>
      <c r="I1082" s="3" t="s">
        <v>44</v>
      </c>
      <c r="J1082" s="3" t="str">
        <f>VLOOKUP(A1082,'TODOS OS PROCESSOS ATUALIZADOS '!A:I,7,0)</f>
        <v>Autorizada Sucesso</v>
      </c>
      <c r="K1082" s="3" t="s">
        <v>44</v>
      </c>
      <c r="L1082" s="3" t="str">
        <f t="shared" si="4"/>
        <v>Item atualizado</v>
      </c>
      <c r="M1082" s="3"/>
      <c r="N1082" s="3" t="s">
        <v>605</v>
      </c>
      <c r="O1082" s="3"/>
    </row>
    <row r="1083" spans="1:15" ht="22.5" customHeight="1" x14ac:dyDescent="0.2">
      <c r="A1083" s="3" t="s">
        <v>1877</v>
      </c>
      <c r="B1083" s="3" t="str">
        <f ca="1">IFERROR(__xludf.DUMMYFUNCTION("REGEXEXTRACT(A1083, ""\.(?:GOV|EXT)\.([A-Z0-9\-]+)"")
"),"FES-PE")</f>
        <v>FES-PE</v>
      </c>
      <c r="C1083" s="3" t="s">
        <v>34</v>
      </c>
      <c r="D1083" s="3" t="s">
        <v>1216</v>
      </c>
      <c r="E1083" s="14" t="str">
        <f ca="1">IFERROR(__xludf.DUMMYFUNCTION("REGEXEXTRACT(A1083, ""-(.*)"")"),"ARP.0031.11.2024.GOV.FES-PE.PE")</f>
        <v>ARP.0031.11.2024.GOV.FES-PE.PE</v>
      </c>
      <c r="F1083" s="6" t="s">
        <v>1646</v>
      </c>
      <c r="G1083" s="3"/>
      <c r="H1083" s="9">
        <v>45541</v>
      </c>
      <c r="I1083" s="3" t="s">
        <v>44</v>
      </c>
      <c r="J1083" s="3" t="str">
        <f>VLOOKUP(A1083,'TODOS OS PROCESSOS ATUALIZADOS '!A:I,7,0)</f>
        <v>Autorizada Sucesso</v>
      </c>
      <c r="K1083" s="3" t="s">
        <v>44</v>
      </c>
      <c r="L1083" s="3" t="str">
        <f t="shared" si="4"/>
        <v>Item atualizado</v>
      </c>
      <c r="M1083" s="3"/>
      <c r="N1083" s="3" t="s">
        <v>605</v>
      </c>
      <c r="O1083" s="3"/>
    </row>
    <row r="1084" spans="1:15" ht="22.5" customHeight="1" x14ac:dyDescent="0.2">
      <c r="A1084" s="3" t="s">
        <v>1878</v>
      </c>
      <c r="B1084" s="3" t="str">
        <f ca="1">IFERROR(__xludf.DUMMYFUNCTION("REGEXEXTRACT(A1084, ""\.(?:GOV|EXT)\.([A-Z0-9\-]+)"")
"),"FES-PE")</f>
        <v>FES-PE</v>
      </c>
      <c r="C1084" s="3" t="s">
        <v>34</v>
      </c>
      <c r="D1084" s="3" t="s">
        <v>1216</v>
      </c>
      <c r="E1084" s="14" t="str">
        <f ca="1">IFERROR(__xludf.DUMMYFUNCTION("REGEXEXTRACT(A1084, ""-(.*)"")"),"ARP.0018.00.2024.GOV.FES-PE.PE")</f>
        <v>ARP.0018.00.2024.GOV.FES-PE.PE</v>
      </c>
      <c r="F1084" s="6" t="s">
        <v>737</v>
      </c>
      <c r="G1084" s="3"/>
      <c r="H1084" s="9">
        <v>45540</v>
      </c>
      <c r="I1084" s="3" t="s">
        <v>44</v>
      </c>
      <c r="J1084" s="3" t="str">
        <f>VLOOKUP(A1084,'TODOS OS PROCESSOS ATUALIZADOS '!A:I,7,0)</f>
        <v>Autorizada Sucesso</v>
      </c>
      <c r="K1084" s="3" t="s">
        <v>44</v>
      </c>
      <c r="L1084" s="3" t="str">
        <f t="shared" si="4"/>
        <v>Item atualizado</v>
      </c>
      <c r="M1084" s="3"/>
      <c r="N1084" s="3" t="s">
        <v>605</v>
      </c>
      <c r="O1084" s="3"/>
    </row>
    <row r="1085" spans="1:15" ht="22.5" customHeight="1" x14ac:dyDescent="0.2">
      <c r="A1085" s="3" t="s">
        <v>1879</v>
      </c>
      <c r="B1085" s="3" t="str">
        <f ca="1">IFERROR(__xludf.DUMMYFUNCTION("REGEXEXTRACT(A1085, ""\.(?:GOV|EXT)\.([A-Z0-9\-]+)"")
"),"FES-PE")</f>
        <v>FES-PE</v>
      </c>
      <c r="C1085" s="3" t="s">
        <v>34</v>
      </c>
      <c r="D1085" s="3" t="s">
        <v>1216</v>
      </c>
      <c r="E1085" s="14" t="str">
        <f ca="1">IFERROR(__xludf.DUMMYFUNCTION("REGEXEXTRACT(A1085, ""-(.*)"")"),"ARP.0031.16.2024.GOV.FES-PE.PE")</f>
        <v>ARP.0031.16.2024.GOV.FES-PE.PE</v>
      </c>
      <c r="F1085" s="3" t="s">
        <v>1646</v>
      </c>
      <c r="G1085" s="3"/>
      <c r="H1085" s="9">
        <v>45540</v>
      </c>
      <c r="I1085" s="3" t="s">
        <v>37</v>
      </c>
      <c r="J1085" s="3" t="str">
        <f>VLOOKUP(A1085,'TODOS OS PROCESSOS ATUALIZADOS '!A:I,7,0)</f>
        <v>Cancelada</v>
      </c>
      <c r="K1085" s="3" t="s">
        <v>38</v>
      </c>
      <c r="L1085" s="3" t="str">
        <f t="shared" si="4"/>
        <v>Item não atualizado</v>
      </c>
      <c r="M1085" s="3"/>
      <c r="N1085" s="3" t="s">
        <v>605</v>
      </c>
      <c r="O1085" s="3"/>
    </row>
    <row r="1086" spans="1:15" ht="22.5" customHeight="1" x14ac:dyDescent="0.2">
      <c r="A1086" s="3" t="s">
        <v>1880</v>
      </c>
      <c r="B1086" s="3" t="str">
        <f ca="1">IFERROR(__xludf.DUMMYFUNCTION("REGEXEXTRACT(A1086, ""\.(?:GOV|EXT)\.([A-Z0-9\-]+)"")
"),"FES-PE")</f>
        <v>FES-PE</v>
      </c>
      <c r="C1086" s="3" t="s">
        <v>34</v>
      </c>
      <c r="D1086" s="3" t="s">
        <v>1216</v>
      </c>
      <c r="E1086" s="14" t="str">
        <f ca="1">IFERROR(__xludf.DUMMYFUNCTION("REGEXEXTRACT(A1086, ""-(.*)"")"),"ARP.0031.16.2024.GOV.FES-PE.PE")</f>
        <v>ARP.0031.16.2024.GOV.FES-PE.PE</v>
      </c>
      <c r="F1086" s="6" t="s">
        <v>1646</v>
      </c>
      <c r="G1086" s="3"/>
      <c r="H1086" s="9">
        <v>45540</v>
      </c>
      <c r="I1086" s="3" t="s">
        <v>44</v>
      </c>
      <c r="J1086" s="3" t="str">
        <f>VLOOKUP(A1086,'TODOS OS PROCESSOS ATUALIZADOS '!A:I,7,0)</f>
        <v>Autorizada Sucesso</v>
      </c>
      <c r="K1086" s="3" t="s">
        <v>44</v>
      </c>
      <c r="L1086" s="3" t="str">
        <f t="shared" si="4"/>
        <v>Item atualizado</v>
      </c>
      <c r="M1086" s="3"/>
      <c r="N1086" s="3" t="s">
        <v>605</v>
      </c>
      <c r="O1086" s="3"/>
    </row>
    <row r="1087" spans="1:15" ht="22.5" customHeight="1" x14ac:dyDescent="0.2">
      <c r="A1087" s="3" t="s">
        <v>1881</v>
      </c>
      <c r="B1087" s="3" t="str">
        <f ca="1">IFERROR(__xludf.DUMMYFUNCTION("REGEXEXTRACT(A1087, ""\.(?:GOV|EXT)\.([A-Z0-9\-]+)"")
"),"FES-PE")</f>
        <v>FES-PE</v>
      </c>
      <c r="C1087" s="3" t="s">
        <v>34</v>
      </c>
      <c r="D1087" s="3" t="s">
        <v>1216</v>
      </c>
      <c r="E1087" s="14" t="str">
        <f ca="1">IFERROR(__xludf.DUMMYFUNCTION("REGEXEXTRACT(A1087, ""-(.*)"")"),"ARP.0046.02.2024.GOV.FES-PE.PE")</f>
        <v>ARP.0046.02.2024.GOV.FES-PE.PE</v>
      </c>
      <c r="F1087" s="6" t="s">
        <v>1436</v>
      </c>
      <c r="G1087" s="3"/>
      <c r="H1087" s="9">
        <v>45540</v>
      </c>
      <c r="I1087" s="3" t="s">
        <v>44</v>
      </c>
      <c r="J1087" s="3" t="str">
        <f>VLOOKUP(A1087,'TODOS OS PROCESSOS ATUALIZADOS '!A:I,7,0)</f>
        <v>Autorizada Sucesso</v>
      </c>
      <c r="K1087" s="3" t="s">
        <v>44</v>
      </c>
      <c r="L1087" s="3" t="str">
        <f t="shared" si="4"/>
        <v>Item atualizado</v>
      </c>
      <c r="M1087" s="3"/>
      <c r="N1087" s="3" t="s">
        <v>605</v>
      </c>
      <c r="O1087" s="3"/>
    </row>
    <row r="1088" spans="1:15" ht="22.5" customHeight="1" x14ac:dyDescent="0.2">
      <c r="A1088" s="3" t="s">
        <v>1882</v>
      </c>
      <c r="B1088" s="3" t="str">
        <f ca="1">IFERROR(__xludf.DUMMYFUNCTION("REGEXEXTRACT(A1088, ""\.(?:GOV|EXT)\.([A-Z0-9\-]+)"")
"),"FES-PE")</f>
        <v>FES-PE</v>
      </c>
      <c r="C1088" s="3" t="s">
        <v>34</v>
      </c>
      <c r="D1088" s="3" t="s">
        <v>1216</v>
      </c>
      <c r="E1088" s="14" t="str">
        <f ca="1">IFERROR(__xludf.DUMMYFUNCTION("REGEXEXTRACT(A1088, ""-(.*)"")"),"ARP.0064.01.2024.GOV.FES-PE.PE")</f>
        <v>ARP.0064.01.2024.GOV.FES-PE.PE</v>
      </c>
      <c r="F1088" s="6" t="s">
        <v>1330</v>
      </c>
      <c r="G1088" s="3"/>
      <c r="H1088" s="9">
        <v>45540</v>
      </c>
      <c r="I1088" s="3" t="s">
        <v>44</v>
      </c>
      <c r="J1088" s="3" t="str">
        <f>VLOOKUP(A1088,'TODOS OS PROCESSOS ATUALIZADOS '!A:I,7,0)</f>
        <v>Autorizada Sucesso</v>
      </c>
      <c r="K1088" s="3" t="s">
        <v>44</v>
      </c>
      <c r="L1088" s="3" t="str">
        <f t="shared" si="4"/>
        <v>Item atualizado</v>
      </c>
      <c r="M1088" s="3"/>
      <c r="N1088" s="3" t="s">
        <v>605</v>
      </c>
      <c r="O1088" s="3"/>
    </row>
    <row r="1089" spans="1:15" ht="22.5" customHeight="1" x14ac:dyDescent="0.2">
      <c r="A1089" s="3" t="s">
        <v>1883</v>
      </c>
      <c r="B1089" s="3" t="str">
        <f ca="1">IFERROR(__xludf.DUMMYFUNCTION("REGEXEXTRACT(A1089, ""\.(?:GOV|EXT)\.([A-Z0-9\-]+)"")
"),"FES-PE")</f>
        <v>FES-PE</v>
      </c>
      <c r="C1089" s="3" t="s">
        <v>34</v>
      </c>
      <c r="D1089" s="3" t="s">
        <v>1216</v>
      </c>
      <c r="E1089" s="14" t="str">
        <f ca="1">IFERROR(__xludf.DUMMYFUNCTION("REGEXEXTRACT(A1089, ""-(.*)"")"),"ARP.0107.00.2023.GOV.FES-PE.PE")</f>
        <v>ARP.0107.00.2023.GOV.FES-PE.PE</v>
      </c>
      <c r="F1089" s="3" t="s">
        <v>893</v>
      </c>
      <c r="G1089" s="3"/>
      <c r="H1089" s="9">
        <v>45540</v>
      </c>
      <c r="I1089" s="3" t="s">
        <v>37</v>
      </c>
      <c r="J1089" s="3" t="str">
        <f>VLOOKUP(A1089,'TODOS OS PROCESSOS ATUALIZADOS '!A:I,7,0)</f>
        <v>Cancelada</v>
      </c>
      <c r="K1089" s="3" t="s">
        <v>605</v>
      </c>
      <c r="L1089" s="3" t="str">
        <f t="shared" si="4"/>
        <v>Item não atualizado</v>
      </c>
      <c r="M1089" s="3"/>
      <c r="N1089" s="3" t="s">
        <v>605</v>
      </c>
      <c r="O1089" s="3"/>
    </row>
    <row r="1090" spans="1:15" ht="22.5" customHeight="1" x14ac:dyDescent="0.2">
      <c r="A1090" s="3" t="s">
        <v>1884</v>
      </c>
      <c r="B1090" s="3" t="str">
        <f ca="1">IFERROR(__xludf.DUMMYFUNCTION("REGEXEXTRACT(A1090, ""\.(?:GOV|EXT)\.([A-Z0-9\-]+)"")
"),"FES-PE")</f>
        <v>FES-PE</v>
      </c>
      <c r="C1090" s="3" t="s">
        <v>34</v>
      </c>
      <c r="D1090" s="3" t="s">
        <v>1216</v>
      </c>
      <c r="E1090" s="14" t="str">
        <f ca="1">IFERROR(__xludf.DUMMYFUNCTION("REGEXEXTRACT(A1090, ""-(.*)"")"),"ARP.0064.01.2024.GOV.FES-PE.PE")</f>
        <v>ARP.0064.01.2024.GOV.FES-PE.PE</v>
      </c>
      <c r="F1090" s="3" t="s">
        <v>1330</v>
      </c>
      <c r="G1090" s="3"/>
      <c r="H1090" s="9">
        <v>45538</v>
      </c>
      <c r="I1090" s="3" t="s">
        <v>37</v>
      </c>
      <c r="J1090" s="3" t="str">
        <f>VLOOKUP(A1090,'TODOS OS PROCESSOS ATUALIZADOS '!A:I,7,0)</f>
        <v>Cancelada</v>
      </c>
      <c r="K1090" s="3" t="s">
        <v>38</v>
      </c>
      <c r="L1090" s="3" t="str">
        <f t="shared" si="4"/>
        <v>Item não atualizado</v>
      </c>
      <c r="M1090" s="3"/>
      <c r="N1090" s="3" t="s">
        <v>605</v>
      </c>
      <c r="O1090" s="3"/>
    </row>
    <row r="1091" spans="1:15" ht="22.5" customHeight="1" x14ac:dyDescent="0.2">
      <c r="A1091" s="3" t="s">
        <v>1885</v>
      </c>
      <c r="B1091" s="3" t="str">
        <f ca="1">IFERROR(__xludf.DUMMYFUNCTION("REGEXEXTRACT(A1091, ""\.(?:GOV|EXT)\.([A-Z0-9\-]+)"")
"),"FES-PE")</f>
        <v>FES-PE</v>
      </c>
      <c r="C1091" s="3" t="s">
        <v>34</v>
      </c>
      <c r="D1091" s="3" t="s">
        <v>1216</v>
      </c>
      <c r="E1091" s="14" t="str">
        <f ca="1">IFERROR(__xludf.DUMMYFUNCTION("REGEXEXTRACT(A1091, ""-(.*)"")"),"ARP.0031.11.2024.GOV.FES-PE.PE")</f>
        <v>ARP.0031.11.2024.GOV.FES-PE.PE</v>
      </c>
      <c r="F1091" s="6" t="s">
        <v>1646</v>
      </c>
      <c r="G1091" s="3"/>
      <c r="H1091" s="9">
        <v>45532</v>
      </c>
      <c r="I1091" s="3" t="s">
        <v>44</v>
      </c>
      <c r="J1091" s="3" t="str">
        <f>VLOOKUP(A1091,'TODOS OS PROCESSOS ATUALIZADOS '!A:I,7,0)</f>
        <v>Autorizada Integrado</v>
      </c>
      <c r="K1091" s="3" t="s">
        <v>44</v>
      </c>
      <c r="L1091" s="3" t="str">
        <f t="shared" si="4"/>
        <v>Item atualizado</v>
      </c>
      <c r="M1091" s="3"/>
      <c r="N1091" s="3" t="s">
        <v>605</v>
      </c>
      <c r="O1091" s="3"/>
    </row>
    <row r="1092" spans="1:15" ht="22.5" customHeight="1" x14ac:dyDescent="0.2">
      <c r="A1092" s="3" t="s">
        <v>1886</v>
      </c>
      <c r="B1092" s="3" t="str">
        <f ca="1">IFERROR(__xludf.DUMMYFUNCTION("REGEXEXTRACT(A1092, ""\.(?:GOV|EXT)\.([A-Z0-9\-]+)"")
"),"FES-PE")</f>
        <v>FES-PE</v>
      </c>
      <c r="C1092" s="3" t="s">
        <v>34</v>
      </c>
      <c r="D1092" s="3" t="s">
        <v>1216</v>
      </c>
      <c r="E1092" s="14" t="str">
        <f ca="1">IFERROR(__xludf.DUMMYFUNCTION("REGEXEXTRACT(A1092, ""-(.*)"")"),"ARP.0031.16.2024.GOV.FES-PE.PE")</f>
        <v>ARP.0031.16.2024.GOV.FES-PE.PE</v>
      </c>
      <c r="F1092" s="3" t="s">
        <v>1646</v>
      </c>
      <c r="G1092" s="3"/>
      <c r="H1092" s="9">
        <v>45532</v>
      </c>
      <c r="I1092" s="3" t="s">
        <v>37</v>
      </c>
      <c r="J1092" s="3" t="str">
        <f>VLOOKUP(A1092,'TODOS OS PROCESSOS ATUALIZADOS '!A:I,7,0)</f>
        <v>Cancelada</v>
      </c>
      <c r="K1092" s="3" t="s">
        <v>38</v>
      </c>
      <c r="L1092" s="3" t="str">
        <f t="shared" si="4"/>
        <v>Item não atualizado</v>
      </c>
      <c r="M1092" s="3"/>
      <c r="N1092" s="3" t="s">
        <v>605</v>
      </c>
      <c r="O1092" s="3"/>
    </row>
    <row r="1093" spans="1:15" ht="22.5" customHeight="1" x14ac:dyDescent="0.2">
      <c r="A1093" s="3" t="s">
        <v>1887</v>
      </c>
      <c r="B1093" s="3" t="str">
        <f ca="1">IFERROR(__xludf.DUMMYFUNCTION("REGEXEXTRACT(A1093, ""\.(?:GOV|EXT)\.([A-Z0-9\-]+)"")
"),"FES-PE")</f>
        <v>FES-PE</v>
      </c>
      <c r="C1093" s="3" t="s">
        <v>34</v>
      </c>
      <c r="D1093" s="3" t="s">
        <v>1216</v>
      </c>
      <c r="E1093" s="14" t="str">
        <f ca="1">IFERROR(__xludf.DUMMYFUNCTION("REGEXEXTRACT(A1093, ""-(.*)"")"),"ARP.0046.02.2024.GOV.FES-PE.PE")</f>
        <v>ARP.0046.02.2024.GOV.FES-PE.PE</v>
      </c>
      <c r="F1093" s="6" t="s">
        <v>1436</v>
      </c>
      <c r="G1093" s="3"/>
      <c r="H1093" s="9">
        <v>45532</v>
      </c>
      <c r="I1093" s="3" t="s">
        <v>44</v>
      </c>
      <c r="J1093" s="3" t="str">
        <f>VLOOKUP(A1093,'TODOS OS PROCESSOS ATUALIZADOS '!A:I,7,0)</f>
        <v>Autorizada Sucesso</v>
      </c>
      <c r="K1093" s="3" t="s">
        <v>44</v>
      </c>
      <c r="L1093" s="3" t="str">
        <f t="shared" si="4"/>
        <v>Item atualizado</v>
      </c>
      <c r="M1093" s="3"/>
      <c r="N1093" s="3" t="s">
        <v>605</v>
      </c>
      <c r="O1093" s="3"/>
    </row>
    <row r="1094" spans="1:15" ht="22.5" customHeight="1" x14ac:dyDescent="0.2">
      <c r="A1094" s="3" t="s">
        <v>1888</v>
      </c>
      <c r="B1094" s="3" t="str">
        <f ca="1">IFERROR(__xludf.DUMMYFUNCTION("REGEXEXTRACT(A1094, ""\.(?:GOV|EXT)\.([A-Z0-9\-]+)"")
"),"FES-PE")</f>
        <v>FES-PE</v>
      </c>
      <c r="C1094" s="3" t="s">
        <v>34</v>
      </c>
      <c r="D1094" s="3" t="s">
        <v>1216</v>
      </c>
      <c r="E1094" s="14" t="str">
        <f ca="1">IFERROR(__xludf.DUMMYFUNCTION("REGEXEXTRACT(A1094, ""-(.*)"")"),"ARP.0046.02.2024.GOV.FES-PE.PE")</f>
        <v>ARP.0046.02.2024.GOV.FES-PE.PE</v>
      </c>
      <c r="F1094" s="3" t="s">
        <v>1436</v>
      </c>
      <c r="G1094" s="3"/>
      <c r="H1094" s="9">
        <v>45531</v>
      </c>
      <c r="I1094" s="3" t="s">
        <v>37</v>
      </c>
      <c r="J1094" s="3" t="str">
        <f>VLOOKUP(A1094,'TODOS OS PROCESSOS ATUALIZADOS '!A:I,7,0)</f>
        <v>Cancelada</v>
      </c>
      <c r="K1094" s="3" t="s">
        <v>38</v>
      </c>
      <c r="L1094" s="3" t="str">
        <f t="shared" si="4"/>
        <v>Item não atualizado</v>
      </c>
      <c r="M1094" s="3"/>
      <c r="N1094" s="3" t="s">
        <v>605</v>
      </c>
      <c r="O1094" s="3"/>
    </row>
    <row r="1095" spans="1:15" ht="22.5" customHeight="1" x14ac:dyDescent="0.2">
      <c r="A1095" s="3" t="s">
        <v>1889</v>
      </c>
      <c r="B1095" s="3" t="str">
        <f ca="1">IFERROR(__xludf.DUMMYFUNCTION("REGEXEXTRACT(A1095, ""\.(?:GOV|EXT)\.([A-Z0-9\-]+)"")
"),"FES-PE")</f>
        <v>FES-PE</v>
      </c>
      <c r="C1095" s="3" t="s">
        <v>34</v>
      </c>
      <c r="D1095" s="3" t="s">
        <v>1216</v>
      </c>
      <c r="E1095" s="14" t="str">
        <f ca="1">IFERROR(__xludf.DUMMYFUNCTION("REGEXEXTRACT(A1095, ""-(.*)"")"),"ARP.0064.02.2024.GOV.FES-PE.PE")</f>
        <v>ARP.0064.02.2024.GOV.FES-PE.PE</v>
      </c>
      <c r="F1095" s="6" t="s">
        <v>1330</v>
      </c>
      <c r="G1095" s="3"/>
      <c r="H1095" s="9">
        <v>45530</v>
      </c>
      <c r="I1095" s="3" t="s">
        <v>44</v>
      </c>
      <c r="J1095" s="3" t="str">
        <f>VLOOKUP(A1095,'TODOS OS PROCESSOS ATUALIZADOS '!A:I,7,0)</f>
        <v>Autorizada Sucesso</v>
      </c>
      <c r="K1095" s="3" t="s">
        <v>44</v>
      </c>
      <c r="L1095" s="3" t="str">
        <f t="shared" si="4"/>
        <v>Item atualizado</v>
      </c>
      <c r="M1095" s="3"/>
      <c r="N1095" s="3" t="s">
        <v>605</v>
      </c>
      <c r="O1095" s="3"/>
    </row>
    <row r="1096" spans="1:15" ht="22.5" customHeight="1" x14ac:dyDescent="0.2">
      <c r="A1096" s="3" t="s">
        <v>1890</v>
      </c>
      <c r="B1096" s="3" t="str">
        <f ca="1">IFERROR(__xludf.DUMMYFUNCTION("REGEXEXTRACT(A1096, ""\.(?:GOV|EXT)\.([A-Z0-9\-]+)"")
"),"FES-PE")</f>
        <v>FES-PE</v>
      </c>
      <c r="C1096" s="3" t="s">
        <v>34</v>
      </c>
      <c r="D1096" s="3" t="s">
        <v>1216</v>
      </c>
      <c r="E1096" s="14" t="str">
        <f ca="1">IFERROR(__xludf.DUMMYFUNCTION("REGEXEXTRACT(A1096, ""-(.*)"")"),"ARP.0012.00.2024.GOV.FES-PE.PE")</f>
        <v>ARP.0012.00.2024.GOV.FES-PE.PE</v>
      </c>
      <c r="F1096" s="3" t="s">
        <v>1891</v>
      </c>
      <c r="G1096" s="3"/>
      <c r="H1096" s="9">
        <v>45529</v>
      </c>
      <c r="I1096" s="3" t="s">
        <v>37</v>
      </c>
      <c r="J1096" s="3" t="str">
        <f>VLOOKUP(A1096,'TODOS OS PROCESSOS ATUALIZADOS '!A:I,7,0)</f>
        <v>Cancelada</v>
      </c>
      <c r="K1096" s="3" t="s">
        <v>38</v>
      </c>
      <c r="L1096" s="3" t="str">
        <f t="shared" si="4"/>
        <v>Item não atualizado</v>
      </c>
      <c r="M1096" s="3"/>
      <c r="N1096" s="3" t="s">
        <v>605</v>
      </c>
      <c r="O1096" s="3"/>
    </row>
    <row r="1097" spans="1:15" ht="22.5" customHeight="1" x14ac:dyDescent="0.2">
      <c r="A1097" s="3" t="s">
        <v>1892</v>
      </c>
      <c r="B1097" s="3" t="str">
        <f ca="1">IFERROR(__xludf.DUMMYFUNCTION("REGEXEXTRACT(A1097, ""\.(?:GOV|EXT)\.([A-Z0-9\-]+)"")
"),"FES-PE")</f>
        <v>FES-PE</v>
      </c>
      <c r="C1097" s="3" t="s">
        <v>34</v>
      </c>
      <c r="D1097" s="3" t="s">
        <v>1216</v>
      </c>
      <c r="E1097" s="14" t="str">
        <f ca="1">IFERROR(__xludf.DUMMYFUNCTION("REGEXEXTRACT(A1097, ""-(.*)"")"),"ARP.0065.01.2024.GOV.FES-PE.PE")</f>
        <v>ARP.0065.01.2024.GOV.FES-PE.PE</v>
      </c>
      <c r="F1097" s="3" t="s">
        <v>1805</v>
      </c>
      <c r="G1097" s="3"/>
      <c r="H1097" s="9">
        <v>45529</v>
      </c>
      <c r="I1097" s="3" t="s">
        <v>37</v>
      </c>
      <c r="J1097" s="3" t="str">
        <f>VLOOKUP(A1097,'TODOS OS PROCESSOS ATUALIZADOS '!A:I,7,0)</f>
        <v>Cancelada Sucesso</v>
      </c>
      <c r="K1097" s="3" t="s">
        <v>38</v>
      </c>
      <c r="L1097" s="3" t="str">
        <f t="shared" si="4"/>
        <v>Item atualizado</v>
      </c>
      <c r="M1097" s="3"/>
      <c r="N1097" s="3" t="s">
        <v>605</v>
      </c>
      <c r="O1097" s="3"/>
    </row>
    <row r="1098" spans="1:15" ht="22.5" customHeight="1" x14ac:dyDescent="0.2">
      <c r="A1098" s="3" t="s">
        <v>1893</v>
      </c>
      <c r="B1098" s="3" t="str">
        <f ca="1">IFERROR(__xludf.DUMMYFUNCTION("REGEXEXTRACT(A1098, ""\.(?:GOV|EXT)\.([A-Z0-9\-]+)"")
"),"FES-PE")</f>
        <v>FES-PE</v>
      </c>
      <c r="C1098" s="3" t="s">
        <v>34</v>
      </c>
      <c r="D1098" s="3" t="s">
        <v>1216</v>
      </c>
      <c r="E1098" s="14" t="str">
        <f ca="1">IFERROR(__xludf.DUMMYFUNCTION("REGEXEXTRACT(A1098, ""-(.*)"")"),"ARP.0018.00.2024.GOV.FES-PE.PE")</f>
        <v>ARP.0018.00.2024.GOV.FES-PE.PE</v>
      </c>
      <c r="F1098" s="3" t="s">
        <v>737</v>
      </c>
      <c r="G1098" s="3"/>
      <c r="H1098" s="9">
        <v>45528</v>
      </c>
      <c r="I1098" s="3" t="s">
        <v>37</v>
      </c>
      <c r="J1098" s="3" t="str">
        <f>VLOOKUP(A1098,'TODOS OS PROCESSOS ATUALIZADOS '!A:I,7,0)</f>
        <v>Cancelada Sucesso</v>
      </c>
      <c r="K1098" s="3" t="s">
        <v>38</v>
      </c>
      <c r="L1098" s="3" t="str">
        <f t="shared" si="4"/>
        <v>Item atualizado</v>
      </c>
      <c r="M1098" s="3"/>
      <c r="N1098" s="3" t="s">
        <v>605</v>
      </c>
      <c r="O1098" s="3"/>
    </row>
    <row r="1099" spans="1:15" ht="22.5" customHeight="1" x14ac:dyDescent="0.2">
      <c r="A1099" s="3" t="s">
        <v>1894</v>
      </c>
      <c r="B1099" s="3" t="str">
        <f ca="1">IFERROR(__xludf.DUMMYFUNCTION("REGEXEXTRACT(A1099, ""\.(?:GOV|EXT)\.([A-Z0-9\-]+)"")
"),"FES-PE")</f>
        <v>FES-PE</v>
      </c>
      <c r="C1099" s="3" t="s">
        <v>34</v>
      </c>
      <c r="D1099" s="3" t="s">
        <v>1216</v>
      </c>
      <c r="E1099" s="14" t="str">
        <f ca="1">IFERROR(__xludf.DUMMYFUNCTION("REGEXEXTRACT(A1099, ""-(.*)"")"),"ARP.0112.00.2023.GOV.FES-PE.PE")</f>
        <v>ARP.0112.00.2023.GOV.FES-PE.PE</v>
      </c>
      <c r="F1099" s="3" t="s">
        <v>1895</v>
      </c>
      <c r="G1099" s="3"/>
      <c r="H1099" s="9">
        <v>45526</v>
      </c>
      <c r="I1099" s="3" t="s">
        <v>37</v>
      </c>
      <c r="J1099" s="3" t="str">
        <f>VLOOKUP(A1099,'TODOS OS PROCESSOS ATUALIZADOS '!A:I,7,0)</f>
        <v>Cancelada</v>
      </c>
      <c r="K1099" s="3" t="s">
        <v>605</v>
      </c>
      <c r="L1099" s="3" t="str">
        <f t="shared" si="4"/>
        <v>Item não atualizado</v>
      </c>
      <c r="M1099" s="3"/>
      <c r="N1099" s="3" t="s">
        <v>605</v>
      </c>
      <c r="O1099" s="3"/>
    </row>
    <row r="1100" spans="1:15" ht="22.5" customHeight="1" x14ac:dyDescent="0.2">
      <c r="A1100" s="3" t="s">
        <v>1896</v>
      </c>
      <c r="B1100" s="3" t="str">
        <f ca="1">IFERROR(__xludf.DUMMYFUNCTION("REGEXEXTRACT(A1100, ""\.(?:GOV|EXT)\.([A-Z0-9\-]+)"")
"),"FES-PE")</f>
        <v>FES-PE</v>
      </c>
      <c r="C1100" s="3" t="s">
        <v>34</v>
      </c>
      <c r="D1100" s="3" t="s">
        <v>1216</v>
      </c>
      <c r="E1100" s="14" t="str">
        <f ca="1">IFERROR(__xludf.DUMMYFUNCTION("REGEXEXTRACT(A1100, ""-(.*)"")"),"ARP.0112.00.2023.GOV.FES-PE.PE")</f>
        <v>ARP.0112.00.2023.GOV.FES-PE.PE</v>
      </c>
      <c r="F1100" s="3" t="s">
        <v>1895</v>
      </c>
      <c r="G1100" s="3"/>
      <c r="H1100" s="9">
        <v>45526</v>
      </c>
      <c r="I1100" s="3" t="s">
        <v>37</v>
      </c>
      <c r="J1100" s="3" t="str">
        <f>VLOOKUP(A1100,'TODOS OS PROCESSOS ATUALIZADOS '!A:I,7,0)</f>
        <v>Cancelada</v>
      </c>
      <c r="K1100" s="3" t="s">
        <v>605</v>
      </c>
      <c r="L1100" s="3" t="str">
        <f t="shared" si="4"/>
        <v>Item não atualizado</v>
      </c>
      <c r="M1100" s="3"/>
      <c r="N1100" s="3" t="s">
        <v>605</v>
      </c>
      <c r="O1100" s="3"/>
    </row>
    <row r="1101" spans="1:15" ht="22.5" customHeight="1" x14ac:dyDescent="0.2">
      <c r="A1101" s="3" t="s">
        <v>1897</v>
      </c>
      <c r="B1101" s="3" t="str">
        <f ca="1">IFERROR(__xludf.DUMMYFUNCTION("REGEXEXTRACT(A1101, ""\.(?:GOV|EXT)\.([A-Z0-9\-]+)"")
"),"FES-PE")</f>
        <v>FES-PE</v>
      </c>
      <c r="C1101" s="3" t="s">
        <v>34</v>
      </c>
      <c r="D1101" s="3" t="s">
        <v>1216</v>
      </c>
      <c r="E1101" s="14" t="str">
        <f ca="1">IFERROR(__xludf.DUMMYFUNCTION("REGEXEXTRACT(A1101, ""-(.*)"")"),"ARP.0048.07.2024.GOV.FES-PE.PE")</f>
        <v>ARP.0048.07.2024.GOV.FES-PE.PE</v>
      </c>
      <c r="F1101" s="3" t="s">
        <v>1734</v>
      </c>
      <c r="G1101" s="3"/>
      <c r="H1101" s="9">
        <v>45524</v>
      </c>
      <c r="I1101" s="3" t="s">
        <v>37</v>
      </c>
      <c r="J1101" s="3" t="str">
        <f>VLOOKUP(A1101,'TODOS OS PROCESSOS ATUALIZADOS '!A:I,7,0)</f>
        <v>Cancelada</v>
      </c>
      <c r="K1101" s="3" t="s">
        <v>38</v>
      </c>
      <c r="L1101" s="3" t="str">
        <f t="shared" si="4"/>
        <v>Item não atualizado</v>
      </c>
      <c r="M1101" s="3"/>
      <c r="N1101" s="3" t="s">
        <v>605</v>
      </c>
      <c r="O1101" s="3"/>
    </row>
    <row r="1102" spans="1:15" ht="22.5" customHeight="1" x14ac:dyDescent="0.2">
      <c r="A1102" s="3" t="s">
        <v>1898</v>
      </c>
      <c r="B1102" s="3" t="str">
        <f ca="1">IFERROR(__xludf.DUMMYFUNCTION("REGEXEXTRACT(A1102, ""\.(?:GOV|EXT)\.([A-Z0-9\-]+)"")
"),"FES-PE")</f>
        <v>FES-PE</v>
      </c>
      <c r="C1102" s="3" t="s">
        <v>34</v>
      </c>
      <c r="D1102" s="3" t="s">
        <v>1216</v>
      </c>
      <c r="E1102" s="14" t="str">
        <f ca="1">IFERROR(__xludf.DUMMYFUNCTION("REGEXEXTRACT(A1102, ""-(.*)"")"),"ARP.0018.08.2024.GOV.FES-PE.PE")</f>
        <v>ARP.0018.08.2024.GOV.FES-PE.PE</v>
      </c>
      <c r="F1102" s="6" t="s">
        <v>737</v>
      </c>
      <c r="G1102" s="3"/>
      <c r="H1102" s="9">
        <v>45524</v>
      </c>
      <c r="I1102" s="3" t="s">
        <v>44</v>
      </c>
      <c r="J1102" s="3" t="str">
        <f>VLOOKUP(A1102,'TODOS OS PROCESSOS ATUALIZADOS '!A:I,7,0)</f>
        <v>Autorizada Sucesso</v>
      </c>
      <c r="K1102" s="3" t="s">
        <v>44</v>
      </c>
      <c r="L1102" s="3" t="str">
        <f t="shared" si="4"/>
        <v>Item atualizado</v>
      </c>
      <c r="M1102" s="3"/>
      <c r="N1102" s="3" t="s">
        <v>605</v>
      </c>
      <c r="O1102" s="3"/>
    </row>
    <row r="1103" spans="1:15" ht="22.5" customHeight="1" x14ac:dyDescent="0.2">
      <c r="A1103" s="3" t="s">
        <v>1899</v>
      </c>
      <c r="B1103" s="3" t="str">
        <f ca="1">IFERROR(__xludf.DUMMYFUNCTION("REGEXEXTRACT(A1103, ""\.(?:GOV|EXT)\.([A-Z0-9\-]+)"")
"),"FES-PE")</f>
        <v>FES-PE</v>
      </c>
      <c r="C1103" s="3" t="s">
        <v>34</v>
      </c>
      <c r="D1103" s="3" t="s">
        <v>1216</v>
      </c>
      <c r="E1103" s="14" t="str">
        <f ca="1">IFERROR(__xludf.DUMMYFUNCTION("REGEXEXTRACT(A1103, ""-(.*)"")"),"ARP.0031.14.2024.GOV.FES-PE.PE")</f>
        <v>ARP.0031.14.2024.GOV.FES-PE.PE</v>
      </c>
      <c r="F1103" s="6" t="s">
        <v>1646</v>
      </c>
      <c r="G1103" s="3"/>
      <c r="H1103" s="9">
        <v>45524</v>
      </c>
      <c r="I1103" s="3" t="s">
        <v>44</v>
      </c>
      <c r="J1103" s="3" t="str">
        <f>VLOOKUP(A1103,'TODOS OS PROCESSOS ATUALIZADOS '!A:I,7,0)</f>
        <v>Autorizada Sucesso</v>
      </c>
      <c r="K1103" s="3" t="s">
        <v>44</v>
      </c>
      <c r="L1103" s="3" t="str">
        <f t="shared" si="4"/>
        <v>Item atualizado</v>
      </c>
      <c r="M1103" s="3"/>
      <c r="N1103" s="3" t="s">
        <v>605</v>
      </c>
      <c r="O1103" s="3"/>
    </row>
    <row r="1104" spans="1:15" ht="22.5" customHeight="1" x14ac:dyDescent="0.2">
      <c r="A1104" s="3" t="s">
        <v>1900</v>
      </c>
      <c r="B1104" s="3" t="str">
        <f ca="1">IFERROR(__xludf.DUMMYFUNCTION("REGEXEXTRACT(A1104, ""\.(?:GOV|EXT)\.([A-Z0-9\-]+)"")
"),"FES-PE")</f>
        <v>FES-PE</v>
      </c>
      <c r="C1104" s="3" t="s">
        <v>34</v>
      </c>
      <c r="D1104" s="3" t="s">
        <v>1216</v>
      </c>
      <c r="E1104" s="14" t="str">
        <f ca="1">IFERROR(__xludf.DUMMYFUNCTION("REGEXEXTRACT(A1104, ""-(.*)"")"),"ARP.0046.02.2024.GOV.FES-PE.PE")</f>
        <v>ARP.0046.02.2024.GOV.FES-PE.PE</v>
      </c>
      <c r="F1104" s="3" t="s">
        <v>1436</v>
      </c>
      <c r="G1104" s="3"/>
      <c r="H1104" s="9">
        <v>45524</v>
      </c>
      <c r="I1104" s="3" t="s">
        <v>37</v>
      </c>
      <c r="J1104" s="3" t="str">
        <f>VLOOKUP(A1104,'TODOS OS PROCESSOS ATUALIZADOS '!A:I,7,0)</f>
        <v>Cancelada</v>
      </c>
      <c r="K1104" s="3" t="s">
        <v>38</v>
      </c>
      <c r="L1104" s="3" t="str">
        <f t="shared" si="4"/>
        <v>Item não atualizado</v>
      </c>
      <c r="M1104" s="3"/>
      <c r="N1104" s="3" t="s">
        <v>605</v>
      </c>
      <c r="O1104" s="3"/>
    </row>
    <row r="1105" spans="1:15" ht="22.5" customHeight="1" x14ac:dyDescent="0.2">
      <c r="A1105" s="3" t="s">
        <v>1901</v>
      </c>
      <c r="B1105" s="3" t="str">
        <f ca="1">IFERROR(__xludf.DUMMYFUNCTION("REGEXEXTRACT(A1105, ""\.(?:GOV|EXT)\.([A-Z0-9\-]+)"")
"),"HRA")</f>
        <v>HRA</v>
      </c>
      <c r="C1105" s="3" t="s">
        <v>34</v>
      </c>
      <c r="D1105" s="3" t="s">
        <v>1216</v>
      </c>
      <c r="E1105" s="14" t="str">
        <f ca="1">IFERROR(__xludf.DUMMYFUNCTION("REGEXEXTRACT(A1105, ""-(.*)"")"),"ARP.0002.00.2024.GOV.HRA.PE")</f>
        <v>ARP.0002.00.2024.GOV.HRA.PE</v>
      </c>
      <c r="F1105" s="6" t="s">
        <v>1902</v>
      </c>
      <c r="G1105" s="3"/>
      <c r="H1105" s="9">
        <v>45523</v>
      </c>
      <c r="I1105" s="3" t="s">
        <v>44</v>
      </c>
      <c r="J1105" s="3" t="str">
        <f>VLOOKUP(A1105,'TODOS OS PROCESSOS ATUALIZADOS '!A:I,7,0)</f>
        <v>Autorizada Sucesso</v>
      </c>
      <c r="K1105" s="3" t="s">
        <v>44</v>
      </c>
      <c r="L1105" s="3" t="str">
        <f t="shared" si="4"/>
        <v>Item atualizado</v>
      </c>
      <c r="M1105" s="3"/>
      <c r="N1105" s="3" t="s">
        <v>605</v>
      </c>
      <c r="O1105" s="3"/>
    </row>
    <row r="1106" spans="1:15" ht="22.5" customHeight="1" x14ac:dyDescent="0.2">
      <c r="A1106" s="3" t="s">
        <v>1903</v>
      </c>
      <c r="B1106" s="3" t="str">
        <f ca="1">IFERROR(__xludf.DUMMYFUNCTION("REGEXEXTRACT(A1106, ""\.(?:GOV|EXT)\.([A-Z0-9\-]+)"")
"),"FES-PE")</f>
        <v>FES-PE</v>
      </c>
      <c r="C1106" s="3" t="s">
        <v>34</v>
      </c>
      <c r="D1106" s="3" t="s">
        <v>1216</v>
      </c>
      <c r="E1106" s="14" t="str">
        <f ca="1">IFERROR(__xludf.DUMMYFUNCTION("REGEXEXTRACT(A1106, ""-(.*)"")"),"ARP.0064.01.2024.GOV.FES-PE.PE")</f>
        <v>ARP.0064.01.2024.GOV.FES-PE.PE</v>
      </c>
      <c r="F1106" s="3" t="s">
        <v>1330</v>
      </c>
      <c r="G1106" s="3"/>
      <c r="H1106" s="9">
        <v>45516</v>
      </c>
      <c r="I1106" s="3" t="s">
        <v>37</v>
      </c>
      <c r="J1106" s="3" t="str">
        <f>VLOOKUP(A1106,'TODOS OS PROCESSOS ATUALIZADOS '!A:I,7,0)</f>
        <v>Cancelada Integrado</v>
      </c>
      <c r="K1106" s="3" t="s">
        <v>38</v>
      </c>
      <c r="L1106" s="3" t="str">
        <f t="shared" si="4"/>
        <v>Item atualizado</v>
      </c>
      <c r="M1106" s="3"/>
      <c r="N1106" s="3" t="s">
        <v>605</v>
      </c>
      <c r="O1106" s="3"/>
    </row>
    <row r="1107" spans="1:15" ht="22.5" customHeight="1" x14ac:dyDescent="0.2">
      <c r="A1107" s="3" t="s">
        <v>1904</v>
      </c>
      <c r="B1107" s="3" t="str">
        <f ca="1">IFERROR(__xludf.DUMMYFUNCTION("REGEXEXTRACT(A1107, ""\.(?:GOV|EXT)\.([A-Z0-9\-]+)"")
"),"FES-PE")</f>
        <v>FES-PE</v>
      </c>
      <c r="C1107" s="3" t="s">
        <v>34</v>
      </c>
      <c r="D1107" s="3" t="s">
        <v>1216</v>
      </c>
      <c r="E1107" s="14" t="str">
        <f ca="1">IFERROR(__xludf.DUMMYFUNCTION("REGEXEXTRACT(A1107, ""-(.*)"")"),"ARP.0064.01.2024.GOV.FES-PE.PE")</f>
        <v>ARP.0064.01.2024.GOV.FES-PE.PE</v>
      </c>
      <c r="F1107" s="3" t="s">
        <v>1330</v>
      </c>
      <c r="G1107" s="3"/>
      <c r="H1107" s="9">
        <v>45516</v>
      </c>
      <c r="I1107" s="3" t="s">
        <v>37</v>
      </c>
      <c r="J1107" s="3" t="str">
        <f>VLOOKUP(A1107,'TODOS OS PROCESSOS ATUALIZADOS '!A:I,7,0)</f>
        <v>Cancelada</v>
      </c>
      <c r="K1107" s="3" t="s">
        <v>38</v>
      </c>
      <c r="L1107" s="3" t="str">
        <f t="shared" si="4"/>
        <v>Item não atualizado</v>
      </c>
      <c r="M1107" s="3"/>
      <c r="N1107" s="3" t="s">
        <v>605</v>
      </c>
      <c r="O1107" s="3"/>
    </row>
    <row r="1108" spans="1:15" ht="22.5" customHeight="1" x14ac:dyDescent="0.2">
      <c r="A1108" s="3" t="s">
        <v>1905</v>
      </c>
      <c r="B1108" s="3" t="str">
        <f ca="1">IFERROR(__xludf.DUMMYFUNCTION("REGEXEXTRACT(A1108, ""\.(?:GOV|EXT)\.([A-Z0-9\-]+)"")
"),"FES-PE")</f>
        <v>FES-PE</v>
      </c>
      <c r="C1108" s="3" t="s">
        <v>34</v>
      </c>
      <c r="D1108" s="3" t="s">
        <v>1216</v>
      </c>
      <c r="E1108" s="14" t="str">
        <f ca="1">IFERROR(__xludf.DUMMYFUNCTION("REGEXEXTRACT(A1108, ""-(.*)"")"),"ARP.0064.01.2024.GOV.FES-PE.PE")</f>
        <v>ARP.0064.01.2024.GOV.FES-PE.PE</v>
      </c>
      <c r="F1108" s="6" t="s">
        <v>1330</v>
      </c>
      <c r="G1108" s="3"/>
      <c r="H1108" s="9">
        <v>45516</v>
      </c>
      <c r="I1108" s="3" t="s">
        <v>44</v>
      </c>
      <c r="J1108" s="3" t="str">
        <f>VLOOKUP(A1108,'TODOS OS PROCESSOS ATUALIZADOS '!A:I,7,0)</f>
        <v>Autorizada Sucesso</v>
      </c>
      <c r="K1108" s="3" t="s">
        <v>44</v>
      </c>
      <c r="L1108" s="3" t="str">
        <f t="shared" si="4"/>
        <v>Item atualizado</v>
      </c>
      <c r="M1108" s="3"/>
      <c r="N1108" s="3" t="s">
        <v>605</v>
      </c>
      <c r="O1108" s="3"/>
    </row>
    <row r="1109" spans="1:15" ht="22.5" customHeight="1" x14ac:dyDescent="0.2">
      <c r="A1109" s="3" t="s">
        <v>1906</v>
      </c>
      <c r="B1109" s="3" t="str">
        <f ca="1">IFERROR(__xludf.DUMMYFUNCTION("REGEXEXTRACT(A1109, ""\.(?:GOV|EXT)\.([A-Z0-9\-]+)"")
"),"FES-PE")</f>
        <v>FES-PE</v>
      </c>
      <c r="C1109" s="3" t="s">
        <v>34</v>
      </c>
      <c r="D1109" s="3" t="s">
        <v>1216</v>
      </c>
      <c r="E1109" s="14" t="str">
        <f ca="1">IFERROR(__xludf.DUMMYFUNCTION("REGEXEXTRACT(A1109, ""-(.*)"")"),"ARP.0048.01.2024.GOV.FES-PE.PE")</f>
        <v>ARP.0048.01.2024.GOV.FES-PE.PE</v>
      </c>
      <c r="F1109" s="6" t="s">
        <v>1734</v>
      </c>
      <c r="G1109" s="3"/>
      <c r="H1109" s="9">
        <v>45513</v>
      </c>
      <c r="I1109" s="3" t="s">
        <v>44</v>
      </c>
      <c r="J1109" s="3" t="str">
        <f>VLOOKUP(A1109,'TODOS OS PROCESSOS ATUALIZADOS '!A:I,7,0)</f>
        <v>Autorizada Sucesso</v>
      </c>
      <c r="K1109" s="3" t="s">
        <v>44</v>
      </c>
      <c r="L1109" s="3" t="str">
        <f t="shared" si="4"/>
        <v>Item atualizado</v>
      </c>
      <c r="M1109" s="3"/>
      <c r="N1109" s="3" t="s">
        <v>605</v>
      </c>
      <c r="O1109" s="3"/>
    </row>
    <row r="1110" spans="1:15" ht="22.5" customHeight="1" x14ac:dyDescent="0.2">
      <c r="A1110" s="3" t="s">
        <v>1907</v>
      </c>
      <c r="B1110" s="3" t="str">
        <f ca="1">IFERROR(__xludf.DUMMYFUNCTION("REGEXEXTRACT(A1110, ""\.(?:GOV|EXT)\.([A-Z0-9\-]+)"")
"),"FES-PE")</f>
        <v>FES-PE</v>
      </c>
      <c r="C1110" s="3" t="s">
        <v>34</v>
      </c>
      <c r="D1110" s="3" t="s">
        <v>1216</v>
      </c>
      <c r="E1110" s="14" t="str">
        <f ca="1">IFERROR(__xludf.DUMMYFUNCTION("REGEXEXTRACT(A1110, ""-(.*)"")"),"ARP.0031.11.2024.GOV.FES-PE.PE")</f>
        <v>ARP.0031.11.2024.GOV.FES-PE.PE</v>
      </c>
      <c r="F1110" s="3" t="s">
        <v>1646</v>
      </c>
      <c r="G1110" s="3"/>
      <c r="H1110" s="9">
        <v>45512</v>
      </c>
      <c r="I1110" s="3" t="s">
        <v>37</v>
      </c>
      <c r="J1110" s="3" t="str">
        <f>VLOOKUP(A1110,'TODOS OS PROCESSOS ATUALIZADOS '!A:I,7,0)</f>
        <v>Cancelada</v>
      </c>
      <c r="K1110" s="3" t="s">
        <v>38</v>
      </c>
      <c r="L1110" s="3" t="str">
        <f t="shared" si="4"/>
        <v>Item não atualizado</v>
      </c>
      <c r="M1110" s="3"/>
      <c r="N1110" s="3" t="s">
        <v>605</v>
      </c>
      <c r="O1110" s="3"/>
    </row>
    <row r="1111" spans="1:15" ht="22.5" customHeight="1" x14ac:dyDescent="0.2">
      <c r="A1111" s="3" t="s">
        <v>1908</v>
      </c>
      <c r="B1111" s="3" t="str">
        <f ca="1">IFERROR(__xludf.DUMMYFUNCTION("REGEXEXTRACT(A1111, ""\.(?:GOV|EXT)\.([A-Z0-9\-]+)"")
"),"FES-PE")</f>
        <v>FES-PE</v>
      </c>
      <c r="C1111" s="3" t="s">
        <v>34</v>
      </c>
      <c r="D1111" s="3" t="s">
        <v>1216</v>
      </c>
      <c r="E1111" s="14" t="str">
        <f ca="1">IFERROR(__xludf.DUMMYFUNCTION("REGEXEXTRACT(A1111, ""-(.*)"")"),"ARP.0031.16.2024.GOV.FES-PE.PE")</f>
        <v>ARP.0031.16.2024.GOV.FES-PE.PE</v>
      </c>
      <c r="F1111" s="3" t="s">
        <v>1646</v>
      </c>
      <c r="G1111" s="3"/>
      <c r="H1111" s="9">
        <v>45512</v>
      </c>
      <c r="I1111" s="3" t="s">
        <v>37</v>
      </c>
      <c r="J1111" s="3" t="str">
        <f>VLOOKUP(A1111,'TODOS OS PROCESSOS ATUALIZADOS '!A:I,7,0)</f>
        <v>Cancelada</v>
      </c>
      <c r="K1111" s="3" t="s">
        <v>38</v>
      </c>
      <c r="L1111" s="3" t="str">
        <f t="shared" si="4"/>
        <v>Item não atualizado</v>
      </c>
      <c r="M1111" s="3"/>
      <c r="N1111" s="3" t="s">
        <v>605</v>
      </c>
      <c r="O1111" s="3"/>
    </row>
    <row r="1112" spans="1:15" ht="22.5" customHeight="1" x14ac:dyDescent="0.2">
      <c r="A1112" s="3" t="s">
        <v>1909</v>
      </c>
      <c r="B1112" s="3" t="str">
        <f ca="1">IFERROR(__xludf.DUMMYFUNCTION("REGEXEXTRACT(A1112, ""\.(?:GOV|EXT)\.([A-Z0-9\-]+)"")
"),"FES-PE")</f>
        <v>FES-PE</v>
      </c>
      <c r="C1112" s="3" t="s">
        <v>34</v>
      </c>
      <c r="D1112" s="3" t="s">
        <v>1216</v>
      </c>
      <c r="E1112" s="14" t="str">
        <f ca="1">IFERROR(__xludf.DUMMYFUNCTION("REGEXEXTRACT(A1112, ""-(.*)"")"),"ARP.0063.10.2024.GOV.FES-PE.PE")</f>
        <v>ARP.0063.10.2024.GOV.FES-PE.PE</v>
      </c>
      <c r="F1112" s="6" t="s">
        <v>1386</v>
      </c>
      <c r="G1112" s="3"/>
      <c r="H1112" s="9">
        <v>45510</v>
      </c>
      <c r="I1112" s="3" t="s">
        <v>44</v>
      </c>
      <c r="J1112" s="3" t="str">
        <f>VLOOKUP(A1112,'TODOS OS PROCESSOS ATUALIZADOS '!A:I,7,0)</f>
        <v>Autorizada Sucesso</v>
      </c>
      <c r="K1112" s="3" t="s">
        <v>44</v>
      </c>
      <c r="L1112" s="3" t="str">
        <f t="shared" si="4"/>
        <v>Item atualizado</v>
      </c>
      <c r="M1112" s="3"/>
      <c r="N1112" s="3" t="s">
        <v>605</v>
      </c>
      <c r="O1112" s="3"/>
    </row>
    <row r="1113" spans="1:15" ht="22.5" customHeight="1" x14ac:dyDescent="0.2">
      <c r="A1113" s="3" t="s">
        <v>1910</v>
      </c>
      <c r="B1113" s="3" t="str">
        <f ca="1">IFERROR(__xludf.DUMMYFUNCTION("REGEXEXTRACT(A1113, ""\.(?:GOV|EXT)\.([A-Z0-9\-]+)"")
"),"SAD")</f>
        <v>SAD</v>
      </c>
      <c r="C1113" s="3" t="s">
        <v>34</v>
      </c>
      <c r="D1113" s="3" t="s">
        <v>1216</v>
      </c>
      <c r="E1113" s="14" t="str">
        <f ca="1">IFERROR(__xludf.DUMMYFUNCTION("REGEXEXTRACT(A1113, ""-(.*)"")"),"ARPC.0033.00.2023.GOV.SAD.PE")</f>
        <v>ARPC.0033.00.2023.GOV.SAD.PE</v>
      </c>
      <c r="F1113" s="3" t="s">
        <v>1112</v>
      </c>
      <c r="G1113" s="3"/>
      <c r="H1113" s="9">
        <v>45502</v>
      </c>
      <c r="I1113" s="3" t="s">
        <v>44</v>
      </c>
      <c r="J1113" s="3" t="str">
        <f>VLOOKUP(A1113,'TODOS OS PROCESSOS ATUALIZADOS '!A:I,7,0)</f>
        <v>Autorizada Sucesso</v>
      </c>
      <c r="K1113" s="3" t="s">
        <v>605</v>
      </c>
      <c r="L1113" s="3" t="str">
        <f t="shared" si="4"/>
        <v>Item atualizado</v>
      </c>
      <c r="M1113" s="3"/>
      <c r="N1113" s="3" t="s">
        <v>605</v>
      </c>
      <c r="O1113" s="3"/>
    </row>
    <row r="1114" spans="1:15" ht="22.5" customHeight="1" x14ac:dyDescent="0.2">
      <c r="A1114" s="3" t="s">
        <v>1911</v>
      </c>
      <c r="B1114" s="3" t="str">
        <f ca="1">IFERROR(__xludf.DUMMYFUNCTION("REGEXEXTRACT(A1114, ""\.(?:GOV|EXT)\.([A-Z0-9\-]+)"")
"),"SAD")</f>
        <v>SAD</v>
      </c>
      <c r="C1114" s="3" t="s">
        <v>34</v>
      </c>
      <c r="D1114" s="3" t="s">
        <v>1216</v>
      </c>
      <c r="E1114" s="14" t="str">
        <f ca="1">IFERROR(__xludf.DUMMYFUNCTION("REGEXEXTRACT(A1114, ""-(.*)"")"),"ARPC.0005.00.2024.GOV.SAD.PE")</f>
        <v>ARPC.0005.00.2024.GOV.SAD.PE</v>
      </c>
      <c r="F1114" s="3" t="s">
        <v>1783</v>
      </c>
      <c r="G1114" s="3"/>
      <c r="H1114" s="9">
        <v>45498</v>
      </c>
      <c r="I1114" s="3" t="s">
        <v>37</v>
      </c>
      <c r="J1114" s="3" t="str">
        <f>VLOOKUP(A1114,'TODOS OS PROCESSOS ATUALIZADOS '!A:I,7,0)</f>
        <v>Cancelada Sucesso</v>
      </c>
      <c r="K1114" s="3" t="s">
        <v>38</v>
      </c>
      <c r="L1114" s="3" t="str">
        <f t="shared" si="4"/>
        <v>Item atualizado</v>
      </c>
      <c r="M1114" s="3"/>
      <c r="N1114" s="3" t="s">
        <v>605</v>
      </c>
      <c r="O1114" s="3"/>
    </row>
    <row r="1115" spans="1:15" ht="22.5" customHeight="1" x14ac:dyDescent="0.2">
      <c r="A1115" s="3" t="s">
        <v>1912</v>
      </c>
      <c r="B1115" s="3" t="str">
        <f ca="1">IFERROR(__xludf.DUMMYFUNCTION("REGEXEXTRACT(A1115, ""\.(?:GOV|EXT)\.([A-Z0-9\-]+)"")
"),"CISAM")</f>
        <v>CISAM</v>
      </c>
      <c r="C1115" s="3" t="s">
        <v>34</v>
      </c>
      <c r="D1115" s="3" t="s">
        <v>1216</v>
      </c>
      <c r="E1115" s="14" t="str">
        <f ca="1">IFERROR(__xludf.DUMMYFUNCTION("REGEXEXTRACT(A1115, ""-(.*)"")"),"ARP.0052.07.2024.GOV.CISAM.PE")</f>
        <v>ARP.0052.07.2024.GOV.CISAM.PE</v>
      </c>
      <c r="F1115" s="3" t="s">
        <v>1347</v>
      </c>
      <c r="G1115" s="3"/>
      <c r="H1115" s="9">
        <v>45494</v>
      </c>
      <c r="I1115" s="3" t="s">
        <v>37</v>
      </c>
      <c r="J1115" s="3" t="str">
        <f>VLOOKUP(A1115,'TODOS OS PROCESSOS ATUALIZADOS '!A:I,7,0)</f>
        <v>Cancelada</v>
      </c>
      <c r="K1115" s="3" t="s">
        <v>38</v>
      </c>
      <c r="L1115" s="3" t="str">
        <f t="shared" si="4"/>
        <v>Item não atualizado</v>
      </c>
      <c r="M1115" s="3"/>
      <c r="N1115" s="3" t="s">
        <v>605</v>
      </c>
      <c r="O1115" s="3"/>
    </row>
    <row r="1116" spans="1:15" ht="22.5" customHeight="1" x14ac:dyDescent="0.2">
      <c r="A1116" s="3" t="s">
        <v>1913</v>
      </c>
      <c r="B1116" s="3" t="str">
        <f ca="1">IFERROR(__xludf.DUMMYFUNCTION("REGEXEXTRACT(A1116, ""\.(?:GOV|EXT)\.([A-Z0-9\-]+)"")
"),"FES-PE")</f>
        <v>FES-PE</v>
      </c>
      <c r="C1116" s="3" t="s">
        <v>34</v>
      </c>
      <c r="D1116" s="3" t="s">
        <v>1216</v>
      </c>
      <c r="E1116" s="14" t="str">
        <f ca="1">IFERROR(__xludf.DUMMYFUNCTION("REGEXEXTRACT(A1116, ""-(.*)"")"),"ARP.0065.06.2024.GOV.FES-PE.PE")</f>
        <v>ARP.0065.06.2024.GOV.FES-PE.PE</v>
      </c>
      <c r="F1116" s="3" t="s">
        <v>1805</v>
      </c>
      <c r="G1116" s="3"/>
      <c r="H1116" s="9">
        <v>45490</v>
      </c>
      <c r="I1116" s="3" t="s">
        <v>37</v>
      </c>
      <c r="J1116" s="3" t="str">
        <f>VLOOKUP(A1116,'TODOS OS PROCESSOS ATUALIZADOS '!A:I,7,0)</f>
        <v>Cancelada</v>
      </c>
      <c r="K1116" s="3" t="s">
        <v>38</v>
      </c>
      <c r="L1116" s="3" t="str">
        <f t="shared" si="4"/>
        <v>Item não atualizado</v>
      </c>
      <c r="M1116" s="3"/>
      <c r="N1116" s="3" t="s">
        <v>605</v>
      </c>
      <c r="O1116" s="3"/>
    </row>
    <row r="1117" spans="1:15" ht="22.5" customHeight="1" x14ac:dyDescent="0.2">
      <c r="A1117" s="3" t="s">
        <v>1914</v>
      </c>
      <c r="B1117" s="3" t="str">
        <f ca="1">IFERROR(__xludf.DUMMYFUNCTION("REGEXEXTRACT(A1117, ""\.(?:GOV|EXT)\.([A-Z0-9\-]+)"")
"),"FES-PE")</f>
        <v>FES-PE</v>
      </c>
      <c r="C1117" s="3" t="s">
        <v>34</v>
      </c>
      <c r="D1117" s="3" t="s">
        <v>1216</v>
      </c>
      <c r="E1117" s="14" t="str">
        <f ca="1">IFERROR(__xludf.DUMMYFUNCTION("REGEXEXTRACT(A1117, ""-(.*)"")"),"ARP.0064.04.2024.GOV.FES-PE.PE")</f>
        <v>ARP.0064.04.2024.GOV.FES-PE.PE</v>
      </c>
      <c r="F1117" s="6" t="s">
        <v>1330</v>
      </c>
      <c r="G1117" s="3"/>
      <c r="H1117" s="9">
        <v>45489</v>
      </c>
      <c r="I1117" s="3" t="s">
        <v>44</v>
      </c>
      <c r="J1117" s="3" t="str">
        <f>VLOOKUP(A1117,'TODOS OS PROCESSOS ATUALIZADOS '!A:I,7,0)</f>
        <v>Autorizada Sucesso</v>
      </c>
      <c r="K1117" s="3" t="s">
        <v>44</v>
      </c>
      <c r="L1117" s="3" t="str">
        <f t="shared" si="4"/>
        <v>Item atualizado</v>
      </c>
      <c r="M1117" s="3"/>
      <c r="N1117" s="3" t="s">
        <v>605</v>
      </c>
      <c r="O1117" s="3"/>
    </row>
    <row r="1118" spans="1:15" ht="22.5" customHeight="1" x14ac:dyDescent="0.2">
      <c r="A1118" s="3" t="s">
        <v>1915</v>
      </c>
      <c r="B1118" s="3" t="str">
        <f ca="1">IFERROR(__xludf.DUMMYFUNCTION("REGEXEXTRACT(A1118, ""\.(?:GOV|EXT)\.([A-Z0-9\-]+)"")
"),"FES-PE")</f>
        <v>FES-PE</v>
      </c>
      <c r="C1118" s="3" t="s">
        <v>34</v>
      </c>
      <c r="D1118" s="3" t="s">
        <v>1216</v>
      </c>
      <c r="E1118" s="14" t="str">
        <f ca="1">IFERROR(__xludf.DUMMYFUNCTION("REGEXEXTRACT(A1118, ""-(.*)"")"),"ARP.0018.00.2024.GOV.FES-PE.PE")</f>
        <v>ARP.0018.00.2024.GOV.FES-PE.PE</v>
      </c>
      <c r="F1118" s="6" t="s">
        <v>737</v>
      </c>
      <c r="G1118" s="3"/>
      <c r="H1118" s="9">
        <v>45484</v>
      </c>
      <c r="I1118" s="3" t="s">
        <v>44</v>
      </c>
      <c r="J1118" s="3" t="str">
        <f>VLOOKUP(A1118,'TODOS OS PROCESSOS ATUALIZADOS '!A:I,7,0)</f>
        <v>Autorizada Sucesso</v>
      </c>
      <c r="K1118" s="3" t="s">
        <v>44</v>
      </c>
      <c r="L1118" s="3" t="str">
        <f t="shared" si="4"/>
        <v>Item atualizado</v>
      </c>
      <c r="M1118" s="3"/>
      <c r="N1118" s="3" t="s">
        <v>605</v>
      </c>
      <c r="O1118" s="3"/>
    </row>
    <row r="1119" spans="1:15" ht="22.5" customHeight="1" x14ac:dyDescent="0.2">
      <c r="A1119" s="3" t="s">
        <v>1916</v>
      </c>
      <c r="B1119" s="3" t="str">
        <f ca="1">IFERROR(__xludf.DUMMYFUNCTION("REGEXEXTRACT(A1119, ""\.(?:GOV|EXT)\.([A-Z0-9\-]+)"")
"),"FES-PE")</f>
        <v>FES-PE</v>
      </c>
      <c r="C1119" s="3" t="s">
        <v>34</v>
      </c>
      <c r="D1119" s="3" t="s">
        <v>1216</v>
      </c>
      <c r="E1119" s="14" t="str">
        <f ca="1">IFERROR(__xludf.DUMMYFUNCTION("REGEXEXTRACT(A1119, ""-(.*)"")"),"ARP.0018.00.2024.GOV.FES-PE.PE")</f>
        <v>ARP.0018.00.2024.GOV.FES-PE.PE</v>
      </c>
      <c r="F1119" s="6" t="s">
        <v>737</v>
      </c>
      <c r="G1119" s="3"/>
      <c r="H1119" s="9">
        <v>45484</v>
      </c>
      <c r="I1119" s="3" t="s">
        <v>44</v>
      </c>
      <c r="J1119" s="3" t="str">
        <f>VLOOKUP(A1119,'TODOS OS PROCESSOS ATUALIZADOS '!A:I,7,0)</f>
        <v>Autorizada Sucesso</v>
      </c>
      <c r="K1119" s="3" t="s">
        <v>44</v>
      </c>
      <c r="L1119" s="3" t="str">
        <f t="shared" si="4"/>
        <v>Item atualizado</v>
      </c>
      <c r="M1119" s="3"/>
      <c r="N1119" s="3" t="s">
        <v>605</v>
      </c>
      <c r="O1119" s="3"/>
    </row>
    <row r="1120" spans="1:15" ht="22.5" customHeight="1" x14ac:dyDescent="0.2">
      <c r="A1120" s="3" t="s">
        <v>1917</v>
      </c>
      <c r="B1120" s="3" t="str">
        <f ca="1">IFERROR(__xludf.DUMMYFUNCTION("REGEXEXTRACT(A1120, ""\.(?:GOV|EXT)\.([A-Z0-9\-]+)"")
"),"CISAM")</f>
        <v>CISAM</v>
      </c>
      <c r="C1120" s="3" t="s">
        <v>34</v>
      </c>
      <c r="D1120" s="3" t="s">
        <v>1216</v>
      </c>
      <c r="E1120" s="14" t="str">
        <f ca="1">IFERROR(__xludf.DUMMYFUNCTION("REGEXEXTRACT(A1120, ""-(.*)"")"),"ARP.0052.11.2024.GOV.CISAM.PE")</f>
        <v>ARP.0052.11.2024.GOV.CISAM.PE</v>
      </c>
      <c r="F1120" s="6" t="s">
        <v>1347</v>
      </c>
      <c r="G1120" s="3"/>
      <c r="H1120" s="9">
        <v>45482</v>
      </c>
      <c r="I1120" s="3" t="s">
        <v>44</v>
      </c>
      <c r="J1120" s="3" t="str">
        <f>VLOOKUP(A1120,'TODOS OS PROCESSOS ATUALIZADOS '!A:I,7,0)</f>
        <v>Autorizada Sucesso</v>
      </c>
      <c r="K1120" s="3" t="s">
        <v>44</v>
      </c>
      <c r="L1120" s="3" t="str">
        <f t="shared" si="4"/>
        <v>Item atualizado</v>
      </c>
      <c r="M1120" s="3"/>
      <c r="N1120" s="3" t="s">
        <v>605</v>
      </c>
      <c r="O1120" s="3"/>
    </row>
    <row r="1121" spans="1:17" ht="22.5" customHeight="1" x14ac:dyDescent="0.2">
      <c r="A1121" s="3" t="s">
        <v>1918</v>
      </c>
      <c r="B1121" s="3" t="str">
        <f ca="1">IFERROR(__xludf.DUMMYFUNCTION("REGEXEXTRACT(A1121, ""\.(?:GOV|EXT)\.([A-Z0-9\-]+)"")
"),"CISAM")</f>
        <v>CISAM</v>
      </c>
      <c r="C1121" s="3" t="s">
        <v>34</v>
      </c>
      <c r="D1121" s="3" t="s">
        <v>1216</v>
      </c>
      <c r="E1121" s="14" t="str">
        <f ca="1">IFERROR(__xludf.DUMMYFUNCTION("REGEXEXTRACT(A1121, ""-(.*)"")"),"ARP.0052.12.2024.GOV.CISAM.PE")</f>
        <v>ARP.0052.12.2024.GOV.CISAM.PE</v>
      </c>
      <c r="F1121" s="6" t="s">
        <v>1347</v>
      </c>
      <c r="G1121" s="3"/>
      <c r="H1121" s="9">
        <v>45481</v>
      </c>
      <c r="I1121" s="3" t="s">
        <v>44</v>
      </c>
      <c r="J1121" s="3" t="str">
        <f>VLOOKUP(A1121,'TODOS OS PROCESSOS ATUALIZADOS '!A:I,7,0)</f>
        <v>Autorizada Sucesso</v>
      </c>
      <c r="K1121" s="3" t="s">
        <v>44</v>
      </c>
      <c r="L1121" s="3" t="str">
        <f t="shared" si="4"/>
        <v>Item atualizado</v>
      </c>
      <c r="M1121" s="3"/>
      <c r="N1121" s="3" t="s">
        <v>605</v>
      </c>
      <c r="O1121" s="3"/>
    </row>
    <row r="1122" spans="1:17" ht="22.5" customHeight="1" x14ac:dyDescent="0.2">
      <c r="A1122" s="3" t="s">
        <v>1919</v>
      </c>
      <c r="B1122" s="3" t="str">
        <f ca="1">IFERROR(__xludf.DUMMYFUNCTION("REGEXEXTRACT(A1122, ""\.(?:GOV|EXT)\.([A-Z0-9\-]+)"")
"),"FES-PE")</f>
        <v>FES-PE</v>
      </c>
      <c r="C1122" s="3" t="s">
        <v>34</v>
      </c>
      <c r="D1122" s="3" t="s">
        <v>1216</v>
      </c>
      <c r="E1122" s="14" t="str">
        <f ca="1">IFERROR(__xludf.DUMMYFUNCTION("REGEXEXTRACT(A1122, ""-(.*)"")"),"ARP.0063.06.2024.GOV.FES-PE.PE")</f>
        <v>ARP.0063.06.2024.GOV.FES-PE.PE</v>
      </c>
      <c r="F1122" s="6" t="s">
        <v>1386</v>
      </c>
      <c r="G1122" s="3"/>
      <c r="H1122" s="9">
        <v>45478</v>
      </c>
      <c r="I1122" s="3" t="s">
        <v>44</v>
      </c>
      <c r="J1122" s="3" t="str">
        <f>VLOOKUP(A1122,'TODOS OS PROCESSOS ATUALIZADOS '!A:I,7,0)</f>
        <v>Autorizada Sucesso</v>
      </c>
      <c r="K1122" s="3" t="s">
        <v>44</v>
      </c>
      <c r="L1122" s="3" t="str">
        <f t="shared" si="4"/>
        <v>Item atualizado</v>
      </c>
      <c r="M1122" s="3"/>
      <c r="N1122" s="3" t="s">
        <v>605</v>
      </c>
      <c r="O1122" s="3"/>
    </row>
    <row r="1123" spans="1:17" ht="22.5" customHeight="1" x14ac:dyDescent="0.2">
      <c r="A1123" s="3" t="s">
        <v>1920</v>
      </c>
      <c r="B1123" s="3" t="str">
        <f ca="1">IFERROR(__xludf.DUMMYFUNCTION("REGEXEXTRACT(A1123, ""\.(?:GOV|EXT)\.([A-Z0-9\-]+)"")
"),"CISAM")</f>
        <v>CISAM</v>
      </c>
      <c r="C1123" s="3" t="s">
        <v>34</v>
      </c>
      <c r="D1123" s="3" t="s">
        <v>1216</v>
      </c>
      <c r="E1123" s="14" t="str">
        <f ca="1">IFERROR(__xludf.DUMMYFUNCTION("REGEXEXTRACT(A1123, ""-(.*)"")"),"ARP.0052.07.2024.GOV.CISAM.PE")</f>
        <v>ARP.0052.07.2024.GOV.CISAM.PE</v>
      </c>
      <c r="F1123" s="6" t="s">
        <v>1347</v>
      </c>
      <c r="G1123" s="3"/>
      <c r="H1123" s="9">
        <v>45478</v>
      </c>
      <c r="I1123" s="3" t="s">
        <v>44</v>
      </c>
      <c r="J1123" s="3" t="str">
        <f>VLOOKUP(A1123,'TODOS OS PROCESSOS ATUALIZADOS '!A:I,7,0)</f>
        <v>Autorizada Sucesso</v>
      </c>
      <c r="K1123" s="3" t="s">
        <v>44</v>
      </c>
      <c r="L1123" s="3" t="str">
        <f t="shared" si="4"/>
        <v>Item atualizado</v>
      </c>
      <c r="M1123" s="3"/>
      <c r="N1123" s="3" t="s">
        <v>605</v>
      </c>
      <c r="O1123" s="3"/>
    </row>
    <row r="1124" spans="1:17" ht="22.5" customHeight="1" x14ac:dyDescent="0.2">
      <c r="A1124" s="3" t="s">
        <v>1921</v>
      </c>
      <c r="B1124" s="3" t="str">
        <f ca="1">IFERROR(__xludf.DUMMYFUNCTION("REGEXEXTRACT(A1124, ""\.(?:GOV|EXT)\.([A-Z0-9\-]+)"")
"),"FES-PE")</f>
        <v>FES-PE</v>
      </c>
      <c r="C1124" s="3" t="s">
        <v>34</v>
      </c>
      <c r="D1124" s="3" t="s">
        <v>1216</v>
      </c>
      <c r="E1124" s="14" t="str">
        <f ca="1">IFERROR(__xludf.DUMMYFUNCTION("REGEXEXTRACT(A1124, ""-(.*)"")"),"ARP.0063.00.2024.GOV.FES-PE.PE")</f>
        <v>ARP.0063.00.2024.GOV.FES-PE.PE</v>
      </c>
      <c r="F1124" s="6" t="s">
        <v>1386</v>
      </c>
      <c r="G1124" s="3"/>
      <c r="H1124" s="9">
        <v>45478</v>
      </c>
      <c r="I1124" s="3" t="s">
        <v>44</v>
      </c>
      <c r="J1124" s="3" t="str">
        <f>VLOOKUP(A1124,'TODOS OS PROCESSOS ATUALIZADOS '!A:I,7,0)</f>
        <v>Autorizada Sucesso</v>
      </c>
      <c r="K1124" s="3" t="s">
        <v>44</v>
      </c>
      <c r="L1124" s="3" t="str">
        <f t="shared" si="4"/>
        <v>Item atualizado</v>
      </c>
      <c r="M1124" s="3"/>
      <c r="N1124" s="3" t="s">
        <v>605</v>
      </c>
      <c r="O1124" s="3"/>
    </row>
    <row r="1125" spans="1:17" ht="22.5" customHeight="1" x14ac:dyDescent="0.2">
      <c r="A1125" s="3" t="s">
        <v>1922</v>
      </c>
      <c r="B1125" s="3" t="str">
        <f ca="1">IFERROR(__xludf.DUMMYFUNCTION("REGEXEXTRACT(A1125, ""\.(?:GOV|EXT)\.([A-Z0-9\-]+)"")
"),"SAD")</f>
        <v>SAD</v>
      </c>
      <c r="C1125" s="3" t="s">
        <v>34</v>
      </c>
      <c r="D1125" s="3" t="s">
        <v>1216</v>
      </c>
      <c r="E1125" s="14" t="str">
        <f ca="1">IFERROR(__xludf.DUMMYFUNCTION("REGEXEXTRACT(A1125, ""-(.*)"")"),"ARPC.0026.00.2023.GOV.SAD.PE")</f>
        <v>ARPC.0026.00.2023.GOV.SAD.PE</v>
      </c>
      <c r="F1125" s="3" t="s">
        <v>1117</v>
      </c>
      <c r="G1125" s="3"/>
      <c r="H1125" s="9">
        <v>45477</v>
      </c>
      <c r="I1125" s="3" t="s">
        <v>37</v>
      </c>
      <c r="J1125" s="3" t="str">
        <f>VLOOKUP(A1125,'TODOS OS PROCESSOS ATUALIZADOS '!A:I,7,0)</f>
        <v>Cancelada</v>
      </c>
      <c r="K1125" s="3" t="s">
        <v>605</v>
      </c>
      <c r="L1125" s="3" t="str">
        <f t="shared" si="4"/>
        <v>Item não atualizado</v>
      </c>
      <c r="M1125" s="3"/>
      <c r="N1125" s="3" t="s">
        <v>605</v>
      </c>
      <c r="O1125" s="3"/>
    </row>
    <row r="1126" spans="1:17" ht="22.5" customHeight="1" x14ac:dyDescent="0.2">
      <c r="A1126" s="3" t="s">
        <v>1923</v>
      </c>
      <c r="B1126" s="3" t="str">
        <f ca="1">IFERROR(__xludf.DUMMYFUNCTION("REGEXEXTRACT(A1126, ""\.(?:GOV|EXT)\.([A-Z0-9\-]+)"")
"),"FES-PE")</f>
        <v>FES-PE</v>
      </c>
      <c r="C1126" s="3" t="s">
        <v>34</v>
      </c>
      <c r="D1126" s="3" t="s">
        <v>1216</v>
      </c>
      <c r="E1126" s="14" t="str">
        <f ca="1">IFERROR(__xludf.DUMMYFUNCTION("REGEXEXTRACT(A1126, ""-(.*)"")"),"ARP.0064.05.2024.GOV.FES-PE.PE")</f>
        <v>ARP.0064.05.2024.GOV.FES-PE.PE</v>
      </c>
      <c r="F1126" s="6" t="s">
        <v>1330</v>
      </c>
      <c r="G1126" s="3"/>
      <c r="H1126" s="9">
        <v>45477</v>
      </c>
      <c r="I1126" s="3" t="s">
        <v>44</v>
      </c>
      <c r="J1126" s="3" t="str">
        <f>VLOOKUP(A1126,'TODOS OS PROCESSOS ATUALIZADOS '!A:I,7,0)</f>
        <v>Autorizada Sucesso</v>
      </c>
      <c r="K1126" s="3" t="s">
        <v>44</v>
      </c>
      <c r="L1126" s="3" t="str">
        <f t="shared" si="4"/>
        <v>Item atualizado</v>
      </c>
      <c r="M1126" s="3"/>
      <c r="N1126" s="3" t="s">
        <v>605</v>
      </c>
      <c r="O1126" s="3"/>
    </row>
    <row r="1127" spans="1:17" ht="22.5" customHeight="1" x14ac:dyDescent="0.2">
      <c r="A1127" s="3" t="s">
        <v>1924</v>
      </c>
      <c r="B1127" s="3" t="str">
        <f ca="1">IFERROR(__xludf.DUMMYFUNCTION("REGEXEXTRACT(A1127, ""\.(?:GOV|EXT)\.([A-Z0-9\-]+)"")
"),"FES-PE")</f>
        <v>FES-PE</v>
      </c>
      <c r="C1127" s="3" t="s">
        <v>34</v>
      </c>
      <c r="D1127" s="3" t="s">
        <v>1216</v>
      </c>
      <c r="E1127" s="14" t="str">
        <f ca="1">IFERROR(__xludf.DUMMYFUNCTION("REGEXEXTRACT(A1127, ""-(.*)"")"),"ARP.0048.07.2024.GOV.FES-PE.PE")</f>
        <v>ARP.0048.07.2024.GOV.FES-PE.PE</v>
      </c>
      <c r="F1127" s="6" t="s">
        <v>1734</v>
      </c>
      <c r="G1127" s="3"/>
      <c r="H1127" s="9">
        <v>45475</v>
      </c>
      <c r="I1127" s="3" t="s">
        <v>44</v>
      </c>
      <c r="J1127" s="3" t="str">
        <f>VLOOKUP(A1127,'TODOS OS PROCESSOS ATUALIZADOS '!A:I,7,0)</f>
        <v>Autorizada Sucesso</v>
      </c>
      <c r="K1127" s="3" t="s">
        <v>44</v>
      </c>
      <c r="L1127" s="3" t="str">
        <f t="shared" si="4"/>
        <v>Item atualizado</v>
      </c>
      <c r="M1127" s="3"/>
      <c r="N1127" s="3" t="s">
        <v>605</v>
      </c>
      <c r="O1127" s="3"/>
    </row>
    <row r="1128" spans="1:17" ht="22.5" customHeight="1" x14ac:dyDescent="0.2">
      <c r="A1128" s="3" t="s">
        <v>1925</v>
      </c>
      <c r="B1128" s="3" t="str">
        <f ca="1">IFERROR(__xludf.DUMMYFUNCTION("REGEXEXTRACT(A1128, ""\.(?:GOV|EXT)\.([A-Z0-9\-]+)"")
"),"FES-PE")</f>
        <v>FES-PE</v>
      </c>
      <c r="C1128" s="3" t="s">
        <v>34</v>
      </c>
      <c r="D1128" s="3" t="s">
        <v>1216</v>
      </c>
      <c r="E1128" s="14" t="str">
        <f ca="1">IFERROR(__xludf.DUMMYFUNCTION("REGEXEXTRACT(A1128, ""-(.*)"")"),"ARP.0025.04.2024.GOV.FES-PE.PE")</f>
        <v>ARP.0025.04.2024.GOV.FES-PE.PE</v>
      </c>
      <c r="F1128" s="6" t="s">
        <v>739</v>
      </c>
      <c r="G1128" s="3"/>
      <c r="H1128" s="9">
        <v>45471</v>
      </c>
      <c r="I1128" s="3" t="s">
        <v>44</v>
      </c>
      <c r="J1128" s="3" t="str">
        <f>VLOOKUP(A1128,'TODOS OS PROCESSOS ATUALIZADOS '!A:I,7,0)</f>
        <v>Autorizada Sucesso</v>
      </c>
      <c r="K1128" s="3" t="s">
        <v>44</v>
      </c>
      <c r="L1128" s="3" t="str">
        <f t="shared" si="4"/>
        <v>Item atualizado</v>
      </c>
      <c r="M1128" s="3"/>
      <c r="N1128" s="3" t="s">
        <v>605</v>
      </c>
      <c r="O1128" s="3"/>
    </row>
    <row r="1129" spans="1:17" ht="22.5" customHeight="1" x14ac:dyDescent="0.2">
      <c r="A1129" s="3" t="s">
        <v>1926</v>
      </c>
      <c r="B1129" s="3" t="str">
        <f ca="1">IFERROR(__xludf.DUMMYFUNCTION("REGEXEXTRACT(A1129, ""\.(?:GOV|EXT)\.([A-Z0-9\-]+)"")
"),"FES-PE")</f>
        <v>FES-PE</v>
      </c>
      <c r="C1129" s="3" t="s">
        <v>34</v>
      </c>
      <c r="D1129" s="3" t="s">
        <v>1216</v>
      </c>
      <c r="E1129" s="14" t="str">
        <f ca="1">IFERROR(__xludf.DUMMYFUNCTION("REGEXEXTRACT(A1129, ""-(.*)"")"),"ARP.0018.07.2024.GOV.FES-PE.PE")</f>
        <v>ARP.0018.07.2024.GOV.FES-PE.PE</v>
      </c>
      <c r="F1129" s="6" t="s">
        <v>737</v>
      </c>
      <c r="G1129" s="3"/>
      <c r="H1129" s="9">
        <v>45468</v>
      </c>
      <c r="I1129" s="3" t="s">
        <v>44</v>
      </c>
      <c r="J1129" s="3" t="str">
        <f>VLOOKUP(A1129,'TODOS OS PROCESSOS ATUALIZADOS '!A:I,7,0)</f>
        <v>Autorizada Sucesso</v>
      </c>
      <c r="K1129" s="3" t="s">
        <v>44</v>
      </c>
      <c r="L1129" s="3" t="str">
        <f t="shared" si="4"/>
        <v>Item atualizado</v>
      </c>
      <c r="M1129" s="3"/>
      <c r="N1129" s="3" t="s">
        <v>605</v>
      </c>
      <c r="O1129" s="3"/>
    </row>
    <row r="1130" spans="1:17" ht="22.5" customHeight="1" x14ac:dyDescent="0.2">
      <c r="A1130" s="3" t="s">
        <v>1927</v>
      </c>
      <c r="B1130" s="3" t="str">
        <f ca="1">IFERROR(__xludf.DUMMYFUNCTION("REGEXEXTRACT(A1130, ""\.(?:GOV|EXT)\.([A-Z0-9\-]+)"")
"),"FES-PE")</f>
        <v>FES-PE</v>
      </c>
      <c r="C1130" s="3" t="s">
        <v>34</v>
      </c>
      <c r="D1130" s="3" t="s">
        <v>1216</v>
      </c>
      <c r="E1130" s="14" t="str">
        <f ca="1">IFERROR(__xludf.DUMMYFUNCTION("REGEXEXTRACT(A1130, ""-(.*)"")"),"ARP.0046.02.2024.GOV.FES-PE.PE")</f>
        <v>ARP.0046.02.2024.GOV.FES-PE.PE</v>
      </c>
      <c r="F1130" s="6" t="s">
        <v>1436</v>
      </c>
      <c r="G1130" s="3"/>
      <c r="H1130" s="9">
        <v>45462</v>
      </c>
      <c r="I1130" s="3" t="s">
        <v>44</v>
      </c>
      <c r="J1130" s="3" t="str">
        <f>VLOOKUP(A1130,'TODOS OS PROCESSOS ATUALIZADOS '!A:I,7,0)</f>
        <v>Autorizada Sucesso</v>
      </c>
      <c r="K1130" s="3" t="s">
        <v>44</v>
      </c>
      <c r="L1130" s="3" t="str">
        <f t="shared" si="4"/>
        <v>Item atualizado</v>
      </c>
      <c r="M1130" s="3"/>
      <c r="N1130" s="3" t="s">
        <v>605</v>
      </c>
      <c r="O1130" s="3"/>
    </row>
    <row r="1131" spans="1:17" ht="22.5" customHeight="1" x14ac:dyDescent="0.2">
      <c r="A1131" s="3" t="s">
        <v>1928</v>
      </c>
      <c r="B1131" s="3" t="str">
        <f ca="1">IFERROR(__xludf.DUMMYFUNCTION("REGEXEXTRACT(A1131, ""\.(?:GOV|EXT)\.([A-Z0-9\-]+)"")
"),"FES-PE")</f>
        <v>FES-PE</v>
      </c>
      <c r="C1131" s="3" t="s">
        <v>34</v>
      </c>
      <c r="D1131" s="3" t="s">
        <v>1216</v>
      </c>
      <c r="E1131" s="14" t="str">
        <f ca="1">IFERROR(__xludf.DUMMYFUNCTION("REGEXEXTRACT(A1131, ""-(.*)"")"),"ARP.0025.04.2024.GOV.FES-PE.PE")</f>
        <v>ARP.0025.04.2024.GOV.FES-PE.PE</v>
      </c>
      <c r="F1131" s="6" t="s">
        <v>739</v>
      </c>
      <c r="G1131" s="3"/>
      <c r="H1131" s="9">
        <v>45461</v>
      </c>
      <c r="I1131" s="3" t="s">
        <v>44</v>
      </c>
      <c r="J1131" s="3" t="str">
        <f>VLOOKUP(A1131,'TODOS OS PROCESSOS ATUALIZADOS '!A:I,7,0)</f>
        <v>Autorizada Sucesso</v>
      </c>
      <c r="K1131" s="3" t="s">
        <v>44</v>
      </c>
      <c r="L1131" s="3" t="str">
        <f t="shared" si="4"/>
        <v>Item atualizado</v>
      </c>
      <c r="M1131" s="3"/>
      <c r="N1131" s="3" t="s">
        <v>605</v>
      </c>
      <c r="O1131" s="3"/>
    </row>
    <row r="1132" spans="1:17" ht="22.5" customHeight="1" x14ac:dyDescent="0.2">
      <c r="A1132" s="3" t="s">
        <v>1929</v>
      </c>
      <c r="B1132" s="3" t="str">
        <f ca="1">IFERROR(__xludf.DUMMYFUNCTION("REGEXEXTRACT(A1132, ""\.(?:GOV|EXT)\.([A-Z0-9\-]+)"")
"),"FES-PE")</f>
        <v>FES-PE</v>
      </c>
      <c r="C1132" s="3" t="s">
        <v>34</v>
      </c>
      <c r="D1132" s="3" t="s">
        <v>1216</v>
      </c>
      <c r="E1132" s="14" t="str">
        <f ca="1">IFERROR(__xludf.DUMMYFUNCTION("REGEXEXTRACT(A1132, ""-(.*)"")"),"ARP.0048.07.2024.GOV.FES-PE.PE")</f>
        <v>ARP.0048.07.2024.GOV.FES-PE.PE</v>
      </c>
      <c r="F1132" s="3" t="s">
        <v>1734</v>
      </c>
      <c r="G1132" s="3"/>
      <c r="H1132" s="9">
        <v>45457</v>
      </c>
      <c r="I1132" s="3" t="s">
        <v>37</v>
      </c>
      <c r="J1132" s="3" t="str">
        <f>VLOOKUP(A1132,'TODOS OS PROCESSOS ATUALIZADOS '!A:I,7,0)</f>
        <v>Cancelada</v>
      </c>
      <c r="K1132" s="3" t="s">
        <v>38</v>
      </c>
      <c r="L1132" s="3" t="str">
        <f t="shared" si="4"/>
        <v>Item não atualizado</v>
      </c>
      <c r="M1132" s="3"/>
      <c r="N1132" s="3" t="s">
        <v>605</v>
      </c>
      <c r="O1132" s="3"/>
    </row>
    <row r="1133" spans="1:17" ht="22.5" customHeight="1" x14ac:dyDescent="0.2">
      <c r="A1133" s="3" t="s">
        <v>1930</v>
      </c>
      <c r="B1133" s="3" t="str">
        <f ca="1">IFERROR(__xludf.DUMMYFUNCTION("REGEXEXTRACT(A1133, ""\.(?:GOV|EXT)\.([A-Z0-9\-]+)"")
"),"FES-PE")</f>
        <v>FES-PE</v>
      </c>
      <c r="C1133" s="3" t="s">
        <v>34</v>
      </c>
      <c r="D1133" s="3" t="s">
        <v>1216</v>
      </c>
      <c r="E1133" s="14" t="str">
        <f ca="1">IFERROR(__xludf.DUMMYFUNCTION("REGEXEXTRACT(A1133, ""-(.*)"")"),"ARP.0048.06.2024.GOV.FES-PE.PE")</f>
        <v>ARP.0048.06.2024.GOV.FES-PE.PE</v>
      </c>
      <c r="F1133" s="6" t="s">
        <v>1734</v>
      </c>
      <c r="G1133" s="3"/>
      <c r="H1133" s="9">
        <v>45457</v>
      </c>
      <c r="I1133" s="3" t="s">
        <v>44</v>
      </c>
      <c r="J1133" s="3" t="str">
        <f>VLOOKUP(A1133,'TODOS OS PROCESSOS ATUALIZADOS '!A:I,7,0)</f>
        <v>Autorizada Sucesso</v>
      </c>
      <c r="K1133" s="3" t="s">
        <v>44</v>
      </c>
      <c r="L1133" s="3" t="str">
        <f t="shared" si="4"/>
        <v>Item atualizado</v>
      </c>
      <c r="M1133" s="3"/>
      <c r="N1133" s="3" t="s">
        <v>605</v>
      </c>
      <c r="O1133" s="3"/>
    </row>
    <row r="1134" spans="1:17" ht="22.5" customHeight="1" x14ac:dyDescent="0.2">
      <c r="A1134" s="3" t="s">
        <v>1931</v>
      </c>
      <c r="B1134" s="3" t="str">
        <f ca="1">IFERROR(__xludf.DUMMYFUNCTION("REGEXEXTRACT(A1134, ""\.(?:GOV|EXT)\.([A-Z0-9\-]+)"")
"),"FES-PE")</f>
        <v>FES-PE</v>
      </c>
      <c r="C1134" s="3" t="s">
        <v>34</v>
      </c>
      <c r="D1134" s="3" t="s">
        <v>1216</v>
      </c>
      <c r="E1134" s="14" t="str">
        <f ca="1">IFERROR(__xludf.DUMMYFUNCTION("REGEXEXTRACT(A1134, ""-(.*)"")"),"ARP.0061.02.2024.GOV.FES-PE.PE")</f>
        <v>ARP.0061.02.2024.GOV.FES-PE.PE</v>
      </c>
      <c r="F1134" s="6" t="s">
        <v>1392</v>
      </c>
      <c r="G1134" s="3"/>
      <c r="H1134" s="9">
        <v>45456</v>
      </c>
      <c r="I1134" s="3" t="s">
        <v>44</v>
      </c>
      <c r="J1134" s="3" t="str">
        <f>VLOOKUP(A1134,'TODOS OS PROCESSOS ATUALIZADOS '!A:I,7,0)</f>
        <v>Autorizada Sucesso</v>
      </c>
      <c r="K1134" s="3" t="s">
        <v>44</v>
      </c>
      <c r="L1134" s="3" t="str">
        <f t="shared" si="4"/>
        <v>Item atualizado</v>
      </c>
      <c r="M1134" s="3"/>
      <c r="N1134" s="3" t="s">
        <v>605</v>
      </c>
      <c r="O1134" s="3"/>
    </row>
    <row r="1135" spans="1:17" ht="22.5" customHeight="1" x14ac:dyDescent="0.2">
      <c r="A1135" s="3" t="s">
        <v>1932</v>
      </c>
      <c r="B1135" s="3" t="str">
        <f ca="1">IFERROR(__xludf.DUMMYFUNCTION("REGEXEXTRACT(A1135, ""\.(?:GOV|EXT)\.([A-Z0-9\-]+)"")
"),"FES-PE")</f>
        <v>FES-PE</v>
      </c>
      <c r="C1135" s="3" t="s">
        <v>34</v>
      </c>
      <c r="D1135" s="3" t="s">
        <v>1216</v>
      </c>
      <c r="E1135" s="14" t="str">
        <f ca="1">IFERROR(__xludf.DUMMYFUNCTION("REGEXEXTRACT(A1135, ""-(.*)"")"),"ARP.0038.01.2024.GOV.FES-PE.PE")</f>
        <v>ARP.0038.01.2024.GOV.FES-PE.PE</v>
      </c>
      <c r="F1135" s="3" t="s">
        <v>801</v>
      </c>
      <c r="G1135" s="3" t="s">
        <v>1</v>
      </c>
      <c r="H1135" s="9">
        <v>45455</v>
      </c>
      <c r="I1135" s="3" t="s">
        <v>1254</v>
      </c>
      <c r="J1135" s="3" t="str">
        <f>VLOOKUP(A1135,'TODOS OS PROCESSOS ATUALIZADOS '!A:I,7,0)</f>
        <v>Encaminhada para o gestor de ata</v>
      </c>
      <c r="K1135" s="3" t="s">
        <v>45</v>
      </c>
      <c r="L1135" s="3" t="str">
        <f t="shared" si="4"/>
        <v>Item não atualizado</v>
      </c>
      <c r="M1135" s="3" t="s">
        <v>11</v>
      </c>
      <c r="N1135" s="3" t="s">
        <v>605</v>
      </c>
      <c r="O1135" s="3"/>
      <c r="P1135" s="3" t="s">
        <v>1933</v>
      </c>
      <c r="Q1135" s="3" t="s">
        <v>72</v>
      </c>
    </row>
    <row r="1136" spans="1:17" ht="22.5" customHeight="1" x14ac:dyDescent="0.2">
      <c r="A1136" s="3" t="s">
        <v>1934</v>
      </c>
      <c r="B1136" s="3" t="str">
        <f ca="1">IFERROR(__xludf.DUMMYFUNCTION("REGEXEXTRACT(A1136, ""\.(?:GOV|EXT)\.([A-Z0-9\-]+)"")
"),"FES-PE")</f>
        <v>FES-PE</v>
      </c>
      <c r="C1136" s="3" t="s">
        <v>34</v>
      </c>
      <c r="D1136" s="3" t="s">
        <v>1216</v>
      </c>
      <c r="E1136" s="14" t="str">
        <f ca="1">IFERROR(__xludf.DUMMYFUNCTION("REGEXEXTRACT(A1136, ""-(.*)"")"),"ARP.0038.01.2024.GOV.FES-PE.PE")</f>
        <v>ARP.0038.01.2024.GOV.FES-PE.PE</v>
      </c>
      <c r="F1136" s="3" t="s">
        <v>801</v>
      </c>
      <c r="G1136" s="3"/>
      <c r="H1136" s="9">
        <v>45455</v>
      </c>
      <c r="I1136" s="3" t="s">
        <v>37</v>
      </c>
      <c r="J1136" s="3" t="str">
        <f>VLOOKUP(A1136,'TODOS OS PROCESSOS ATUALIZADOS '!A:I,7,0)</f>
        <v>Cancelada</v>
      </c>
      <c r="K1136" s="3" t="s">
        <v>38</v>
      </c>
      <c r="L1136" s="3" t="str">
        <f t="shared" si="4"/>
        <v>Item não atualizado</v>
      </c>
      <c r="M1136" s="3"/>
      <c r="N1136" s="3" t="s">
        <v>605</v>
      </c>
      <c r="O1136" s="3"/>
    </row>
    <row r="1137" spans="1:15" ht="22.5" customHeight="1" x14ac:dyDescent="0.2">
      <c r="A1137" s="3" t="s">
        <v>1935</v>
      </c>
      <c r="B1137" s="3" t="str">
        <f ca="1">IFERROR(__xludf.DUMMYFUNCTION("REGEXEXTRACT(A1137, ""\.(?:GOV|EXT)\.([A-Z0-9\-]+)"")
"),"FES-PE")</f>
        <v>FES-PE</v>
      </c>
      <c r="C1137" s="3" t="s">
        <v>34</v>
      </c>
      <c r="D1137" s="3" t="s">
        <v>1216</v>
      </c>
      <c r="E1137" s="14" t="str">
        <f ca="1">IFERROR(__xludf.DUMMYFUNCTION("REGEXEXTRACT(A1137, ""-(.*)"")"),"ARP.0061.06.2024.GOV.FES-PE.PE")</f>
        <v>ARP.0061.06.2024.GOV.FES-PE.PE</v>
      </c>
      <c r="F1137" s="6" t="s">
        <v>1392</v>
      </c>
      <c r="G1137" s="3"/>
      <c r="H1137" s="9">
        <v>45455</v>
      </c>
      <c r="I1137" s="3" t="s">
        <v>44</v>
      </c>
      <c r="J1137" s="3" t="str">
        <f>VLOOKUP(A1137,'TODOS OS PROCESSOS ATUALIZADOS '!A:I,7,0)</f>
        <v>Autorizada Sucesso</v>
      </c>
      <c r="K1137" s="3" t="s">
        <v>44</v>
      </c>
      <c r="L1137" s="3" t="str">
        <f t="shared" si="4"/>
        <v>Item atualizado</v>
      </c>
      <c r="M1137" s="3"/>
      <c r="N1137" s="3" t="s">
        <v>605</v>
      </c>
      <c r="O1137" s="3"/>
    </row>
    <row r="1138" spans="1:15" ht="22.5" customHeight="1" x14ac:dyDescent="0.2">
      <c r="A1138" s="3" t="s">
        <v>1936</v>
      </c>
      <c r="B1138" s="3" t="str">
        <f ca="1">IFERROR(__xludf.DUMMYFUNCTION("REGEXEXTRACT(A1138, ""\.(?:GOV|EXT)\.([A-Z0-9\-]+)"")
"),"FES-PE")</f>
        <v>FES-PE</v>
      </c>
      <c r="C1138" s="3" t="s">
        <v>34</v>
      </c>
      <c r="D1138" s="3" t="s">
        <v>1216</v>
      </c>
      <c r="E1138" s="14" t="str">
        <f ca="1">IFERROR(__xludf.DUMMYFUNCTION("REGEXEXTRACT(A1138, ""-(.*)"")"),"ARP.0040.02.2024.GOV.FES-PE.PE")</f>
        <v>ARP.0040.02.2024.GOV.FES-PE.PE</v>
      </c>
      <c r="F1138" s="6" t="s">
        <v>1724</v>
      </c>
      <c r="G1138" s="3"/>
      <c r="H1138" s="9">
        <v>45455</v>
      </c>
      <c r="I1138" s="3" t="s">
        <v>44</v>
      </c>
      <c r="J1138" s="3" t="str">
        <f>VLOOKUP(A1138,'TODOS OS PROCESSOS ATUALIZADOS '!A:I,7,0)</f>
        <v>Autorizada Sucesso</v>
      </c>
      <c r="K1138" s="3" t="s">
        <v>44</v>
      </c>
      <c r="L1138" s="3" t="str">
        <f t="shared" si="4"/>
        <v>Item atualizado</v>
      </c>
      <c r="M1138" s="3"/>
      <c r="N1138" s="3" t="s">
        <v>605</v>
      </c>
      <c r="O1138" s="3"/>
    </row>
    <row r="1139" spans="1:15" ht="22.5" customHeight="1" x14ac:dyDescent="0.2">
      <c r="A1139" s="3" t="s">
        <v>1937</v>
      </c>
      <c r="B1139" s="3" t="str">
        <f ca="1">IFERROR(__xludf.DUMMYFUNCTION("REGEXEXTRACT(A1139, ""\.(?:GOV|EXT)\.([A-Z0-9\-]+)"")
"),"FES-PE")</f>
        <v>FES-PE</v>
      </c>
      <c r="C1139" s="3" t="s">
        <v>34</v>
      </c>
      <c r="D1139" s="3" t="s">
        <v>1216</v>
      </c>
      <c r="E1139" s="14" t="str">
        <f ca="1">IFERROR(__xludf.DUMMYFUNCTION("REGEXEXTRACT(A1139, ""-(.*)"")"),"ARP.0040.03.2024.GOV.FES-PE.PE")</f>
        <v>ARP.0040.03.2024.GOV.FES-PE.PE</v>
      </c>
      <c r="F1139" s="6" t="s">
        <v>1724</v>
      </c>
      <c r="G1139" s="3"/>
      <c r="H1139" s="9">
        <v>45455</v>
      </c>
      <c r="I1139" s="3" t="s">
        <v>44</v>
      </c>
      <c r="J1139" s="3" t="str">
        <f>VLOOKUP(A1139,'TODOS OS PROCESSOS ATUALIZADOS '!A:I,7,0)</f>
        <v>Autorizada Sucesso</v>
      </c>
      <c r="K1139" s="3" t="s">
        <v>44</v>
      </c>
      <c r="L1139" s="3" t="str">
        <f t="shared" si="4"/>
        <v>Item atualizado</v>
      </c>
      <c r="M1139" s="3"/>
      <c r="N1139" s="3" t="s">
        <v>605</v>
      </c>
      <c r="O1139" s="3"/>
    </row>
    <row r="1140" spans="1:15" ht="22.5" customHeight="1" x14ac:dyDescent="0.2">
      <c r="A1140" s="3" t="s">
        <v>1938</v>
      </c>
      <c r="B1140" s="3" t="str">
        <f ca="1">IFERROR(__xludf.DUMMYFUNCTION("REGEXEXTRACT(A1140, ""\.(?:GOV|EXT)\.([A-Z0-9\-]+)"")
"),"FES-PE")</f>
        <v>FES-PE</v>
      </c>
      <c r="C1140" s="3" t="s">
        <v>34</v>
      </c>
      <c r="D1140" s="3" t="s">
        <v>1216</v>
      </c>
      <c r="E1140" s="14" t="str">
        <f ca="1">IFERROR(__xludf.DUMMYFUNCTION("REGEXEXTRACT(A1140, ""-(.*)"")"),"ARP.0031.10.2024.GOV.FES-PE.PE")</f>
        <v>ARP.0031.10.2024.GOV.FES-PE.PE</v>
      </c>
      <c r="F1140" s="6" t="s">
        <v>1646</v>
      </c>
      <c r="G1140" s="3"/>
      <c r="H1140" s="9">
        <v>45453</v>
      </c>
      <c r="I1140" s="3" t="s">
        <v>44</v>
      </c>
      <c r="J1140" s="3" t="str">
        <f>VLOOKUP(A1140,'TODOS OS PROCESSOS ATUALIZADOS '!A:I,7,0)</f>
        <v>Autorizada Sucesso</v>
      </c>
      <c r="K1140" s="3" t="s">
        <v>44</v>
      </c>
      <c r="L1140" s="3" t="str">
        <f t="shared" si="4"/>
        <v>Item atualizado</v>
      </c>
      <c r="M1140" s="3"/>
      <c r="N1140" s="3" t="s">
        <v>605</v>
      </c>
      <c r="O1140" s="3"/>
    </row>
    <row r="1141" spans="1:15" ht="22.5" customHeight="1" x14ac:dyDescent="0.2">
      <c r="A1141" s="3" t="s">
        <v>1939</v>
      </c>
      <c r="B1141" s="3" t="str">
        <f ca="1">IFERROR(__xludf.DUMMYFUNCTION("REGEXEXTRACT(A1141, ""\.(?:GOV|EXT)\.([A-Z0-9\-]+)"")
"),"FES-PE")</f>
        <v>FES-PE</v>
      </c>
      <c r="C1141" s="3" t="s">
        <v>34</v>
      </c>
      <c r="D1141" s="3" t="s">
        <v>1216</v>
      </c>
      <c r="E1141" s="14" t="str">
        <f ca="1">IFERROR(__xludf.DUMMYFUNCTION("REGEXEXTRACT(A1141, ""-(.*)"")"),"ARP.0038.01.2024.GOV.FES-PE.PE")</f>
        <v>ARP.0038.01.2024.GOV.FES-PE.PE</v>
      </c>
      <c r="F1141" s="3" t="s">
        <v>801</v>
      </c>
      <c r="G1141" s="3"/>
      <c r="H1141" s="9">
        <v>45449</v>
      </c>
      <c r="I1141" s="3" t="s">
        <v>37</v>
      </c>
      <c r="J1141" s="3" t="str">
        <f>VLOOKUP(A1141,'TODOS OS PROCESSOS ATUALIZADOS '!A:I,7,0)</f>
        <v>Cancelada</v>
      </c>
      <c r="K1141" s="3" t="s">
        <v>38</v>
      </c>
      <c r="L1141" s="3" t="str">
        <f t="shared" si="4"/>
        <v>Item não atualizado</v>
      </c>
      <c r="M1141" s="3"/>
      <c r="N1141" s="3" t="s">
        <v>605</v>
      </c>
      <c r="O1141" s="3"/>
    </row>
    <row r="1142" spans="1:15" ht="22.5" customHeight="1" x14ac:dyDescent="0.2">
      <c r="A1142" s="3" t="s">
        <v>1940</v>
      </c>
      <c r="B1142" s="3" t="str">
        <f ca="1">IFERROR(__xludf.DUMMYFUNCTION("REGEXEXTRACT(A1142, ""\.(?:GOV|EXT)\.([A-Z0-9\-]+)"")
"),"FES-PE")</f>
        <v>FES-PE</v>
      </c>
      <c r="C1142" s="3" t="s">
        <v>34</v>
      </c>
      <c r="D1142" s="3" t="s">
        <v>1216</v>
      </c>
      <c r="E1142" s="14" t="str">
        <f ca="1">IFERROR(__xludf.DUMMYFUNCTION("REGEXEXTRACT(A1142, ""-(.*)"")"),"ARP.0031.14.2024.GOV.FES-PE.PE")</f>
        <v>ARP.0031.14.2024.GOV.FES-PE.PE</v>
      </c>
      <c r="F1142" s="6" t="s">
        <v>1646</v>
      </c>
      <c r="G1142" s="3"/>
      <c r="H1142" s="9">
        <v>45449</v>
      </c>
      <c r="I1142" s="3" t="s">
        <v>44</v>
      </c>
      <c r="J1142" s="3" t="str">
        <f>VLOOKUP(A1142,'TODOS OS PROCESSOS ATUALIZADOS '!A:I,7,0)</f>
        <v>Autorizada Sucesso</v>
      </c>
      <c r="K1142" s="3" t="s">
        <v>44</v>
      </c>
      <c r="L1142" s="3" t="str">
        <f t="shared" si="4"/>
        <v>Item atualizado</v>
      </c>
      <c r="M1142" s="3"/>
      <c r="N1142" s="3" t="s">
        <v>605</v>
      </c>
      <c r="O1142" s="3"/>
    </row>
    <row r="1143" spans="1:15" ht="22.5" customHeight="1" x14ac:dyDescent="0.2">
      <c r="A1143" s="3" t="s">
        <v>1941</v>
      </c>
      <c r="B1143" s="3" t="str">
        <f ca="1">IFERROR(__xludf.DUMMYFUNCTION("REGEXEXTRACT(A1143, ""\.(?:GOV|EXT)\.([A-Z0-9\-]+)"")
"),"FES-PE")</f>
        <v>FES-PE</v>
      </c>
      <c r="C1143" s="3" t="s">
        <v>34</v>
      </c>
      <c r="D1143" s="3" t="s">
        <v>1216</v>
      </c>
      <c r="E1143" s="14" t="str">
        <f ca="1">IFERROR(__xludf.DUMMYFUNCTION("REGEXEXTRACT(A1143, ""-(.*)"")"),"ARP.0038.01.2024.GOV.FES-PE.PE")</f>
        <v>ARP.0038.01.2024.GOV.FES-PE.PE</v>
      </c>
      <c r="F1143" s="3" t="s">
        <v>801</v>
      </c>
      <c r="G1143" s="3"/>
      <c r="H1143" s="9">
        <v>45447</v>
      </c>
      <c r="I1143" s="3" t="s">
        <v>37</v>
      </c>
      <c r="J1143" s="3" t="str">
        <f>VLOOKUP(A1143,'TODOS OS PROCESSOS ATUALIZADOS '!A:I,7,0)</f>
        <v>Cancelada</v>
      </c>
      <c r="K1143" s="3" t="s">
        <v>38</v>
      </c>
      <c r="L1143" s="3" t="str">
        <f t="shared" si="4"/>
        <v>Item não atualizado</v>
      </c>
      <c r="M1143" s="3"/>
      <c r="N1143" s="3" t="s">
        <v>605</v>
      </c>
      <c r="O1143" s="3"/>
    </row>
    <row r="1144" spans="1:15" ht="22.5" customHeight="1" x14ac:dyDescent="0.2">
      <c r="A1144" s="3" t="s">
        <v>1942</v>
      </c>
      <c r="B1144" s="3" t="str">
        <f ca="1">IFERROR(__xludf.DUMMYFUNCTION("REGEXEXTRACT(A1144, ""\.(?:GOV|EXT)\.([A-Z0-9\-]+)"")
"),"SAD")</f>
        <v>SAD</v>
      </c>
      <c r="C1144" s="3" t="s">
        <v>34</v>
      </c>
      <c r="D1144" s="3" t="s">
        <v>1216</v>
      </c>
      <c r="E1144" s="14" t="str">
        <f ca="1">IFERROR(__xludf.DUMMYFUNCTION("REGEXEXTRACT(A1144, ""-(.*)"")"),"ARPC.0005.00.2024.GOV.SAD.PE")</f>
        <v>ARPC.0005.00.2024.GOV.SAD.PE</v>
      </c>
      <c r="F1144" s="6" t="s">
        <v>1783</v>
      </c>
      <c r="G1144" s="3"/>
      <c r="H1144" s="9">
        <v>45446</v>
      </c>
      <c r="I1144" s="3" t="s">
        <v>44</v>
      </c>
      <c r="J1144" s="3" t="str">
        <f>VLOOKUP(A1144,'TODOS OS PROCESSOS ATUALIZADOS '!A:I,7,0)</f>
        <v>Autorizada Sucesso</v>
      </c>
      <c r="K1144" s="3" t="s">
        <v>44</v>
      </c>
      <c r="L1144" s="3" t="str">
        <f t="shared" si="4"/>
        <v>Item atualizado</v>
      </c>
      <c r="M1144" s="3"/>
      <c r="N1144" s="3" t="s">
        <v>605</v>
      </c>
      <c r="O1144" s="3"/>
    </row>
    <row r="1145" spans="1:15" ht="22.5" customHeight="1" x14ac:dyDescent="0.2">
      <c r="A1145" s="3" t="s">
        <v>1943</v>
      </c>
      <c r="B1145" s="3" t="str">
        <f ca="1">IFERROR(__xludf.DUMMYFUNCTION("REGEXEXTRACT(A1145, ""\.(?:GOV|EXT)\.([A-Z0-9\-]+)"")
"),"FES-PE")</f>
        <v>FES-PE</v>
      </c>
      <c r="C1145" s="3" t="s">
        <v>34</v>
      </c>
      <c r="D1145" s="3" t="s">
        <v>1216</v>
      </c>
      <c r="E1145" s="14" t="str">
        <f ca="1">IFERROR(__xludf.DUMMYFUNCTION("REGEXEXTRACT(A1145, ""-(.*)"")"),"ARP.0024.01.2024.GOV.FES-PE.PE")</f>
        <v>ARP.0024.01.2024.GOV.FES-PE.PE</v>
      </c>
      <c r="F1145" s="6" t="s">
        <v>1762</v>
      </c>
      <c r="G1145" s="3"/>
      <c r="H1145" s="9">
        <v>45446</v>
      </c>
      <c r="I1145" s="3" t="s">
        <v>44</v>
      </c>
      <c r="J1145" s="3" t="str">
        <f>VLOOKUP(A1145,'TODOS OS PROCESSOS ATUALIZADOS '!A:I,7,0)</f>
        <v>Autorizada Sucesso</v>
      </c>
      <c r="K1145" s="3" t="s">
        <v>44</v>
      </c>
      <c r="L1145" s="3" t="str">
        <f t="shared" si="4"/>
        <v>Item atualizado</v>
      </c>
      <c r="M1145" s="3"/>
      <c r="N1145" s="3" t="s">
        <v>605</v>
      </c>
      <c r="O1145" s="3"/>
    </row>
    <row r="1146" spans="1:15" ht="22.5" customHeight="1" x14ac:dyDescent="0.2">
      <c r="A1146" s="3" t="s">
        <v>1944</v>
      </c>
      <c r="B1146" s="3" t="str">
        <f ca="1">IFERROR(__xludf.DUMMYFUNCTION("REGEXEXTRACT(A1146, ""\.(?:GOV|EXT)\.([A-Z0-9\-]+)"")
"),"FES-PE")</f>
        <v>FES-PE</v>
      </c>
      <c r="C1146" s="3" t="s">
        <v>34</v>
      </c>
      <c r="D1146" s="3" t="s">
        <v>1216</v>
      </c>
      <c r="E1146" s="14" t="str">
        <f ca="1">IFERROR(__xludf.DUMMYFUNCTION("REGEXEXTRACT(A1146, ""-(.*)"")"),"ARP.0052.12.2024.GOV.FES-PE.PE")</f>
        <v>ARP.0052.12.2024.GOV.FES-PE.PE</v>
      </c>
      <c r="F1146" s="6" t="s">
        <v>1409</v>
      </c>
      <c r="G1146" s="3"/>
      <c r="H1146" s="9">
        <v>45446</v>
      </c>
      <c r="I1146" s="3" t="s">
        <v>44</v>
      </c>
      <c r="J1146" s="3" t="str">
        <f>VLOOKUP(A1146,'TODOS OS PROCESSOS ATUALIZADOS '!A:I,7,0)</f>
        <v>Autorizada Sucesso</v>
      </c>
      <c r="K1146" s="3" t="s">
        <v>44</v>
      </c>
      <c r="L1146" s="3" t="str">
        <f t="shared" si="4"/>
        <v>Item atualizado</v>
      </c>
      <c r="M1146" s="3"/>
      <c r="N1146" s="3" t="s">
        <v>605</v>
      </c>
      <c r="O1146" s="3"/>
    </row>
    <row r="1147" spans="1:15" ht="22.5" customHeight="1" x14ac:dyDescent="0.2">
      <c r="A1147" s="3" t="s">
        <v>1945</v>
      </c>
      <c r="B1147" s="3" t="str">
        <f ca="1">IFERROR(__xludf.DUMMYFUNCTION("REGEXEXTRACT(A1147, ""\.(?:GOV|EXT)\.([A-Z0-9\-]+)"")
"),"FES-PE")</f>
        <v>FES-PE</v>
      </c>
      <c r="C1147" s="3" t="s">
        <v>34</v>
      </c>
      <c r="D1147" s="3" t="s">
        <v>1216</v>
      </c>
      <c r="E1147" s="14" t="str">
        <f ca="1">IFERROR(__xludf.DUMMYFUNCTION("REGEXEXTRACT(A1147, ""-(.*)"")"),"ARP.0046.01.2024.GOV.FES-PE.PE")</f>
        <v>ARP.0046.01.2024.GOV.FES-PE.PE</v>
      </c>
      <c r="F1147" s="6" t="s">
        <v>1436</v>
      </c>
      <c r="G1147" s="3"/>
      <c r="H1147" s="9">
        <v>45446</v>
      </c>
      <c r="I1147" s="3" t="s">
        <v>44</v>
      </c>
      <c r="J1147" s="3" t="str">
        <f>VLOOKUP(A1147,'TODOS OS PROCESSOS ATUALIZADOS '!A:I,7,0)</f>
        <v>Autorizada Sucesso</v>
      </c>
      <c r="K1147" s="3" t="s">
        <v>44</v>
      </c>
      <c r="L1147" s="3" t="str">
        <f t="shared" si="4"/>
        <v>Item atualizado</v>
      </c>
      <c r="M1147" s="3"/>
      <c r="N1147" s="3" t="s">
        <v>605</v>
      </c>
      <c r="O1147" s="3"/>
    </row>
    <row r="1148" spans="1:15" ht="22.5" customHeight="1" x14ac:dyDescent="0.2">
      <c r="A1148" s="3" t="s">
        <v>1946</v>
      </c>
      <c r="B1148" s="3" t="str">
        <f ca="1">IFERROR(__xludf.DUMMYFUNCTION("REGEXEXTRACT(A1148, ""\.(?:GOV|EXT)\.([A-Z0-9\-]+)"")
"),"FES-PE")</f>
        <v>FES-PE</v>
      </c>
      <c r="C1148" s="3" t="s">
        <v>34</v>
      </c>
      <c r="D1148" s="3" t="s">
        <v>1216</v>
      </c>
      <c r="E1148" s="14" t="str">
        <f ca="1">IFERROR(__xludf.DUMMYFUNCTION("REGEXEXTRACT(A1148, ""-(.*)"")"),"ARP.0025.01.2024.GOV.FES-PE.PE")</f>
        <v>ARP.0025.01.2024.GOV.FES-PE.PE</v>
      </c>
      <c r="F1148" s="6" t="s">
        <v>739</v>
      </c>
      <c r="G1148" s="3"/>
      <c r="H1148" s="9">
        <v>45443</v>
      </c>
      <c r="I1148" s="3" t="s">
        <v>44</v>
      </c>
      <c r="J1148" s="3" t="str">
        <f>VLOOKUP(A1148,'TODOS OS PROCESSOS ATUALIZADOS '!A:I,7,0)</f>
        <v>Autorizada Sucesso</v>
      </c>
      <c r="K1148" s="3" t="s">
        <v>44</v>
      </c>
      <c r="L1148" s="3" t="str">
        <f t="shared" si="4"/>
        <v>Item atualizado</v>
      </c>
      <c r="M1148" s="3"/>
      <c r="N1148" s="3" t="s">
        <v>605</v>
      </c>
      <c r="O1148" s="3"/>
    </row>
    <row r="1149" spans="1:15" ht="22.5" customHeight="1" x14ac:dyDescent="0.2">
      <c r="A1149" s="3" t="s">
        <v>1947</v>
      </c>
      <c r="B1149" s="3" t="str">
        <f ca="1">IFERROR(__xludf.DUMMYFUNCTION("REGEXEXTRACT(A1149, ""\.(?:GOV|EXT)\.([A-Z0-9\-]+)"")
"),"FES-PE")</f>
        <v>FES-PE</v>
      </c>
      <c r="C1149" s="3" t="s">
        <v>34</v>
      </c>
      <c r="D1149" s="3" t="s">
        <v>1216</v>
      </c>
      <c r="E1149" s="14" t="str">
        <f ca="1">IFERROR(__xludf.DUMMYFUNCTION("REGEXEXTRACT(A1149, ""-(.*)"")"),"ARP.0031.14.2024.GOV.FES-PE.PE")</f>
        <v>ARP.0031.14.2024.GOV.FES-PE.PE</v>
      </c>
      <c r="F1149" s="6" t="s">
        <v>1646</v>
      </c>
      <c r="G1149" s="3"/>
      <c r="H1149" s="9">
        <v>45443</v>
      </c>
      <c r="I1149" s="3" t="s">
        <v>44</v>
      </c>
      <c r="J1149" s="3" t="str">
        <f>VLOOKUP(A1149,'TODOS OS PROCESSOS ATUALIZADOS '!A:I,7,0)</f>
        <v>Autorizada Sucesso</v>
      </c>
      <c r="K1149" s="3" t="s">
        <v>44</v>
      </c>
      <c r="L1149" s="3" t="str">
        <f t="shared" si="4"/>
        <v>Item atualizado</v>
      </c>
      <c r="M1149" s="3"/>
      <c r="N1149" s="3" t="s">
        <v>605</v>
      </c>
      <c r="O1149" s="3"/>
    </row>
    <row r="1150" spans="1:15" ht="22.5" customHeight="1" x14ac:dyDescent="0.2">
      <c r="A1150" s="3" t="s">
        <v>1948</v>
      </c>
      <c r="B1150" s="3" t="str">
        <f ca="1">IFERROR(__xludf.DUMMYFUNCTION("REGEXEXTRACT(A1150, ""\.(?:GOV|EXT)\.([A-Z0-9\-]+)"")
"),"FES-PE")</f>
        <v>FES-PE</v>
      </c>
      <c r="C1150" s="3" t="s">
        <v>34</v>
      </c>
      <c r="D1150" s="3" t="s">
        <v>1216</v>
      </c>
      <c r="E1150" s="14" t="str">
        <f ca="1">IFERROR(__xludf.DUMMYFUNCTION("REGEXEXTRACT(A1150, ""-(.*)"")"),"ARP.0058.03.2024.GOV.FES-PE.PE")</f>
        <v>ARP.0058.03.2024.GOV.FES-PE.PE</v>
      </c>
      <c r="F1150" s="6" t="s">
        <v>1412</v>
      </c>
      <c r="G1150" s="3"/>
      <c r="H1150" s="9">
        <v>45443</v>
      </c>
      <c r="I1150" s="3" t="s">
        <v>44</v>
      </c>
      <c r="J1150" s="3" t="str">
        <f>VLOOKUP(A1150,'TODOS OS PROCESSOS ATUALIZADOS '!A:I,7,0)</f>
        <v>Autorizada Sucesso</v>
      </c>
      <c r="K1150" s="3" t="s">
        <v>44</v>
      </c>
      <c r="L1150" s="3" t="str">
        <f t="shared" si="4"/>
        <v>Item atualizado</v>
      </c>
      <c r="M1150" s="3"/>
      <c r="N1150" s="3" t="s">
        <v>605</v>
      </c>
      <c r="O1150" s="3"/>
    </row>
    <row r="1151" spans="1:15" ht="22.5" customHeight="1" x14ac:dyDescent="0.2">
      <c r="A1151" s="3" t="s">
        <v>1949</v>
      </c>
      <c r="B1151" s="3" t="str">
        <f ca="1">IFERROR(__xludf.DUMMYFUNCTION("REGEXEXTRACT(A1151, ""\.(?:GOV|EXT)\.([A-Z0-9\-]+)"")
"),"SAD")</f>
        <v>SAD</v>
      </c>
      <c r="C1151" s="3" t="s">
        <v>34</v>
      </c>
      <c r="D1151" s="3" t="s">
        <v>1216</v>
      </c>
      <c r="E1151" s="14" t="str">
        <f ca="1">IFERROR(__xludf.DUMMYFUNCTION("REGEXEXTRACT(A1151, ""-(.*)"")"),"ARPC.0005.00.2024.GOV.SAD.PE")</f>
        <v>ARPC.0005.00.2024.GOV.SAD.PE</v>
      </c>
      <c r="F1151" s="3" t="s">
        <v>1783</v>
      </c>
      <c r="G1151" s="3"/>
      <c r="H1151" s="9">
        <v>45443</v>
      </c>
      <c r="I1151" s="3" t="s">
        <v>37</v>
      </c>
      <c r="J1151" s="3" t="str">
        <f>VLOOKUP(A1151,'TODOS OS PROCESSOS ATUALIZADOS '!A:I,7,0)</f>
        <v>Cancelada</v>
      </c>
      <c r="K1151" s="3" t="s">
        <v>38</v>
      </c>
      <c r="L1151" s="3" t="str">
        <f t="shared" si="4"/>
        <v>Item não atualizado</v>
      </c>
      <c r="M1151" s="3"/>
      <c r="N1151" s="3" t="s">
        <v>605</v>
      </c>
      <c r="O1151" s="3"/>
    </row>
    <row r="1152" spans="1:15" ht="22.5" customHeight="1" x14ac:dyDescent="0.2">
      <c r="A1152" s="3" t="s">
        <v>1950</v>
      </c>
      <c r="B1152" s="3" t="str">
        <f ca="1">IFERROR(__xludf.DUMMYFUNCTION("REGEXEXTRACT(A1152, ""\.(?:GOV|EXT)\.([A-Z0-9\-]+)"")
"),"FES-PE")</f>
        <v>FES-PE</v>
      </c>
      <c r="C1152" s="3" t="s">
        <v>34</v>
      </c>
      <c r="D1152" s="3" t="s">
        <v>1216</v>
      </c>
      <c r="E1152" s="14" t="str">
        <f ca="1">IFERROR(__xludf.DUMMYFUNCTION("REGEXEXTRACT(A1152, ""-(.*)"")"),"ARP.0058.00.2024.GOV.FES-PE.PE")</f>
        <v>ARP.0058.00.2024.GOV.FES-PE.PE</v>
      </c>
      <c r="F1152" s="6" t="s">
        <v>1412</v>
      </c>
      <c r="G1152" s="3"/>
      <c r="H1152" s="9">
        <v>45441</v>
      </c>
      <c r="I1152" s="3" t="s">
        <v>44</v>
      </c>
      <c r="J1152" s="3" t="str">
        <f>VLOOKUP(A1152,'TODOS OS PROCESSOS ATUALIZADOS '!A:I,7,0)</f>
        <v>Autorizada Sucesso</v>
      </c>
      <c r="K1152" s="3" t="s">
        <v>44</v>
      </c>
      <c r="L1152" s="3" t="str">
        <f t="shared" si="4"/>
        <v>Item atualizado</v>
      </c>
      <c r="M1152" s="3"/>
      <c r="N1152" s="3" t="s">
        <v>605</v>
      </c>
      <c r="O1152" s="3"/>
    </row>
    <row r="1153" spans="1:15" ht="22.5" customHeight="1" x14ac:dyDescent="0.2">
      <c r="A1153" s="3" t="s">
        <v>1951</v>
      </c>
      <c r="B1153" s="3" t="str">
        <f ca="1">IFERROR(__xludf.DUMMYFUNCTION("REGEXEXTRACT(A1153, ""\.(?:GOV|EXT)\.([A-Z0-9\-]+)"")
"),"FES-PE")</f>
        <v>FES-PE</v>
      </c>
      <c r="C1153" s="3" t="s">
        <v>34</v>
      </c>
      <c r="D1153" s="3" t="s">
        <v>1216</v>
      </c>
      <c r="E1153" s="14" t="str">
        <f ca="1">IFERROR(__xludf.DUMMYFUNCTION("REGEXEXTRACT(A1153, ""-(.*)"")"),"ARP.0031.16.2024.GOV.FES-PE.PE")</f>
        <v>ARP.0031.16.2024.GOV.FES-PE.PE</v>
      </c>
      <c r="F1153" s="6" t="s">
        <v>1646</v>
      </c>
      <c r="G1153" s="3"/>
      <c r="H1153" s="9">
        <v>45441</v>
      </c>
      <c r="I1153" s="3" t="s">
        <v>44</v>
      </c>
      <c r="J1153" s="3" t="str">
        <f>VLOOKUP(A1153,'TODOS OS PROCESSOS ATUALIZADOS '!A:I,7,0)</f>
        <v>Autorizada Sucesso</v>
      </c>
      <c r="K1153" s="3" t="s">
        <v>44</v>
      </c>
      <c r="L1153" s="3" t="str">
        <f t="shared" si="4"/>
        <v>Item atualizado</v>
      </c>
      <c r="M1153" s="3"/>
      <c r="N1153" s="3" t="s">
        <v>605</v>
      </c>
      <c r="O1153" s="3"/>
    </row>
    <row r="1154" spans="1:15" ht="22.5" customHeight="1" x14ac:dyDescent="0.2">
      <c r="A1154" s="3" t="s">
        <v>1952</v>
      </c>
      <c r="B1154" s="3" t="str">
        <f ca="1">IFERROR(__xludf.DUMMYFUNCTION("REGEXEXTRACT(A1154, ""\.(?:GOV|EXT)\.([A-Z0-9\-]+)"")
"),"FES-PE")</f>
        <v>FES-PE</v>
      </c>
      <c r="C1154" s="3" t="s">
        <v>34</v>
      </c>
      <c r="D1154" s="3" t="s">
        <v>1216</v>
      </c>
      <c r="E1154" s="14" t="str">
        <f ca="1">IFERROR(__xludf.DUMMYFUNCTION("REGEXEXTRACT(A1154, ""-(.*)"")"),"ARP.0031.11.2024.GOV.FES-PE.PE")</f>
        <v>ARP.0031.11.2024.GOV.FES-PE.PE</v>
      </c>
      <c r="F1154" s="6" t="s">
        <v>1646</v>
      </c>
      <c r="G1154" s="3"/>
      <c r="H1154" s="9">
        <v>45439</v>
      </c>
      <c r="I1154" s="3" t="s">
        <v>44</v>
      </c>
      <c r="J1154" s="3" t="str">
        <f>VLOOKUP(A1154,'TODOS OS PROCESSOS ATUALIZADOS '!A:I,7,0)</f>
        <v>Autorizada Sucesso</v>
      </c>
      <c r="K1154" s="3" t="s">
        <v>44</v>
      </c>
      <c r="L1154" s="3" t="str">
        <f t="shared" si="4"/>
        <v>Item atualizado</v>
      </c>
      <c r="M1154" s="3"/>
      <c r="N1154" s="3" t="s">
        <v>605</v>
      </c>
      <c r="O1154" s="3"/>
    </row>
    <row r="1155" spans="1:15" ht="22.5" customHeight="1" x14ac:dyDescent="0.2">
      <c r="A1155" s="3" t="s">
        <v>1953</v>
      </c>
      <c r="B1155" s="3" t="str">
        <f ca="1">IFERROR(__xludf.DUMMYFUNCTION("REGEXEXTRACT(A1155, ""\.(?:GOV|EXT)\.([A-Z0-9\-]+)"")
"),"SAD")</f>
        <v>SAD</v>
      </c>
      <c r="C1155" s="3" t="s">
        <v>34</v>
      </c>
      <c r="D1155" s="3" t="s">
        <v>1216</v>
      </c>
      <c r="E1155" s="14" t="str">
        <f ca="1">IFERROR(__xludf.DUMMYFUNCTION("REGEXEXTRACT(A1155, ""-(.*)"")"),"ARPC.0012.00.2023.GOV.SAD.PE")</f>
        <v>ARPC.0012.00.2023.GOV.SAD.PE</v>
      </c>
      <c r="F1155" s="3" t="s">
        <v>1954</v>
      </c>
      <c r="G1155" s="3"/>
      <c r="H1155" s="9">
        <v>45433</v>
      </c>
      <c r="I1155" s="3" t="s">
        <v>44</v>
      </c>
      <c r="J1155" s="3" t="str">
        <f>VLOOKUP(A1155,'TODOS OS PROCESSOS ATUALIZADOS '!A:I,7,0)</f>
        <v>Autorizada Sucesso</v>
      </c>
      <c r="K1155" s="3" t="s">
        <v>605</v>
      </c>
      <c r="L1155" s="3" t="str">
        <f t="shared" si="4"/>
        <v>Item atualizado</v>
      </c>
      <c r="M1155" s="3"/>
      <c r="N1155" s="3" t="s">
        <v>605</v>
      </c>
      <c r="O1155" s="3"/>
    </row>
    <row r="1156" spans="1:15" ht="22.5" customHeight="1" x14ac:dyDescent="0.2">
      <c r="A1156" s="3" t="s">
        <v>1955</v>
      </c>
      <c r="B1156" s="3" t="str">
        <f ca="1">IFERROR(__xludf.DUMMYFUNCTION("REGEXEXTRACT(A1156, ""\.(?:GOV|EXT)\.([A-Z0-9\-]+)"")
"),"FES-PE")</f>
        <v>FES-PE</v>
      </c>
      <c r="C1156" s="3" t="s">
        <v>34</v>
      </c>
      <c r="D1156" s="3" t="s">
        <v>1216</v>
      </c>
      <c r="E1156" s="14" t="str">
        <f ca="1">IFERROR(__xludf.DUMMYFUNCTION("REGEXEXTRACT(A1156, ""-(.*)"")"),"ARP.0018.00.2024.GOV.FES-PE.PE")</f>
        <v>ARP.0018.00.2024.GOV.FES-PE.PE</v>
      </c>
      <c r="F1156" s="6" t="s">
        <v>737</v>
      </c>
      <c r="G1156" s="3"/>
      <c r="H1156" s="9">
        <v>45432</v>
      </c>
      <c r="I1156" s="3" t="s">
        <v>44</v>
      </c>
      <c r="J1156" s="3" t="str">
        <f>VLOOKUP(A1156,'TODOS OS PROCESSOS ATUALIZADOS '!A:I,7,0)</f>
        <v>Autorizada Sucesso</v>
      </c>
      <c r="K1156" s="3" t="s">
        <v>44</v>
      </c>
      <c r="L1156" s="3" t="str">
        <f t="shared" si="4"/>
        <v>Item atualizado</v>
      </c>
      <c r="M1156" s="3"/>
      <c r="N1156" s="3" t="s">
        <v>605</v>
      </c>
      <c r="O1156" s="3"/>
    </row>
    <row r="1157" spans="1:15" ht="22.5" customHeight="1" x14ac:dyDescent="0.2">
      <c r="A1157" s="3" t="s">
        <v>1956</v>
      </c>
      <c r="B1157" s="3" t="str">
        <f ca="1">IFERROR(__xludf.DUMMYFUNCTION("REGEXEXTRACT(A1157, ""\.(?:GOV|EXT)\.([A-Z0-9\-]+)"")
"),"FES-PE")</f>
        <v>FES-PE</v>
      </c>
      <c r="C1157" s="3" t="s">
        <v>34</v>
      </c>
      <c r="D1157" s="3" t="s">
        <v>1216</v>
      </c>
      <c r="E1157" s="14" t="str">
        <f ca="1">IFERROR(__xludf.DUMMYFUNCTION("REGEXEXTRACT(A1157, ""-(.*)"")"),"ARP.0050.00.2024.GOV.FES-PE.PE")</f>
        <v>ARP.0050.00.2024.GOV.FES-PE.PE</v>
      </c>
      <c r="F1157" s="6" t="s">
        <v>1689</v>
      </c>
      <c r="G1157" s="3"/>
      <c r="H1157" s="9">
        <v>45432</v>
      </c>
      <c r="I1157" s="3" t="s">
        <v>44</v>
      </c>
      <c r="J1157" s="3" t="str">
        <f>VLOOKUP(A1157,'TODOS OS PROCESSOS ATUALIZADOS '!A:I,7,0)</f>
        <v>Autorizada Sucesso</v>
      </c>
      <c r="K1157" s="3" t="s">
        <v>44</v>
      </c>
      <c r="L1157" s="3" t="str">
        <f t="shared" si="4"/>
        <v>Item atualizado</v>
      </c>
      <c r="M1157" s="3"/>
      <c r="N1157" s="3" t="s">
        <v>605</v>
      </c>
      <c r="O1157" s="3"/>
    </row>
    <row r="1158" spans="1:15" ht="22.5" customHeight="1" x14ac:dyDescent="0.2">
      <c r="A1158" s="3" t="s">
        <v>1957</v>
      </c>
      <c r="B1158" s="3" t="str">
        <f ca="1">IFERROR(__xludf.DUMMYFUNCTION("REGEXEXTRACT(A1158, ""\.(?:GOV|EXT)\.([A-Z0-9\-]+)"")
"),"FES-PE")</f>
        <v>FES-PE</v>
      </c>
      <c r="C1158" s="3" t="s">
        <v>34</v>
      </c>
      <c r="D1158" s="3" t="s">
        <v>1216</v>
      </c>
      <c r="E1158" s="14" t="str">
        <f ca="1">IFERROR(__xludf.DUMMYFUNCTION("REGEXEXTRACT(A1158, ""-(.*)"")"),"ARP.0037.02.2024.GOV.FES-PE.PE")</f>
        <v>ARP.0037.02.2024.GOV.FES-PE.PE</v>
      </c>
      <c r="F1158" s="6" t="s">
        <v>1958</v>
      </c>
      <c r="G1158" s="3"/>
      <c r="H1158" s="9">
        <v>45428</v>
      </c>
      <c r="I1158" s="3" t="s">
        <v>44</v>
      </c>
      <c r="J1158" s="3" t="str">
        <f>VLOOKUP(A1158,'TODOS OS PROCESSOS ATUALIZADOS '!A:I,7,0)</f>
        <v>Autorizada Sucesso</v>
      </c>
      <c r="K1158" s="3" t="s">
        <v>44</v>
      </c>
      <c r="L1158" s="3" t="str">
        <f t="shared" si="4"/>
        <v>Item atualizado</v>
      </c>
      <c r="M1158" s="3"/>
      <c r="N1158" s="3" t="s">
        <v>605</v>
      </c>
      <c r="O1158" s="3"/>
    </row>
    <row r="1159" spans="1:15" ht="22.5" customHeight="1" x14ac:dyDescent="0.2">
      <c r="A1159" s="3" t="s">
        <v>1959</v>
      </c>
      <c r="B1159" s="3" t="str">
        <f ca="1">IFERROR(__xludf.DUMMYFUNCTION("REGEXEXTRACT(A1159, ""\.(?:GOV|EXT)\.([A-Z0-9\-]+)"")
"),"SAD")</f>
        <v>SAD</v>
      </c>
      <c r="C1159" s="3" t="s">
        <v>34</v>
      </c>
      <c r="D1159" s="3" t="s">
        <v>1216</v>
      </c>
      <c r="E1159" s="14" t="str">
        <f ca="1">IFERROR(__xludf.DUMMYFUNCTION("REGEXEXTRACT(A1159, ""-(.*)"")"),"ARPC.0026.00.2023.GOV.SAD.PE")</f>
        <v>ARPC.0026.00.2023.GOV.SAD.PE</v>
      </c>
      <c r="F1159" s="3" t="s">
        <v>1117</v>
      </c>
      <c r="G1159" s="3"/>
      <c r="H1159" s="9">
        <v>45427</v>
      </c>
      <c r="I1159" s="3" t="s">
        <v>44</v>
      </c>
      <c r="J1159" s="3" t="str">
        <f>VLOOKUP(A1159,'TODOS OS PROCESSOS ATUALIZADOS '!A:I,7,0)</f>
        <v>Autorizada Sucesso</v>
      </c>
      <c r="K1159" s="3" t="s">
        <v>605</v>
      </c>
      <c r="L1159" s="3" t="str">
        <f t="shared" si="4"/>
        <v>Item atualizado</v>
      </c>
      <c r="M1159" s="3"/>
      <c r="N1159" s="3" t="s">
        <v>605</v>
      </c>
      <c r="O1159" s="3"/>
    </row>
    <row r="1160" spans="1:15" ht="22.5" customHeight="1" x14ac:dyDescent="0.2">
      <c r="A1160" s="3" t="s">
        <v>1960</v>
      </c>
      <c r="B1160" s="3" t="str">
        <f ca="1">IFERROR(__xludf.DUMMYFUNCTION("REGEXEXTRACT(A1160, ""\.(?:GOV|EXT)\.([A-Z0-9\-]+)"")
"),"FES-PE")</f>
        <v>FES-PE</v>
      </c>
      <c r="C1160" s="3" t="s">
        <v>34</v>
      </c>
      <c r="D1160" s="3" t="s">
        <v>1216</v>
      </c>
      <c r="E1160" s="14" t="str">
        <f ca="1">IFERROR(__xludf.DUMMYFUNCTION("REGEXEXTRACT(A1160, ""-(.*)"")"),"ARP.0048.11.2024.GOV.FES-PE.PE")</f>
        <v>ARP.0048.11.2024.GOV.FES-PE.PE</v>
      </c>
      <c r="F1160" s="6" t="s">
        <v>1734</v>
      </c>
      <c r="G1160" s="3"/>
      <c r="H1160" s="9">
        <v>45427</v>
      </c>
      <c r="I1160" s="3" t="s">
        <v>44</v>
      </c>
      <c r="J1160" s="3" t="str">
        <f>VLOOKUP(A1160,'TODOS OS PROCESSOS ATUALIZADOS '!A:I,7,0)</f>
        <v>Autorizada Sucesso</v>
      </c>
      <c r="K1160" s="3" t="s">
        <v>44</v>
      </c>
      <c r="L1160" s="3" t="str">
        <f t="shared" si="4"/>
        <v>Item atualizado</v>
      </c>
      <c r="M1160" s="3"/>
      <c r="N1160" s="3" t="s">
        <v>605</v>
      </c>
      <c r="O1160" s="3"/>
    </row>
    <row r="1161" spans="1:15" ht="22.5" customHeight="1" x14ac:dyDescent="0.2">
      <c r="A1161" s="3" t="s">
        <v>1961</v>
      </c>
      <c r="B1161" s="3" t="str">
        <f ca="1">IFERROR(__xludf.DUMMYFUNCTION("REGEXEXTRACT(A1161, ""\.(?:GOV|EXT)\.([A-Z0-9\-]+)"")
"),"FES-PE")</f>
        <v>FES-PE</v>
      </c>
      <c r="C1161" s="3" t="s">
        <v>34</v>
      </c>
      <c r="D1161" s="3" t="s">
        <v>1216</v>
      </c>
      <c r="E1161" s="14" t="str">
        <f ca="1">IFERROR(__xludf.DUMMYFUNCTION("REGEXEXTRACT(A1161, ""-(.*)"")"),"ARP.0052.00.2024.GOV.FES-PE.PE")</f>
        <v>ARP.0052.00.2024.GOV.FES-PE.PE</v>
      </c>
      <c r="F1161" s="6" t="s">
        <v>1409</v>
      </c>
      <c r="G1161" s="3"/>
      <c r="H1161" s="9">
        <v>45427</v>
      </c>
      <c r="I1161" s="3" t="s">
        <v>44</v>
      </c>
      <c r="J1161" s="3" t="str">
        <f>VLOOKUP(A1161,'TODOS OS PROCESSOS ATUALIZADOS '!A:I,7,0)</f>
        <v>Autorizada Sucesso</v>
      </c>
      <c r="K1161" s="3" t="s">
        <v>44</v>
      </c>
      <c r="L1161" s="3" t="str">
        <f t="shared" si="4"/>
        <v>Item atualizado</v>
      </c>
      <c r="M1161" s="3"/>
      <c r="N1161" s="3" t="s">
        <v>605</v>
      </c>
      <c r="O1161" s="3"/>
    </row>
    <row r="1162" spans="1:15" ht="22.5" customHeight="1" x14ac:dyDescent="0.2">
      <c r="A1162" s="3" t="s">
        <v>1962</v>
      </c>
      <c r="B1162" s="3" t="str">
        <f ca="1">IFERROR(__xludf.DUMMYFUNCTION("REGEXEXTRACT(A1162, ""\.(?:GOV|EXT)\.([A-Z0-9\-]+)"")
"),"HRA")</f>
        <v>HRA</v>
      </c>
      <c r="C1162" s="3" t="s">
        <v>34</v>
      </c>
      <c r="D1162" s="3" t="s">
        <v>1216</v>
      </c>
      <c r="E1162" s="14" t="str">
        <f ca="1">IFERROR(__xludf.DUMMYFUNCTION("REGEXEXTRACT(A1162, ""-(.*)"")"),"ARP.0005.05.2023.GOV.HRA.PE")</f>
        <v>ARP.0005.05.2023.GOV.HRA.PE</v>
      </c>
      <c r="F1162" s="3" t="s">
        <v>1963</v>
      </c>
      <c r="G1162" s="3"/>
      <c r="H1162" s="9">
        <v>45426</v>
      </c>
      <c r="I1162" s="3" t="s">
        <v>44</v>
      </c>
      <c r="J1162" s="3" t="str">
        <f>VLOOKUP(A1162,'TODOS OS PROCESSOS ATUALIZADOS '!A:I,7,0)</f>
        <v>Autorizada Sucesso</v>
      </c>
      <c r="K1162" s="3" t="s">
        <v>605</v>
      </c>
      <c r="L1162" s="3" t="str">
        <f t="shared" si="4"/>
        <v>Item atualizado</v>
      </c>
      <c r="M1162" s="3"/>
      <c r="N1162" s="3" t="s">
        <v>605</v>
      </c>
      <c r="O1162" s="3"/>
    </row>
    <row r="1163" spans="1:15" ht="22.5" customHeight="1" x14ac:dyDescent="0.2">
      <c r="A1163" s="3" t="s">
        <v>1964</v>
      </c>
      <c r="B1163" s="3" t="str">
        <f ca="1">IFERROR(__xludf.DUMMYFUNCTION("REGEXEXTRACT(A1163, ""\.(?:GOV|EXT)\.([A-Z0-9\-]+)"")
"),"FES-PE")</f>
        <v>FES-PE</v>
      </c>
      <c r="C1163" s="3" t="s">
        <v>34</v>
      </c>
      <c r="D1163" s="3" t="s">
        <v>1216</v>
      </c>
      <c r="E1163" s="14" t="str">
        <f ca="1">IFERROR(__xludf.DUMMYFUNCTION("REGEXEXTRACT(A1163, ""-(.*)"")"),"ARP.0046.05.2024.GOV.FES-PE.PE")</f>
        <v>ARP.0046.05.2024.GOV.FES-PE.PE</v>
      </c>
      <c r="F1163" s="6" t="s">
        <v>1436</v>
      </c>
      <c r="G1163" s="3"/>
      <c r="H1163" s="9">
        <v>45425</v>
      </c>
      <c r="I1163" s="3" t="s">
        <v>44</v>
      </c>
      <c r="J1163" s="3" t="str">
        <f>VLOOKUP(A1163,'TODOS OS PROCESSOS ATUALIZADOS '!A:I,7,0)</f>
        <v>Autorizada Sucesso</v>
      </c>
      <c r="K1163" s="3" t="s">
        <v>44</v>
      </c>
      <c r="L1163" s="3" t="str">
        <f t="shared" si="4"/>
        <v>Item atualizado</v>
      </c>
      <c r="M1163" s="3"/>
      <c r="N1163" s="3" t="s">
        <v>605</v>
      </c>
      <c r="O1163" s="3"/>
    </row>
    <row r="1164" spans="1:15" ht="22.5" customHeight="1" x14ac:dyDescent="0.2">
      <c r="A1164" s="3" t="s">
        <v>1965</v>
      </c>
      <c r="B1164" s="3" t="str">
        <f ca="1">IFERROR(__xludf.DUMMYFUNCTION("REGEXEXTRACT(A1164, ""\.(?:GOV|EXT)\.([A-Z0-9\-]+)"")
"),"FES-PE")</f>
        <v>FES-PE</v>
      </c>
      <c r="C1164" s="3" t="s">
        <v>34</v>
      </c>
      <c r="D1164" s="3" t="s">
        <v>1216</v>
      </c>
      <c r="E1164" s="14" t="str">
        <f ca="1">IFERROR(__xludf.DUMMYFUNCTION("REGEXEXTRACT(A1164, ""-(.*)"")"),"ARP.0052.05.2024.GOV.FES-PE.PE")</f>
        <v>ARP.0052.05.2024.GOV.FES-PE.PE</v>
      </c>
      <c r="F1164" s="6" t="s">
        <v>1409</v>
      </c>
      <c r="G1164" s="3"/>
      <c r="H1164" s="9">
        <v>45425</v>
      </c>
      <c r="I1164" s="3" t="s">
        <v>44</v>
      </c>
      <c r="J1164" s="3" t="str">
        <f>VLOOKUP(A1164,'TODOS OS PROCESSOS ATUALIZADOS '!A:I,7,0)</f>
        <v>Autorizada Sucesso</v>
      </c>
      <c r="K1164" s="3" t="s">
        <v>44</v>
      </c>
      <c r="L1164" s="3" t="str">
        <f t="shared" si="4"/>
        <v>Item atualizado</v>
      </c>
      <c r="M1164" s="3"/>
      <c r="N1164" s="3" t="s">
        <v>605</v>
      </c>
      <c r="O1164" s="3"/>
    </row>
    <row r="1165" spans="1:15" ht="22.5" customHeight="1" x14ac:dyDescent="0.2">
      <c r="A1165" s="3" t="s">
        <v>1966</v>
      </c>
      <c r="B1165" s="3" t="str">
        <f ca="1">IFERROR(__xludf.DUMMYFUNCTION("REGEXEXTRACT(A1165, ""\.(?:GOV|EXT)\.([A-Z0-9\-]+)"")
"),"FES-PE")</f>
        <v>FES-PE</v>
      </c>
      <c r="C1165" s="3" t="s">
        <v>34</v>
      </c>
      <c r="D1165" s="3" t="s">
        <v>1216</v>
      </c>
      <c r="E1165" s="14" t="str">
        <f ca="1">IFERROR(__xludf.DUMMYFUNCTION("REGEXEXTRACT(A1165, ""-(.*)"")"),"ARP.0025.02.2024.GOV.FES-PE.PE")</f>
        <v>ARP.0025.02.2024.GOV.FES-PE.PE</v>
      </c>
      <c r="F1165" s="6" t="s">
        <v>739</v>
      </c>
      <c r="G1165" s="3"/>
      <c r="H1165" s="9">
        <v>45422</v>
      </c>
      <c r="I1165" s="3" t="s">
        <v>44</v>
      </c>
      <c r="J1165" s="3" t="str">
        <f>VLOOKUP(A1165,'TODOS OS PROCESSOS ATUALIZADOS '!A:I,7,0)</f>
        <v>Autorizada Sucesso</v>
      </c>
      <c r="K1165" s="3" t="s">
        <v>44</v>
      </c>
      <c r="L1165" s="3" t="str">
        <f t="shared" si="4"/>
        <v>Item atualizado</v>
      </c>
      <c r="M1165" s="3"/>
      <c r="N1165" s="3" t="s">
        <v>605</v>
      </c>
      <c r="O1165" s="3"/>
    </row>
    <row r="1166" spans="1:15" ht="22.5" customHeight="1" x14ac:dyDescent="0.2">
      <c r="A1166" s="3" t="s">
        <v>1967</v>
      </c>
      <c r="B1166" s="3" t="str">
        <f ca="1">IFERROR(__xludf.DUMMYFUNCTION("REGEXEXTRACT(A1166, ""\.(?:GOV|EXT)\.([A-Z0-9\-]+)"")
"),"SAD")</f>
        <v>SAD</v>
      </c>
      <c r="C1166" s="3" t="s">
        <v>34</v>
      </c>
      <c r="D1166" s="3" t="s">
        <v>1216</v>
      </c>
      <c r="E1166" s="14" t="str">
        <f ca="1">IFERROR(__xludf.DUMMYFUNCTION("REGEXEXTRACT(A1166, ""-(.*)"")"),"ARPC.0006.00.2024.GOV.SAD.PE")</f>
        <v>ARPC.0006.00.2024.GOV.SAD.PE</v>
      </c>
      <c r="F1166" s="3" t="s">
        <v>1658</v>
      </c>
      <c r="G1166" s="3"/>
      <c r="H1166" s="9">
        <v>45421</v>
      </c>
      <c r="I1166" s="3" t="s">
        <v>37</v>
      </c>
      <c r="J1166" s="3" t="str">
        <f>VLOOKUP(A1166,'TODOS OS PROCESSOS ATUALIZADOS '!A:I,7,0)</f>
        <v>Cancelada</v>
      </c>
      <c r="K1166" s="3" t="s">
        <v>38</v>
      </c>
      <c r="L1166" s="3" t="str">
        <f t="shared" si="4"/>
        <v>Item não atualizado</v>
      </c>
      <c r="M1166" s="3"/>
      <c r="N1166" s="3" t="s">
        <v>605</v>
      </c>
      <c r="O1166" s="3"/>
    </row>
    <row r="1167" spans="1:15" ht="22.5" customHeight="1" x14ac:dyDescent="0.2">
      <c r="A1167" s="3" t="s">
        <v>1968</v>
      </c>
      <c r="B1167" s="3" t="str">
        <f ca="1">IFERROR(__xludf.DUMMYFUNCTION("REGEXEXTRACT(A1167, ""\.(?:GOV|EXT)\.([A-Z0-9\-]+)"")
"),"SAD")</f>
        <v>SAD</v>
      </c>
      <c r="C1167" s="3" t="s">
        <v>34</v>
      </c>
      <c r="D1167" s="3" t="s">
        <v>1216</v>
      </c>
      <c r="E1167" s="14" t="str">
        <f ca="1">IFERROR(__xludf.DUMMYFUNCTION("REGEXEXTRACT(A1167, ""-(.*)"")"),"ARPC.0026.00.2023.GOV.SAD.PE")</f>
        <v>ARPC.0026.00.2023.GOV.SAD.PE</v>
      </c>
      <c r="F1167" s="3" t="s">
        <v>1117</v>
      </c>
      <c r="G1167" s="3"/>
      <c r="H1167" s="9">
        <v>45420</v>
      </c>
      <c r="I1167" s="3" t="s">
        <v>44</v>
      </c>
      <c r="J1167" s="3" t="str">
        <f>VLOOKUP(A1167,'TODOS OS PROCESSOS ATUALIZADOS '!A:I,7,0)</f>
        <v>Autorizada Sucesso</v>
      </c>
      <c r="K1167" s="3" t="s">
        <v>605</v>
      </c>
      <c r="L1167" s="3" t="str">
        <f t="shared" si="4"/>
        <v>Item atualizado</v>
      </c>
      <c r="M1167" s="3"/>
      <c r="N1167" s="3" t="s">
        <v>605</v>
      </c>
      <c r="O1167" s="3"/>
    </row>
    <row r="1168" spans="1:15" ht="22.5" customHeight="1" x14ac:dyDescent="0.2">
      <c r="A1168" s="3" t="s">
        <v>1969</v>
      </c>
      <c r="B1168" s="3" t="str">
        <f ca="1">IFERROR(__xludf.DUMMYFUNCTION("REGEXEXTRACT(A1168, ""\.(?:GOV|EXT)\.([A-Z0-9\-]+)"")
"),"FES-PE")</f>
        <v>FES-PE</v>
      </c>
      <c r="C1168" s="3" t="s">
        <v>34</v>
      </c>
      <c r="D1168" s="3" t="s">
        <v>1216</v>
      </c>
      <c r="E1168" s="14" t="str">
        <f ca="1">IFERROR(__xludf.DUMMYFUNCTION("REGEXEXTRACT(A1168, ""-(.*)"")"),"ARP.0031.14.2024.GOV.FES-PE.PE")</f>
        <v>ARP.0031.14.2024.GOV.FES-PE.PE</v>
      </c>
      <c r="F1168" s="6" t="s">
        <v>1646</v>
      </c>
      <c r="G1168" s="3"/>
      <c r="H1168" s="9">
        <v>45415</v>
      </c>
      <c r="I1168" s="3" t="s">
        <v>44</v>
      </c>
      <c r="J1168" s="3" t="str">
        <f>VLOOKUP(A1168,'TODOS OS PROCESSOS ATUALIZADOS '!A:I,7,0)</f>
        <v>Autorizada Sucesso</v>
      </c>
      <c r="K1168" s="3" t="s">
        <v>44</v>
      </c>
      <c r="L1168" s="3" t="str">
        <f t="shared" si="4"/>
        <v>Item atualizado</v>
      </c>
      <c r="M1168" s="3"/>
      <c r="N1168" s="3" t="s">
        <v>605</v>
      </c>
      <c r="O1168" s="3"/>
    </row>
    <row r="1169" spans="1:15" ht="22.5" customHeight="1" x14ac:dyDescent="0.2">
      <c r="A1169" s="3" t="s">
        <v>1970</v>
      </c>
      <c r="B1169" s="3" t="str">
        <f ca="1">IFERROR(__xludf.DUMMYFUNCTION("REGEXEXTRACT(A1169, ""\.(?:GOV|EXT)\.([A-Z0-9\-]+)"")
"),"HRA")</f>
        <v>HRA</v>
      </c>
      <c r="C1169" s="3" t="s">
        <v>34</v>
      </c>
      <c r="D1169" s="3" t="s">
        <v>1216</v>
      </c>
      <c r="E1169" s="14" t="str">
        <f ca="1">IFERROR(__xludf.DUMMYFUNCTION("REGEXEXTRACT(A1169, ""-(.*)"")"),"ARP.0005.02.2023.GOV.HRA.PE")</f>
        <v>ARP.0005.02.2023.GOV.HRA.PE</v>
      </c>
      <c r="F1169" s="3" t="s">
        <v>1963</v>
      </c>
      <c r="G1169" s="3"/>
      <c r="H1169" s="9">
        <v>45415</v>
      </c>
      <c r="I1169" s="3" t="s">
        <v>44</v>
      </c>
      <c r="J1169" s="3" t="str">
        <f>VLOOKUP(A1169,'TODOS OS PROCESSOS ATUALIZADOS '!A:I,7,0)</f>
        <v>Autorizada Sucesso</v>
      </c>
      <c r="K1169" s="3" t="s">
        <v>605</v>
      </c>
      <c r="L1169" s="3" t="str">
        <f t="shared" si="4"/>
        <v>Item atualizado</v>
      </c>
      <c r="M1169" s="3"/>
      <c r="N1169" s="3" t="s">
        <v>605</v>
      </c>
      <c r="O1169" s="3"/>
    </row>
    <row r="1170" spans="1:15" ht="22.5" customHeight="1" x14ac:dyDescent="0.2">
      <c r="A1170" s="3" t="s">
        <v>1971</v>
      </c>
      <c r="B1170" s="3" t="str">
        <f ca="1">IFERROR(__xludf.DUMMYFUNCTION("REGEXEXTRACT(A1170, ""\.(?:GOV|EXT)\.([A-Z0-9\-]+)"")
"),"HRA")</f>
        <v>HRA</v>
      </c>
      <c r="C1170" s="3" t="s">
        <v>34</v>
      </c>
      <c r="D1170" s="3" t="s">
        <v>1216</v>
      </c>
      <c r="E1170" s="14" t="str">
        <f ca="1">IFERROR(__xludf.DUMMYFUNCTION("REGEXEXTRACT(A1170, ""-(.*)"")"),"ARP.0005.01.2023.GOV.HRA.PE")</f>
        <v>ARP.0005.01.2023.GOV.HRA.PE</v>
      </c>
      <c r="F1170" s="3" t="s">
        <v>1963</v>
      </c>
      <c r="G1170" s="3"/>
      <c r="H1170" s="9">
        <v>45415</v>
      </c>
      <c r="I1170" s="3" t="s">
        <v>44</v>
      </c>
      <c r="J1170" s="3" t="str">
        <f>VLOOKUP(A1170,'TODOS OS PROCESSOS ATUALIZADOS '!A:I,7,0)</f>
        <v>Autorizada Sucesso</v>
      </c>
      <c r="K1170" s="3" t="s">
        <v>605</v>
      </c>
      <c r="L1170" s="3" t="str">
        <f t="shared" si="4"/>
        <v>Item atualizado</v>
      </c>
      <c r="M1170" s="3"/>
      <c r="N1170" s="3" t="s">
        <v>605</v>
      </c>
      <c r="O1170" s="3"/>
    </row>
    <row r="1171" spans="1:15" ht="22.5" customHeight="1" x14ac:dyDescent="0.2">
      <c r="A1171" s="3" t="s">
        <v>1972</v>
      </c>
      <c r="B1171" s="3" t="str">
        <f ca="1">IFERROR(__xludf.DUMMYFUNCTION("REGEXEXTRACT(A1171, ""\.(?:GOV|EXT)\.([A-Z0-9\-]+)"")
"),"FES-PE")</f>
        <v>FES-PE</v>
      </c>
      <c r="C1171" s="3" t="s">
        <v>34</v>
      </c>
      <c r="D1171" s="3" t="s">
        <v>1216</v>
      </c>
      <c r="E1171" s="14" t="str">
        <f ca="1">IFERROR(__xludf.DUMMYFUNCTION("REGEXEXTRACT(A1171, ""-(.*)"")"),"ARP.0046.05.2024.GOV.FES-PE.PE")</f>
        <v>ARP.0046.05.2024.GOV.FES-PE.PE</v>
      </c>
      <c r="F1171" s="6" t="s">
        <v>1436</v>
      </c>
      <c r="G1171" s="3"/>
      <c r="H1171" s="9">
        <v>45414</v>
      </c>
      <c r="I1171" s="3" t="s">
        <v>44</v>
      </c>
      <c r="J1171" s="3" t="str">
        <f>VLOOKUP(A1171,'TODOS OS PROCESSOS ATUALIZADOS '!A:I,7,0)</f>
        <v>Autorizada Sucesso</v>
      </c>
      <c r="K1171" s="3" t="s">
        <v>44</v>
      </c>
      <c r="L1171" s="3" t="str">
        <f t="shared" si="4"/>
        <v>Item atualizado</v>
      </c>
      <c r="M1171" s="3"/>
      <c r="N1171" s="3" t="s">
        <v>605</v>
      </c>
      <c r="O1171" s="3"/>
    </row>
    <row r="1172" spans="1:15" ht="22.5" customHeight="1" x14ac:dyDescent="0.2">
      <c r="A1172" s="3" t="s">
        <v>1973</v>
      </c>
      <c r="B1172" s="3" t="str">
        <f ca="1">IFERROR(__xludf.DUMMYFUNCTION("REGEXEXTRACT(A1172, ""\.(?:GOV|EXT)\.([A-Z0-9\-]+)"")
"),"SAD")</f>
        <v>SAD</v>
      </c>
      <c r="C1172" s="3" t="s">
        <v>34</v>
      </c>
      <c r="D1172" s="3" t="s">
        <v>1216</v>
      </c>
      <c r="E1172" s="14" t="str">
        <f ca="1">IFERROR(__xludf.DUMMYFUNCTION("REGEXEXTRACT(A1172, ""-(.*)"")"),"ARPC.0006.00.2024.GOV.SAD.PE")</f>
        <v>ARPC.0006.00.2024.GOV.SAD.PE</v>
      </c>
      <c r="F1172" s="6" t="s">
        <v>1658</v>
      </c>
      <c r="G1172" s="3"/>
      <c r="H1172" s="9">
        <v>45412</v>
      </c>
      <c r="I1172" s="3" t="s">
        <v>44</v>
      </c>
      <c r="J1172" s="3" t="str">
        <f>VLOOKUP(A1172,'TODOS OS PROCESSOS ATUALIZADOS '!A:I,7,0)</f>
        <v>Autorizada Sucesso</v>
      </c>
      <c r="K1172" s="3" t="s">
        <v>44</v>
      </c>
      <c r="L1172" s="3" t="str">
        <f t="shared" si="4"/>
        <v>Item atualizado</v>
      </c>
      <c r="M1172" s="3"/>
      <c r="N1172" s="3" t="s">
        <v>605</v>
      </c>
      <c r="O1172" s="3"/>
    </row>
    <row r="1173" spans="1:15" ht="22.5" customHeight="1" x14ac:dyDescent="0.2">
      <c r="A1173" s="3" t="s">
        <v>1974</v>
      </c>
      <c r="B1173" s="3" t="str">
        <f ca="1">IFERROR(__xludf.DUMMYFUNCTION("REGEXEXTRACT(A1173, ""\.(?:GOV|EXT)\.([A-Z0-9\-]+)"")
"),"HRA")</f>
        <v>HRA</v>
      </c>
      <c r="C1173" s="3" t="s">
        <v>34</v>
      </c>
      <c r="D1173" s="3" t="s">
        <v>1216</v>
      </c>
      <c r="E1173" s="14" t="str">
        <f ca="1">IFERROR(__xludf.DUMMYFUNCTION("REGEXEXTRACT(A1173, ""-(.*)"")"),"ARP.0005.07.2023.GOV.HRA.PE")</f>
        <v>ARP.0005.07.2023.GOV.HRA.PE</v>
      </c>
      <c r="F1173" s="3" t="s">
        <v>1963</v>
      </c>
      <c r="G1173" s="3"/>
      <c r="H1173" s="9">
        <v>45408</v>
      </c>
      <c r="I1173" s="3" t="s">
        <v>44</v>
      </c>
      <c r="J1173" s="3" t="str">
        <f>VLOOKUP(A1173,'TODOS OS PROCESSOS ATUALIZADOS '!A:I,7,0)</f>
        <v>Autorizada Sucesso</v>
      </c>
      <c r="K1173" s="3" t="s">
        <v>605</v>
      </c>
      <c r="L1173" s="3" t="str">
        <f t="shared" si="4"/>
        <v>Item atualizado</v>
      </c>
      <c r="M1173" s="3"/>
      <c r="N1173" s="3" t="s">
        <v>605</v>
      </c>
      <c r="O1173" s="3"/>
    </row>
    <row r="1174" spans="1:15" ht="22.5" customHeight="1" x14ac:dyDescent="0.2">
      <c r="A1174" s="3" t="s">
        <v>1975</v>
      </c>
      <c r="B1174" s="3" t="str">
        <f ca="1">IFERROR(__xludf.DUMMYFUNCTION("REGEXEXTRACT(A1174, ""\.(?:GOV|EXT)\.([A-Z0-9\-]+)"")
"),"HRA")</f>
        <v>HRA</v>
      </c>
      <c r="C1174" s="3" t="s">
        <v>34</v>
      </c>
      <c r="D1174" s="3" t="s">
        <v>1216</v>
      </c>
      <c r="E1174" s="14" t="str">
        <f ca="1">IFERROR(__xludf.DUMMYFUNCTION("REGEXEXTRACT(A1174, ""-(.*)"")"),"ARP.0005.10.2023.GOV.HRA.PE")</f>
        <v>ARP.0005.10.2023.GOV.HRA.PE</v>
      </c>
      <c r="F1174" s="3" t="s">
        <v>1963</v>
      </c>
      <c r="G1174" s="3"/>
      <c r="H1174" s="9">
        <v>45408</v>
      </c>
      <c r="I1174" s="3" t="s">
        <v>44</v>
      </c>
      <c r="J1174" s="3" t="str">
        <f>VLOOKUP(A1174,'TODOS OS PROCESSOS ATUALIZADOS '!A:I,7,0)</f>
        <v>Autorizada Sucesso</v>
      </c>
      <c r="K1174" s="3" t="s">
        <v>605</v>
      </c>
      <c r="L1174" s="3" t="str">
        <f t="shared" si="4"/>
        <v>Item atualizado</v>
      </c>
      <c r="M1174" s="3"/>
      <c r="N1174" s="3" t="s">
        <v>605</v>
      </c>
      <c r="O1174" s="3"/>
    </row>
    <row r="1175" spans="1:15" ht="22.5" customHeight="1" x14ac:dyDescent="0.2">
      <c r="A1175" s="3" t="s">
        <v>1976</v>
      </c>
      <c r="B1175" s="3" t="str">
        <f ca="1">IFERROR(__xludf.DUMMYFUNCTION("REGEXEXTRACT(A1175, ""\.(?:GOV|EXT)\.([A-Z0-9\-]+)"")
"),"SAD")</f>
        <v>SAD</v>
      </c>
      <c r="C1175" s="3" t="s">
        <v>34</v>
      </c>
      <c r="D1175" s="3" t="s">
        <v>1216</v>
      </c>
      <c r="E1175" s="14" t="str">
        <f ca="1">IFERROR(__xludf.DUMMYFUNCTION("REGEXEXTRACT(A1175, ""-(.*)"")"),"ARPC.0006.00.2024.GOV.SAD.PE")</f>
        <v>ARPC.0006.00.2024.GOV.SAD.PE</v>
      </c>
      <c r="F1175" s="6" t="s">
        <v>1658</v>
      </c>
      <c r="G1175" s="3"/>
      <c r="H1175" s="9">
        <v>45408</v>
      </c>
      <c r="I1175" s="3" t="s">
        <v>44</v>
      </c>
      <c r="J1175" s="3" t="str">
        <f>VLOOKUP(A1175,'TODOS OS PROCESSOS ATUALIZADOS '!A:I,7,0)</f>
        <v>Autorizada Sucesso</v>
      </c>
      <c r="K1175" s="3" t="s">
        <v>44</v>
      </c>
      <c r="L1175" s="3" t="str">
        <f t="shared" si="4"/>
        <v>Item atualizado</v>
      </c>
      <c r="M1175" s="3"/>
      <c r="N1175" s="3" t="s">
        <v>605</v>
      </c>
      <c r="O1175" s="3"/>
    </row>
    <row r="1176" spans="1:15" ht="22.5" customHeight="1" x14ac:dyDescent="0.2">
      <c r="A1176" s="3" t="s">
        <v>1977</v>
      </c>
      <c r="B1176" s="3" t="str">
        <f ca="1">IFERROR(__xludf.DUMMYFUNCTION("REGEXEXTRACT(A1176, ""\.(?:GOV|EXT)\.([A-Z0-9\-]+)"")
"),"FES-PE")</f>
        <v>FES-PE</v>
      </c>
      <c r="C1176" s="3" t="s">
        <v>34</v>
      </c>
      <c r="D1176" s="3" t="s">
        <v>1216</v>
      </c>
      <c r="E1176" s="14" t="str">
        <f ca="1">IFERROR(__xludf.DUMMYFUNCTION("REGEXEXTRACT(A1176, ""-(.*)"")"),"ARP.0046.05.2024.GOV.FES-PE.PE")</f>
        <v>ARP.0046.05.2024.GOV.FES-PE.PE</v>
      </c>
      <c r="F1176" s="6" t="s">
        <v>1436</v>
      </c>
      <c r="G1176" s="3"/>
      <c r="H1176" s="9">
        <v>45406</v>
      </c>
      <c r="I1176" s="3" t="s">
        <v>44</v>
      </c>
      <c r="J1176" s="3" t="str">
        <f>VLOOKUP(A1176,'TODOS OS PROCESSOS ATUALIZADOS '!A:I,7,0)</f>
        <v>Autorizada Sucesso</v>
      </c>
      <c r="K1176" s="3" t="s">
        <v>44</v>
      </c>
      <c r="L1176" s="3" t="str">
        <f t="shared" si="4"/>
        <v>Item atualizado</v>
      </c>
      <c r="M1176" s="3"/>
      <c r="N1176" s="3" t="s">
        <v>605</v>
      </c>
      <c r="O1176" s="3"/>
    </row>
    <row r="1177" spans="1:15" ht="22.5" customHeight="1" x14ac:dyDescent="0.2">
      <c r="A1177" s="3" t="s">
        <v>1978</v>
      </c>
      <c r="B1177" s="3" t="str">
        <f ca="1">IFERROR(__xludf.DUMMYFUNCTION("REGEXEXTRACT(A1177, ""\.(?:GOV|EXT)\.([A-Z0-9\-]+)"")
"),"SAD")</f>
        <v>SAD</v>
      </c>
      <c r="C1177" s="3" t="s">
        <v>34</v>
      </c>
      <c r="D1177" s="3" t="s">
        <v>1216</v>
      </c>
      <c r="E1177" s="14" t="str">
        <f ca="1">IFERROR(__xludf.DUMMYFUNCTION("REGEXEXTRACT(A1177, ""-(.*)"")"),"ARPC.0007.00.2024.GOV.SAD.PE")</f>
        <v>ARPC.0007.00.2024.GOV.SAD.PE</v>
      </c>
      <c r="F1177" s="6" t="s">
        <v>494</v>
      </c>
      <c r="G1177" s="3"/>
      <c r="H1177" s="9">
        <v>45401</v>
      </c>
      <c r="I1177" s="3" t="s">
        <v>44</v>
      </c>
      <c r="J1177" s="3" t="str">
        <f>VLOOKUP(A1177,'TODOS OS PROCESSOS ATUALIZADOS '!A:I,7,0)</f>
        <v>Autorizada Sucesso</v>
      </c>
      <c r="K1177" s="3" t="s">
        <v>44</v>
      </c>
      <c r="L1177" s="3" t="str">
        <f t="shared" si="4"/>
        <v>Item atualizado</v>
      </c>
      <c r="M1177" s="3"/>
      <c r="N1177" s="3" t="s">
        <v>605</v>
      </c>
      <c r="O1177" s="3"/>
    </row>
    <row r="1178" spans="1:15" ht="22.5" customHeight="1" x14ac:dyDescent="0.2">
      <c r="A1178" s="3" t="s">
        <v>1979</v>
      </c>
      <c r="B1178" s="3" t="str">
        <f ca="1">IFERROR(__xludf.DUMMYFUNCTION("REGEXEXTRACT(A1178, ""\.(?:GOV|EXT)\.([A-Z0-9\-]+)"")
"),"SAD")</f>
        <v>SAD</v>
      </c>
      <c r="C1178" s="3" t="s">
        <v>34</v>
      </c>
      <c r="D1178" s="3" t="s">
        <v>1216</v>
      </c>
      <c r="E1178" s="14" t="str">
        <f ca="1">IFERROR(__xludf.DUMMYFUNCTION("REGEXEXTRACT(A1178, ""-(.*)"")"),"ARPC.0007.00.2024.GOV.SAD.PE")</f>
        <v>ARPC.0007.00.2024.GOV.SAD.PE</v>
      </c>
      <c r="F1178" s="3" t="s">
        <v>494</v>
      </c>
      <c r="G1178" s="3"/>
      <c r="H1178" s="9">
        <v>45398</v>
      </c>
      <c r="I1178" s="3" t="s">
        <v>37</v>
      </c>
      <c r="J1178" s="3" t="str">
        <f>VLOOKUP(A1178,'TODOS OS PROCESSOS ATUALIZADOS '!A:I,7,0)</f>
        <v>Cancelada</v>
      </c>
      <c r="K1178" s="3" t="s">
        <v>38</v>
      </c>
      <c r="L1178" s="3" t="str">
        <f t="shared" si="4"/>
        <v>Item não atualizado</v>
      </c>
      <c r="M1178" s="3"/>
      <c r="N1178" s="3" t="s">
        <v>605</v>
      </c>
      <c r="O1178" s="3"/>
    </row>
    <row r="1179" spans="1:15" ht="22.5" customHeight="1" x14ac:dyDescent="0.2">
      <c r="A1179" s="3" t="s">
        <v>1980</v>
      </c>
      <c r="B1179" s="3" t="str">
        <f ca="1">IFERROR(__xludf.DUMMYFUNCTION("REGEXEXTRACT(A1179, ""\.(?:GOV|EXT)\.([A-Z0-9\-]+)"")
"),"FES-PE")</f>
        <v>FES-PE</v>
      </c>
      <c r="C1179" s="3" t="s">
        <v>34</v>
      </c>
      <c r="D1179" s="3" t="s">
        <v>1216</v>
      </c>
      <c r="E1179" s="14" t="str">
        <f ca="1">IFERROR(__xludf.DUMMYFUNCTION("REGEXEXTRACT(A1179, ""-(.*)"")"),"ARP.0040.03.2024.GOV.FES-PE.PE")</f>
        <v>ARP.0040.03.2024.GOV.FES-PE.PE</v>
      </c>
      <c r="F1179" s="6" t="s">
        <v>1724</v>
      </c>
      <c r="G1179" s="3"/>
      <c r="H1179" s="9">
        <v>45394</v>
      </c>
      <c r="I1179" s="3" t="s">
        <v>44</v>
      </c>
      <c r="J1179" s="3" t="str">
        <f>VLOOKUP(A1179,'TODOS OS PROCESSOS ATUALIZADOS '!A:I,7,0)</f>
        <v>Autorizada Sucesso</v>
      </c>
      <c r="K1179" s="3" t="s">
        <v>44</v>
      </c>
      <c r="L1179" s="3" t="str">
        <f t="shared" si="4"/>
        <v>Item atualizado</v>
      </c>
      <c r="M1179" s="3"/>
      <c r="N1179" s="3" t="s">
        <v>605</v>
      </c>
      <c r="O1179" s="3"/>
    </row>
    <row r="1180" spans="1:15" ht="22.5" customHeight="1" x14ac:dyDescent="0.2">
      <c r="A1180" s="3" t="s">
        <v>1981</v>
      </c>
      <c r="B1180" s="3" t="str">
        <f ca="1">IFERROR(__xludf.DUMMYFUNCTION("REGEXEXTRACT(A1180, ""\.(?:GOV|EXT)\.([A-Z0-9\-]+)"")
"),"FES-PE")</f>
        <v>FES-PE</v>
      </c>
      <c r="C1180" s="3" t="s">
        <v>34</v>
      </c>
      <c r="D1180" s="3" t="s">
        <v>1216</v>
      </c>
      <c r="E1180" s="14" t="str">
        <f ca="1">IFERROR(__xludf.DUMMYFUNCTION("REGEXEXTRACT(A1180, ""-(.*)"")"),"ARP.0040.04.2024.GOV.FES-PE.PE")</f>
        <v>ARP.0040.04.2024.GOV.FES-PE.PE</v>
      </c>
      <c r="F1180" s="6" t="s">
        <v>1724</v>
      </c>
      <c r="G1180" s="3"/>
      <c r="H1180" s="9">
        <v>45394</v>
      </c>
      <c r="I1180" s="3" t="s">
        <v>44</v>
      </c>
      <c r="J1180" s="3" t="str">
        <f>VLOOKUP(A1180,'TODOS OS PROCESSOS ATUALIZADOS '!A:I,7,0)</f>
        <v>Autorizada Sucesso</v>
      </c>
      <c r="K1180" s="3" t="s">
        <v>44</v>
      </c>
      <c r="L1180" s="3" t="str">
        <f t="shared" si="4"/>
        <v>Item atualizado</v>
      </c>
      <c r="M1180" s="3"/>
      <c r="N1180" s="3" t="s">
        <v>605</v>
      </c>
      <c r="O1180" s="3"/>
    </row>
    <row r="1181" spans="1:15" ht="22.5" customHeight="1" x14ac:dyDescent="0.2">
      <c r="A1181" s="3" t="s">
        <v>1982</v>
      </c>
      <c r="B1181" s="3" t="str">
        <f ca="1">IFERROR(__xludf.DUMMYFUNCTION("REGEXEXTRACT(A1181, ""\.(?:GOV|EXT)\.([A-Z0-9\-]+)"")
"),"SAD")</f>
        <v>SAD</v>
      </c>
      <c r="C1181" s="3" t="s">
        <v>34</v>
      </c>
      <c r="D1181" s="3" t="s">
        <v>1216</v>
      </c>
      <c r="E1181" s="14" t="str">
        <f ca="1">IFERROR(__xludf.DUMMYFUNCTION("REGEXEXTRACT(A1181, ""-(.*)"")"),"ARPC.0003.00.2024.GOV.SAD.PE")</f>
        <v>ARPC.0003.00.2024.GOV.SAD.PE</v>
      </c>
      <c r="F1181" s="6" t="s">
        <v>1983</v>
      </c>
      <c r="G1181" s="3"/>
      <c r="H1181" s="9">
        <v>45393</v>
      </c>
      <c r="I1181" s="3" t="s">
        <v>44</v>
      </c>
      <c r="J1181" s="3" t="str">
        <f>VLOOKUP(A1181,'TODOS OS PROCESSOS ATUALIZADOS '!A:I,7,0)</f>
        <v>Autorizada Sucesso</v>
      </c>
      <c r="K1181" s="3" t="s">
        <v>44</v>
      </c>
      <c r="L1181" s="3" t="str">
        <f t="shared" si="4"/>
        <v>Item atualizado</v>
      </c>
      <c r="M1181" s="3"/>
      <c r="N1181" s="3" t="s">
        <v>605</v>
      </c>
      <c r="O1181" s="3"/>
    </row>
    <row r="1182" spans="1:15" ht="22.5" customHeight="1" x14ac:dyDescent="0.2">
      <c r="A1182" s="3" t="s">
        <v>1984</v>
      </c>
      <c r="B1182" s="3" t="str">
        <f ca="1">IFERROR(__xludf.DUMMYFUNCTION("REGEXEXTRACT(A1182, ""\.(?:GOV|EXT)\.([A-Z0-9\-]+)"")
"),"SAD")</f>
        <v>SAD</v>
      </c>
      <c r="C1182" s="3" t="s">
        <v>34</v>
      </c>
      <c r="D1182" s="3" t="s">
        <v>1216</v>
      </c>
      <c r="E1182" s="14" t="str">
        <f ca="1">IFERROR(__xludf.DUMMYFUNCTION("REGEXEXTRACT(A1182, ""-(.*)"")"),"ARPC.0018.00.2023.GOV.SAD.PE")</f>
        <v>ARPC.0018.00.2023.GOV.SAD.PE</v>
      </c>
      <c r="F1182" s="3" t="s">
        <v>1985</v>
      </c>
      <c r="G1182" s="3"/>
      <c r="H1182" s="9">
        <v>45393</v>
      </c>
      <c r="I1182" s="3" t="s">
        <v>44</v>
      </c>
      <c r="J1182" s="3" t="str">
        <f>VLOOKUP(A1182,'TODOS OS PROCESSOS ATUALIZADOS '!A:I,7,0)</f>
        <v>Autorizada Sucesso</v>
      </c>
      <c r="K1182" s="3" t="s">
        <v>605</v>
      </c>
      <c r="L1182" s="3" t="str">
        <f t="shared" si="4"/>
        <v>Item atualizado</v>
      </c>
      <c r="M1182" s="3"/>
      <c r="N1182" s="3" t="s">
        <v>605</v>
      </c>
      <c r="O1182" s="3"/>
    </row>
    <row r="1183" spans="1:15" ht="22.5" customHeight="1" x14ac:dyDescent="0.2">
      <c r="A1183" s="3" t="s">
        <v>1986</v>
      </c>
      <c r="B1183" s="3" t="str">
        <f ca="1">IFERROR(__xludf.DUMMYFUNCTION("REGEXEXTRACT(A1183, ""\.(?:GOV|EXT)\.([A-Z0-9\-]+)"")
"),"FES-PE")</f>
        <v>FES-PE</v>
      </c>
      <c r="C1183" s="3" t="s">
        <v>34</v>
      </c>
      <c r="D1183" s="3" t="s">
        <v>1216</v>
      </c>
      <c r="E1183" s="14" t="str">
        <f ca="1">IFERROR(__xludf.DUMMYFUNCTION("REGEXEXTRACT(A1183, ""-(.*)"")"),"ARP.0025.04.2024.GOV.FES-PE.PE")</f>
        <v>ARP.0025.04.2024.GOV.FES-PE.PE</v>
      </c>
      <c r="F1183" s="3" t="s">
        <v>739</v>
      </c>
      <c r="G1183" s="3"/>
      <c r="H1183" s="9">
        <v>45391</v>
      </c>
      <c r="I1183" s="3" t="s">
        <v>37</v>
      </c>
      <c r="J1183" s="3" t="str">
        <f>VLOOKUP(A1183,'TODOS OS PROCESSOS ATUALIZADOS '!A:I,7,0)</f>
        <v>Cancelada</v>
      </c>
      <c r="K1183" s="3" t="s">
        <v>38</v>
      </c>
      <c r="L1183" s="3" t="str">
        <f t="shared" si="4"/>
        <v>Item não atualizado</v>
      </c>
      <c r="M1183" s="3"/>
      <c r="N1183" s="3" t="s">
        <v>605</v>
      </c>
      <c r="O1183" s="3"/>
    </row>
    <row r="1184" spans="1:15" ht="22.5" customHeight="1" x14ac:dyDescent="0.2">
      <c r="A1184" s="3" t="s">
        <v>1987</v>
      </c>
      <c r="B1184" s="3" t="str">
        <f ca="1">IFERROR(__xludf.DUMMYFUNCTION("REGEXEXTRACT(A1184, ""\.(?:GOV|EXT)\.([A-Z0-9\-]+)"")
"),"FES-PE")</f>
        <v>FES-PE</v>
      </c>
      <c r="C1184" s="3" t="s">
        <v>34</v>
      </c>
      <c r="D1184" s="3" t="s">
        <v>1216</v>
      </c>
      <c r="E1184" s="14" t="str">
        <f ca="1">IFERROR(__xludf.DUMMYFUNCTION("REGEXEXTRACT(A1184, ""-(.*)"")"),"ARP.0024.01.2024.GOV.FES-PE.PE")</f>
        <v>ARP.0024.01.2024.GOV.FES-PE.PE</v>
      </c>
      <c r="F1184" s="6" t="s">
        <v>1762</v>
      </c>
      <c r="G1184" s="3"/>
      <c r="H1184" s="9">
        <v>45391</v>
      </c>
      <c r="I1184" s="3" t="s">
        <v>44</v>
      </c>
      <c r="J1184" s="3" t="str">
        <f>VLOOKUP(A1184,'TODOS OS PROCESSOS ATUALIZADOS '!A:I,7,0)</f>
        <v>Autorizada Sucesso</v>
      </c>
      <c r="K1184" s="3" t="s">
        <v>44</v>
      </c>
      <c r="L1184" s="3" t="str">
        <f t="shared" si="4"/>
        <v>Item atualizado</v>
      </c>
      <c r="M1184" s="3"/>
      <c r="N1184" s="3" t="s">
        <v>605</v>
      </c>
      <c r="O1184" s="3"/>
    </row>
    <row r="1185" spans="1:17" ht="22.5" customHeight="1" x14ac:dyDescent="0.2">
      <c r="A1185" s="3" t="s">
        <v>1988</v>
      </c>
      <c r="B1185" s="3" t="str">
        <f ca="1">IFERROR(__xludf.DUMMYFUNCTION("REGEXEXTRACT(A1185, ""\.(?:GOV|EXT)\.([A-Z0-9\-]+)"")
"),"FES-PE")</f>
        <v>FES-PE</v>
      </c>
      <c r="C1185" s="3" t="s">
        <v>34</v>
      </c>
      <c r="D1185" s="3" t="s">
        <v>1216</v>
      </c>
      <c r="E1185" s="14" t="str">
        <f ca="1">IFERROR(__xludf.DUMMYFUNCTION("REGEXEXTRACT(A1185, ""-(.*)"")"),"ARP.0037.00.2024.GOV.FES-PE.PE")</f>
        <v>ARP.0037.00.2024.GOV.FES-PE.PE</v>
      </c>
      <c r="F1185" s="6" t="s">
        <v>1958</v>
      </c>
      <c r="G1185" s="3"/>
      <c r="H1185" s="9">
        <v>45390</v>
      </c>
      <c r="I1185" s="3" t="s">
        <v>44</v>
      </c>
      <c r="J1185" s="3" t="str">
        <f>VLOOKUP(A1185,'TODOS OS PROCESSOS ATUALIZADOS '!A:I,7,0)</f>
        <v>Autorizada Sucesso</v>
      </c>
      <c r="K1185" s="3" t="s">
        <v>44</v>
      </c>
      <c r="L1185" s="3" t="str">
        <f t="shared" si="4"/>
        <v>Item atualizado</v>
      </c>
      <c r="M1185" s="3"/>
      <c r="N1185" s="3" t="s">
        <v>605</v>
      </c>
      <c r="O1185" s="3"/>
    </row>
    <row r="1186" spans="1:17" ht="22.5" customHeight="1" x14ac:dyDescent="0.2">
      <c r="A1186" s="3" t="s">
        <v>1989</v>
      </c>
      <c r="B1186" s="3" t="str">
        <f ca="1">IFERROR(__xludf.DUMMYFUNCTION("REGEXEXTRACT(A1186, ""\.(?:GOV|EXT)\.([A-Z0-9\-]+)"")
"),"FES-PE")</f>
        <v>FES-PE</v>
      </c>
      <c r="C1186" s="3" t="s">
        <v>34</v>
      </c>
      <c r="D1186" s="3" t="s">
        <v>1216</v>
      </c>
      <c r="E1186" s="14" t="str">
        <f ca="1">IFERROR(__xludf.DUMMYFUNCTION("REGEXEXTRACT(A1186, ""-(.*)"")"),"ARP.0018.00.2024.GOV.FES-PE.PE")</f>
        <v>ARP.0018.00.2024.GOV.FES-PE.PE</v>
      </c>
      <c r="F1186" s="6" t="s">
        <v>737</v>
      </c>
      <c r="G1186" s="3"/>
      <c r="H1186" s="9">
        <v>45390</v>
      </c>
      <c r="I1186" s="3" t="s">
        <v>44</v>
      </c>
      <c r="J1186" s="3" t="str">
        <f>VLOOKUP(A1186,'TODOS OS PROCESSOS ATUALIZADOS '!A:I,7,0)</f>
        <v>Autorizada Sucesso</v>
      </c>
      <c r="K1186" s="3" t="s">
        <v>44</v>
      </c>
      <c r="L1186" s="3" t="str">
        <f t="shared" si="4"/>
        <v>Item atualizado</v>
      </c>
      <c r="M1186" s="3"/>
      <c r="N1186" s="3" t="s">
        <v>605</v>
      </c>
      <c r="O1186" s="3"/>
    </row>
    <row r="1187" spans="1:17" ht="22.5" customHeight="1" x14ac:dyDescent="0.2">
      <c r="A1187" s="3" t="s">
        <v>1990</v>
      </c>
      <c r="B1187" s="3" t="str">
        <f ca="1">IFERROR(__xludf.DUMMYFUNCTION("REGEXEXTRACT(A1187, ""\.(?:GOV|EXT)\.([A-Z0-9\-]+)"")
"),"SAD")</f>
        <v>SAD</v>
      </c>
      <c r="C1187" s="3" t="s">
        <v>34</v>
      </c>
      <c r="D1187" s="3" t="s">
        <v>1216</v>
      </c>
      <c r="E1187" s="14" t="str">
        <f ca="1">IFERROR(__xludf.DUMMYFUNCTION("REGEXEXTRACT(A1187, ""-(.*)"")"),"ARPC.0008.00.2023.GOV.SAD.PE")</f>
        <v>ARPC.0008.00.2023.GOV.SAD.PE</v>
      </c>
      <c r="F1187" s="3" t="s">
        <v>1991</v>
      </c>
      <c r="G1187" s="3"/>
      <c r="H1187" s="9">
        <v>45386</v>
      </c>
      <c r="I1187" s="3" t="s">
        <v>44</v>
      </c>
      <c r="J1187" s="3" t="str">
        <f>VLOOKUP(A1187,'TODOS OS PROCESSOS ATUALIZADOS '!A:I,7,0)</f>
        <v>Autorizada Sucesso</v>
      </c>
      <c r="K1187" s="3" t="s">
        <v>605</v>
      </c>
      <c r="L1187" s="3" t="str">
        <f t="shared" si="4"/>
        <v>Item atualizado</v>
      </c>
      <c r="M1187" s="3"/>
      <c r="N1187" s="3" t="s">
        <v>605</v>
      </c>
      <c r="O1187" s="3"/>
    </row>
    <row r="1188" spans="1:17" ht="22.5" customHeight="1" x14ac:dyDescent="0.2">
      <c r="A1188" s="3" t="s">
        <v>1992</v>
      </c>
      <c r="B1188" s="3" t="str">
        <f ca="1">IFERROR(__xludf.DUMMYFUNCTION("REGEXEXTRACT(A1188, ""\.(?:GOV|EXT)\.([A-Z0-9\-]+)"")
"),"HRA")</f>
        <v>HRA</v>
      </c>
      <c r="C1188" s="3" t="s">
        <v>34</v>
      </c>
      <c r="D1188" s="3" t="s">
        <v>1216</v>
      </c>
      <c r="E1188" s="14" t="str">
        <f ca="1">IFERROR(__xludf.DUMMYFUNCTION("REGEXEXTRACT(A1188, ""-(.*)"")"),"ARP.0005.08.2023.GOV.HRA.PE")</f>
        <v>ARP.0005.08.2023.GOV.HRA.PE</v>
      </c>
      <c r="F1188" s="3" t="s">
        <v>1963</v>
      </c>
      <c r="G1188" s="3"/>
      <c r="H1188" s="9">
        <v>45385</v>
      </c>
      <c r="I1188" s="3" t="s">
        <v>44</v>
      </c>
      <c r="J1188" s="3" t="str">
        <f>VLOOKUP(A1188,'TODOS OS PROCESSOS ATUALIZADOS '!A:I,7,0)</f>
        <v>Autorizada Sucesso</v>
      </c>
      <c r="K1188" s="3" t="s">
        <v>605</v>
      </c>
      <c r="L1188" s="3" t="str">
        <f t="shared" si="4"/>
        <v>Item atualizado</v>
      </c>
      <c r="M1188" s="3"/>
      <c r="N1188" s="3" t="s">
        <v>605</v>
      </c>
      <c r="O1188" s="3"/>
    </row>
    <row r="1189" spans="1:17" ht="22.5" customHeight="1" x14ac:dyDescent="0.2">
      <c r="A1189" s="3" t="s">
        <v>1993</v>
      </c>
      <c r="B1189" s="3" t="str">
        <f ca="1">IFERROR(__xludf.DUMMYFUNCTION("REGEXEXTRACT(A1189, ""\.(?:GOV|EXT)\.([A-Z0-9\-]+)"")
"),"HRA")</f>
        <v>HRA</v>
      </c>
      <c r="C1189" s="3" t="s">
        <v>34</v>
      </c>
      <c r="D1189" s="3" t="s">
        <v>1216</v>
      </c>
      <c r="E1189" s="14" t="str">
        <f ca="1">IFERROR(__xludf.DUMMYFUNCTION("REGEXEXTRACT(A1189, ""-(.*)"")"),"ARP.0005.08.2023.GOV.HRA.PE")</f>
        <v>ARP.0005.08.2023.GOV.HRA.PE</v>
      </c>
      <c r="F1189" s="3" t="s">
        <v>1963</v>
      </c>
      <c r="G1189" s="3"/>
      <c r="H1189" s="9">
        <v>45385</v>
      </c>
      <c r="I1189" s="3" t="s">
        <v>44</v>
      </c>
      <c r="J1189" s="3" t="str">
        <f>VLOOKUP(A1189,'TODOS OS PROCESSOS ATUALIZADOS '!A:I,7,0)</f>
        <v>Autorizada Sucesso</v>
      </c>
      <c r="K1189" s="3" t="s">
        <v>605</v>
      </c>
      <c r="L1189" s="3" t="str">
        <f t="shared" si="4"/>
        <v>Item atualizado</v>
      </c>
      <c r="M1189" s="3"/>
      <c r="N1189" s="3" t="s">
        <v>605</v>
      </c>
      <c r="O1189" s="3"/>
    </row>
    <row r="1190" spans="1:17" ht="22.5" customHeight="1" x14ac:dyDescent="0.2">
      <c r="A1190" s="3" t="s">
        <v>1994</v>
      </c>
      <c r="B1190" s="3" t="str">
        <f ca="1">IFERROR(__xludf.DUMMYFUNCTION("REGEXEXTRACT(A1190, ""\.(?:GOV|EXT)\.([A-Z0-9\-]+)"")
"),"SAD")</f>
        <v>SAD</v>
      </c>
      <c r="C1190" s="3" t="s">
        <v>34</v>
      </c>
      <c r="D1190" s="3" t="s">
        <v>1216</v>
      </c>
      <c r="E1190" s="14" t="str">
        <f ca="1">IFERROR(__xludf.DUMMYFUNCTION("REGEXEXTRACT(A1190, ""-(.*)"")"),"ARPC.0026.00.2023.GOV.SAD.PE")</f>
        <v>ARPC.0026.00.2023.GOV.SAD.PE</v>
      </c>
      <c r="F1190" s="3" t="s">
        <v>1117</v>
      </c>
      <c r="G1190" s="3"/>
      <c r="H1190" s="9">
        <v>45383</v>
      </c>
      <c r="I1190" s="3" t="s">
        <v>44</v>
      </c>
      <c r="J1190" s="3" t="str">
        <f>VLOOKUP(A1190,'TODOS OS PROCESSOS ATUALIZADOS '!A:I,7,0)</f>
        <v>Autorizada Sucesso</v>
      </c>
      <c r="K1190" s="3" t="s">
        <v>605</v>
      </c>
      <c r="L1190" s="3" t="str">
        <f t="shared" si="4"/>
        <v>Item atualizado</v>
      </c>
      <c r="M1190" s="3"/>
      <c r="N1190" s="3" t="s">
        <v>605</v>
      </c>
      <c r="O1190" s="3"/>
    </row>
    <row r="1191" spans="1:17" ht="22.5" customHeight="1" x14ac:dyDescent="0.2">
      <c r="A1191" s="3" t="s">
        <v>1995</v>
      </c>
      <c r="B1191" s="3" t="str">
        <f ca="1">IFERROR(__xludf.DUMMYFUNCTION("REGEXEXTRACT(A1191, ""\.(?:GOV|EXT)\.([A-Z0-9\-]+)"")
"),"SAD")</f>
        <v>SAD</v>
      </c>
      <c r="C1191" s="3" t="s">
        <v>34</v>
      </c>
      <c r="D1191" s="3" t="s">
        <v>1216</v>
      </c>
      <c r="E1191" s="14" t="str">
        <f ca="1">IFERROR(__xludf.DUMMYFUNCTION("REGEXEXTRACT(A1191, ""-(.*)"")"),"ARPC.0003.00.2024.GOV.SAD.PE")</f>
        <v>ARPC.0003.00.2024.GOV.SAD.PE</v>
      </c>
      <c r="F1191" s="3" t="s">
        <v>1983</v>
      </c>
      <c r="G1191" s="3"/>
      <c r="H1191" s="9">
        <v>45383</v>
      </c>
      <c r="I1191" s="3" t="s">
        <v>37</v>
      </c>
      <c r="J1191" s="3" t="str">
        <f>VLOOKUP(A1191,'TODOS OS PROCESSOS ATUALIZADOS '!A:I,7,0)</f>
        <v>Cancelada</v>
      </c>
      <c r="K1191" s="3" t="s">
        <v>38</v>
      </c>
      <c r="L1191" s="3" t="str">
        <f t="shared" si="4"/>
        <v>Item não atualizado</v>
      </c>
      <c r="M1191" s="3"/>
      <c r="N1191" s="3" t="s">
        <v>605</v>
      </c>
      <c r="O1191" s="3"/>
    </row>
    <row r="1192" spans="1:17" ht="22.5" customHeight="1" x14ac:dyDescent="0.2">
      <c r="A1192" s="3" t="s">
        <v>1996</v>
      </c>
      <c r="B1192" s="3" t="str">
        <f ca="1">IFERROR(__xludf.DUMMYFUNCTION("REGEXEXTRACT(A1192, ""\.(?:GOV|EXT)\.([A-Z0-9\-]+)"")
"),"SAD")</f>
        <v>SAD</v>
      </c>
      <c r="C1192" s="3" t="s">
        <v>34</v>
      </c>
      <c r="D1192" s="3" t="s">
        <v>1216</v>
      </c>
      <c r="E1192" s="14" t="str">
        <f ca="1">IFERROR(__xludf.DUMMYFUNCTION("REGEXEXTRACT(A1192, ""-(.*)"")"),"ARPC.0006.00.2024.GOV.SAD.PE")</f>
        <v>ARPC.0006.00.2024.GOV.SAD.PE</v>
      </c>
      <c r="F1192" s="3" t="s">
        <v>1658</v>
      </c>
      <c r="G1192" s="3"/>
      <c r="H1192" s="9">
        <v>45378</v>
      </c>
      <c r="I1192" s="3" t="s">
        <v>37</v>
      </c>
      <c r="J1192" s="3" t="str">
        <f>VLOOKUP(A1192,'TODOS OS PROCESSOS ATUALIZADOS '!A:I,7,0)</f>
        <v>Cancelada</v>
      </c>
      <c r="K1192" s="3" t="s">
        <v>38</v>
      </c>
      <c r="L1192" s="3" t="str">
        <f t="shared" si="4"/>
        <v>Item não atualizado</v>
      </c>
      <c r="M1192" s="3"/>
      <c r="N1192" s="3" t="s">
        <v>605</v>
      </c>
      <c r="O1192" s="3"/>
    </row>
    <row r="1193" spans="1:17" ht="22.5" customHeight="1" x14ac:dyDescent="0.2">
      <c r="A1193" s="3" t="s">
        <v>1997</v>
      </c>
      <c r="B1193" s="3" t="str">
        <f ca="1">IFERROR(__xludf.DUMMYFUNCTION("REGEXEXTRACT(A1193, ""\.(?:GOV|EXT)\.([A-Z0-9\-]+)"")
"),"HRA")</f>
        <v>HRA</v>
      </c>
      <c r="C1193" s="3" t="s">
        <v>34</v>
      </c>
      <c r="D1193" s="3" t="s">
        <v>1216</v>
      </c>
      <c r="E1193" s="14" t="str">
        <f ca="1">IFERROR(__xludf.DUMMYFUNCTION("REGEXEXTRACT(A1193, ""-(.*)"")"),"ARP.0001.00.2024.GOV.HRA.PE")</f>
        <v>ARP.0001.00.2024.GOV.HRA.PE</v>
      </c>
      <c r="F1193" s="6" t="s">
        <v>1998</v>
      </c>
      <c r="G1193" s="3" t="s">
        <v>3</v>
      </c>
      <c r="H1193" s="9">
        <v>45373</v>
      </c>
      <c r="I1193" s="3" t="s">
        <v>44</v>
      </c>
      <c r="J1193" s="3" t="str">
        <f>VLOOKUP(A1193,'TODOS OS PROCESSOS ATUALIZADOS '!A:I,7,0)</f>
        <v>Autorizada Sucesso</v>
      </c>
      <c r="K1193" s="3" t="s">
        <v>44</v>
      </c>
      <c r="L1193" s="3" t="str">
        <f t="shared" si="4"/>
        <v>Item atualizado</v>
      </c>
      <c r="M1193" s="3"/>
      <c r="N1193" s="3" t="s">
        <v>605</v>
      </c>
      <c r="O1193" s="3" t="s">
        <v>87</v>
      </c>
      <c r="P1193" s="3" t="s">
        <v>1999</v>
      </c>
      <c r="Q1193" s="3" t="s">
        <v>2000</v>
      </c>
    </row>
    <row r="1194" spans="1:17" ht="22.5" customHeight="1" x14ac:dyDescent="0.2">
      <c r="A1194" s="3" t="s">
        <v>2001</v>
      </c>
      <c r="B1194" s="3" t="str">
        <f ca="1">IFERROR(__xludf.DUMMYFUNCTION("REGEXEXTRACT(A1194, ""\.(?:GOV|EXT)\.([A-Z0-9\-]+)"")
"),"HRA")</f>
        <v>HRA</v>
      </c>
      <c r="C1194" s="3" t="s">
        <v>34</v>
      </c>
      <c r="D1194" s="3" t="s">
        <v>1216</v>
      </c>
      <c r="E1194" s="14" t="str">
        <f ca="1">IFERROR(__xludf.DUMMYFUNCTION("REGEXEXTRACT(A1194, ""-(.*)"")"),"ARP.0005.05.2023.GOV.HRA.PE")</f>
        <v>ARP.0005.05.2023.GOV.HRA.PE</v>
      </c>
      <c r="F1194" s="3" t="s">
        <v>1963</v>
      </c>
      <c r="G1194" s="3"/>
      <c r="H1194" s="9">
        <v>45372</v>
      </c>
      <c r="I1194" s="3" t="s">
        <v>44</v>
      </c>
      <c r="J1194" s="3" t="str">
        <f>VLOOKUP(A1194,'TODOS OS PROCESSOS ATUALIZADOS '!A:I,7,0)</f>
        <v>Autorizada Sucesso</v>
      </c>
      <c r="K1194" s="3" t="s">
        <v>605</v>
      </c>
      <c r="L1194" s="3" t="str">
        <f t="shared" si="4"/>
        <v>Item atualizado</v>
      </c>
      <c r="M1194" s="3"/>
      <c r="N1194" s="3" t="s">
        <v>605</v>
      </c>
      <c r="O1194" s="3"/>
    </row>
    <row r="1195" spans="1:17" ht="22.5" customHeight="1" x14ac:dyDescent="0.2">
      <c r="A1195" s="3" t="s">
        <v>2002</v>
      </c>
      <c r="B1195" s="3" t="str">
        <f ca="1">IFERROR(__xludf.DUMMYFUNCTION("REGEXEXTRACT(A1195, ""\.(?:GOV|EXT)\.([A-Z0-9\-]+)"")
"),"HRA")</f>
        <v>HRA</v>
      </c>
      <c r="C1195" s="3" t="s">
        <v>34</v>
      </c>
      <c r="D1195" s="3" t="s">
        <v>1216</v>
      </c>
      <c r="E1195" s="14" t="str">
        <f ca="1">IFERROR(__xludf.DUMMYFUNCTION("REGEXEXTRACT(A1195, ""-(.*)"")"),"ARP.0005.04.2023.GOV.HRA.PE")</f>
        <v>ARP.0005.04.2023.GOV.HRA.PE</v>
      </c>
      <c r="F1195" s="3" t="s">
        <v>1963</v>
      </c>
      <c r="G1195" s="3"/>
      <c r="H1195" s="9">
        <v>45372</v>
      </c>
      <c r="I1195" s="3" t="s">
        <v>44</v>
      </c>
      <c r="J1195" s="3" t="str">
        <f>VLOOKUP(A1195,'TODOS OS PROCESSOS ATUALIZADOS '!A:I,7,0)</f>
        <v>Autorizada Sucesso</v>
      </c>
      <c r="K1195" s="3" t="s">
        <v>605</v>
      </c>
      <c r="L1195" s="3" t="str">
        <f t="shared" si="4"/>
        <v>Item atualizado</v>
      </c>
      <c r="M1195" s="3"/>
      <c r="N1195" s="3" t="s">
        <v>605</v>
      </c>
      <c r="O1195" s="3"/>
    </row>
    <row r="1196" spans="1:17" ht="22.5" customHeight="1" x14ac:dyDescent="0.2">
      <c r="A1196" s="3" t="s">
        <v>2003</v>
      </c>
      <c r="B1196" s="3" t="str">
        <f ca="1">IFERROR(__xludf.DUMMYFUNCTION("REGEXEXTRACT(A1196, ""\.(?:GOV|EXT)\.([A-Z0-9\-]+)"")
"),"HRA")</f>
        <v>HRA</v>
      </c>
      <c r="C1196" s="3" t="s">
        <v>34</v>
      </c>
      <c r="D1196" s="3" t="s">
        <v>1216</v>
      </c>
      <c r="E1196" s="14" t="str">
        <f ca="1">IFERROR(__xludf.DUMMYFUNCTION("REGEXEXTRACT(A1196, ""-(.*)"")"),"ARP.0005.00.2023.GOV.HRA.PE")</f>
        <v>ARP.0005.00.2023.GOV.HRA.PE</v>
      </c>
      <c r="F1196" s="3" t="s">
        <v>1963</v>
      </c>
      <c r="G1196" s="3"/>
      <c r="H1196" s="9">
        <v>45372</v>
      </c>
      <c r="I1196" s="3" t="s">
        <v>44</v>
      </c>
      <c r="J1196" s="3" t="str">
        <f>VLOOKUP(A1196,'TODOS OS PROCESSOS ATUALIZADOS '!A:I,7,0)</f>
        <v>Autorizada Sucesso</v>
      </c>
      <c r="K1196" s="3" t="s">
        <v>605</v>
      </c>
      <c r="L1196" s="3" t="str">
        <f t="shared" si="4"/>
        <v>Item atualizado</v>
      </c>
      <c r="M1196" s="3"/>
      <c r="N1196" s="3" t="s">
        <v>605</v>
      </c>
      <c r="O1196" s="3"/>
    </row>
    <row r="1197" spans="1:17" ht="22.5" customHeight="1" x14ac:dyDescent="0.2">
      <c r="A1197" s="3" t="s">
        <v>2004</v>
      </c>
      <c r="B1197" s="3" t="str">
        <f ca="1">IFERROR(__xludf.DUMMYFUNCTION("REGEXEXTRACT(A1197, ""\.(?:GOV|EXT)\.([A-Z0-9\-]+)"")
"),"HRA")</f>
        <v>HRA</v>
      </c>
      <c r="C1197" s="3" t="s">
        <v>34</v>
      </c>
      <c r="D1197" s="3" t="s">
        <v>1216</v>
      </c>
      <c r="E1197" s="14" t="str">
        <f ca="1">IFERROR(__xludf.DUMMYFUNCTION("REGEXEXTRACT(A1197, ""-(.*)"")"),"ARP.0003.06.2023.GOV.HRA.PE")</f>
        <v>ARP.0003.06.2023.GOV.HRA.PE</v>
      </c>
      <c r="F1197" s="3" t="s">
        <v>2005</v>
      </c>
      <c r="G1197" s="3" t="s">
        <v>3</v>
      </c>
      <c r="H1197" s="9">
        <v>45372</v>
      </c>
      <c r="I1197" s="3" t="s">
        <v>44</v>
      </c>
      <c r="J1197" s="3" t="str">
        <f>VLOOKUP(A1197,'TODOS OS PROCESSOS ATUALIZADOS '!A:I,7,0)</f>
        <v>Cancelada</v>
      </c>
      <c r="K1197" s="3" t="s">
        <v>605</v>
      </c>
      <c r="L1197" s="3" t="str">
        <f t="shared" si="4"/>
        <v>Item atualizado</v>
      </c>
      <c r="M1197" s="3"/>
      <c r="N1197" s="3" t="s">
        <v>605</v>
      </c>
      <c r="O1197" s="3"/>
    </row>
    <row r="1198" spans="1:17" ht="22.5" customHeight="1" x14ac:dyDescent="0.2">
      <c r="A1198" s="3" t="s">
        <v>2006</v>
      </c>
      <c r="B1198" s="3" t="str">
        <f ca="1">IFERROR(__xludf.DUMMYFUNCTION("REGEXEXTRACT(A1198, ""\.(?:GOV|EXT)\.([A-Z0-9\-]+)"")
"),"HRA")</f>
        <v>HRA</v>
      </c>
      <c r="C1198" s="3" t="s">
        <v>34</v>
      </c>
      <c r="D1198" s="3" t="s">
        <v>1216</v>
      </c>
      <c r="E1198" s="14" t="str">
        <f ca="1">IFERROR(__xludf.DUMMYFUNCTION("REGEXEXTRACT(A1198, ""-(.*)"")"),"ARP.0003.05.2023.GOV.HRA.PE")</f>
        <v>ARP.0003.05.2023.GOV.HRA.PE</v>
      </c>
      <c r="F1198" s="3" t="s">
        <v>2005</v>
      </c>
      <c r="G1198" s="3" t="s">
        <v>3</v>
      </c>
      <c r="H1198" s="9">
        <v>45372</v>
      </c>
      <c r="I1198" s="3" t="s">
        <v>44</v>
      </c>
      <c r="J1198" s="3" t="str">
        <f>VLOOKUP(A1198,'TODOS OS PROCESSOS ATUALIZADOS '!A:I,7,0)</f>
        <v>Cancelada</v>
      </c>
      <c r="K1198" s="3" t="s">
        <v>605</v>
      </c>
      <c r="L1198" s="3" t="str">
        <f t="shared" si="4"/>
        <v>Item atualizado</v>
      </c>
      <c r="M1198" s="3"/>
      <c r="N1198" s="3" t="s">
        <v>605</v>
      </c>
      <c r="O1198" s="3"/>
    </row>
    <row r="1199" spans="1:17" ht="22.5" customHeight="1" x14ac:dyDescent="0.2">
      <c r="A1199" s="3" t="s">
        <v>2007</v>
      </c>
      <c r="B1199" s="3" t="str">
        <f ca="1">IFERROR(__xludf.DUMMYFUNCTION("REGEXEXTRACT(A1199, ""\.(?:GOV|EXT)\.([A-Z0-9\-]+)"")
"),"HRA")</f>
        <v>HRA</v>
      </c>
      <c r="C1199" s="3" t="s">
        <v>34</v>
      </c>
      <c r="D1199" s="3" t="s">
        <v>1216</v>
      </c>
      <c r="E1199" s="14" t="str">
        <f ca="1">IFERROR(__xludf.DUMMYFUNCTION("REGEXEXTRACT(A1199, ""-(.*)"")"),"ARP.0003.04.2023.GOV.HRA.PE")</f>
        <v>ARP.0003.04.2023.GOV.HRA.PE</v>
      </c>
      <c r="F1199" s="3" t="s">
        <v>2005</v>
      </c>
      <c r="G1199" s="3" t="s">
        <v>3</v>
      </c>
      <c r="H1199" s="9">
        <v>45372</v>
      </c>
      <c r="I1199" s="3" t="s">
        <v>44</v>
      </c>
      <c r="J1199" s="3" t="str">
        <f>VLOOKUP(A1199,'TODOS OS PROCESSOS ATUALIZADOS '!A:I,7,0)</f>
        <v>Cancelada</v>
      </c>
      <c r="K1199" s="3" t="s">
        <v>605</v>
      </c>
      <c r="L1199" s="3" t="str">
        <f t="shared" si="4"/>
        <v>Item atualizado</v>
      </c>
      <c r="M1199" s="3"/>
      <c r="N1199" s="3" t="s">
        <v>605</v>
      </c>
      <c r="O1199" s="3"/>
    </row>
    <row r="1200" spans="1:17" ht="22.5" customHeight="1" x14ac:dyDescent="0.2">
      <c r="A1200" s="3" t="s">
        <v>2008</v>
      </c>
      <c r="B1200" s="3" t="str">
        <f ca="1">IFERROR(__xludf.DUMMYFUNCTION("REGEXEXTRACT(A1200, ""\.(?:GOV|EXT)\.([A-Z0-9\-]+)"")
"),"HRA")</f>
        <v>HRA</v>
      </c>
      <c r="C1200" s="3" t="s">
        <v>34</v>
      </c>
      <c r="D1200" s="3" t="s">
        <v>1216</v>
      </c>
      <c r="E1200" s="14" t="str">
        <f ca="1">IFERROR(__xludf.DUMMYFUNCTION("REGEXEXTRACT(A1200, ""-(.*)"")"),"ARP.0003.08.2023.GOV.HRA.PE")</f>
        <v>ARP.0003.08.2023.GOV.HRA.PE</v>
      </c>
      <c r="F1200" s="3" t="s">
        <v>2005</v>
      </c>
      <c r="G1200" s="3" t="s">
        <v>3</v>
      </c>
      <c r="H1200" s="9">
        <v>45372</v>
      </c>
      <c r="I1200" s="3" t="s">
        <v>44</v>
      </c>
      <c r="J1200" s="3" t="str">
        <f>VLOOKUP(A1200,'TODOS OS PROCESSOS ATUALIZADOS '!A:I,7,0)</f>
        <v>Cancelada</v>
      </c>
      <c r="K1200" s="3" t="s">
        <v>605</v>
      </c>
      <c r="L1200" s="3" t="str">
        <f t="shared" si="4"/>
        <v>Item atualizado</v>
      </c>
      <c r="M1200" s="3"/>
      <c r="N1200" s="3" t="s">
        <v>605</v>
      </c>
      <c r="O1200" s="3"/>
    </row>
    <row r="1201" spans="1:17" ht="22.5" customHeight="1" x14ac:dyDescent="0.2">
      <c r="A1201" s="3" t="s">
        <v>2009</v>
      </c>
      <c r="B1201" s="3" t="str">
        <f ca="1">IFERROR(__xludf.DUMMYFUNCTION("REGEXEXTRACT(A1201, ""\.(?:GOV|EXT)\.([A-Z0-9\-]+)"")
"),"SAD")</f>
        <v>SAD</v>
      </c>
      <c r="C1201" s="3" t="s">
        <v>34</v>
      </c>
      <c r="D1201" s="3" t="s">
        <v>1216</v>
      </c>
      <c r="E1201" s="14" t="str">
        <f ca="1">IFERROR(__xludf.DUMMYFUNCTION("REGEXEXTRACT(A1201, ""-(.*)"")"),"ARPC.0005.00.2024.GOV.SAD.PE")</f>
        <v>ARPC.0005.00.2024.GOV.SAD.PE</v>
      </c>
      <c r="F1201" s="3" t="s">
        <v>1783</v>
      </c>
      <c r="G1201" s="3"/>
      <c r="H1201" s="9">
        <v>45366</v>
      </c>
      <c r="I1201" s="3" t="s">
        <v>37</v>
      </c>
      <c r="J1201" s="3" t="str">
        <f>VLOOKUP(A1201,'TODOS OS PROCESSOS ATUALIZADOS '!A:I,7,0)</f>
        <v>Cancelada</v>
      </c>
      <c r="K1201" s="3" t="s">
        <v>38</v>
      </c>
      <c r="L1201" s="3" t="str">
        <f t="shared" si="4"/>
        <v>Item não atualizado</v>
      </c>
      <c r="M1201" s="3"/>
      <c r="N1201" s="3" t="s">
        <v>605</v>
      </c>
      <c r="O1201" s="3"/>
    </row>
    <row r="1202" spans="1:17" ht="22.5" customHeight="1" x14ac:dyDescent="0.2">
      <c r="A1202" s="3" t="s">
        <v>2010</v>
      </c>
      <c r="B1202" s="3" t="str">
        <f ca="1">IFERROR(__xludf.DUMMYFUNCTION("REGEXEXTRACT(A1202, ""\.(?:GOV|EXT)\.([A-Z0-9\-]+)"")
"),"SAD")</f>
        <v>SAD</v>
      </c>
      <c r="C1202" s="3" t="s">
        <v>34</v>
      </c>
      <c r="D1202" s="3" t="s">
        <v>1216</v>
      </c>
      <c r="E1202" s="14" t="str">
        <f ca="1">IFERROR(__xludf.DUMMYFUNCTION("REGEXEXTRACT(A1202, ""-(.*)"")"),"ARPC.0005.00.2024.GOV.SAD.PE")</f>
        <v>ARPC.0005.00.2024.GOV.SAD.PE</v>
      </c>
      <c r="F1202" s="6" t="s">
        <v>1783</v>
      </c>
      <c r="G1202" s="3" t="s">
        <v>3</v>
      </c>
      <c r="H1202" s="9">
        <v>45366</v>
      </c>
      <c r="I1202" s="3" t="s">
        <v>44</v>
      </c>
      <c r="J1202" s="3" t="str">
        <f>VLOOKUP(A1202,'TODOS OS PROCESSOS ATUALIZADOS '!A:I,7,0)</f>
        <v>Autorizada Sucesso</v>
      </c>
      <c r="K1202" s="3" t="s">
        <v>44</v>
      </c>
      <c r="L1202" s="3" t="str">
        <f t="shared" si="4"/>
        <v>Item atualizado</v>
      </c>
      <c r="M1202" s="3" t="s">
        <v>5</v>
      </c>
      <c r="N1202" s="3" t="s">
        <v>605</v>
      </c>
      <c r="O1202" s="3" t="s">
        <v>87</v>
      </c>
      <c r="P1202" s="3" t="s">
        <v>2011</v>
      </c>
      <c r="Q1202" s="3" t="s">
        <v>2012</v>
      </c>
    </row>
    <row r="1203" spans="1:17" ht="22.5" customHeight="1" x14ac:dyDescent="0.2">
      <c r="A1203" s="3" t="s">
        <v>2013</v>
      </c>
      <c r="B1203" s="3" t="str">
        <f ca="1">IFERROR(__xludf.DUMMYFUNCTION("REGEXEXTRACT(A1203, ""\.(?:GOV|EXT)\.([A-Z0-9\-]+)"")
"),"FES-PE")</f>
        <v>FES-PE</v>
      </c>
      <c r="C1203" s="3" t="s">
        <v>34</v>
      </c>
      <c r="D1203" s="3" t="s">
        <v>1216</v>
      </c>
      <c r="E1203" s="14" t="str">
        <f ca="1">IFERROR(__xludf.DUMMYFUNCTION("REGEXEXTRACT(A1203, ""-(.*)"")"),"ARP.0025.06.2024.GOV.FES-PE.PE")</f>
        <v>ARP.0025.06.2024.GOV.FES-PE.PE</v>
      </c>
      <c r="F1203" s="6" t="s">
        <v>739</v>
      </c>
      <c r="G1203" s="3" t="s">
        <v>3</v>
      </c>
      <c r="H1203" s="9">
        <v>45364</v>
      </c>
      <c r="I1203" s="3" t="s">
        <v>44</v>
      </c>
      <c r="J1203" s="3" t="str">
        <f>VLOOKUP(A1203,'TODOS OS PROCESSOS ATUALIZADOS '!A:I,7,0)</f>
        <v>Autorizada Sucesso</v>
      </c>
      <c r="K1203" s="3" t="s">
        <v>44</v>
      </c>
      <c r="L1203" s="3" t="str">
        <f t="shared" si="4"/>
        <v>Item atualizado</v>
      </c>
      <c r="M1203" s="3" t="s">
        <v>5</v>
      </c>
      <c r="N1203" s="3" t="s">
        <v>605</v>
      </c>
      <c r="O1203" s="3" t="s">
        <v>87</v>
      </c>
      <c r="P1203" s="3" t="s">
        <v>2014</v>
      </c>
      <c r="Q1203" s="3" t="s">
        <v>2012</v>
      </c>
    </row>
    <row r="1204" spans="1:17" ht="22.5" customHeight="1" x14ac:dyDescent="0.2">
      <c r="A1204" s="3" t="s">
        <v>2015</v>
      </c>
      <c r="B1204" s="3" t="str">
        <f ca="1">IFERROR(__xludf.DUMMYFUNCTION("REGEXEXTRACT(A1204, ""\.(?:GOV|EXT)\.([A-Z0-9\-]+)"")
"),"FES-PE")</f>
        <v>FES-PE</v>
      </c>
      <c r="C1204" s="3" t="s">
        <v>34</v>
      </c>
      <c r="D1204" s="3" t="s">
        <v>1216</v>
      </c>
      <c r="E1204" s="14" t="str">
        <f ca="1">IFERROR(__xludf.DUMMYFUNCTION("REGEXEXTRACT(A1204, ""-(.*)"")"),"ARP.0025.03.2024.GOV.FES-PE.PE")</f>
        <v>ARP.0025.03.2024.GOV.FES-PE.PE</v>
      </c>
      <c r="F1204" s="6" t="s">
        <v>739</v>
      </c>
      <c r="G1204" s="3" t="s">
        <v>3</v>
      </c>
      <c r="H1204" s="9">
        <v>45364</v>
      </c>
      <c r="I1204" s="3" t="s">
        <v>44</v>
      </c>
      <c r="J1204" s="3" t="str">
        <f>VLOOKUP(A1204,'TODOS OS PROCESSOS ATUALIZADOS '!A:I,7,0)</f>
        <v>Autorizada Sucesso</v>
      </c>
      <c r="K1204" s="3" t="s">
        <v>44</v>
      </c>
      <c r="L1204" s="3" t="str">
        <f t="shared" si="4"/>
        <v>Item atualizado</v>
      </c>
      <c r="M1204" s="3" t="s">
        <v>5</v>
      </c>
      <c r="N1204" s="3" t="s">
        <v>605</v>
      </c>
      <c r="O1204" s="3" t="s">
        <v>87</v>
      </c>
      <c r="P1204" s="3" t="s">
        <v>2016</v>
      </c>
      <c r="Q1204" s="3" t="s">
        <v>2012</v>
      </c>
    </row>
    <row r="1205" spans="1:17" ht="22.5" customHeight="1" x14ac:dyDescent="0.2">
      <c r="A1205" s="3" t="s">
        <v>2017</v>
      </c>
      <c r="B1205" s="3" t="str">
        <f ca="1">IFERROR(__xludf.DUMMYFUNCTION("REGEXEXTRACT(A1205, ""\.(?:GOV|EXT)\.([A-Z0-9\-]+)"")
"),"FES-PE")</f>
        <v>FES-PE</v>
      </c>
      <c r="C1205" s="3" t="s">
        <v>34</v>
      </c>
      <c r="D1205" s="3" t="s">
        <v>1216</v>
      </c>
      <c r="E1205" s="14" t="str">
        <f ca="1">IFERROR(__xludf.DUMMYFUNCTION("REGEXEXTRACT(A1205, ""-(.*)"")"),"ARP.0025.02.2024.GOV.FES-PE.PE")</f>
        <v>ARP.0025.02.2024.GOV.FES-PE.PE</v>
      </c>
      <c r="F1205" s="6" t="s">
        <v>739</v>
      </c>
      <c r="G1205" s="3" t="s">
        <v>3</v>
      </c>
      <c r="H1205" s="9">
        <v>45363</v>
      </c>
      <c r="I1205" s="3" t="s">
        <v>44</v>
      </c>
      <c r="J1205" s="3" t="str">
        <f>VLOOKUP(A1205,'TODOS OS PROCESSOS ATUALIZADOS '!A:I,7,0)</f>
        <v>Autorizada Sucesso</v>
      </c>
      <c r="K1205" s="3" t="s">
        <v>44</v>
      </c>
      <c r="L1205" s="3" t="str">
        <f t="shared" si="4"/>
        <v>Item atualizado</v>
      </c>
      <c r="M1205" s="3" t="s">
        <v>5</v>
      </c>
      <c r="N1205" s="3" t="s">
        <v>605</v>
      </c>
      <c r="O1205" s="3" t="s">
        <v>87</v>
      </c>
      <c r="P1205" s="3" t="s">
        <v>2018</v>
      </c>
      <c r="Q1205" s="3" t="s">
        <v>2012</v>
      </c>
    </row>
    <row r="1206" spans="1:17" ht="22.5" customHeight="1" x14ac:dyDescent="0.2">
      <c r="A1206" s="3" t="s">
        <v>2019</v>
      </c>
      <c r="B1206" s="3" t="str">
        <f ca="1">IFERROR(__xludf.DUMMYFUNCTION("REGEXEXTRACT(A1206, ""\.(?:GOV|EXT)\.([A-Z0-9\-]+)"")
"),"FES-PE")</f>
        <v>FES-PE</v>
      </c>
      <c r="C1206" s="3" t="s">
        <v>34</v>
      </c>
      <c r="D1206" s="3" t="s">
        <v>1216</v>
      </c>
      <c r="E1206" s="14" t="str">
        <f ca="1">IFERROR(__xludf.DUMMYFUNCTION("REGEXEXTRACT(A1206, ""-(.*)"")"),"ARP.0025.01.2024.GOV.FES-PE.PE")</f>
        <v>ARP.0025.01.2024.GOV.FES-PE.PE</v>
      </c>
      <c r="F1206" s="6" t="s">
        <v>739</v>
      </c>
      <c r="G1206" s="3" t="s">
        <v>3</v>
      </c>
      <c r="H1206" s="9">
        <v>45363</v>
      </c>
      <c r="I1206" s="3" t="s">
        <v>44</v>
      </c>
      <c r="J1206" s="3" t="str">
        <f>VLOOKUP(A1206,'TODOS OS PROCESSOS ATUALIZADOS '!A:I,7,0)</f>
        <v>Autorizada Sucesso</v>
      </c>
      <c r="K1206" s="3" t="s">
        <v>44</v>
      </c>
      <c r="L1206" s="3" t="str">
        <f t="shared" si="4"/>
        <v>Item atualizado</v>
      </c>
      <c r="M1206" s="3" t="s">
        <v>5</v>
      </c>
      <c r="N1206" s="3" t="s">
        <v>605</v>
      </c>
      <c r="O1206" s="3" t="s">
        <v>87</v>
      </c>
      <c r="P1206" s="3" t="s">
        <v>2020</v>
      </c>
      <c r="Q1206" s="3" t="s">
        <v>2012</v>
      </c>
    </row>
    <row r="1207" spans="1:17" ht="22.5" customHeight="1" x14ac:dyDescent="0.2">
      <c r="A1207" s="3" t="s">
        <v>2021</v>
      </c>
      <c r="B1207" s="3" t="str">
        <f ca="1">IFERROR(__xludf.DUMMYFUNCTION("REGEXEXTRACT(A1207, ""\.(?:GOV|EXT)\.([A-Z0-9\-]+)"")
"),"FES-PE")</f>
        <v>FES-PE</v>
      </c>
      <c r="C1207" s="3" t="s">
        <v>34</v>
      </c>
      <c r="D1207" s="3" t="s">
        <v>1216</v>
      </c>
      <c r="E1207" s="14" t="str">
        <f ca="1">IFERROR(__xludf.DUMMYFUNCTION("REGEXEXTRACT(A1207, ""-(.*)"")"),"ARP.0018.06.2024.GOV.FES-PE.PE")</f>
        <v>ARP.0018.06.2024.GOV.FES-PE.PE</v>
      </c>
      <c r="F1207" s="6" t="s">
        <v>737</v>
      </c>
      <c r="G1207" s="3" t="s">
        <v>3</v>
      </c>
      <c r="H1207" s="9">
        <v>45363</v>
      </c>
      <c r="I1207" s="3" t="s">
        <v>44</v>
      </c>
      <c r="J1207" s="3" t="str">
        <f>VLOOKUP(A1207,'TODOS OS PROCESSOS ATUALIZADOS '!A:I,7,0)</f>
        <v>Autorizada Sucesso</v>
      </c>
      <c r="K1207" s="3" t="s">
        <v>44</v>
      </c>
      <c r="L1207" s="3" t="str">
        <f t="shared" si="4"/>
        <v>Item atualizado</v>
      </c>
      <c r="M1207" s="3" t="s">
        <v>5</v>
      </c>
      <c r="N1207" s="3" t="s">
        <v>605</v>
      </c>
      <c r="O1207" s="3" t="s">
        <v>52</v>
      </c>
      <c r="P1207" s="3" t="s">
        <v>2022</v>
      </c>
      <c r="Q1207" s="3" t="s">
        <v>2023</v>
      </c>
    </row>
    <row r="1208" spans="1:17" ht="22.5" customHeight="1" x14ac:dyDescent="0.2">
      <c r="A1208" s="3" t="s">
        <v>2024</v>
      </c>
      <c r="B1208" s="3" t="str">
        <f ca="1">IFERROR(__xludf.DUMMYFUNCTION("REGEXEXTRACT(A1208, ""\.(?:GOV|EXT)\.([A-Z0-9\-]+)"")
"),"FES-PE")</f>
        <v>FES-PE</v>
      </c>
      <c r="C1208" s="3" t="s">
        <v>34</v>
      </c>
      <c r="D1208" s="3" t="s">
        <v>1216</v>
      </c>
      <c r="E1208" s="14" t="str">
        <f ca="1">IFERROR(__xludf.DUMMYFUNCTION("REGEXEXTRACT(A1208, ""-(.*)"")"),"ARP.0018.01.2024.GOV.FES-PE.PE")</f>
        <v>ARP.0018.01.2024.GOV.FES-PE.PE</v>
      </c>
      <c r="F1208" s="6" t="s">
        <v>737</v>
      </c>
      <c r="G1208" s="3" t="s">
        <v>3</v>
      </c>
      <c r="H1208" s="9">
        <v>45363</v>
      </c>
      <c r="I1208" s="3" t="s">
        <v>44</v>
      </c>
      <c r="J1208" s="3" t="str">
        <f>VLOOKUP(A1208,'TODOS OS PROCESSOS ATUALIZADOS '!A:I,7,0)</f>
        <v>Autorizada Sucesso</v>
      </c>
      <c r="K1208" s="3" t="s">
        <v>44</v>
      </c>
      <c r="L1208" s="3" t="str">
        <f t="shared" si="4"/>
        <v>Item atualizado</v>
      </c>
      <c r="M1208" s="3" t="s">
        <v>5</v>
      </c>
      <c r="N1208" s="3" t="s">
        <v>605</v>
      </c>
      <c r="O1208" s="3" t="s">
        <v>87</v>
      </c>
      <c r="P1208" s="3" t="s">
        <v>2025</v>
      </c>
      <c r="Q1208" s="3" t="s">
        <v>2012</v>
      </c>
    </row>
    <row r="1209" spans="1:17" ht="22.5" customHeight="1" x14ac:dyDescent="0.2">
      <c r="A1209" s="3" t="s">
        <v>2026</v>
      </c>
      <c r="B1209" s="3" t="str">
        <f ca="1">IFERROR(__xludf.DUMMYFUNCTION("REGEXEXTRACT(A1209, ""\.(?:GOV|EXT)\.([A-Z0-9\-]+)"")
"),"FES-PE")</f>
        <v>FES-PE</v>
      </c>
      <c r="C1209" s="3" t="s">
        <v>34</v>
      </c>
      <c r="D1209" s="3" t="s">
        <v>1216</v>
      </c>
      <c r="E1209" s="14" t="str">
        <f ca="1">IFERROR(__xludf.DUMMYFUNCTION("REGEXEXTRACT(A1209, ""-(.*)"")"),"ARP.0018.00.2024.GOV.FES-PE.PE")</f>
        <v>ARP.0018.00.2024.GOV.FES-PE.PE</v>
      </c>
      <c r="F1209" s="6" t="s">
        <v>737</v>
      </c>
      <c r="G1209" s="3" t="s">
        <v>3</v>
      </c>
      <c r="H1209" s="9">
        <v>45362</v>
      </c>
      <c r="I1209" s="3" t="s">
        <v>44</v>
      </c>
      <c r="J1209" s="3" t="str">
        <f>VLOOKUP(A1209,'TODOS OS PROCESSOS ATUALIZADOS '!A:I,7,0)</f>
        <v>Autorizada Sucesso</v>
      </c>
      <c r="K1209" s="3" t="s">
        <v>44</v>
      </c>
      <c r="L1209" s="3" t="str">
        <f t="shared" si="4"/>
        <v>Item atualizado</v>
      </c>
      <c r="M1209" s="3" t="s">
        <v>5</v>
      </c>
      <c r="N1209" s="3" t="s">
        <v>605</v>
      </c>
      <c r="O1209" s="3" t="s">
        <v>87</v>
      </c>
      <c r="P1209" s="3" t="s">
        <v>2027</v>
      </c>
      <c r="Q1209" s="3" t="s">
        <v>2012</v>
      </c>
    </row>
    <row r="1210" spans="1:17" ht="22.5" customHeight="1" x14ac:dyDescent="0.2">
      <c r="A1210" s="3" t="s">
        <v>2028</v>
      </c>
      <c r="B1210" s="3" t="str">
        <f ca="1">IFERROR(__xludf.DUMMYFUNCTION("REGEXEXTRACT(A1210, ""\.(?:GOV|EXT)\.([A-Z0-9\-]+)"")
"),"HRA")</f>
        <v>HRA</v>
      </c>
      <c r="C1210" s="3" t="s">
        <v>34</v>
      </c>
      <c r="D1210" s="3" t="s">
        <v>1216</v>
      </c>
      <c r="E1210" s="14" t="str">
        <f ca="1">IFERROR(__xludf.DUMMYFUNCTION("REGEXEXTRACT(A1210, ""-(.*)"")"),"ARP.0005.08.2023.GOV.HRA.PE")</f>
        <v>ARP.0005.08.2023.GOV.HRA.PE</v>
      </c>
      <c r="F1210" s="3" t="s">
        <v>1963</v>
      </c>
      <c r="G1210" s="3"/>
      <c r="H1210" s="9">
        <v>45356</v>
      </c>
      <c r="I1210" s="3" t="s">
        <v>44</v>
      </c>
      <c r="J1210" s="3" t="str">
        <f>VLOOKUP(A1210,'TODOS OS PROCESSOS ATUALIZADOS '!A:I,7,0)</f>
        <v>Autorizada Sucesso</v>
      </c>
      <c r="K1210" s="3" t="s">
        <v>605</v>
      </c>
      <c r="L1210" s="3" t="str">
        <f t="shared" si="4"/>
        <v>Item atualizado</v>
      </c>
      <c r="M1210" s="3"/>
      <c r="N1210" s="3" t="s">
        <v>605</v>
      </c>
      <c r="O1210" s="3"/>
    </row>
    <row r="1211" spans="1:17" ht="22.5" customHeight="1" x14ac:dyDescent="0.2">
      <c r="A1211" s="3" t="s">
        <v>2029</v>
      </c>
      <c r="B1211" s="3" t="str">
        <f ca="1">IFERROR(__xludf.DUMMYFUNCTION("REGEXEXTRACT(A1211, ""\.(?:GOV|EXT)\.([A-Z0-9\-]+)"")
"),"HRA")</f>
        <v>HRA</v>
      </c>
      <c r="C1211" s="3" t="s">
        <v>34</v>
      </c>
      <c r="D1211" s="3" t="s">
        <v>1216</v>
      </c>
      <c r="E1211" s="14" t="str">
        <f ca="1">IFERROR(__xludf.DUMMYFUNCTION("REGEXEXTRACT(A1211, ""-(.*)"")"),"ARP.0003.08.2023.GOV.HRA.PE")</f>
        <v>ARP.0003.08.2023.GOV.HRA.PE</v>
      </c>
      <c r="F1211" s="3" t="s">
        <v>2005</v>
      </c>
      <c r="G1211" s="3"/>
      <c r="H1211" s="9">
        <v>45336</v>
      </c>
      <c r="I1211" s="3" t="s">
        <v>37</v>
      </c>
      <c r="J1211" s="3" t="str">
        <f>VLOOKUP(A1211,'TODOS OS PROCESSOS ATUALIZADOS '!A:I,7,0)</f>
        <v>Cancelada</v>
      </c>
      <c r="K1211" s="3" t="s">
        <v>605</v>
      </c>
      <c r="L1211" s="3" t="str">
        <f t="shared" si="4"/>
        <v>Item não atualizado</v>
      </c>
      <c r="M1211" s="3"/>
      <c r="N1211" s="3" t="s">
        <v>605</v>
      </c>
      <c r="O1211" s="3"/>
    </row>
    <row r="1212" spans="1:17" ht="22.5" customHeight="1" x14ac:dyDescent="0.2">
      <c r="A1212" s="3" t="s">
        <v>2030</v>
      </c>
      <c r="B1212" s="3" t="str">
        <f ca="1">IFERROR(__xludf.DUMMYFUNCTION("REGEXEXTRACT(A1212, ""\.(?:GOV|EXT)\.([A-Z0-9\-]+)"")
"),"HRA")</f>
        <v>HRA</v>
      </c>
      <c r="C1212" s="3" t="s">
        <v>34</v>
      </c>
      <c r="D1212" s="3" t="s">
        <v>1216</v>
      </c>
      <c r="E1212" s="14" t="str">
        <f ca="1">IFERROR(__xludf.DUMMYFUNCTION("REGEXEXTRACT(A1212, ""-(.*)"")"),"ARP.0003.02.2023.GOV.HRA.PE")</f>
        <v>ARP.0003.02.2023.GOV.HRA.PE</v>
      </c>
      <c r="F1212" s="3" t="s">
        <v>2005</v>
      </c>
      <c r="G1212" s="3"/>
      <c r="H1212" s="9">
        <v>45324</v>
      </c>
      <c r="I1212" s="3" t="s">
        <v>44</v>
      </c>
      <c r="J1212" s="3" t="str">
        <f>VLOOKUP(A1212,'TODOS OS PROCESSOS ATUALIZADOS '!A:I,7,0)</f>
        <v>Autorizada Sucesso</v>
      </c>
      <c r="K1212" s="3" t="s">
        <v>605</v>
      </c>
      <c r="L1212" s="3" t="str">
        <f t="shared" si="4"/>
        <v>Item atualizado</v>
      </c>
      <c r="M1212" s="3"/>
      <c r="N1212" s="3" t="s">
        <v>605</v>
      </c>
      <c r="O1212" s="3"/>
    </row>
    <row r="1213" spans="1:17" ht="22.5" customHeight="1" x14ac:dyDescent="0.2">
      <c r="A1213" s="3" t="s">
        <v>137</v>
      </c>
      <c r="B1213" s="3" t="str">
        <f ca="1">IFERROR(__xludf.DUMMYFUNCTION("REGEXEXTRACT(A1213, ""\.(?:GOV|EXT)\.([A-Z0-9\-]+)"")
"),"FES-PE")</f>
        <v>FES-PE</v>
      </c>
      <c r="C1213" s="3" t="s">
        <v>34</v>
      </c>
      <c r="D1213" s="3" t="s">
        <v>35</v>
      </c>
      <c r="E1213" s="14" t="str">
        <f ca="1">IFERROR(__xludf.DUMMYFUNCTION("REGEXEXTRACT(A1213, ""-(.*)"")"),"ARP.0068.04.2025.GOV.FES-PE.PE")</f>
        <v>ARP.0068.04.2025.GOV.FES-PE.PE</v>
      </c>
      <c r="F1213" s="3" t="s">
        <v>2031</v>
      </c>
      <c r="G1213" s="3" t="s">
        <v>3</v>
      </c>
      <c r="H1213" s="9">
        <v>45918</v>
      </c>
      <c r="I1213" s="3" t="s">
        <v>37</v>
      </c>
      <c r="J1213" s="3" t="str">
        <f>VLOOKUP(A1213,'TODOS OS PROCESSOS ATUALIZADOS '!A:I,7,0)</f>
        <v>Em configuração</v>
      </c>
      <c r="K1213" s="3" t="s">
        <v>42</v>
      </c>
      <c r="L1213" s="3" t="str">
        <f t="shared" si="4"/>
        <v>Item atualizado</v>
      </c>
      <c r="M1213" s="3"/>
      <c r="N1213" s="3" t="s">
        <v>42</v>
      </c>
      <c r="O1213" s="3" t="s">
        <v>39</v>
      </c>
      <c r="P1213" s="3"/>
      <c r="Q1213" s="3"/>
    </row>
    <row r="1214" spans="1:17" ht="22.5" customHeight="1" x14ac:dyDescent="0.2">
      <c r="A1214" s="3" t="s">
        <v>2032</v>
      </c>
      <c r="B1214" s="3" t="str">
        <f ca="1">IFERROR(__xludf.DUMMYFUNCTION("REGEXEXTRACT(A1214, ""\.(?:GOV|EXT)\.([A-Z0-9\-]+)"")
"),"FES-PE")</f>
        <v>FES-PE</v>
      </c>
      <c r="C1214" s="3" t="s">
        <v>34</v>
      </c>
      <c r="D1214" s="3" t="s">
        <v>1216</v>
      </c>
      <c r="E1214" s="14" t="str">
        <f ca="1">IFERROR(__xludf.DUMMYFUNCTION("REGEXEXTRACT(A1214, ""-(.*)"")"),"ARP.0017.04.2025.GOV.FES-PE.PE")</f>
        <v>ARP.0017.04.2025.GOV.FES-PE.PE</v>
      </c>
      <c r="F1214" s="6" t="s">
        <v>1450</v>
      </c>
      <c r="G1214" s="3" t="s">
        <v>3</v>
      </c>
      <c r="H1214" s="9">
        <v>45712</v>
      </c>
      <c r="I1214" s="3" t="s">
        <v>1254</v>
      </c>
      <c r="J1214" s="3" t="str">
        <f>VLOOKUP(A1214,'TODOS OS PROCESSOS ATUALIZADOS '!A:I,7,0)</f>
        <v>Encaminhada para o gestor de ata</v>
      </c>
      <c r="K1214" s="3" t="s">
        <v>42</v>
      </c>
      <c r="L1214" s="3" t="str">
        <f t="shared" si="4"/>
        <v>Item não atualizado</v>
      </c>
      <c r="M1214" s="3" t="s">
        <v>16</v>
      </c>
      <c r="N1214" s="3" t="s">
        <v>38</v>
      </c>
      <c r="O1214" s="3" t="s">
        <v>1494</v>
      </c>
      <c r="P1214" s="3" t="s">
        <v>2033</v>
      </c>
      <c r="Q1214" s="3" t="s">
        <v>2034</v>
      </c>
    </row>
    <row r="1215" spans="1:17" ht="22.5" customHeight="1" x14ac:dyDescent="0.2">
      <c r="A1215" s="3" t="s">
        <v>2035</v>
      </c>
      <c r="B1215" s="3" t="str">
        <f ca="1">IFERROR(__xludf.DUMMYFUNCTION("REGEXEXTRACT(A1215, ""\.(?:GOV|EXT)\.([A-Z0-9\-]+)"")
"),"HUOC")</f>
        <v>HUOC</v>
      </c>
      <c r="C1215" s="3" t="s">
        <v>34</v>
      </c>
      <c r="D1215" s="3" t="s">
        <v>35</v>
      </c>
      <c r="E1215" s="14" t="str">
        <f ca="1">IFERROR(__xludf.DUMMYFUNCTION("REGEXEXTRACT(A1215, ""-(.*)"")"),"ARP.0189.00.2025.GOV.HUOC.PE")</f>
        <v>ARP.0189.00.2025.GOV.HUOC.PE</v>
      </c>
      <c r="F1215" s="3" t="s">
        <v>2036</v>
      </c>
      <c r="G1215" s="3" t="s">
        <v>3</v>
      </c>
      <c r="H1215" s="9">
        <v>45953</v>
      </c>
      <c r="I1215" s="3" t="s">
        <v>44</v>
      </c>
      <c r="J1215" s="3" t="str">
        <f>VLOOKUP(A1215,'TODOS OS PROCESSOS ATUALIZADOS '!A:I,7,0)</f>
        <v>Autorizada Sucesso</v>
      </c>
      <c r="K1215" s="3" t="s">
        <v>44</v>
      </c>
      <c r="L1215" s="3" t="str">
        <f t="shared" si="4"/>
        <v>Item atualizado</v>
      </c>
      <c r="M1215" s="3" t="s">
        <v>5</v>
      </c>
      <c r="N1215" s="3" t="s">
        <v>45</v>
      </c>
      <c r="O1215" s="3" t="s">
        <v>60</v>
      </c>
      <c r="P1215" s="3" t="s">
        <v>2037</v>
      </c>
      <c r="Q1215" s="3" t="s">
        <v>72</v>
      </c>
    </row>
    <row r="1216" spans="1:17" ht="22.5" customHeight="1" x14ac:dyDescent="0.2">
      <c r="A1216" s="3" t="s">
        <v>1363</v>
      </c>
      <c r="B1216" s="3" t="str">
        <f ca="1">IFERROR(__xludf.DUMMYFUNCTION("REGEXEXTRACT(A1216, ""\.(?:GOV|EXT)\.([A-Z0-9\-]+)"")
"),"HOF")</f>
        <v>HOF</v>
      </c>
      <c r="C1216" s="3" t="s">
        <v>34</v>
      </c>
      <c r="D1216" s="3" t="s">
        <v>1216</v>
      </c>
      <c r="E1216" s="14" t="str">
        <f ca="1">IFERROR(__xludf.DUMMYFUNCTION("REGEXEXTRACT(A1216, ""-(.*)"")"),"ARP.0021.01.2024.GOV.HOF.PE")</f>
        <v>ARP.0021.01.2024.GOV.HOF.PE</v>
      </c>
      <c r="F1216" s="3" t="s">
        <v>184</v>
      </c>
      <c r="G1216" s="3" t="s">
        <v>3</v>
      </c>
      <c r="H1216" s="9">
        <v>45798</v>
      </c>
      <c r="I1216" s="3" t="s">
        <v>70</v>
      </c>
      <c r="J1216" s="3" t="str">
        <f>VLOOKUP(A1216,'TODOS OS PROCESSOS ATUALIZADOS '!A:I,7,0)</f>
        <v>Em configuração</v>
      </c>
      <c r="K1216" s="3" t="s">
        <v>42</v>
      </c>
      <c r="L1216" s="3" t="str">
        <f t="shared" si="4"/>
        <v>Item não atualizado</v>
      </c>
      <c r="M1216" s="3"/>
      <c r="N1216" s="3" t="s">
        <v>42</v>
      </c>
      <c r="O1216" s="3" t="s">
        <v>39</v>
      </c>
      <c r="P1216" s="3"/>
      <c r="Q1216" s="3"/>
    </row>
    <row r="1217" spans="1:17" ht="22.5" customHeight="1" x14ac:dyDescent="0.2">
      <c r="A1217" s="3" t="s">
        <v>1369</v>
      </c>
      <c r="B1217" s="3" t="str">
        <f ca="1">IFERROR(__xludf.DUMMYFUNCTION("REGEXEXTRACT(A1217, ""\.(?:GOV|EXT)\.([A-Z0-9\-]+)"")
"),"HOF")</f>
        <v>HOF</v>
      </c>
      <c r="C1217" s="3" t="s">
        <v>34</v>
      </c>
      <c r="D1217" s="3" t="s">
        <v>1216</v>
      </c>
      <c r="E1217" s="14" t="str">
        <f ca="1">IFERROR(__xludf.DUMMYFUNCTION("REGEXEXTRACT(A1217, ""-(.*)"")"),"ARP.0021.11.2024.GOV.HOF.PE")</f>
        <v>ARP.0021.11.2024.GOV.HOF.PE</v>
      </c>
      <c r="F1217" s="3" t="s">
        <v>184</v>
      </c>
      <c r="G1217" s="3" t="s">
        <v>3</v>
      </c>
      <c r="H1217" s="9">
        <v>45797</v>
      </c>
      <c r="I1217" s="3" t="s">
        <v>70</v>
      </c>
      <c r="J1217" s="3" t="str">
        <f>VLOOKUP(A1217,'TODOS OS PROCESSOS ATUALIZADOS '!A:I,7,0)</f>
        <v>Em configuração</v>
      </c>
      <c r="K1217" s="3" t="s">
        <v>42</v>
      </c>
      <c r="L1217" s="3" t="str">
        <f t="shared" si="4"/>
        <v>Item não atualizado</v>
      </c>
      <c r="M1217" s="3"/>
      <c r="N1217" s="3" t="s">
        <v>42</v>
      </c>
      <c r="O1217" s="3" t="s">
        <v>39</v>
      </c>
      <c r="P1217" s="3"/>
      <c r="Q1217" s="3"/>
    </row>
    <row r="1218" spans="1:17" ht="22.5" customHeight="1" x14ac:dyDescent="0.2">
      <c r="A1218" s="3" t="s">
        <v>1393</v>
      </c>
      <c r="B1218" s="3" t="str">
        <f ca="1">IFERROR(__xludf.DUMMYFUNCTION("REGEXEXTRACT(A1218, ""\.(?:GOV|EXT)\.([A-Z0-9\-]+)"")
"),"HOF")</f>
        <v>HOF</v>
      </c>
      <c r="C1218" s="3" t="s">
        <v>34</v>
      </c>
      <c r="D1218" s="3" t="s">
        <v>1216</v>
      </c>
      <c r="E1218" s="14" t="str">
        <f ca="1">IFERROR(__xludf.DUMMYFUNCTION("REGEXEXTRACT(A1218, ""-(.*)"")"),"ARP.0021.00.2024.GOV.HOF.PE")</f>
        <v>ARP.0021.00.2024.GOV.HOF.PE</v>
      </c>
      <c r="F1218" s="3" t="s">
        <v>184</v>
      </c>
      <c r="G1218" s="3" t="s">
        <v>3</v>
      </c>
      <c r="H1218" s="9">
        <v>45792</v>
      </c>
      <c r="I1218" s="3" t="s">
        <v>70</v>
      </c>
      <c r="J1218" s="3" t="str">
        <f>VLOOKUP(A1218,'TODOS OS PROCESSOS ATUALIZADOS '!A:I,7,0)</f>
        <v>Em configuração</v>
      </c>
      <c r="K1218" s="3" t="s">
        <v>42</v>
      </c>
      <c r="L1218" s="3" t="str">
        <f t="shared" si="4"/>
        <v>Item não atualizado</v>
      </c>
      <c r="M1218" s="3"/>
      <c r="N1218" s="3" t="s">
        <v>42</v>
      </c>
      <c r="O1218" s="3" t="s">
        <v>39</v>
      </c>
      <c r="P1218" s="3"/>
      <c r="Q1218" s="3"/>
    </row>
    <row r="1219" spans="1:17" ht="22.5" customHeight="1" x14ac:dyDescent="0.2">
      <c r="A1219" s="3" t="s">
        <v>1410</v>
      </c>
      <c r="B1219" s="3" t="str">
        <f ca="1">IFERROR(__xludf.DUMMYFUNCTION("REGEXEXTRACT(A1219, ""\.(?:GOV|EXT)\.([A-Z0-9\-]+)"")
"),"HOF")</f>
        <v>HOF</v>
      </c>
      <c r="C1219" s="3" t="s">
        <v>34</v>
      </c>
      <c r="D1219" s="3" t="s">
        <v>1216</v>
      </c>
      <c r="E1219" s="14" t="str">
        <f ca="1">IFERROR(__xludf.DUMMYFUNCTION("REGEXEXTRACT(A1219, ""-(.*)"")"),"ARP.0021.01.2024.GOV.HOF.PE")</f>
        <v>ARP.0021.01.2024.GOV.HOF.PE</v>
      </c>
      <c r="F1219" s="3" t="s">
        <v>184</v>
      </c>
      <c r="G1219" s="3" t="s">
        <v>3</v>
      </c>
      <c r="H1219" s="9">
        <v>45782</v>
      </c>
      <c r="I1219" s="3" t="s">
        <v>70</v>
      </c>
      <c r="J1219" s="3" t="str">
        <f>VLOOKUP(A1219,'TODOS OS PROCESSOS ATUALIZADOS '!A:I,7,0)</f>
        <v>Em configuração</v>
      </c>
      <c r="K1219" s="3" t="s">
        <v>42</v>
      </c>
      <c r="L1219" s="3" t="str">
        <f t="shared" si="4"/>
        <v>Item não atualizado</v>
      </c>
      <c r="M1219" s="3"/>
      <c r="N1219" s="3" t="s">
        <v>42</v>
      </c>
      <c r="O1219" s="3" t="s">
        <v>39</v>
      </c>
      <c r="P1219" s="3"/>
      <c r="Q1219" s="3"/>
    </row>
    <row r="1220" spans="1:17" ht="22.5" customHeight="1" x14ac:dyDescent="0.2">
      <c r="A1220" s="37" t="s">
        <v>1522</v>
      </c>
      <c r="B1220" s="37" t="str">
        <f ca="1">IFERROR(__xludf.DUMMYFUNCTION("REGEXEXTRACT(A1220, ""\.(?:GOV|EXT)\.([A-Z0-9\-]+)"")
"),"SAD")</f>
        <v>SAD</v>
      </c>
      <c r="C1220" s="37" t="s">
        <v>34</v>
      </c>
      <c r="D1220" s="37" t="s">
        <v>1216</v>
      </c>
      <c r="E1220" s="38" t="str">
        <f ca="1">IFERROR(__xludf.DUMMYFUNCTION("REGEXEXTRACT(A1220, ""-(.*)"")"),"ARPC.0006.00.2025.GOV.SAD.PE")</f>
        <v>ARPC.0006.00.2025.GOV.SAD.PE</v>
      </c>
      <c r="F1220" s="37" t="s">
        <v>1429</v>
      </c>
      <c r="G1220" s="37" t="s">
        <v>2</v>
      </c>
      <c r="H1220" s="39">
        <v>45736</v>
      </c>
      <c r="I1220" s="37" t="s">
        <v>70</v>
      </c>
      <c r="J1220" s="37" t="str">
        <f>VLOOKUP(A1220,'TODOS OS PROCESSOS ATUALIZADOS '!A:I,7,0)</f>
        <v>Em configuração</v>
      </c>
      <c r="K1220" s="3" t="s">
        <v>42</v>
      </c>
      <c r="L1220" s="37" t="str">
        <f t="shared" si="4"/>
        <v>Item não atualizado</v>
      </c>
      <c r="M1220" s="37"/>
      <c r="N1220" s="3" t="s">
        <v>42</v>
      </c>
      <c r="O1220" s="37" t="s">
        <v>39</v>
      </c>
      <c r="P1220" s="37"/>
      <c r="Q1220" s="37"/>
    </row>
    <row r="1221" spans="1:17" ht="22.5" customHeight="1" x14ac:dyDescent="0.2">
      <c r="A1221" s="3" t="s">
        <v>2038</v>
      </c>
      <c r="B1221" s="3" t="str">
        <f ca="1">IFERROR(__xludf.DUMMYFUNCTION("REGEXEXTRACT(A1221, ""\.(?:GOV|EXT)\.([A-Z0-9\-]+)"")
"),"HR")</f>
        <v>HR</v>
      </c>
      <c r="C1221" s="3" t="s">
        <v>34</v>
      </c>
      <c r="D1221" s="3" t="s">
        <v>35</v>
      </c>
      <c r="E1221" s="14" t="str">
        <f ca="1">IFERROR(__xludf.DUMMYFUNCTION("REGEXEXTRACT(A1221, ""-(.*)"")"),"ARP.0004.00.2025.GOV.HR.PE")</f>
        <v>ARP.0004.00.2025.GOV.HR.PE</v>
      </c>
      <c r="F1221" s="3" t="s">
        <v>2039</v>
      </c>
      <c r="G1221" s="3" t="s">
        <v>1</v>
      </c>
      <c r="H1221" s="9">
        <v>45961</v>
      </c>
      <c r="I1221" s="3" t="s">
        <v>44</v>
      </c>
      <c r="J1221" s="3" t="str">
        <f>VLOOKUP(A1221,'TODOS OS PROCESSOS ATUALIZADOS '!A:I,7,0)</f>
        <v>Autorizada Sucesso</v>
      </c>
      <c r="K1221" s="3" t="s">
        <v>44</v>
      </c>
      <c r="L1221" s="3" t="str">
        <f t="shared" si="4"/>
        <v>Item atualizado</v>
      </c>
      <c r="M1221" s="3"/>
      <c r="N1221" s="3" t="s">
        <v>45</v>
      </c>
      <c r="O1221" s="3" t="s">
        <v>46</v>
      </c>
      <c r="P1221" s="3" t="s">
        <v>2040</v>
      </c>
      <c r="Q1221" s="3"/>
    </row>
    <row r="1222" spans="1:17" ht="22.5" customHeight="1" x14ac:dyDescent="0.2">
      <c r="A1222" s="3" t="s">
        <v>2041</v>
      </c>
      <c r="B1222" s="3" t="str">
        <f ca="1">IFERROR(__xludf.DUMMYFUNCTION("REGEXEXTRACT(A1222, ""\.(?:GOV|EXT)\.([A-Z0-9\-]+)"")
"),"FES-PE")</f>
        <v>FES-PE</v>
      </c>
      <c r="C1222" s="3" t="s">
        <v>34</v>
      </c>
      <c r="D1222" s="3" t="s">
        <v>1216</v>
      </c>
      <c r="E1222" s="14" t="str">
        <f ca="1">IFERROR(__xludf.DUMMYFUNCTION("REGEXEXTRACT(A1222, ""-(.*)"")"),"ARP.0077.07.2025.GOV.FES-PE.PE")</f>
        <v>ARP.0077.07.2025.GOV.FES-PE.PE</v>
      </c>
      <c r="F1222" s="3" t="s">
        <v>2042</v>
      </c>
      <c r="G1222" s="3" t="s">
        <v>1</v>
      </c>
      <c r="H1222" s="9">
        <v>45959</v>
      </c>
      <c r="I1222" s="3" t="s">
        <v>44</v>
      </c>
      <c r="J1222" s="3" t="str">
        <f>VLOOKUP(A1222,'TODOS OS PROCESSOS ATUALIZADOS '!A:I,7,0)</f>
        <v>Autorizada Sucesso</v>
      </c>
      <c r="K1222" s="3" t="s">
        <v>44</v>
      </c>
      <c r="L1222" s="3" t="str">
        <f t="shared" si="4"/>
        <v>Item atualizado</v>
      </c>
      <c r="M1222" s="3"/>
      <c r="N1222" s="3" t="s">
        <v>45</v>
      </c>
      <c r="O1222" s="3" t="s">
        <v>56</v>
      </c>
      <c r="P1222" s="3" t="s">
        <v>2043</v>
      </c>
      <c r="Q1222" s="3"/>
    </row>
    <row r="1223" spans="1:17" ht="22.5" customHeight="1" x14ac:dyDescent="0.2">
      <c r="A1223" s="3" t="s">
        <v>444</v>
      </c>
      <c r="B1223" s="3" t="str">
        <f ca="1">IFERROR(__xludf.DUMMYFUNCTION("REGEXEXTRACT(A1223, ""\.(?:GOV|EXT)\.([A-Z0-9\-]+)"")
"),"HR")</f>
        <v>HR</v>
      </c>
      <c r="C1223" s="3" t="s">
        <v>34</v>
      </c>
      <c r="D1223" s="3" t="s">
        <v>35</v>
      </c>
      <c r="E1223" s="14" t="str">
        <f ca="1">IFERROR(__xludf.DUMMYFUNCTION("REGEXEXTRACT(A1223, ""-(.*)"")"),"ARP.0004.00.2025.GOV.HR.PE")</f>
        <v>ARP.0004.00.2025.GOV.HR.PE</v>
      </c>
      <c r="F1223" s="3" t="s">
        <v>190</v>
      </c>
      <c r="G1223" s="3" t="s">
        <v>1</v>
      </c>
      <c r="H1223" s="9">
        <v>45811</v>
      </c>
      <c r="I1223" s="3" t="s">
        <v>44</v>
      </c>
      <c r="J1223" s="3" t="str">
        <f>VLOOKUP(A1223,'TODOS OS PROCESSOS ATUALIZADOS '!A:I,7,0)</f>
        <v>Autorizada Sucesso</v>
      </c>
      <c r="K1223" s="3" t="s">
        <v>44</v>
      </c>
      <c r="L1223" s="3" t="str">
        <f t="shared" si="4"/>
        <v>Item atualizado</v>
      </c>
      <c r="M1223" s="3"/>
      <c r="N1223" s="3" t="s">
        <v>45</v>
      </c>
      <c r="O1223" s="3" t="s">
        <v>46</v>
      </c>
      <c r="P1223" s="3" t="s">
        <v>445</v>
      </c>
      <c r="Q1223" s="3"/>
    </row>
    <row r="1224" spans="1:17" ht="22.5" customHeight="1" x14ac:dyDescent="0.2">
      <c r="A1224" s="3" t="s">
        <v>2044</v>
      </c>
      <c r="B1224" s="3" t="str">
        <f ca="1">IFERROR(__xludf.DUMMYFUNCTION("REGEXEXTRACT(A1224, ""\.(?:GOV|EXT)\.([A-Z0-9\-]+)"")
"),"FES-PE")</f>
        <v>FES-PE</v>
      </c>
      <c r="C1224" s="3" t="s">
        <v>34</v>
      </c>
      <c r="D1224" s="3" t="s">
        <v>1216</v>
      </c>
      <c r="E1224" s="14" t="str">
        <f ca="1">IFERROR(__xludf.DUMMYFUNCTION("REGEXEXTRACT(A1224, ""-(.*)"")"),"ARP.0010.03.2025.GOV.FES-PE.PE")</f>
        <v>ARP.0010.03.2025.GOV.FES-PE.PE</v>
      </c>
      <c r="F1224" s="3" t="s">
        <v>391</v>
      </c>
      <c r="G1224" s="3" t="s">
        <v>1</v>
      </c>
      <c r="H1224" s="9">
        <v>45958</v>
      </c>
      <c r="I1224" s="3" t="s">
        <v>44</v>
      </c>
      <c r="J1224" s="3" t="str">
        <f>VLOOKUP(A1224,'TODOS OS PROCESSOS ATUALIZADOS '!A:I,7,0)</f>
        <v>Autorizada Sucesso</v>
      </c>
      <c r="K1224" s="3" t="s">
        <v>44</v>
      </c>
      <c r="L1224" s="3" t="str">
        <f t="shared" si="4"/>
        <v>Item atualizado</v>
      </c>
      <c r="M1224" s="3"/>
      <c r="N1224" s="3" t="s">
        <v>45</v>
      </c>
      <c r="O1224" s="3" t="s">
        <v>2045</v>
      </c>
      <c r="P1224" s="3" t="s">
        <v>2046</v>
      </c>
      <c r="Q1224" s="3"/>
    </row>
    <row r="1225" spans="1:17" ht="22.5" customHeight="1" x14ac:dyDescent="0.2">
      <c r="A1225" s="3" t="s">
        <v>2047</v>
      </c>
      <c r="B1225" s="3" t="str">
        <f ca="1">IFERROR(__xludf.DUMMYFUNCTION("REGEXEXTRACT(A1225, ""\.(?:GOV|EXT)\.([A-Z0-9\-]+)"")
"),"HOF")</f>
        <v>HOF</v>
      </c>
      <c r="C1225" s="3" t="s">
        <v>34</v>
      </c>
      <c r="D1225" s="3" t="s">
        <v>35</v>
      </c>
      <c r="E1225" s="14" t="str">
        <f ca="1">IFERROR(__xludf.DUMMYFUNCTION("REGEXEXTRACT(A1225, ""-(.*)"")"),"ARP.0013.02.2025.GOV.HOF.PE")</f>
        <v>ARP.0013.02.2025.GOV.HOF.PE</v>
      </c>
      <c r="F1225" s="3" t="s">
        <v>69</v>
      </c>
      <c r="G1225" s="3" t="s">
        <v>3</v>
      </c>
      <c r="H1225" s="9">
        <v>45958</v>
      </c>
      <c r="I1225" s="3" t="s">
        <v>70</v>
      </c>
      <c r="J1225" s="3" t="str">
        <f>VLOOKUP(A1225,'TODOS OS PROCESSOS ATUALIZADOS '!A:I,7,0)</f>
        <v>Em configuração</v>
      </c>
      <c r="K1225" s="3" t="s">
        <v>42</v>
      </c>
      <c r="L1225" s="3" t="str">
        <f t="shared" si="4"/>
        <v>Item não atualizado</v>
      </c>
      <c r="M1225" s="3" t="s">
        <v>8</v>
      </c>
      <c r="N1225" s="3" t="s">
        <v>42</v>
      </c>
      <c r="O1225" s="3" t="s">
        <v>39</v>
      </c>
      <c r="P1225" s="3"/>
      <c r="Q1225" s="3"/>
    </row>
    <row r="1226" spans="1:17" ht="22.5" customHeight="1" x14ac:dyDescent="0.2">
      <c r="A1226" s="3" t="s">
        <v>2048</v>
      </c>
      <c r="B1226" s="3" t="str">
        <f ca="1">IFERROR(__xludf.DUMMYFUNCTION("REGEXEXTRACT(A1226, ""\.(?:GOV|EXT)\.([A-Z0-9\-]+)"")
"),"HEMOPE")</f>
        <v>HEMOPE</v>
      </c>
      <c r="C1226" s="3" t="s">
        <v>34</v>
      </c>
      <c r="D1226" s="3" t="s">
        <v>35</v>
      </c>
      <c r="E1226" s="14" t="str">
        <f ca="1">IFERROR(__xludf.DUMMYFUNCTION("REGEXEXTRACT(A1226, ""-(.*)"")"),"ARP.0005.12.2025.GOV.HEMOPE.PE")</f>
        <v>ARP.0005.12.2025.GOV.HEMOPE.PE</v>
      </c>
      <c r="F1226" s="3" t="s">
        <v>308</v>
      </c>
      <c r="G1226" s="3" t="s">
        <v>3</v>
      </c>
      <c r="H1226" s="9">
        <v>45958</v>
      </c>
      <c r="I1226" s="3" t="s">
        <v>70</v>
      </c>
      <c r="J1226" s="3" t="str">
        <f>VLOOKUP(A1226,'TODOS OS PROCESSOS ATUALIZADOS '!A:I,7,0)</f>
        <v>Em configuração</v>
      </c>
      <c r="K1226" s="3" t="s">
        <v>42</v>
      </c>
      <c r="L1226" s="3" t="str">
        <f t="shared" si="4"/>
        <v>Item não atualizado</v>
      </c>
      <c r="M1226" s="3"/>
      <c r="N1226" s="3" t="s">
        <v>42</v>
      </c>
      <c r="O1226" s="3" t="s">
        <v>39</v>
      </c>
      <c r="P1226" s="3"/>
      <c r="Q1226" s="3"/>
    </row>
    <row r="1227" spans="1:17" ht="22.5" customHeight="1" x14ac:dyDescent="0.2">
      <c r="A1227" s="3" t="s">
        <v>1234</v>
      </c>
      <c r="B1227" s="3" t="str">
        <f ca="1">IFERROR(__xludf.DUMMYFUNCTION("REGEXEXTRACT(A1227, ""\.(?:GOV|EXT)\.([A-Z0-9\-]+)"")
"),"FES-PE")</f>
        <v>FES-PE</v>
      </c>
      <c r="C1227" s="3" t="s">
        <v>34</v>
      </c>
      <c r="D1227" s="3" t="s">
        <v>1216</v>
      </c>
      <c r="E1227" s="14" t="str">
        <f ca="1">IFERROR(__xludf.DUMMYFUNCTION("REGEXEXTRACT(A1227, ""-(.*)"")"),"ARP.0049.04.2025.GOV.FES-PE.PE")</f>
        <v>ARP.0049.04.2025.GOV.FES-PE.PE</v>
      </c>
      <c r="F1227" s="3" t="s">
        <v>2049</v>
      </c>
      <c r="G1227" s="3" t="s">
        <v>3</v>
      </c>
      <c r="H1227" s="9">
        <v>45911</v>
      </c>
      <c r="I1227" s="3" t="s">
        <v>44</v>
      </c>
      <c r="J1227" s="3" t="str">
        <f>VLOOKUP(A1227,'TODOS OS PROCESSOS ATUALIZADOS '!A:I,7,0)</f>
        <v>Autorizada Sucesso</v>
      </c>
      <c r="K1227" s="3" t="s">
        <v>44</v>
      </c>
      <c r="L1227" s="3" t="str">
        <f t="shared" si="4"/>
        <v>Item atualizado</v>
      </c>
      <c r="M1227" s="3"/>
      <c r="N1227" s="3" t="s">
        <v>45</v>
      </c>
      <c r="O1227" s="3" t="s">
        <v>46</v>
      </c>
      <c r="P1227" s="3" t="s">
        <v>2050</v>
      </c>
      <c r="Q1227" s="3"/>
    </row>
    <row r="1228" spans="1:17" ht="22.5" customHeight="1" x14ac:dyDescent="0.2">
      <c r="A1228" s="3" t="s">
        <v>1239</v>
      </c>
      <c r="B1228" s="3" t="str">
        <f ca="1">IFERROR(__xludf.DUMMYFUNCTION("REGEXEXTRACT(A1228, ""\.(?:GOV|EXT)\.([A-Z0-9\-]+)"")
"),"FES-PE")</f>
        <v>FES-PE</v>
      </c>
      <c r="C1228" s="3" t="s">
        <v>34</v>
      </c>
      <c r="D1228" s="3" t="s">
        <v>1216</v>
      </c>
      <c r="E1228" s="14" t="str">
        <f ca="1">IFERROR(__xludf.DUMMYFUNCTION("REGEXEXTRACT(A1228, ""-(.*)"")"),"ARP.0077.01.2025.GOV.FES-PE.PE")</f>
        <v>ARP.0077.01.2025.GOV.FES-PE.PE</v>
      </c>
      <c r="F1228" s="3" t="s">
        <v>2051</v>
      </c>
      <c r="G1228" s="3" t="s">
        <v>3</v>
      </c>
      <c r="H1228" s="9">
        <v>45904</v>
      </c>
      <c r="I1228" s="3" t="s">
        <v>44</v>
      </c>
      <c r="J1228" s="3" t="str">
        <f>VLOOKUP(A1228,'TODOS OS PROCESSOS ATUALIZADOS '!A:I,7,0)</f>
        <v>Autorizada Sucesso</v>
      </c>
      <c r="K1228" s="3" t="s">
        <v>44</v>
      </c>
      <c r="L1228" s="3" t="str">
        <f t="shared" si="4"/>
        <v>Item atualizado</v>
      </c>
      <c r="M1228" s="3"/>
      <c r="N1228" s="3" t="s">
        <v>44</v>
      </c>
      <c r="O1228" s="3" t="s">
        <v>52</v>
      </c>
      <c r="P1228" s="3" t="s">
        <v>1233</v>
      </c>
      <c r="Q1228" s="3"/>
    </row>
    <row r="1229" spans="1:17" ht="22.5" customHeight="1" x14ac:dyDescent="0.2">
      <c r="A1229" s="3" t="s">
        <v>1229</v>
      </c>
      <c r="B1229" s="3" t="str">
        <f ca="1">IFERROR(__xludf.DUMMYFUNCTION("REGEXEXTRACT(A1229, ""\.(?:GOV|EXT)\.([A-Z0-9\-]+)"")
"),"FES-PE")</f>
        <v>FES-PE</v>
      </c>
      <c r="C1229" s="3" t="s">
        <v>34</v>
      </c>
      <c r="D1229" s="3" t="s">
        <v>1216</v>
      </c>
      <c r="E1229" s="14" t="str">
        <f ca="1">IFERROR(__xludf.DUMMYFUNCTION("REGEXEXTRACT(A1229, ""-(.*)"")"),"ARP.0049.03.2025.GOV.FES-PE.PE")</f>
        <v>ARP.0049.03.2025.GOV.FES-PE.PE</v>
      </c>
      <c r="F1229" s="3" t="s">
        <v>2052</v>
      </c>
      <c r="G1229" s="3" t="s">
        <v>3</v>
      </c>
      <c r="H1229" s="9">
        <v>45916</v>
      </c>
      <c r="I1229" s="3" t="s">
        <v>44</v>
      </c>
      <c r="J1229" s="3" t="str">
        <f>VLOOKUP(A1229,'TODOS OS PROCESSOS ATUALIZADOS '!A:I,7,0)</f>
        <v>Autorizada Sucesso</v>
      </c>
      <c r="K1229" s="3" t="s">
        <v>44</v>
      </c>
      <c r="L1229" s="3" t="str">
        <f t="shared" si="4"/>
        <v>Item atualizado</v>
      </c>
      <c r="M1229" s="3"/>
      <c r="N1229" s="3" t="s">
        <v>44</v>
      </c>
      <c r="O1229" s="3" t="s">
        <v>52</v>
      </c>
      <c r="P1229" s="3" t="s">
        <v>1231</v>
      </c>
      <c r="Q1229" s="3"/>
    </row>
    <row r="1230" spans="1:17" ht="22.5" customHeight="1" x14ac:dyDescent="0.2">
      <c r="A1230" s="3" t="s">
        <v>2053</v>
      </c>
      <c r="B1230" s="3" t="str">
        <f ca="1">IFERROR(__xludf.DUMMYFUNCTION("REGEXEXTRACT(A1230, ""\.(?:GOV|EXT)\.([A-Z0-9\-]+)"")
"),"CISAM")</f>
        <v>CISAM</v>
      </c>
      <c r="C1230" s="3" t="s">
        <v>34</v>
      </c>
      <c r="D1230" s="3" t="s">
        <v>1216</v>
      </c>
      <c r="E1230" s="14" t="str">
        <f ca="1">IFERROR(__xludf.DUMMYFUNCTION("REGEXEXTRACT(A1230, ""-(.*)"")"),"ARP.0030.03.2025.GOV.CISAM.PE")</f>
        <v>ARP.0030.03.2025.GOV.CISAM.PE</v>
      </c>
      <c r="F1230" s="3" t="s">
        <v>2054</v>
      </c>
      <c r="G1230" s="3" t="s">
        <v>3</v>
      </c>
      <c r="H1230" s="9">
        <v>45873</v>
      </c>
      <c r="I1230" s="3" t="s">
        <v>44</v>
      </c>
      <c r="J1230" s="3" t="str">
        <f>VLOOKUP(A1230,'TODOS OS PROCESSOS ATUALIZADOS '!A:I,7,0)</f>
        <v>Autorizada Sucesso</v>
      </c>
      <c r="K1230" s="3" t="s">
        <v>44</v>
      </c>
      <c r="L1230" s="3" t="str">
        <f t="shared" si="4"/>
        <v>Item atualizado</v>
      </c>
      <c r="M1230" s="3" t="s">
        <v>5</v>
      </c>
      <c r="N1230" s="3" t="s">
        <v>45</v>
      </c>
      <c r="O1230" s="3" t="s">
        <v>46</v>
      </c>
      <c r="P1230" s="3" t="s">
        <v>2055</v>
      </c>
      <c r="Q1230" s="3"/>
    </row>
    <row r="1231" spans="1:17" ht="22.5" customHeight="1" x14ac:dyDescent="0.2">
      <c r="A1231" s="3" t="s">
        <v>1264</v>
      </c>
      <c r="B1231" s="3" t="str">
        <f ca="1">IFERROR(__xludf.DUMMYFUNCTION("REGEXEXTRACT(A1231, ""\.(?:GOV|EXT)\.([A-Z0-9\-]+)"")
"),"FES-PE")</f>
        <v>FES-PE</v>
      </c>
      <c r="C1231" s="3" t="s">
        <v>34</v>
      </c>
      <c r="D1231" s="3" t="s">
        <v>1216</v>
      </c>
      <c r="E1231" s="14" t="str">
        <f ca="1">IFERROR(__xludf.DUMMYFUNCTION("REGEXEXTRACT(A1231, ""-(.*)"")"),"ARP.0015.06.2025.GOV.FES-PE.PE")</f>
        <v>ARP.0015.06.2025.GOV.FES-PE.PE</v>
      </c>
      <c r="F1231" s="3" t="s">
        <v>2056</v>
      </c>
      <c r="G1231" s="3" t="s">
        <v>3</v>
      </c>
      <c r="H1231" s="9">
        <v>45965</v>
      </c>
      <c r="I1231" s="3" t="s">
        <v>44</v>
      </c>
      <c r="J1231" s="3" t="str">
        <f>VLOOKUP(A1231,'TODOS OS PROCESSOS ATUALIZADOS '!A:I,7,0)</f>
        <v>Autorizada Sucesso</v>
      </c>
      <c r="K1231" s="3" t="s">
        <v>44</v>
      </c>
      <c r="L1231" s="3" t="str">
        <f t="shared" si="4"/>
        <v>Item atualizado</v>
      </c>
      <c r="M1231" s="3"/>
      <c r="N1231" s="3" t="s">
        <v>45</v>
      </c>
      <c r="O1231" s="3" t="s">
        <v>448</v>
      </c>
      <c r="P1231" s="3" t="s">
        <v>1266</v>
      </c>
      <c r="Q1231" s="3"/>
    </row>
    <row r="1232" spans="1:17" ht="22.5" customHeight="1" x14ac:dyDescent="0.2">
      <c r="A1232" s="3" t="s">
        <v>2057</v>
      </c>
      <c r="B1232" s="3" t="str">
        <f ca="1">IFERROR(__xludf.DUMMYFUNCTION("REGEXEXTRACT(A1232, ""\.(?:GOV|EXT)\.([A-Z0-9\-]+)"")
"),"#N/A")</f>
        <v>#N/A</v>
      </c>
      <c r="C1232" s="3" t="s">
        <v>34</v>
      </c>
      <c r="D1232" s="3" t="s">
        <v>2058</v>
      </c>
      <c r="E1232" s="3" t="str">
        <f ca="1">IFERROR(__xludf.DUMMYFUNCTION("REGEXEXTRACT(A1232, ""-(.*)"")")," 530409000232025000023")</f>
        <v xml:space="preserve"> 530409000232025000023</v>
      </c>
      <c r="F1232" s="3" t="s">
        <v>2059</v>
      </c>
      <c r="G1232" s="3" t="s">
        <v>2</v>
      </c>
      <c r="H1232" s="9">
        <v>45877</v>
      </c>
      <c r="I1232" s="3" t="s">
        <v>44</v>
      </c>
      <c r="J1232" s="3" t="e">
        <f>VLOOKUP(A1232,'TODOS OS PROCESSOS ATUALIZADOS '!A:I,7,0)</f>
        <v>#N/A</v>
      </c>
      <c r="K1232" s="3" t="s">
        <v>45</v>
      </c>
      <c r="L1232" s="3" t="str">
        <f t="shared" si="4"/>
        <v>Item não localizado</v>
      </c>
      <c r="M1232" s="3"/>
      <c r="N1232" s="3" t="s">
        <v>45</v>
      </c>
      <c r="O1232" s="3" t="s">
        <v>448</v>
      </c>
      <c r="P1232" s="3" t="s">
        <v>2060</v>
      </c>
      <c r="Q1232" s="3"/>
    </row>
    <row r="1233" spans="1:17" ht="22.5" customHeight="1" x14ac:dyDescent="0.2">
      <c r="A1233" s="3" t="s">
        <v>2061</v>
      </c>
      <c r="B1233" s="3" t="str">
        <f ca="1">IFERROR(__xludf.DUMMYFUNCTION("REGEXEXTRACT(A1233, ""\.(?:GOV|EXT)\.([A-Z0-9\-]+)"")
"),"HAM")</f>
        <v>HAM</v>
      </c>
      <c r="C1233" s="3" t="s">
        <v>34</v>
      </c>
      <c r="D1233" s="3" t="s">
        <v>1216</v>
      </c>
      <c r="E1233" s="3"/>
      <c r="F1233" s="3" t="s">
        <v>2062</v>
      </c>
      <c r="G1233" s="3" t="s">
        <v>3</v>
      </c>
      <c r="H1233" s="9">
        <v>45968</v>
      </c>
      <c r="I1233" s="3" t="s">
        <v>1254</v>
      </c>
      <c r="J1233" s="3" t="str">
        <f>VLOOKUP(A1233,'TODOS OS PROCESSOS ATUALIZADOS '!A:I,7,0)</f>
        <v>Encaminhada para o gestor de ata</v>
      </c>
      <c r="K1233" s="3" t="s">
        <v>45</v>
      </c>
      <c r="L1233" s="3" t="str">
        <f t="shared" si="4"/>
        <v>Item não atualizado</v>
      </c>
      <c r="M1233" s="3" t="s">
        <v>5</v>
      </c>
      <c r="N1233" s="3" t="s">
        <v>45</v>
      </c>
      <c r="O1233" s="3" t="s">
        <v>87</v>
      </c>
      <c r="P1233" s="3" t="s">
        <v>2063</v>
      </c>
      <c r="Q1233" s="3" t="s">
        <v>72</v>
      </c>
    </row>
    <row r="1234" spans="1:17" ht="22.5" customHeight="1" x14ac:dyDescent="0.2">
      <c r="A1234" s="3" t="s">
        <v>1237</v>
      </c>
      <c r="B1234" s="3" t="str">
        <f ca="1">IFERROR(__xludf.DUMMYFUNCTION("REGEXEXTRACT(A1234, ""\.(?:GOV|EXT)\.([A-Z0-9\-]+)"")
"),"FES-PE")</f>
        <v>FES-PE</v>
      </c>
      <c r="C1234" s="3" t="s">
        <v>34</v>
      </c>
      <c r="D1234" s="3" t="s">
        <v>1216</v>
      </c>
      <c r="E1234" s="14" t="str">
        <f ca="1">IFERROR(__xludf.DUMMYFUNCTION("REGEXEXTRACT(A1234, ""-(.*)"")"),"ARP.0067.01.2025.GOV.FES-PE.PE")</f>
        <v>ARP.0067.01.2025.GOV.FES-PE.PE</v>
      </c>
      <c r="F1234" s="3" t="s">
        <v>2064</v>
      </c>
      <c r="G1234" s="3" t="s">
        <v>3</v>
      </c>
      <c r="H1234" s="9">
        <v>45905</v>
      </c>
      <c r="I1234" s="3" t="s">
        <v>44</v>
      </c>
      <c r="J1234" s="3" t="str">
        <f>VLOOKUP(A1234,'TODOS OS PROCESSOS ATUALIZADOS '!A:I,7,0)</f>
        <v>Autorizada Sucesso</v>
      </c>
      <c r="K1234" s="3" t="s">
        <v>44</v>
      </c>
      <c r="L1234" s="3" t="str">
        <f t="shared" si="4"/>
        <v>Item atualizado</v>
      </c>
      <c r="M1234" s="3"/>
      <c r="N1234" s="3" t="s">
        <v>44</v>
      </c>
      <c r="O1234" s="3" t="s">
        <v>52</v>
      </c>
      <c r="P1234" s="3" t="s">
        <v>2065</v>
      </c>
      <c r="Q1234" s="3"/>
    </row>
    <row r="1235" spans="1:17" ht="22.5" customHeight="1" x14ac:dyDescent="0.2">
      <c r="A1235" s="3" t="s">
        <v>2066</v>
      </c>
      <c r="B1235" s="3" t="str">
        <f ca="1">IFERROR(__xludf.DUMMYFUNCTION("REGEXEXTRACT(A1235, ""\.(?:GOV|EXT)\.([A-Z0-9\-]+)"")
"),"#N/A")</f>
        <v>#N/A</v>
      </c>
      <c r="C1235" s="3" t="s">
        <v>34</v>
      </c>
      <c r="D1235" s="3" t="s">
        <v>2058</v>
      </c>
      <c r="E1235" s="3" t="str">
        <f ca="1">IFERROR(__xludf.DUMMYFUNCTION("REGEXEXTRACT(A1235, ""-(.*)"")"),"530409000232025000010")</f>
        <v>530409000232025000010</v>
      </c>
      <c r="F1235" s="3" t="s">
        <v>2067</v>
      </c>
      <c r="G1235" s="3" t="s">
        <v>2</v>
      </c>
      <c r="H1235" s="9">
        <v>45789</v>
      </c>
      <c r="I1235" s="3" t="s">
        <v>44</v>
      </c>
      <c r="J1235" s="3" t="e">
        <f>VLOOKUP(A1235,'TODOS OS PROCESSOS ATUALIZADOS '!A:I,7,0)</f>
        <v>#N/A</v>
      </c>
      <c r="K1235" s="3" t="s">
        <v>44</v>
      </c>
      <c r="L1235" s="3" t="str">
        <f t="shared" si="4"/>
        <v>Item não localizado</v>
      </c>
      <c r="M1235" s="3"/>
      <c r="N1235" s="3" t="s">
        <v>45</v>
      </c>
      <c r="O1235" s="3" t="s">
        <v>1494</v>
      </c>
      <c r="P1235" s="3" t="s">
        <v>2068</v>
      </c>
      <c r="Q1235" s="3"/>
    </row>
    <row r="1236" spans="1:17" ht="22.5" customHeight="1" x14ac:dyDescent="0.2">
      <c r="A1236" s="3" t="s">
        <v>58</v>
      </c>
      <c r="B1236" s="3" t="str">
        <f ca="1">IFERROR(__xludf.DUMMYFUNCTION("REGEXEXTRACT(A1236, ""\.(?:GOV|EXT)\.([A-Z0-9\-]+)"")
"),"131763")</f>
        <v>131763</v>
      </c>
      <c r="C1236" s="3" t="s">
        <v>34</v>
      </c>
      <c r="D1236" s="3" t="s">
        <v>35</v>
      </c>
      <c r="E1236" s="3" t="str">
        <f ca="1">IFERROR(__xludf.DUMMYFUNCTION("REGEXEXTRACT(A1236, ""-(.*)"")"),"ARP.0017.00.2025.EXT.131763.PB")</f>
        <v>ARP.0017.00.2025.EXT.131763.PB</v>
      </c>
      <c r="F1236" s="3" t="s">
        <v>2069</v>
      </c>
      <c r="G1236" s="3" t="s">
        <v>3</v>
      </c>
      <c r="H1236" s="9"/>
      <c r="I1236" s="3" t="s">
        <v>44</v>
      </c>
      <c r="J1236" s="3" t="str">
        <f>VLOOKUP(A1236,'TODOS OS PROCESSOS ATUALIZADOS '!A:I,7,0)</f>
        <v>Autorizada Integrado</v>
      </c>
      <c r="K1236" s="3" t="s">
        <v>44</v>
      </c>
      <c r="L1236" s="3" t="str">
        <f t="shared" si="4"/>
        <v>Item atualizado</v>
      </c>
      <c r="M1236" s="3" t="s">
        <v>5</v>
      </c>
      <c r="N1236" s="3" t="s">
        <v>45</v>
      </c>
      <c r="O1236" s="3" t="s">
        <v>56</v>
      </c>
      <c r="P1236" s="3" t="s">
        <v>61</v>
      </c>
      <c r="Q1236" s="3"/>
    </row>
    <row r="1237" spans="1:17" ht="22.5" customHeight="1" x14ac:dyDescent="0.2">
      <c r="A1237" s="3" t="s">
        <v>2070</v>
      </c>
      <c r="B1237" s="3" t="str">
        <f ca="1">IFERROR(__xludf.DUMMYFUNCTION("REGEXEXTRACT(A1237, ""\.(?:GOV|EXT)\.([A-Z0-9\-]+)"")
"),"HR")</f>
        <v>HR</v>
      </c>
      <c r="C1237" s="3" t="s">
        <v>34</v>
      </c>
      <c r="D1237" s="3" t="s">
        <v>35</v>
      </c>
      <c r="E1237" s="3" t="str">
        <f ca="1">IFERROR(__xludf.DUMMYFUNCTION("REGEXEXTRACT(A1237, ""-(.*)"")"),"#N/A")</f>
        <v>#N/A</v>
      </c>
      <c r="F1237" s="3" t="s">
        <v>2071</v>
      </c>
      <c r="G1237" s="3" t="s">
        <v>3</v>
      </c>
      <c r="H1237" s="9">
        <v>45977</v>
      </c>
      <c r="I1237" s="3" t="s">
        <v>44</v>
      </c>
      <c r="J1237" s="3" t="e">
        <f>VLOOKUP(A1237,'TODOS OS PROCESSOS ATUALIZADOS '!A:I,7,0)</f>
        <v>#N/A</v>
      </c>
      <c r="K1237" s="3" t="s">
        <v>45</v>
      </c>
      <c r="L1237" s="3" t="str">
        <f t="shared" si="4"/>
        <v>Item não localizado</v>
      </c>
      <c r="M1237" s="3" t="s">
        <v>9</v>
      </c>
      <c r="N1237" s="3" t="s">
        <v>45</v>
      </c>
      <c r="O1237" s="3" t="s">
        <v>87</v>
      </c>
      <c r="P1237" s="3" t="s">
        <v>2072</v>
      </c>
      <c r="Q1237" s="3"/>
    </row>
    <row r="1238" spans="1:17" ht="22.5" customHeight="1" x14ac:dyDescent="0.2">
      <c r="A1238" s="3"/>
      <c r="B1238" s="3" t="str">
        <f ca="1">IFERROR(__xludf.DUMMYFUNCTION("REGEXEXTRACT(A1238, ""\.(?:GOV|EXT)\.([A-Z0-9\-]+)"")
"),"#N/A")</f>
        <v>#N/A</v>
      </c>
      <c r="C1238" s="3" t="s">
        <v>34</v>
      </c>
      <c r="D1238" s="3" t="s">
        <v>35</v>
      </c>
      <c r="E1238" s="3" t="str">
        <f ca="1">IFERROR(__xludf.DUMMYFUNCTION("REGEXEXTRACT(A1238, ""-(.*)"")"),"#N/A")</f>
        <v>#N/A</v>
      </c>
      <c r="F1238" s="40" t="s">
        <v>2073</v>
      </c>
      <c r="G1238" s="3" t="s">
        <v>3</v>
      </c>
      <c r="H1238" s="9"/>
      <c r="I1238" s="3" t="s">
        <v>44</v>
      </c>
      <c r="J1238" s="3" t="e">
        <f>VLOOKUP(A1238,'TODOS OS PROCESSOS ATUALIZADOS '!A:I,7,0)</f>
        <v>#N/A</v>
      </c>
      <c r="K1238" s="3" t="s">
        <v>45</v>
      </c>
      <c r="L1238" s="3" t="str">
        <f t="shared" si="4"/>
        <v>Item não localizado</v>
      </c>
      <c r="M1238" s="3" t="s">
        <v>9</v>
      </c>
      <c r="N1238" s="3" t="s">
        <v>45</v>
      </c>
      <c r="O1238" s="3" t="s">
        <v>56</v>
      </c>
      <c r="P1238" s="3" t="s">
        <v>358</v>
      </c>
      <c r="Q1238" s="3"/>
    </row>
    <row r="1239" spans="1:17" ht="22.5" customHeight="1" x14ac:dyDescent="0.2">
      <c r="A1239" s="3" t="s">
        <v>2074</v>
      </c>
      <c r="B1239" s="3" t="str">
        <f ca="1">IFERROR(__xludf.DUMMYFUNCTION("REGEXEXTRACT(A1239, ""\.(?:GOV|EXT)\.([A-Z0-9\-]+)"")
"),"HEMOPE")</f>
        <v>HEMOPE</v>
      </c>
      <c r="C1239" s="3"/>
      <c r="D1239" s="3" t="s">
        <v>35</v>
      </c>
      <c r="E1239" s="3" t="str">
        <f ca="1">IFERROR(__xludf.DUMMYFUNCTION("REGEXEXTRACT(A1239, ""-(.*)"")"),"#N/A")</f>
        <v>#N/A</v>
      </c>
      <c r="F1239" s="3"/>
      <c r="G1239" s="3" t="s">
        <v>3</v>
      </c>
      <c r="H1239" s="9">
        <v>45239</v>
      </c>
      <c r="I1239" s="3" t="s">
        <v>37</v>
      </c>
      <c r="J1239" s="3" t="e">
        <f>VLOOKUP(A1239,'TODOS OS PROCESSOS ATUALIZADOS '!A:I,7,0)</f>
        <v>#N/A</v>
      </c>
      <c r="K1239" s="3" t="s">
        <v>38</v>
      </c>
      <c r="L1239" s="3" t="str">
        <f t="shared" si="4"/>
        <v>Item não localizado</v>
      </c>
      <c r="M1239" s="3" t="s">
        <v>8</v>
      </c>
      <c r="N1239" s="3" t="s">
        <v>2075</v>
      </c>
      <c r="O1239" s="3"/>
      <c r="P1239" s="3"/>
      <c r="Q1239" s="3"/>
    </row>
    <row r="1240" spans="1:17" ht="22.5" customHeight="1" x14ac:dyDescent="0.2">
      <c r="A1240" s="3" t="s">
        <v>2076</v>
      </c>
      <c r="B1240" s="3" t="str">
        <f ca="1">IFERROR(__xludf.DUMMYFUNCTION("REGEXEXTRACT(A1240, ""\.(?:GOV|EXT)\.([A-Z0-9\-]+)"")
"),"HAM")</f>
        <v>HAM</v>
      </c>
      <c r="C1240" s="3"/>
      <c r="D1240" s="3" t="s">
        <v>35</v>
      </c>
      <c r="E1240" s="3" t="str">
        <f ca="1">IFERROR(__xludf.DUMMYFUNCTION("REGEXEXTRACT(A1240, ""-(.*)"")"),"#N/A")</f>
        <v>#N/A</v>
      </c>
      <c r="F1240" s="3"/>
      <c r="G1240" s="3" t="s">
        <v>3</v>
      </c>
      <c r="H1240" s="9">
        <v>45230</v>
      </c>
      <c r="I1240" s="3" t="s">
        <v>37</v>
      </c>
      <c r="J1240" s="3" t="e">
        <f>VLOOKUP(A1240,'TODOS OS PROCESSOS ATUALIZADOS '!A:I,7,0)</f>
        <v>#N/A</v>
      </c>
      <c r="K1240" s="3" t="s">
        <v>38</v>
      </c>
      <c r="L1240" s="3" t="str">
        <f t="shared" si="4"/>
        <v>Item não localizado</v>
      </c>
      <c r="M1240" s="3" t="s">
        <v>8</v>
      </c>
      <c r="N1240" s="3" t="s">
        <v>2075</v>
      </c>
      <c r="O1240" s="3"/>
      <c r="P1240" s="3"/>
      <c r="Q1240" s="3"/>
    </row>
    <row r="1241" spans="1:17" ht="22.5" customHeight="1" x14ac:dyDescent="0.2">
      <c r="A1241" s="3" t="s">
        <v>2077</v>
      </c>
      <c r="B1241" s="3" t="str">
        <f ca="1">IFERROR(__xludf.DUMMYFUNCTION("REGEXEXTRACT(A1241, ""\.(?:GOV|EXT)\.([A-Z0-9\-]+)"")
"),"HAM")</f>
        <v>HAM</v>
      </c>
      <c r="C1241" s="3"/>
      <c r="D1241" s="3" t="s">
        <v>35</v>
      </c>
      <c r="E1241" s="3" t="str">
        <f ca="1">IFERROR(__xludf.DUMMYFUNCTION("REGEXEXTRACT(A1241, ""-(.*)"")"),"#N/A")</f>
        <v>#N/A</v>
      </c>
      <c r="F1241" s="3"/>
      <c r="G1241" s="3" t="s">
        <v>3</v>
      </c>
      <c r="H1241" s="9">
        <v>45054</v>
      </c>
      <c r="I1241" s="3" t="s">
        <v>37</v>
      </c>
      <c r="J1241" s="3" t="e">
        <f>VLOOKUP(A1241,'TODOS OS PROCESSOS ATUALIZADOS '!A:I,7,0)</f>
        <v>#N/A</v>
      </c>
      <c r="K1241" s="3" t="s">
        <v>38</v>
      </c>
      <c r="L1241" s="3" t="str">
        <f t="shared" si="4"/>
        <v>Item não localizado</v>
      </c>
      <c r="M1241" s="3" t="s">
        <v>8</v>
      </c>
      <c r="N1241" s="3" t="s">
        <v>2075</v>
      </c>
      <c r="O1241" s="3"/>
      <c r="P1241" s="3"/>
      <c r="Q1241" s="3"/>
    </row>
    <row r="1242" spans="1:17" ht="22.5" customHeight="1" x14ac:dyDescent="0.2">
      <c r="A1242" s="41" t="s">
        <v>2078</v>
      </c>
      <c r="B1242" s="3" t="str">
        <f ca="1">IFERROR(__xludf.DUMMYFUNCTION("REGEXEXTRACT(A1242, ""\.(?:GOV|EXT)\.([A-Z0-9\-]+)"")
"),"HAM")</f>
        <v>HAM</v>
      </c>
      <c r="C1242" s="3"/>
      <c r="D1242" s="3" t="s">
        <v>35</v>
      </c>
      <c r="E1242" s="3" t="str">
        <f ca="1">IFERROR(__xludf.DUMMYFUNCTION("REGEXEXTRACT(A1242, ""-(.*)"")"),"#N/A")</f>
        <v>#N/A</v>
      </c>
      <c r="F1242" s="3"/>
      <c r="G1242" s="3" t="s">
        <v>3</v>
      </c>
      <c r="H1242" s="9">
        <v>45159</v>
      </c>
      <c r="I1242" s="3" t="s">
        <v>37</v>
      </c>
      <c r="J1242" s="3" t="e">
        <f>VLOOKUP(A1242,'TODOS OS PROCESSOS ATUALIZADOS '!A:I,7,0)</f>
        <v>#N/A</v>
      </c>
      <c r="K1242" s="3" t="s">
        <v>38</v>
      </c>
      <c r="L1242" s="3" t="str">
        <f t="shared" si="4"/>
        <v>Item não localizado</v>
      </c>
      <c r="M1242" s="3" t="s">
        <v>8</v>
      </c>
      <c r="N1242" s="3" t="s">
        <v>2075</v>
      </c>
      <c r="O1242" s="3"/>
      <c r="P1242" s="3"/>
      <c r="Q1242" s="3"/>
    </row>
    <row r="1243" spans="1:17" ht="22.5" customHeight="1" x14ac:dyDescent="0.2">
      <c r="A1243" s="42" t="s">
        <v>2079</v>
      </c>
      <c r="B1243" s="3" t="str">
        <f ca="1">IFERROR(__xludf.DUMMYFUNCTION("REGEXEXTRACT(A1243, ""\.(?:GOV|EXT)\.([A-Z0-9\-]+)"")
"),"HAM")</f>
        <v>HAM</v>
      </c>
      <c r="C1243" s="3"/>
      <c r="D1243" s="3" t="s">
        <v>35</v>
      </c>
      <c r="E1243" s="3" t="str">
        <f ca="1">IFERROR(__xludf.DUMMYFUNCTION("REGEXEXTRACT(A1243, ""-(.*)"")"),"#N/A")</f>
        <v>#N/A</v>
      </c>
      <c r="F1243" s="3"/>
      <c r="G1243" s="3" t="s">
        <v>3</v>
      </c>
      <c r="H1243" s="9">
        <v>45188</v>
      </c>
      <c r="I1243" s="3" t="s">
        <v>37</v>
      </c>
      <c r="J1243" s="3" t="e">
        <f>VLOOKUP(A1243,'TODOS OS PROCESSOS ATUALIZADOS '!A:I,7,0)</f>
        <v>#N/A</v>
      </c>
      <c r="K1243" s="3" t="s">
        <v>38</v>
      </c>
      <c r="L1243" s="3" t="str">
        <f t="shared" si="4"/>
        <v>Item não localizado</v>
      </c>
      <c r="M1243" s="3" t="s">
        <v>8</v>
      </c>
      <c r="N1243" s="3" t="s">
        <v>2075</v>
      </c>
      <c r="O1243" s="3"/>
      <c r="Q1243" s="3"/>
    </row>
    <row r="1244" spans="1:17" ht="22.5" customHeight="1" x14ac:dyDescent="0.2">
      <c r="A1244" s="3"/>
      <c r="B1244" s="3" t="str">
        <f ca="1">IFERROR(__xludf.DUMMYFUNCTION("REGEXEXTRACT(A1244, ""\.(?:GOV|EXT)\.([A-Z0-9\-]+)"")
"),"#N/A")</f>
        <v>#N/A</v>
      </c>
      <c r="C1244" s="3"/>
      <c r="D1244" s="3"/>
      <c r="E1244" s="3" t="str">
        <f ca="1">IFERROR(__xludf.DUMMYFUNCTION("REGEXEXTRACT(A1244, ""-(.*)"")"),"#N/A")</f>
        <v>#N/A</v>
      </c>
      <c r="F1244" s="3"/>
      <c r="G1244" s="3"/>
      <c r="H1244" s="9"/>
      <c r="I1244" s="3"/>
      <c r="J1244" s="3" t="e">
        <f>VLOOKUP(A1244,'TODOS OS PROCESSOS ATUALIZADOS '!A:I,7,0)</f>
        <v>#N/A</v>
      </c>
      <c r="K1244" s="3" t="s">
        <v>38</v>
      </c>
      <c r="L1244" s="3" t="str">
        <f t="shared" si="4"/>
        <v>Item não localizado</v>
      </c>
      <c r="M1244" s="3" t="s">
        <v>5</v>
      </c>
      <c r="N1244" s="3" t="s">
        <v>45</v>
      </c>
      <c r="O1244" s="3" t="s">
        <v>60</v>
      </c>
      <c r="P1244" s="3" t="s">
        <v>2080</v>
      </c>
      <c r="Q1244" s="3"/>
    </row>
    <row r="1245" spans="1:17" ht="22.5" customHeight="1" x14ac:dyDescent="0.2">
      <c r="A1245" s="3"/>
      <c r="B1245" s="3" t="str">
        <f ca="1">IFERROR(__xludf.DUMMYFUNCTION("REGEXEXTRACT(A1245, ""\.(?:GOV|EXT)\.([A-Z0-9\-]+)"")
"),"#N/A")</f>
        <v>#N/A</v>
      </c>
      <c r="C1245" s="3"/>
      <c r="D1245" s="3"/>
      <c r="E1245" s="3" t="str">
        <f ca="1">IFERROR(__xludf.DUMMYFUNCTION("REGEXEXTRACT(A1245, ""-(.*)"")"),"#N/A")</f>
        <v>#N/A</v>
      </c>
      <c r="F1245" s="3"/>
      <c r="G1245" s="3"/>
      <c r="H1245" s="9"/>
      <c r="I1245" s="3"/>
      <c r="J1245" s="3" t="e">
        <f>VLOOKUP(A1245,'TODOS OS PROCESSOS ATUALIZADOS '!A:I,7,0)</f>
        <v>#N/A</v>
      </c>
      <c r="K1245" s="3" t="s">
        <v>38</v>
      </c>
      <c r="L1245" s="3" t="str">
        <f t="shared" si="4"/>
        <v>Item não localizado</v>
      </c>
      <c r="M1245" s="3"/>
      <c r="N1245" s="3" t="s">
        <v>45</v>
      </c>
      <c r="O1245" s="3"/>
      <c r="P1245" s="3" t="s">
        <v>2081</v>
      </c>
      <c r="Q1245" s="3"/>
    </row>
    <row r="1246" spans="1:17" ht="22.5" customHeight="1" x14ac:dyDescent="0.2">
      <c r="A1246" s="3" t="s">
        <v>2082</v>
      </c>
      <c r="B1246" s="3" t="str">
        <f ca="1">IFERROR(__xludf.DUMMYFUNCTION("REGEXEXTRACT(A1246, ""\.(?:GOV|EXT)\.([A-Z0-9\-]+)"")
"),"#N/A")</f>
        <v>#N/A</v>
      </c>
      <c r="C1246" s="3"/>
      <c r="D1246" s="3" t="s">
        <v>2083</v>
      </c>
      <c r="E1246" s="3" t="str">
        <f ca="1">IFERROR(__xludf.DUMMYFUNCTION("REGEXEXTRACT(A1246, ""-(.*)"")"),"530409000232025000032")</f>
        <v>530409000232025000032</v>
      </c>
      <c r="F1246" s="3"/>
      <c r="G1246" s="3" t="s">
        <v>2</v>
      </c>
      <c r="H1246" s="9">
        <v>45960</v>
      </c>
      <c r="I1246" s="3" t="s">
        <v>153</v>
      </c>
      <c r="J1246" s="3" t="e">
        <f>VLOOKUP(A1246,'TODOS OS PROCESSOS ATUALIZADOS '!A:I,7,0)</f>
        <v>#N/A</v>
      </c>
      <c r="K1246" s="3" t="s">
        <v>45</v>
      </c>
      <c r="L1246" s="3" t="str">
        <f t="shared" si="4"/>
        <v>Item não localizado</v>
      </c>
      <c r="M1246" s="3" t="s">
        <v>7</v>
      </c>
      <c r="N1246" s="3" t="s">
        <v>45</v>
      </c>
      <c r="O1246" s="3" t="s">
        <v>87</v>
      </c>
      <c r="P1246" s="3" t="s">
        <v>2084</v>
      </c>
      <c r="Q1246" s="3"/>
    </row>
    <row r="1247" spans="1:17" ht="22.5" customHeight="1" x14ac:dyDescent="0.2">
      <c r="A1247" s="3" t="s">
        <v>283</v>
      </c>
      <c r="B1247" s="3" t="str">
        <f ca="1">IFERROR(__xludf.DUMMYFUNCTION("REGEXEXTRACT(A1247, ""\.(?:GOV|EXT)\.([A-Z0-9\-]+)"")
"),"FES-PE")</f>
        <v>FES-PE</v>
      </c>
      <c r="C1247" s="3" t="s">
        <v>34</v>
      </c>
      <c r="D1247" s="3" t="s">
        <v>35</v>
      </c>
      <c r="E1247" s="14" t="str">
        <f ca="1">IFERROR(__xludf.DUMMYFUNCTION("REGEXEXTRACT(A1247, ""-(.*)"")"),"ARP.0068.00.2025.GOV.FES-PE.PE")</f>
        <v>ARP.0068.00.2025.GOV.FES-PE.PE</v>
      </c>
      <c r="F1247" s="3" t="s">
        <v>2085</v>
      </c>
      <c r="G1247" s="3" t="s">
        <v>1</v>
      </c>
      <c r="H1247" s="9">
        <v>45898</v>
      </c>
      <c r="I1247" s="3" t="s">
        <v>44</v>
      </c>
      <c r="J1247" s="3" t="str">
        <f>VLOOKUP(A1247,'TODOS OS PROCESSOS ATUALIZADOS '!A:I,7,0)</f>
        <v>Autorizada Sucesso</v>
      </c>
      <c r="K1247" s="3" t="s">
        <v>44</v>
      </c>
      <c r="L1247" s="3" t="str">
        <f t="shared" si="4"/>
        <v>Item atualizado</v>
      </c>
      <c r="M1247" s="3" t="s">
        <v>11</v>
      </c>
      <c r="N1247" s="3" t="s">
        <v>45</v>
      </c>
      <c r="O1247" s="3" t="s">
        <v>87</v>
      </c>
      <c r="P1247" s="3" t="s">
        <v>284</v>
      </c>
      <c r="Q1247" s="3"/>
    </row>
    <row r="1248" spans="1:17" ht="22.5" customHeight="1" x14ac:dyDescent="0.2">
      <c r="A1248" s="3" t="s">
        <v>264</v>
      </c>
      <c r="B1248" s="3" t="str">
        <f ca="1">IFERROR(__xludf.DUMMYFUNCTION("REGEXEXTRACT(A1248, ""\.(?:GOV|EXT)\.([A-Z0-9\-]+)"")
"),"FES-PE")</f>
        <v>FES-PE</v>
      </c>
      <c r="C1248" s="3" t="s">
        <v>34</v>
      </c>
      <c r="D1248" s="3" t="s">
        <v>35</v>
      </c>
      <c r="E1248" s="14" t="str">
        <f ca="1">IFERROR(__xludf.DUMMYFUNCTION("REGEXEXTRACT(A1248, ""-(.*)"")"),"ARP.0059.00.2025.GOV.FES-PE.PE")</f>
        <v>ARP.0059.00.2025.GOV.FES-PE.PE</v>
      </c>
      <c r="F1248" s="3" t="s">
        <v>228</v>
      </c>
      <c r="G1248" s="3" t="s">
        <v>1</v>
      </c>
      <c r="H1248" s="9">
        <v>45884</v>
      </c>
      <c r="I1248" s="3" t="s">
        <v>44</v>
      </c>
      <c r="J1248" s="3" t="str">
        <f>VLOOKUP(A1248,'TODOS OS PROCESSOS ATUALIZADOS '!A:I,7,0)</f>
        <v>Autorizada Sucesso</v>
      </c>
      <c r="K1248" s="3" t="s">
        <v>38</v>
      </c>
      <c r="L1248" s="3" t="str">
        <f t="shared" si="4"/>
        <v>Item atualizado</v>
      </c>
      <c r="M1248" s="3"/>
      <c r="N1248" s="3"/>
      <c r="O1248" s="3"/>
      <c r="P1248" s="3" t="s">
        <v>265</v>
      </c>
      <c r="Q1248" s="3"/>
    </row>
    <row r="1249" spans="1:17" ht="22.5" customHeight="1" x14ac:dyDescent="0.2">
      <c r="A1249" s="32" t="s">
        <v>388</v>
      </c>
      <c r="B1249" s="3" t="str">
        <f ca="1">IFERROR(__xludf.DUMMYFUNCTION("REGEXEXTRACT(A1249, ""\.(?:GOV|EXT)\.([A-Z0-9\-]+)"")
"),"FES-PE")</f>
        <v>FES-PE</v>
      </c>
      <c r="C1249" s="3" t="s">
        <v>34</v>
      </c>
      <c r="D1249" s="3" t="s">
        <v>35</v>
      </c>
      <c r="E1249" s="14" t="str">
        <f ca="1">IFERROR(__xludf.DUMMYFUNCTION("REGEXEXTRACT(A1249, ""-(.*)"")"),"ARP.0059.02.2025.GOV.FES-PE.PE")</f>
        <v>ARP.0059.02.2025.GOV.FES-PE.PE</v>
      </c>
      <c r="F1249" s="3" t="s">
        <v>2086</v>
      </c>
      <c r="G1249" s="3" t="s">
        <v>1</v>
      </c>
      <c r="H1249" s="9"/>
      <c r="I1249" s="3"/>
      <c r="J1249" s="3" t="str">
        <f>VLOOKUP(A1249,'TODOS OS PROCESSOS ATUALIZADOS '!A:I,7,0)</f>
        <v>Autorizada Sucesso</v>
      </c>
      <c r="K1249" s="3"/>
      <c r="L1249" s="3" t="str">
        <f t="shared" si="4"/>
        <v>Item atualizado</v>
      </c>
      <c r="M1249" s="3"/>
      <c r="N1249" s="3"/>
      <c r="O1249" s="3"/>
      <c r="P1249" s="3" t="s">
        <v>389</v>
      </c>
      <c r="Q1249" s="3"/>
    </row>
  </sheetData>
  <customSheetViews>
    <customSheetView guid="{146AB4FE-80FB-4EAF-9ABE-506C2384DA52}" filter="1" showAutoFilter="1">
      <pageMargins left="0.511811024" right="0.511811024" top="0.78740157499999996" bottom="0.78740157499999996" header="0.31496062000000002" footer="0.31496062000000002"/>
      <autoFilter ref="A1:Q1249" xr:uid="{342EA5A9-B760-4B7F-B6A9-115A5FF43FD9}">
        <filterColumn colId="10">
          <filters blank="1">
            <filter val="Concluído"/>
            <filter val="Em andamento"/>
          </filters>
        </filterColumn>
      </autoFilter>
    </customSheetView>
    <customSheetView guid="{D1EDD1A1-7A92-4A92-A9D4-6C8C7840450D}" filter="1" showAutoFilter="1">
      <pageMargins left="0.511811024" right="0.511811024" top="0.78740157499999996" bottom="0.78740157499999996" header="0.31496062000000002" footer="0.31496062000000002"/>
      <autoFilter ref="A1:Q1249" xr:uid="{F899291E-B0C6-430A-BDA3-B7AF4E8480FC}"/>
    </customSheetView>
    <customSheetView guid="{C40F310E-19C8-4B9C-B8A2-6B5ABFC5085D}" filter="1" showAutoFilter="1">
      <pageMargins left="0.511811024" right="0.511811024" top="0.78740157499999996" bottom="0.78740157499999996" header="0.31496062000000002" footer="0.31496062000000002"/>
      <autoFilter ref="A1:Q1249" xr:uid="{D76892FD-E3E1-4188-9DF7-B1A0720093BB}"/>
    </customSheetView>
    <customSheetView guid="{ABB9FE62-DD12-4A9D-B3D1-4D5352F026D9}" filter="1" showAutoFilter="1">
      <pageMargins left="0.511811024" right="0.511811024" top="0.78740157499999996" bottom="0.78740157499999996" header="0.31496062000000002" footer="0.31496062000000002"/>
      <autoFilter ref="A1:Q1249" xr:uid="{C7859D95-2E43-40FD-86F5-CC5527375939}">
        <filterColumn colId="8">
          <filters blank="1">
            <filter val="Concluído"/>
            <filter val="Em configuração"/>
            <filter val="Em revisão"/>
            <filter val="Encaminhada para anuência do gestor"/>
            <filter val="Encaminhada para o gestor central de ata"/>
            <filter val="Encaminhada para o gestor de ata"/>
          </filters>
        </filterColumn>
        <filterColumn colId="10">
          <filters blank="1">
            <filter val="Cancelado"/>
            <filter val="Concluído"/>
            <filter val="Em andamento"/>
            <filter val="Processo 2024"/>
          </filters>
        </filterColumn>
        <filterColumn colId="14">
          <filters blank="1">
            <filter val="Envaido a SES - ADESOES_HRA"/>
            <filter val="Enviado a GCONTRATOS"/>
            <filter val="Enviado a NAEN"/>
            <filter val="Enviado a NFOCPO"/>
            <filter val="Enviado a SADM SUPRI"/>
            <filter val="Enviado a SSUPRI"/>
            <filter val="Enviado ao GFIN"/>
            <filter val="Enviado ao JURIDICO"/>
            <filter val="SEI não localizado"/>
          </filters>
        </filterColumn>
        <filterColumn colId="15">
          <filters blank="1">
            <filter val="2300000178.000199/2023-17"/>
            <filter val="2300001205.000009/2025-11"/>
            <filter val="2300001205.000036/2025-94"/>
            <filter val="2300001205.000038/2025-83"/>
            <filter val="2300001205.000062/2024-31"/>
            <filter val="2300001205.000063/2025-67"/>
            <filter val="2300001205.000181/2024-94"/>
            <filter val="2300001205.000246/2024-00"/>
            <filter val="2300001207.000022/2025-51"/>
            <filter val="2300001207.000031/2025-41"/>
            <filter val="2300001207.000047/2025-54"/>
            <filter val="2300001207.000062/2025-01"/>
            <filter val="2300001207.000064/2025-91"/>
            <filter val="2300001207.000065/2025-36"/>
            <filter val="2300001207.000066/2024-08"/>
            <filter val="2300001207.000067/2025-25"/>
            <filter val="2300001207.000068/2025-70"/>
            <filter val="2300001207.000085/2024-26"/>
            <filter val="2300001207.000090/2024-39"/>
            <filter val="2300001207.000092/2024-28"/>
            <filter val="2300001207.000093/2024-72"/>
            <filter val="2300001207.000094/2024-17"/>
            <filter val="2300001207.000095/2024-61"/>
            <filter val="2300001207.000096/2024-14"/>
            <filter val="2300001207.000097/2024-51"/>
            <filter val="2300001207.000111/2024-16"/>
            <filter val="2300001207.000116/2024-49"/>
            <filter val="2300001207.000117/2024-93"/>
            <filter val="2300001207.000118/2024-38"/>
            <filter val="2300001207.000120/2024-15"/>
            <filter val="2300001207.000125/2024-30"/>
            <filter val="2300001207.000126/2024-84"/>
            <filter val="2300001207.000127/2024-29"/>
            <filter val="2300001207.000127/2025-18"/>
            <filter val="2300001207.000128/2024-73"/>
            <filter val="2300001207.000131/2024-97"/>
            <filter val="2300001207.000133/2024-86"/>
            <filter val="2300001207.000134/2024-21"/>
            <filter val="2300001207.000147/2024-08"/>
            <filter val="2300001207.000148/2024-44"/>
            <filter val="2300001207.000149/2024-99"/>
            <filter val="2300001207.000153/2024-57"/>
            <filter val="2300001207.000154/2024-00"/>
            <filter val="2300001207.000155/2024-46"/>
            <filter val="2300001207.000157/2024-35"/>
            <filter val="2300001207.000158/2024-80"/>
            <filter val="2300001207.000159/2024-24"/>
            <filter val="2300001207.000161/2024-01"/>
            <filter val="2300001207.000164/2024-37"/>
            <filter val="2300001207.000165/2024-81"/>
            <filter val="2300001207.000166/2024-26"/>
            <filter val="2300001207.000168/2024-15"/>
            <filter val="2300001207.000169/2024-60"/>
            <filter val="2300001207.000170/2024-94"/>
            <filter val="2300001207.000171/2024-39"/>
            <filter val="2300001207.000246/2024-81"/>
            <filter val="2300001209.000007/2025-92"/>
            <filter val="2300001209.000033/2025-11"/>
            <filter val="2300001209.000037/2025-07"/>
            <filter val="2300001209.000048/2024-06"/>
            <filter val="2300001209.000054/2024-55"/>
            <filter val="2300001209.000055/2025-81"/>
            <filter val="2300001209.000057/2025-70"/>
            <filter val="2300001209.000090/2024-19"/>
            <filter val="2300001213.000001/2025-56"/>
            <filter val="2300001213.000002/2025-09"/>
            <filter val="2300001213.000003/2025-45"/>
            <filter val="2300001213.000004/2025-90"/>
            <filter val="2300001213.000005/2025-34"/>
            <filter val="2300001213.000006/2025-89"/>
            <filter val="2300001213.000007/2025-23"/>
            <filter val="2300001213.000008/2025-78"/>
            <filter val="2300001213.000009/2025-12"/>
            <filter val="2300001213.000010/2025-47"/>
            <filter val="2300001213.000011/2025-91"/>
            <filter val="2300001213.000012/2025-36"/>
            <filter val="2300001213.000018/2025-11"/>
            <filter val="2300001213.000033/2025-51"/>
            <filter val="2300001213.000037/2025-30"/>
            <filter val="2300001213.000040/2025-53"/>
            <filter val="2300001213.000041/2025-06"/>
            <filter val="2300001213.000042/2025-42"/>
            <filter val="2300001213.000044/2025-31"/>
            <filter val="2300001213.000049/2025-64"/>
            <filter val="2300001213.000053/2025-22"/>
            <filter val="2300001213.000061/2025-79"/>
            <filter val="2300001213.000062/2025-13"/>
            <filter val="2300001213.000063/2025-68"/>
            <filter val="2300001213.000065/2025-57"/>
            <filter val="2300001213.000066/2024-11"/>
            <filter val="2300001213.000066/2025-00"/>
            <filter val="2300001213.000067/2024-65"/>
            <filter val="2300001213.000067/2025-46"/>
            <filter val="2300001213.000068/2025-91"/>
            <filter val="2300001213.000073/2025-01"/>
            <filter val="2300001213.000075/2025-92"/>
            <filter val="2300001213.000079/2025-71"/>
            <filter val="2300001213.000082/2025-94"/>
            <filter val="2300001213.000090/2025-31"/>
            <filter val="2300001213.000096/2025-16"/>
            <filter val="2300001213.000105/2024-80"/>
            <filter val="2300001213.000106/2024-24"/>
            <filter val="2300001213.000107/2024-79"/>
            <filter val="2300001213.000108/2024-13"/>
            <filter val="2300001213.000109/2024-68"/>
            <filter val="2300001213.000110/2024-92"/>
            <filter val="2300001213.000111/2024-37"/>
            <filter val="2300001213.000113/2025-15"/>
            <filter val="2300001213.000115/2025-04"/>
            <filter val="2300001213.000117/2025-95"/>
            <filter val="2300001213.000119/2025-84"/>
            <filter val="2300001213.000120/2025-17"/>
            <filter val="2300001213.000121/2025-53"/>
            <filter val="2300001213.000122/2025-06"/>
            <filter val="2300001213.000127/2025-21"/>
            <filter val="2300001213.000129/2024-39"/>
            <filter val="2300001213.000129/2025-10"/>
            <filter val="2300001213.000130/2024-63"/>
            <filter val="2300001213.000132/2025-33"/>
            <filter val="2300001213.000133/2025-88"/>
            <filter val="2300001213.000134/2025-22"/>
            <filter val="2300001213.000135/2025-77"/>
            <filter val="2300001213.000137/2025-66"/>
            <filter val="2300001213.000139/2025-55"/>
            <filter val="2300001213.000140/2025-80"/>
            <filter val="2300001213.000147/2024-11"/>
            <filter val="2300001213.000152/2024-23"/>
            <filter val="2300001213.000153/2024-78"/>
            <filter val="2300001213.000155/2025-48"/>
            <filter val="2300001213.000158/2025-81"/>
            <filter val="2300001213.000159/2025-26"/>
            <filter val="2300001213.000161/2025-03"/>
            <filter val="2300001213.000162/2025-40"/>
            <filter val="2300001213.000163/2025-94"/>
            <filter val="2300001213.000167/2025-72"/>
            <filter val="2300001213.000168/2025-17"/>
            <filter val="2300001213.000172/2024-02"/>
            <filter val="2300001213.000174/2025-74"/>
            <filter val="2300001213.000176/2025-63"/>
            <filter val="2300001213.000181/2025-76"/>
            <filter val="2300001213.000185/2025-54"/>
            <filter val="2300001213.000186/2024-18"/>
            <filter val="2300001213.000188/2024-15"/>
            <filter val="2300001213.000189/2025-32"/>
            <filter val="2300001213.000192/2024-75"/>
            <filter val="2300001213.000193/2024-10"/>
            <filter val="2300001213.000195/2024-17"/>
            <filter val="2300001213.000195/2025-90"/>
            <filter val="2300001213.000196/2025-34"/>
            <filter val="2300001213.000197/2025-89"/>
            <filter val="2300001213.000202/2025-53"/>
            <filter val="2300001213.000211/2024-63"/>
            <filter val="2300001213.000217/2025-11"/>
            <filter val="2300001213.000219/2024-20"/>
            <filter val="2300001213.000225/2025-68"/>
            <filter val="2300001213.000230/2025-71"/>
            <filter val="2300001213.000231/2024-34"/>
            <filter val="2300001213.000231/2025-15"/>
            <filter val="2300001213.000237/2025-92"/>
            <filter val="2300001213.000238/2025-37"/>
            <filter val="2300001213.000239/2025-81"/>
            <filter val="2300001213.000241/2025-51"/>
            <filter val="2300001213.000244/2025-94"/>
            <filter val="2300001213.000245/2025-39"/>
            <filter val="2300001213.000248/2024-91"/>
            <filter val="2300001213.000249/2024-36"/>
            <filter val="2300001213.000252/2024-50"/>
            <filter val="2300001213.000258/2025-16"/>
            <filter val="2300001213.000260/2024-04"/>
            <filter val="2300001213.000266/2025-54"/>
            <filter val="2300001213.000268/2025-43"/>
            <filter val="2300001213.000270/2025-12"/>
            <filter val="2300001213.000273/2024-75"/>
            <filter val="2300001213.000274/2024-10"/>
            <filter val="2300001213.000275/2025-45"/>
            <filter val="2300001213.000282/2025-47"/>
            <filter val="2300001213.000283/2024-19"/>
            <filter val="2300001213.000283/2025-91"/>
            <filter val="2300001213.000285/2024-08"/>
            <filter val="2300001213.000289/2025-69"/>
            <filter val="2300001213.000292/2025-82"/>
            <filter val="2300001213.000297/2024-24"/>
            <filter val="2300001213.000302/2024-07"/>
            <filter val="2300001213.000304/2024-98"/>
            <filter val="2300001213.000306/2024-87"/>
            <filter val="2300001213.000309/2025-00"/>
            <filter val="2300001213.000312/2025-15"/>
            <filter val="2300001213.000314/2025-12"/>
            <filter val="2300001213.000315/2024-78"/>
            <filter val="2300001213.000315/2025-59"/>
            <filter val="2300001213.000316/2024-12"/>
            <filter val="2300001213.000317/2024-67"/>
            <filter val="2300001213.000317/2025-48"/>
            <filter val="2300001213.000318/2025-92"/>
            <filter val="2300001213.000321/2025-14"/>
            <filter val="2300001213.000323/2025-03"/>
            <filter val="2300001213.000324/2025-40"/>
            <filter val="2300001213.000325/2025-94"/>
            <filter val="2300001213.000326/2025-39"/>
            <filter val="2300001213.000329/2024-91"/>
            <filter val="2300001213.000329/2025-72"/>
            <filter val="2300001213.000335/2024-49"/>
            <filter val="2300001213.000337/2024-38"/>
            <filter val="2300001213.000341/2025-87"/>
            <filter val="2300001213.000342/2025-21"/>
            <filter val="2300001213.000345/2025-65"/>
            <filter val="2300001213.000351/2024-31"/>
            <filter val="2300001213.000352/2025-67"/>
            <filter val="2300001213.000354/2025-56"/>
            <filter val="2300001213.000355/2024-10"/>
            <filter val="2300001213.000356/2025-45"/>
            <filter val="2300001213.000357/2024-17"/>
            <filter val="2300001213.000362/2025-01"/>
            <filter val="2300001213.000363/2024-66"/>
            <filter val="2300001213.000365/2024-55"/>
            <filter val="2300001213.000377/2024-80"/>
            <filter val="2300001213.000378/2024-24"/>
            <filter val="2300001213.000381/2024-48"/>
            <filter val="2300001213.000382/2024-92"/>
            <filter val="2300001213.000383/2025-18"/>
            <filter val="2300001213.000389/2024-12"/>
            <filter val="2300001213.000393/2025-53"/>
            <filter val="2300001213.000394/2025-06"/>
            <filter val="2300001213.000395/2025-42"/>
            <filter val="2300001213.000396/2024-14"/>
            <filter val="2300001213.000404/2025-03"/>
            <filter val="2300001213.000405/2025-40"/>
            <filter val="2300001213.000413/2025-96"/>
            <filter val="2300001213.000414/2024-50"/>
            <filter val="2300001213.000425/2024-30"/>
            <filter val="2300001213.000428/2024-73"/>
            <filter val="2300001213.000444/2024-66"/>
            <filter val="2300001213.000453/2024-57"/>
            <filter val="2300001213.000456/2024-91"/>
            <filter val="2300001213.000457/2024-35"/>
            <filter val="2300001213.000475/2024-17"/>
            <filter val="2300001213.000478/2024-51"/>
            <filter val="2300001213.000479/2024-03"/>
            <filter val="2300001213.000483/2024-63"/>
            <filter val="2300001213.000488/2024-96"/>
            <filter val="2300001213.000501/2024-15"/>
            <filter val="2300001213.000507/2024-84"/>
            <filter val="2300001213.000510/2024-06"/>
            <filter val="2300001213.000512/2024-97"/>
            <filter val="2300001213.000536/2024-46"/>
            <filter val="2300001213.000540/2024-12"/>
            <filter val="2300001213.000542/2024-01"/>
            <filter val="2300001213.000555/2024-72"/>
            <filter val="2300001213.000556/2024-17"/>
            <filter val="2300001213.000564/2024-63"/>
            <filter val="2300001216.000020/2024-71"/>
            <filter val="2300001216.000021/2023-35"/>
            <filter val="2300001216.000029/2024-82"/>
            <filter val="2300001216.000030/2024-15"/>
            <filter val="2300001216.000056/2024-55"/>
            <filter val="2300002264.000003/2024-21"/>
            <filter val="2300002541.000001/2024-16"/>
            <filter val="2300002544.000001/2024-96"/>
            <filter val="2300002544.000003/2024-85"/>
            <filter val="2300002544.000003/2025-66"/>
            <filter val="2300002544.000004/2025-19"/>
            <filter val="2300002544.000005/2025-55"/>
            <filter val="2300002544.000006/2024-19"/>
            <filter val="2300002544.000007/2024-63"/>
            <filter val="2300002544.000007/2025-44"/>
            <filter val="2300002544.000008/2024-16"/>
            <filter val="2300002544.000009/2025-33"/>
            <filter val="2300002544.000010/2024-87"/>
            <filter val="2300002544.000010/2025-68"/>
            <filter val="2300002544.000011/2025-11"/>
            <filter val="2300002544.000012/2024-76"/>
            <filter val="2300002544.000012/2025-57"/>
            <filter val="2300002544.000013/2024-11"/>
            <filter val="2300002544.000013/2025-00"/>
            <filter val="2300002544.000014/2024-65"/>
            <filter val="2300002544.000015/2024-18"/>
            <filter val="2300002544.000015/2025-91"/>
            <filter val="2300002544.000018/2024-43"/>
            <filter val="2300002544.000019/2024-98"/>
            <filter val="2300002544.000023/2025-37"/>
            <filter val="2300002544.000024/2025-81"/>
            <filter val="2300002544.000025/2025-26"/>
            <filter val="2300002544.000027/2025-15"/>
            <filter val="2300002544.000028/2024-89"/>
            <filter val="2300002544.000028/2025-60"/>
            <filter val="2300002544.000029/2024-23"/>
            <filter val="2300002544.000030/2025-39"/>
            <filter val="2300002544.000033/2024-91"/>
            <filter val="2300002544.000034/2024-36"/>
            <filter val="2300002544.000036/2024-25"/>
            <filter val="2300002544.000036/2025-14"/>
            <filter val="2300002544.000037/2024-70"/>
            <filter val="2300002544.000038/2024-14"/>
            <filter val="2300002544.000039/2025-40"/>
            <filter val="2300002544.000040/2025-74"/>
            <filter val="2300002544.000042/2025-63"/>
            <filter val="2300002544.000043/2025-16"/>
            <filter val="2300002544.000045/2025-05"/>
            <filter val="2300002544.000046/2025-41"/>
            <filter val="2300002544.000048/2025-31"/>
            <filter val="2300002544.000050/2025-18"/>
            <filter val="2300002544.0000512025-54"/>
            <filter val="2300002544.000052/2025-07"/>
            <filter val="2300002544.000054/2025-98"/>
            <filter val="2300002544.000055/2025-32"/>
            <filter val="2300002544.000057/2025-21"/>
            <filter val="2300002544.000059/2025-11"/>
            <filter val="2300002544.000065/2025-78"/>
            <filter val="2300002544.000067/2025-67"/>
            <filter val="2300002747.000054/2025-10"/>
            <filter val="2300002944.000005/2025-42"/>
            <filter val="j"/>
          </filters>
        </filterColumn>
      </autoFilter>
    </customSheetView>
    <customSheetView guid="{33E64502-5908-4515-BE8E-B4111BE2B34E}" filter="1" showAutoFilter="1">
      <pageMargins left="0.511811024" right="0.511811024" top="0.78740157499999996" bottom="0.78740157499999996" header="0.31496062000000002" footer="0.31496062000000002"/>
      <autoFilter ref="A1:Q1249" xr:uid="{AE4C5F1D-1FE1-474F-8848-1C2F63EC7244}"/>
    </customSheetView>
    <customSheetView guid="{CF7C5161-4612-4E64-AF44-9613669C62C2}" filter="1" showAutoFilter="1">
      <pageMargins left="0.511811024" right="0.511811024" top="0.78740157499999996" bottom="0.78740157499999996" header="0.31496062000000002" footer="0.31496062000000002"/>
      <autoFilter ref="A1:Q1249" xr:uid="{63760094-533E-4475-9F64-2FA9B0317DDD}"/>
    </customSheetView>
    <customSheetView guid="{CAD58AD8-D5E4-48E8-A789-FCE21B59A2A7}" filter="1" showAutoFilter="1">
      <pageMargins left="0.511811024" right="0.511811024" top="0.78740157499999996" bottom="0.78740157499999996" header="0.31496062000000002" footer="0.31496062000000002"/>
      <autoFilter ref="A1:Q1249" xr:uid="{44167905-B0B4-4577-B8E2-A5072538A9D4}"/>
    </customSheetView>
    <customSheetView guid="{1A9E918E-712B-493C-8EE3-B789EC58F5D8}" filter="1" showAutoFilter="1">
      <pageMargins left="0.511811024" right="0.511811024" top="0.78740157499999996" bottom="0.78740157499999996" header="0.31496062000000002" footer="0.31496062000000002"/>
      <autoFilter ref="A1:Q1249" xr:uid="{CE39FF93-09B5-4BB9-93F6-26AB44213DE2}"/>
    </customSheetView>
    <customSheetView guid="{12654057-9D07-4749-98A0-4D000F13A075}" filter="1" showAutoFilter="1">
      <pageMargins left="0.511811024" right="0.511811024" top="0.78740157499999996" bottom="0.78740157499999996" header="0.31496062000000002" footer="0.31496062000000002"/>
      <autoFilter ref="A1:Q1249" xr:uid="{7A57FDED-7750-457E-A88B-612B993C0DBB}"/>
    </customSheetView>
    <customSheetView guid="{4A64DBAE-555B-4EC0-A751-C0A11245BC9F}" filter="1" showAutoFilter="1">
      <pageMargins left="0.511811024" right="0.511811024" top="0.78740157499999996" bottom="0.78740157499999996" header="0.31496062000000002" footer="0.31496062000000002"/>
      <autoFilter ref="A1:Q1249" xr:uid="{DBFF4C91-5A63-4484-8EF8-75D362D239D3}">
        <filterColumn colId="10">
          <filters blank="1">
            <filter val="Concluído"/>
            <filter val="Em andamento"/>
          </filters>
        </filterColumn>
        <filterColumn colId="15">
          <filters blank="1">
            <filter val="2300000178.000199/2023-17"/>
            <filter val="2300001205.000144/2025-67"/>
            <filter val="2300001207.000062/2025-01"/>
            <filter val="2300001207.000066/2024-08"/>
            <filter val="2300001207.000090/2024-39"/>
            <filter val="2300001207.000092/2024-28"/>
            <filter val="2300001207.000093/2024-72"/>
            <filter val="2300001207.000094/2024-17"/>
            <filter val="2300001207.000095/2024-61"/>
            <filter val="2300001207.000096/2024-14"/>
            <filter val="2300001207.000097/2024-51"/>
            <filter val="2300001207.000111/2024-16"/>
            <filter val="2300001207.000116/2024-49"/>
            <filter val="2300001207.000117/2024-93"/>
            <filter val="2300001207.000118/2024-38"/>
            <filter val="2300001207.000120/2024-15"/>
            <filter val="2300001207.000125/2024-30"/>
            <filter val="2300001207.000126/2024-84"/>
            <filter val="2300001207.000127/2024-29"/>
            <filter val="2300001207.000127/2025-18"/>
            <filter val="2300001207.000128/2024-73"/>
            <filter val="2300001207.000131/2024-97"/>
            <filter val="2300001207.000133/2024-86"/>
            <filter val="2300001207.000134/2024-21"/>
            <filter val="2300001207.000147/2024-08"/>
            <filter val="2300001207.000148/2024-44"/>
            <filter val="2300001207.000149/2024-99"/>
            <filter val="2300001207.000154/2024-00"/>
            <filter val="2300001207.000155/2024-46"/>
            <filter val="2300001207.000157/2024-35"/>
            <filter val="2300001207.000158/2024-80"/>
            <filter val="2300001207.000159/2024-24"/>
            <filter val="2300001207.000161/2024-01"/>
            <filter val="2300001207.000164/2024-37"/>
            <filter val="2300001207.000165/2024-81"/>
            <filter val="2300001207.000166/2024-26"/>
            <filter val="2300001207.000168/2024-15"/>
            <filter val="2300001207.000169/2024-60"/>
            <filter val="2300001207.000170/2024-94"/>
            <filter val="2300001207.000171/2024-39"/>
            <filter val="2300001209.000054/2024-55"/>
            <filter val="2300001213.000066/2024-11"/>
            <filter val="2300001213.000067/2024-65"/>
            <filter val="2300001213.000075/2025-92"/>
            <filter val="2300001213.000082/2025-94"/>
            <filter val="2300001213.000105/2024-80"/>
            <filter val="2300001213.000106/2024-24"/>
            <filter val="2300001213.000107/2024-79"/>
            <filter val="2300001213.000108/2024-13"/>
            <filter val="2300001213.000109/2024-68"/>
            <filter val="2300001213.000110/2024-92"/>
            <filter val="2300001213.000111/2024-37"/>
            <filter val="2300001213.000122/2025-06"/>
            <filter val="2300001213.000129/2024-39"/>
            <filter val="2300001213.000130/2024-63"/>
            <filter val="2300001213.000147/2024-11"/>
            <filter val="2300001213.000152/2024-23"/>
            <filter val="2300001213.000153/2024-78"/>
            <filter val="2300001213.000172/2024-02"/>
            <filter val="2300001213.000186/2024-18"/>
            <filter val="2300001213.000192/2024-75"/>
            <filter val="2300001213.000193/2024-10"/>
            <filter val="2300001213.000195/2024-17"/>
            <filter val="2300001213.000196/2025-34"/>
            <filter val="2300001213.000211/2024-63"/>
            <filter val="2300001213.000219/2024-20"/>
            <filter val="2300001213.000231/2024-34"/>
            <filter val="2300001213.000249/2024-36"/>
            <filter val="2300001213.000252/2024-50"/>
            <filter val="2300001213.000260/2024-04"/>
            <filter val="2300001213.000268/2025-43"/>
            <filter val="2300001213.000273/2024-75"/>
            <filter val="2300001213.000283/2024-19"/>
            <filter val="2300001213.000285/2024-08"/>
            <filter val="2300001213.000297/2024-24"/>
            <filter val="2300001213.000304/2024-98"/>
            <filter val="2300001213.000315/2024-78"/>
            <filter val="2300001213.000316/2024-12"/>
            <filter val="2300001213.000317/2024-67"/>
            <filter val="2300001213.000319/2025-37"/>
            <filter val="2300001213.000323/2025-03"/>
            <filter val="2300001213.000324/2025-40"/>
            <filter val="2300001213.000325/2025-94"/>
            <filter val="2300001213.000329/2024-91"/>
            <filter val="2300001213.000337/2024-38"/>
            <filter val="2300001213.000381/2024-48"/>
            <filter val="2300001213.000414/2024-50"/>
            <filter val="2300001213.000536/2024-46"/>
            <filter val="2300001216.000021/2023-35"/>
            <filter val="2300001216.000029/2024-82"/>
            <filter val="2300001216.000030/2024-15"/>
            <filter val="2300001216.000056/2024-55"/>
            <filter val="2300002264.000003/2024-21"/>
            <filter val="2300002541.000001/2024-16"/>
            <filter val="2300002544.000001/2024-96"/>
            <filter val="2300002544.000003/2024-85"/>
            <filter val="2300002544.000006/2024-19"/>
            <filter val="2300002544.000007/2024-63"/>
            <filter val="2300002544.000008/2024-16"/>
            <filter val="2300002544.000010/2024-87"/>
            <filter val="2300002544.000012/2024-76"/>
            <filter val="2300002544.000013/2024-11"/>
            <filter val="2300002544.000014/2024-65"/>
            <filter val="2300002544.000015/2024-18"/>
            <filter val="2300002544.000018/2024-43"/>
            <filter val="2300002544.000028/2024-89"/>
            <filter val="2300002544.000028/2025-60"/>
            <filter val="2300002544.000034/2024-36"/>
            <filter val="2300002747.000054/2025-10"/>
            <filter val="2300002944.000005/2025-42"/>
            <filter val="j"/>
          </filters>
        </filterColumn>
      </autoFilter>
    </customSheetView>
    <customSheetView guid="{E5DFFFD0-A2EE-457C-8E3D-667602733F3D}" filter="1" showAutoFilter="1">
      <pageMargins left="0.511811024" right="0.511811024" top="0.78740157499999996" bottom="0.78740157499999996" header="0.31496062000000002" footer="0.31496062000000002"/>
      <autoFilter ref="A1:Q1249" xr:uid="{37706596-B146-49D0-A0FF-C11D618CD283}"/>
    </customSheetView>
    <customSheetView guid="{40111B97-C0F4-496D-8D53-BD7E138CCAFA}" filter="1" showAutoFilter="1">
      <pageMargins left="0.511811024" right="0.511811024" top="0.78740157499999996" bottom="0.78740157499999996" header="0.31496062000000002" footer="0.31496062000000002"/>
      <autoFilter ref="A1:Q1249" xr:uid="{5D2F8102-537E-41F2-A2FB-D37E6A430401}"/>
    </customSheetView>
    <customSheetView guid="{5F9F140B-A705-4DA5-B4D0-722418368589}" filter="1" showAutoFilter="1">
      <pageMargins left="0.511811024" right="0.511811024" top="0.78740157499999996" bottom="0.78740157499999996" header="0.31496062000000002" footer="0.31496062000000002"/>
      <autoFilter ref="A1:Q1249" xr:uid="{C6EADD57-24C8-472C-8A6C-775D925CB27B}"/>
    </customSheetView>
    <customSheetView guid="{4D92148C-75E4-4E79-B6E9-123A94DC89D7}" filter="1" showAutoFilter="1">
      <pageMargins left="0.511811024" right="0.511811024" top="0.78740157499999996" bottom="0.78740157499999996" header="0.31496062000000002" footer="0.31496062000000002"/>
      <autoFilter ref="A1:Q1249" xr:uid="{BEEA0448-66B7-4CCC-8FF3-477C47C69E44}">
        <filterColumn colId="8">
          <filters blank="1">
            <filter val="Concluído"/>
            <filter val="Em configuração"/>
            <filter val="Em revisão"/>
            <filter val="Encaminhada para anuência do gestor"/>
            <filter val="Encaminhada para o gestor central de ata"/>
            <filter val="Encaminhada para o gestor de ata"/>
          </filters>
        </filterColumn>
        <filterColumn colId="13">
          <filters blank="1">
            <filter val="Processo 2023"/>
            <filter val="Processo 2024"/>
          </filters>
        </filterColumn>
      </autoFilter>
    </customSheetView>
    <customSheetView guid="{F8AC759F-2840-4421-A2F5-DFC8437B8139}" filter="1" showAutoFilter="1">
      <pageMargins left="0.511811024" right="0.511811024" top="0.78740157499999996" bottom="0.78740157499999996" header="0.31496062000000002" footer="0.31496062000000002"/>
      <autoFilter ref="A1:Q1249" xr:uid="{9BAA36BB-DA53-44FA-8A71-55CDC74CF11C}">
        <filterColumn colId="10">
          <filters blank="1">
            <filter val="Concluído"/>
            <filter val="Em andamento"/>
          </filters>
        </filterColumn>
      </autoFilter>
    </customSheetView>
    <customSheetView guid="{2A9E3C8E-8A45-458A-9A7C-A7DAF968B235}" filter="1" showAutoFilter="1">
      <pageMargins left="0.511811024" right="0.511811024" top="0.78740157499999996" bottom="0.78740157499999996" header="0.31496062000000002" footer="0.31496062000000002"/>
      <autoFilter ref="A1:Q1249" xr:uid="{7C4508B1-8CDA-47C9-893A-44A302834E97}">
        <filterColumn colId="12">
          <filters>
            <filter val="Daniele"/>
            <filter val="Elisangela"/>
            <filter val="Hannah"/>
            <filter val="Laís"/>
            <filter val="Marcia"/>
            <filter val="Polyana"/>
          </filters>
        </filterColumn>
      </autoFilter>
    </customSheetView>
  </customSheetViews>
  <dataValidations count="7">
    <dataValidation type="list" allowBlank="1" sqref="K4 K18 K22 K31 K35:K36 K38 K41 K45 K47 K51 K55:K56 K58:K61 K64:K66 K68 K70:K76 K79:K81 K83 K85 K90 K93 K95:K96 K102 K104 K106 K108 K110:K112 K114 K116:K117 K119:K120 K123:K125 K127 K129 K131:K132 K138 K141 K143:K145 K147:K149 K151:K152 K157 K163:K167 K170 K172 K174 K176 K179 K183:K185 K187:K188 K191 K193:K194 K196:K197 K200 K202:K203 K208 K210 K214 K217 K221 K223:K230 K232:K233 K236:K238 K240 K242 K245:K252 K257 K262 K267 K271 K274:K275 K277:K278 K286:K291 K294 K296 K299:K300 K571:K573 K586 K593 K598 K630 K633 K645 K658:K660 K695 K701 K708 K722 K781 K783 K785:K788 K791:K794 K840 K845 K849 K852 K861:K862 K871 K885 K904 K1221:K1224 K1227:K1230 K1236 I2:I1249" xr:uid="{00000000-0002-0000-0100-000000000000}">
      <formula1>"Aguardando aprovação do gestor central de ata,Aguardando aprovação do gestor de ata,Aguardando aprovação do gestor de ata Sucesso,Concluído,Cancelada,Encaminhada para anuência do gestor,Em configuração,Encaminhada para o orçamento,Autorizada Sucesso,Cance"&amp;"lada por fim vigencia ATA,Autorizada Integrado,Aguardando autorização,Encaminhada para o gestor central de ata,Cancelada Sucesso,Cancelada Integrado,Em revisão,Não aprovada,Encaminhada para o gestor de ata,Não autorizada,Autorizada Integrado manualmente,P"&amp;"endente da 2ª Assinatura,Aguardando autorização da central,Encaminhada para Ordenador"</formula1>
    </dataValidation>
    <dataValidation type="list" allowBlank="1" sqref="K323:K324 K358 K364 K367:K369 K376 K383:K384 K389 K392 K398 K401 K403:K404 K408 K411 K414 K417:K418 K422:K423 K450 K452:K455 K462:K463 K469:K470 K473:K474 K478:K479 K483 K489:K490 K499 K502:K510 K512:K513 K515 K517 K519:K520 K522:K523 K525:K533 K535 K539:K542 K546:K547 K550:K569 K1089 K1099:K1100 K1113 K1125 K1155 K1159 K1162 K1167 K1169:K1170 K1173:K1174 K1182 K1187:K1190 K1194:K1200 K1210:K1212" xr:uid="{00000000-0002-0000-0100-000002000000}">
      <formula1>"Suylliane Deliberar,Cancelar Com o Suporte,Concluído,Cancelado,Em andamento,Processo 2024"</formula1>
    </dataValidation>
    <dataValidation type="list" allowBlank="1" sqref="O2:O1249" xr:uid="{00000000-0002-0000-0100-000003000000}">
      <formula1>"Enviado ao JURIDICO,Enviado a GCONTRATOS,Enviado ao GFIN,SEI não localizado,Enviado a SADM SUPRI,Enviado ao NOF,Enviado a NFOCPO,Enviado a NADRE,Enviado a SSUPRI,Enviado a SES- AP_HRA,Envaido a SES - ADESOES_HRA,Enviado a NAEN"</formula1>
    </dataValidation>
    <dataValidation type="list" allowBlank="1" sqref="K2:K3 K5:K17 K19:K21 K23:K30 K32:K34 K37 K39:K40 K42:K44 K46 K48:K50 K52:K54 K57 K62:K63 K67 K69 K77:K78 K82 K84 K86:K89 K91:K92 K94 K97:K101 K103 K105 K107 K109 K113 K115 K118 K121:K122 K126 K128 K130 K133:K137 K139:K140 K142 K146 K150 K153:K156 K158:K162 K168:K169 K171 K173 K175 K177:K178 K180:K182 K186 K189:K190 K192 K195 K198:K199 K201 K204:K207 K209 K211:K213 K215:K216 K218:K220 K222 K231 K234:K235 K239 K241 K243:K244 K253:K256 K258:K261 K263:K266 K268:K270 K272:K273 K276 K279:K285 K292:K293 K295 K297:K298 K301:K322 K325:K357 K359:K363 K365:K366 K370:K375 K377:K382 K385:K388 K390:K391 K393:K397 K399:K400 K402 K405:K407 K409:K410 K412:K413 K415:K416 K419:K421 K424:K449 K451 K456:K461 K464:K468 K471:K472 K475:K477 K480:K482 K484:K488 K491:K498 K500:K501 K511 K514 K516 K518 K521 K524 K534 K536:K538 K543:K545 K548:K549 K570 K574:K585 K587:K592 K594:K597 K599:K629 K631:K632 K634:K644 K646:K657 K661:K694 K696:K700 K702:K707 K709:K721 K723:K780 K782 K784 K789:K790 K795:K839 K841:K844 K846:K848 K850:K851 K853:K860 K863:K870 K872:K884 K886:K903 K905:K1088 K1090:K1098 K1101:K1112 K1114:K1124 K1126:K1154 K1156:K1158 K1160:K1161 K1163:K1166 K1168 K1171:K1172 K1175:K1181 K1183:K1186 K1191:K1193 K1201:K1209 K1213:K1220 K1225:K1226 K1231:K1235 K1237:K1249" xr:uid="{00000000-0002-0000-0100-000004000000}">
      <formula1>"Suylliane Deliberar,Cancelar Com o Suporte,Concluído,Cancelado,Em andamento"</formula1>
    </dataValidation>
    <dataValidation type="list" allowBlank="1" sqref="N2:N1249" xr:uid="{00000000-0002-0000-0100-000005000000}">
      <formula1>"Suylliane Deliberar,Cancelar Com o Suporte,Concluído,Cancelado,Em andamento,Processo 2024,Processo 2023"</formula1>
    </dataValidation>
    <dataValidation type="list" allowBlank="1" sqref="M2:M1249" xr:uid="{00000000-0002-0000-0100-000006000000}">
      <formula1>"Mylla,Maisa,Hannah,Joice,Elsia ,Maria Júlia,Maria júlia,Raquel,Jean,Virginia,Marília,Marcia,Daniele,Elisangela,Laís,Polyana"</formula1>
    </dataValidation>
    <dataValidation type="list" allowBlank="1" sqref="G2:G1249" xr:uid="{00000000-0002-0000-0100-000007000000}">
      <formula1>"NFOCPO,NAEN,NSADRE,NAMP"</formula1>
    </dataValidation>
  </dataValidations>
  <hyperlinks>
    <hyperlink ref="A256" r:id="rId1" xr:uid="{00000000-0004-0000-0100-000000000000}"/>
    <hyperlink ref="A263" r:id="rId2" xr:uid="{00000000-0004-0000-0100-000001000000}"/>
    <hyperlink ref="A302" r:id="rId3" xr:uid="{00000000-0004-0000-0100-000002000000}"/>
    <hyperlink ref="A303" r:id="rId4" xr:uid="{00000000-0004-0000-0100-000003000000}"/>
    <hyperlink ref="A304" r:id="rId5" xr:uid="{00000000-0004-0000-0100-000004000000}"/>
    <hyperlink ref="A309" r:id="rId6" xr:uid="{00000000-0004-0000-0100-000005000000}"/>
    <hyperlink ref="A312" r:id="rId7" xr:uid="{00000000-0004-0000-0100-000006000000}"/>
    <hyperlink ref="A314" r:id="rId8" xr:uid="{00000000-0004-0000-0100-000007000000}"/>
    <hyperlink ref="A316" r:id="rId9" xr:uid="{00000000-0004-0000-0100-000008000000}"/>
    <hyperlink ref="A318" r:id="rId10" xr:uid="{00000000-0004-0000-0100-000009000000}"/>
    <hyperlink ref="A319" r:id="rId11" xr:uid="{00000000-0004-0000-0100-00000A000000}"/>
    <hyperlink ref="A321" r:id="rId12" xr:uid="{00000000-0004-0000-0100-00000B000000}"/>
    <hyperlink ref="A1249" r:id="rId13" xr:uid="{00000000-0004-0000-0100-00000C000000}"/>
  </hyperlinks>
  <printOptions horizontalCentered="1" gridLines="1"/>
  <pageMargins left="0.7" right="0.7" top="0.75" bottom="0.75" header="0" footer="0"/>
  <pageSetup paperSize="9" pageOrder="overThenDown" orientation="landscape" cellComments="atEnd"/>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509"/>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35.42578125" customWidth="1"/>
    <col min="2" max="2" width="48.85546875" hidden="1" customWidth="1"/>
    <col min="3" max="3" width="19.5703125" customWidth="1"/>
    <col min="4" max="4" width="30.5703125" hidden="1" customWidth="1"/>
    <col min="5" max="5" width="78.85546875" customWidth="1"/>
    <col min="6" max="6" width="19.7109375" customWidth="1"/>
    <col min="7" max="7" width="17.7109375" customWidth="1"/>
    <col min="8" max="8" width="24.85546875" customWidth="1"/>
    <col min="9" max="9" width="25" customWidth="1"/>
    <col min="10" max="10" width="28.140625" customWidth="1"/>
    <col min="11" max="11" width="21.5703125" customWidth="1"/>
    <col min="12" max="12" width="14.5703125" customWidth="1"/>
  </cols>
  <sheetData>
    <row r="1" spans="1:25" ht="22.5" customHeight="1" x14ac:dyDescent="0.2">
      <c r="A1" s="3" t="s">
        <v>2088</v>
      </c>
      <c r="B1" s="3" t="s">
        <v>19</v>
      </c>
      <c r="C1" s="3" t="s">
        <v>20</v>
      </c>
      <c r="D1" s="3" t="s">
        <v>21</v>
      </c>
      <c r="E1" s="6" t="s">
        <v>22</v>
      </c>
      <c r="F1" s="3" t="s">
        <v>2089</v>
      </c>
      <c r="G1" s="3" t="s">
        <v>2090</v>
      </c>
      <c r="H1" s="3" t="s">
        <v>31</v>
      </c>
      <c r="I1" s="3" t="s">
        <v>2091</v>
      </c>
      <c r="J1" s="3" t="s">
        <v>2092</v>
      </c>
      <c r="K1" s="3" t="s">
        <v>2087</v>
      </c>
      <c r="L1" s="3" t="s">
        <v>2093</v>
      </c>
      <c r="M1" s="1"/>
      <c r="N1" s="1"/>
      <c r="O1" s="1"/>
      <c r="P1" s="1"/>
      <c r="Q1" s="1"/>
      <c r="R1" s="1"/>
      <c r="S1" s="1"/>
      <c r="T1" s="1"/>
      <c r="U1" s="1"/>
      <c r="V1" s="1"/>
      <c r="W1" s="1"/>
      <c r="X1" s="1"/>
      <c r="Y1" s="1"/>
    </row>
    <row r="2" spans="1:25" ht="22.5" customHeight="1" x14ac:dyDescent="0.2">
      <c r="A2" s="10" t="s">
        <v>1218</v>
      </c>
      <c r="B2" s="3" t="s">
        <v>34</v>
      </c>
      <c r="C2" s="3" t="s">
        <v>1216</v>
      </c>
      <c r="D2" s="11" t="s">
        <v>2094</v>
      </c>
      <c r="E2" s="6" t="s">
        <v>1219</v>
      </c>
      <c r="F2" s="8">
        <v>45940</v>
      </c>
      <c r="G2" s="3" t="s">
        <v>2095</v>
      </c>
      <c r="H2" s="3" t="s">
        <v>1220</v>
      </c>
      <c r="I2" s="3" t="s">
        <v>2096</v>
      </c>
      <c r="J2" s="8">
        <v>45943</v>
      </c>
      <c r="K2" s="3" t="s">
        <v>2097</v>
      </c>
      <c r="L2" s="12">
        <v>4139.7700000000004</v>
      </c>
      <c r="M2" s="1"/>
      <c r="N2" s="1"/>
      <c r="O2" s="1"/>
      <c r="P2" s="1"/>
      <c r="Q2" s="1"/>
      <c r="R2" s="1"/>
      <c r="S2" s="1"/>
      <c r="T2" s="1"/>
      <c r="U2" s="1"/>
      <c r="V2" s="1"/>
      <c r="W2" s="1"/>
      <c r="X2" s="1"/>
      <c r="Y2" s="1"/>
    </row>
    <row r="3" spans="1:25" ht="22.5" customHeight="1" x14ac:dyDescent="0.2">
      <c r="A3" s="10" t="s">
        <v>1221</v>
      </c>
      <c r="B3" s="3" t="s">
        <v>34</v>
      </c>
      <c r="C3" s="3" t="s">
        <v>1216</v>
      </c>
      <c r="D3" s="11" t="s">
        <v>2098</v>
      </c>
      <c r="E3" s="6" t="s">
        <v>1222</v>
      </c>
      <c r="F3" s="9">
        <v>45937</v>
      </c>
      <c r="G3" s="3" t="s">
        <v>2095</v>
      </c>
      <c r="H3" s="7" t="s">
        <v>1223</v>
      </c>
      <c r="I3" s="3" t="s">
        <v>2096</v>
      </c>
      <c r="J3" s="8">
        <v>45952</v>
      </c>
      <c r="K3" s="3"/>
      <c r="L3" s="3"/>
      <c r="M3" s="1"/>
      <c r="N3" s="1"/>
      <c r="O3" s="1"/>
      <c r="P3" s="1"/>
      <c r="Q3" s="1"/>
      <c r="R3" s="1"/>
      <c r="S3" s="1"/>
      <c r="T3" s="1"/>
      <c r="U3" s="1"/>
      <c r="V3" s="1"/>
      <c r="W3" s="1"/>
      <c r="X3" s="1"/>
      <c r="Y3" s="1"/>
    </row>
    <row r="4" spans="1:25" ht="22.5" customHeight="1" x14ac:dyDescent="0.2">
      <c r="A4" s="10" t="s">
        <v>1229</v>
      </c>
      <c r="B4" s="3" t="s">
        <v>34</v>
      </c>
      <c r="C4" s="3" t="s">
        <v>1216</v>
      </c>
      <c r="D4" s="11" t="s">
        <v>2099</v>
      </c>
      <c r="E4" s="6" t="s">
        <v>1230</v>
      </c>
      <c r="F4" s="9">
        <v>45916</v>
      </c>
      <c r="G4" s="3" t="s">
        <v>2095</v>
      </c>
      <c r="H4" s="3" t="s">
        <v>1231</v>
      </c>
      <c r="I4" s="3" t="s">
        <v>2096</v>
      </c>
      <c r="J4" s="3" t="s">
        <v>2100</v>
      </c>
      <c r="K4" s="3"/>
      <c r="L4" s="3"/>
      <c r="M4" s="1"/>
      <c r="N4" s="1"/>
      <c r="O4" s="1"/>
      <c r="P4" s="1"/>
      <c r="Q4" s="1"/>
      <c r="R4" s="1"/>
      <c r="S4" s="1"/>
      <c r="T4" s="1"/>
      <c r="U4" s="1"/>
      <c r="V4" s="1"/>
      <c r="W4" s="1"/>
      <c r="X4" s="1"/>
      <c r="Y4" s="1"/>
    </row>
    <row r="5" spans="1:25" ht="22.5" customHeight="1" x14ac:dyDescent="0.2">
      <c r="A5" s="10" t="s">
        <v>1232</v>
      </c>
      <c r="B5" s="3" t="s">
        <v>34</v>
      </c>
      <c r="C5" s="3" t="s">
        <v>1216</v>
      </c>
      <c r="D5" s="11" t="s">
        <v>2101</v>
      </c>
      <c r="E5" s="6" t="s">
        <v>1230</v>
      </c>
      <c r="F5" s="9">
        <v>45911</v>
      </c>
      <c r="G5" s="3" t="s">
        <v>2095</v>
      </c>
      <c r="H5" s="3" t="s">
        <v>2102</v>
      </c>
      <c r="I5" s="3" t="s">
        <v>2096</v>
      </c>
      <c r="J5" s="8">
        <v>45952</v>
      </c>
      <c r="K5" s="3"/>
      <c r="L5" s="3"/>
      <c r="M5" s="1"/>
      <c r="N5" s="1"/>
      <c r="O5" s="1"/>
      <c r="P5" s="1"/>
      <c r="Q5" s="1"/>
      <c r="R5" s="1"/>
      <c r="S5" s="1"/>
      <c r="T5" s="1"/>
      <c r="U5" s="1"/>
      <c r="V5" s="1"/>
      <c r="W5" s="1"/>
      <c r="X5" s="1"/>
      <c r="Y5" s="1"/>
    </row>
    <row r="6" spans="1:25" ht="22.5" customHeight="1" x14ac:dyDescent="0.2">
      <c r="A6" s="13" t="s">
        <v>1234</v>
      </c>
      <c r="B6" s="3" t="s">
        <v>34</v>
      </c>
      <c r="C6" s="3" t="s">
        <v>1216</v>
      </c>
      <c r="D6" s="11" t="s">
        <v>2103</v>
      </c>
      <c r="E6" s="6" t="s">
        <v>1230</v>
      </c>
      <c r="F6" s="9">
        <v>45911</v>
      </c>
      <c r="G6" s="3" t="s">
        <v>2095</v>
      </c>
      <c r="H6" s="3" t="s">
        <v>2050</v>
      </c>
      <c r="I6" s="3" t="s">
        <v>2096</v>
      </c>
      <c r="J6" s="8">
        <v>45952</v>
      </c>
      <c r="K6" s="3"/>
      <c r="L6" s="3"/>
      <c r="M6" s="1"/>
      <c r="N6" s="1"/>
      <c r="O6" s="1"/>
      <c r="P6" s="1"/>
      <c r="Q6" s="1"/>
      <c r="R6" s="1"/>
      <c r="S6" s="1"/>
      <c r="T6" s="1"/>
      <c r="U6" s="1"/>
      <c r="V6" s="1"/>
      <c r="W6" s="1"/>
      <c r="X6" s="1"/>
      <c r="Y6" s="1"/>
    </row>
    <row r="7" spans="1:25" ht="22.5" customHeight="1" x14ac:dyDescent="0.2">
      <c r="A7" s="13" t="s">
        <v>1235</v>
      </c>
      <c r="B7" s="3" t="s">
        <v>34</v>
      </c>
      <c r="C7" s="3" t="s">
        <v>1216</v>
      </c>
      <c r="D7" s="11" t="s">
        <v>2104</v>
      </c>
      <c r="E7" s="6" t="s">
        <v>1236</v>
      </c>
      <c r="F7" s="9">
        <v>45908</v>
      </c>
      <c r="G7" s="3" t="s">
        <v>2095</v>
      </c>
      <c r="H7" s="3" t="s">
        <v>2105</v>
      </c>
      <c r="I7" s="3"/>
      <c r="J7" s="3"/>
      <c r="K7" s="3"/>
      <c r="L7" s="3"/>
      <c r="M7" s="1"/>
      <c r="N7" s="1"/>
      <c r="O7" s="1"/>
      <c r="P7" s="1"/>
      <c r="Q7" s="1"/>
      <c r="R7" s="1"/>
      <c r="S7" s="1"/>
      <c r="T7" s="1"/>
      <c r="U7" s="1"/>
      <c r="V7" s="1"/>
      <c r="W7" s="1"/>
      <c r="X7" s="1"/>
      <c r="Y7" s="1"/>
    </row>
    <row r="8" spans="1:25" ht="22.5" customHeight="1" x14ac:dyDescent="0.2">
      <c r="A8" s="13" t="s">
        <v>1237</v>
      </c>
      <c r="B8" s="3" t="s">
        <v>34</v>
      </c>
      <c r="C8" s="3" t="s">
        <v>1216</v>
      </c>
      <c r="D8" s="11" t="s">
        <v>2106</v>
      </c>
      <c r="E8" s="6" t="s">
        <v>1238</v>
      </c>
      <c r="F8" s="9">
        <v>45905</v>
      </c>
      <c r="G8" s="3" t="s">
        <v>2095</v>
      </c>
      <c r="H8" s="3" t="s">
        <v>2105</v>
      </c>
      <c r="I8" s="3"/>
      <c r="J8" s="3"/>
      <c r="K8" s="3"/>
      <c r="L8" s="3"/>
      <c r="M8" s="1"/>
      <c r="N8" s="1"/>
      <c r="O8" s="1"/>
      <c r="P8" s="1"/>
      <c r="Q8" s="1"/>
      <c r="R8" s="1"/>
      <c r="S8" s="1"/>
      <c r="T8" s="1"/>
      <c r="U8" s="1"/>
      <c r="V8" s="1"/>
      <c r="W8" s="1"/>
      <c r="X8" s="1"/>
      <c r="Y8" s="1"/>
    </row>
    <row r="9" spans="1:25" ht="22.5" customHeight="1" x14ac:dyDescent="0.2">
      <c r="A9" s="14" t="s">
        <v>1239</v>
      </c>
      <c r="B9" s="3" t="s">
        <v>34</v>
      </c>
      <c r="C9" s="3" t="s">
        <v>1216</v>
      </c>
      <c r="D9" s="11" t="s">
        <v>2107</v>
      </c>
      <c r="E9" s="6" t="s">
        <v>1240</v>
      </c>
      <c r="F9" s="9">
        <v>45904</v>
      </c>
      <c r="G9" s="3" t="s">
        <v>2095</v>
      </c>
      <c r="H9" s="3" t="s">
        <v>2105</v>
      </c>
      <c r="I9" s="3"/>
      <c r="J9" s="3"/>
      <c r="K9" s="3"/>
      <c r="L9" s="3"/>
      <c r="M9" s="1"/>
      <c r="N9" s="1"/>
      <c r="O9" s="1"/>
      <c r="P9" s="1"/>
      <c r="Q9" s="1"/>
      <c r="R9" s="1"/>
      <c r="S9" s="1"/>
      <c r="T9" s="1"/>
      <c r="U9" s="1"/>
      <c r="V9" s="1"/>
      <c r="W9" s="1"/>
      <c r="X9" s="1"/>
      <c r="Y9" s="1"/>
    </row>
    <row r="10" spans="1:25" ht="22.5" customHeight="1" x14ac:dyDescent="0.2">
      <c r="A10" s="14" t="s">
        <v>1241</v>
      </c>
      <c r="B10" s="3" t="s">
        <v>34</v>
      </c>
      <c r="C10" s="3" t="s">
        <v>1216</v>
      </c>
      <c r="D10" s="11" t="s">
        <v>2108</v>
      </c>
      <c r="E10" s="6" t="s">
        <v>121</v>
      </c>
      <c r="F10" s="9">
        <v>45904</v>
      </c>
      <c r="G10" s="3" t="s">
        <v>2095</v>
      </c>
      <c r="H10" s="3" t="s">
        <v>2105</v>
      </c>
      <c r="I10" s="3"/>
      <c r="J10" s="3"/>
      <c r="K10" s="3"/>
      <c r="L10" s="3"/>
      <c r="M10" s="1"/>
      <c r="N10" s="1"/>
      <c r="O10" s="1"/>
      <c r="P10" s="1"/>
      <c r="Q10" s="1"/>
      <c r="R10" s="1"/>
      <c r="S10" s="1"/>
      <c r="T10" s="1"/>
      <c r="U10" s="1"/>
      <c r="V10" s="1"/>
      <c r="W10" s="1"/>
      <c r="X10" s="1"/>
      <c r="Y10" s="1"/>
    </row>
    <row r="11" spans="1:25" ht="22.5" customHeight="1" x14ac:dyDescent="0.2">
      <c r="A11" s="14" t="s">
        <v>1243</v>
      </c>
      <c r="B11" s="3" t="s">
        <v>34</v>
      </c>
      <c r="C11" s="3" t="s">
        <v>1216</v>
      </c>
      <c r="D11" s="11" t="s">
        <v>2109</v>
      </c>
      <c r="E11" s="6" t="s">
        <v>121</v>
      </c>
      <c r="F11" s="9">
        <v>45904</v>
      </c>
      <c r="G11" s="3" t="s">
        <v>2110</v>
      </c>
      <c r="H11" s="3" t="s">
        <v>2105</v>
      </c>
      <c r="I11" s="3"/>
      <c r="J11" s="3"/>
      <c r="K11" s="3"/>
      <c r="L11" s="3"/>
      <c r="M11" s="1"/>
      <c r="N11" s="1"/>
      <c r="O11" s="1"/>
      <c r="P11" s="1"/>
      <c r="Q11" s="1"/>
      <c r="R11" s="1"/>
      <c r="S11" s="1"/>
      <c r="T11" s="1"/>
      <c r="U11" s="1"/>
      <c r="V11" s="1"/>
      <c r="W11" s="1"/>
      <c r="X11" s="1"/>
      <c r="Y11" s="1"/>
    </row>
    <row r="12" spans="1:25" ht="22.5" customHeight="1" x14ac:dyDescent="0.2">
      <c r="A12" s="14" t="s">
        <v>1245</v>
      </c>
      <c r="B12" s="3" t="s">
        <v>34</v>
      </c>
      <c r="C12" s="3" t="s">
        <v>1216</v>
      </c>
      <c r="D12" s="11" t="s">
        <v>2111</v>
      </c>
      <c r="E12" s="6" t="s">
        <v>1246</v>
      </c>
      <c r="F12" s="9">
        <v>45902</v>
      </c>
      <c r="G12" s="3" t="s">
        <v>2095</v>
      </c>
      <c r="H12" s="3" t="s">
        <v>2105</v>
      </c>
      <c r="I12" s="3"/>
      <c r="J12" s="3"/>
      <c r="K12" s="3"/>
      <c r="L12" s="3"/>
      <c r="M12" s="1"/>
      <c r="N12" s="1"/>
      <c r="O12" s="1"/>
      <c r="P12" s="1"/>
      <c r="Q12" s="1"/>
      <c r="R12" s="1"/>
      <c r="S12" s="1"/>
      <c r="T12" s="1"/>
      <c r="U12" s="1"/>
      <c r="V12" s="1"/>
      <c r="W12" s="1"/>
      <c r="X12" s="1"/>
      <c r="Y12" s="1"/>
    </row>
    <row r="13" spans="1:25" ht="22.5" customHeight="1" x14ac:dyDescent="0.2">
      <c r="A13" s="14" t="s">
        <v>1247</v>
      </c>
      <c r="B13" s="3" t="s">
        <v>34</v>
      </c>
      <c r="C13" s="3" t="s">
        <v>1216</v>
      </c>
      <c r="D13" s="11" t="s">
        <v>2112</v>
      </c>
      <c r="E13" s="6" t="s">
        <v>1248</v>
      </c>
      <c r="F13" s="9">
        <v>45898</v>
      </c>
      <c r="G13" s="3" t="s">
        <v>2095</v>
      </c>
      <c r="H13" s="3" t="s">
        <v>2105</v>
      </c>
      <c r="I13" s="3"/>
      <c r="J13" s="3"/>
      <c r="K13" s="3"/>
      <c r="L13" s="3"/>
      <c r="M13" s="1"/>
      <c r="N13" s="1"/>
      <c r="O13" s="1"/>
      <c r="P13" s="1"/>
      <c r="Q13" s="1"/>
      <c r="R13" s="1"/>
      <c r="S13" s="1"/>
      <c r="T13" s="1"/>
      <c r="U13" s="1"/>
      <c r="V13" s="1"/>
      <c r="W13" s="1"/>
      <c r="X13" s="1"/>
      <c r="Y13" s="1"/>
    </row>
    <row r="14" spans="1:25" ht="22.5" customHeight="1" x14ac:dyDescent="0.2">
      <c r="A14" s="14" t="s">
        <v>1257</v>
      </c>
      <c r="B14" s="3" t="s">
        <v>34</v>
      </c>
      <c r="C14" s="3" t="s">
        <v>1216</v>
      </c>
      <c r="D14" s="11" t="s">
        <v>2113</v>
      </c>
      <c r="E14" s="6" t="s">
        <v>1253</v>
      </c>
      <c r="F14" s="9">
        <v>45891</v>
      </c>
      <c r="G14" s="3" t="s">
        <v>2095</v>
      </c>
      <c r="H14" s="3" t="s">
        <v>2105</v>
      </c>
      <c r="I14" s="3"/>
      <c r="J14" s="3"/>
      <c r="K14" s="3"/>
      <c r="L14" s="3"/>
      <c r="M14" s="1"/>
      <c r="N14" s="1"/>
      <c r="O14" s="1"/>
      <c r="P14" s="1"/>
      <c r="Q14" s="1"/>
      <c r="R14" s="1"/>
      <c r="S14" s="1"/>
      <c r="T14" s="1"/>
      <c r="U14" s="1"/>
      <c r="V14" s="1"/>
      <c r="W14" s="1"/>
      <c r="X14" s="1"/>
      <c r="Y14" s="1"/>
    </row>
    <row r="15" spans="1:25" ht="22.5" customHeight="1" x14ac:dyDescent="0.2">
      <c r="A15" s="14" t="s">
        <v>1258</v>
      </c>
      <c r="B15" s="3" t="s">
        <v>34</v>
      </c>
      <c r="C15" s="3" t="s">
        <v>1216</v>
      </c>
      <c r="D15" s="11" t="s">
        <v>2114</v>
      </c>
      <c r="E15" s="6" t="s">
        <v>1259</v>
      </c>
      <c r="F15" s="9">
        <v>45891</v>
      </c>
      <c r="G15" s="3" t="s">
        <v>2095</v>
      </c>
      <c r="H15" s="3" t="s">
        <v>2105</v>
      </c>
      <c r="I15" s="3"/>
      <c r="J15" s="3"/>
      <c r="K15" s="3"/>
      <c r="L15" s="3"/>
      <c r="M15" s="1"/>
      <c r="N15" s="1"/>
      <c r="O15" s="1"/>
      <c r="P15" s="1"/>
      <c r="Q15" s="1"/>
      <c r="R15" s="1"/>
      <c r="S15" s="1"/>
      <c r="T15" s="1"/>
      <c r="U15" s="1"/>
      <c r="V15" s="1"/>
      <c r="W15" s="1"/>
      <c r="X15" s="1"/>
      <c r="Y15" s="1"/>
    </row>
    <row r="16" spans="1:25" ht="22.5" customHeight="1" x14ac:dyDescent="0.2">
      <c r="A16" s="14" t="s">
        <v>1260</v>
      </c>
      <c r="B16" s="3" t="s">
        <v>34</v>
      </c>
      <c r="C16" s="3" t="s">
        <v>1216</v>
      </c>
      <c r="D16" s="11" t="s">
        <v>2115</v>
      </c>
      <c r="E16" s="6" t="s">
        <v>1259</v>
      </c>
      <c r="F16" s="9">
        <v>45891</v>
      </c>
      <c r="G16" s="3" t="s">
        <v>2095</v>
      </c>
      <c r="H16" s="3" t="s">
        <v>2105</v>
      </c>
      <c r="I16" s="3"/>
      <c r="J16" s="3"/>
      <c r="K16" s="3"/>
      <c r="L16" s="3"/>
      <c r="M16" s="1"/>
      <c r="N16" s="1"/>
      <c r="O16" s="1"/>
      <c r="P16" s="1"/>
      <c r="Q16" s="1"/>
      <c r="R16" s="1"/>
      <c r="S16" s="1"/>
      <c r="T16" s="1"/>
      <c r="U16" s="1"/>
      <c r="V16" s="1"/>
      <c r="W16" s="1"/>
      <c r="X16" s="1"/>
      <c r="Y16" s="1"/>
    </row>
    <row r="17" spans="1:25" ht="22.5" customHeight="1" x14ac:dyDescent="0.2">
      <c r="A17" s="14" t="s">
        <v>1274</v>
      </c>
      <c r="B17" s="3" t="s">
        <v>34</v>
      </c>
      <c r="C17" s="3" t="s">
        <v>1216</v>
      </c>
      <c r="D17" s="11" t="s">
        <v>2104</v>
      </c>
      <c r="E17" s="6" t="s">
        <v>1236</v>
      </c>
      <c r="F17" s="9">
        <v>45882</v>
      </c>
      <c r="G17" s="3" t="s">
        <v>2095</v>
      </c>
      <c r="H17" s="3" t="s">
        <v>2105</v>
      </c>
      <c r="I17" s="3"/>
      <c r="J17" s="3"/>
      <c r="K17" s="3"/>
      <c r="L17" s="3"/>
      <c r="M17" s="1"/>
      <c r="N17" s="1"/>
      <c r="O17" s="1"/>
      <c r="P17" s="1"/>
      <c r="Q17" s="1"/>
      <c r="R17" s="1"/>
      <c r="S17" s="1"/>
      <c r="T17" s="1"/>
      <c r="U17" s="1"/>
      <c r="V17" s="1"/>
      <c r="W17" s="1"/>
      <c r="X17" s="1"/>
      <c r="Y17" s="1"/>
    </row>
    <row r="18" spans="1:25" ht="22.5" customHeight="1" x14ac:dyDescent="0.2">
      <c r="A18" s="14" t="s">
        <v>1278</v>
      </c>
      <c r="B18" s="3" t="s">
        <v>34</v>
      </c>
      <c r="C18" s="3" t="s">
        <v>1216</v>
      </c>
      <c r="D18" s="11" t="s">
        <v>2116</v>
      </c>
      <c r="E18" s="6" t="s">
        <v>1259</v>
      </c>
      <c r="F18" s="9">
        <v>45880</v>
      </c>
      <c r="G18" s="3" t="s">
        <v>2095</v>
      </c>
      <c r="H18" s="3" t="s">
        <v>2105</v>
      </c>
      <c r="I18" s="3"/>
      <c r="J18" s="3"/>
      <c r="K18" s="3"/>
      <c r="L18" s="3"/>
      <c r="M18" s="1"/>
      <c r="N18" s="1"/>
      <c r="O18" s="1"/>
      <c r="P18" s="1"/>
      <c r="Q18" s="1"/>
      <c r="R18" s="1"/>
      <c r="S18" s="1"/>
      <c r="T18" s="1"/>
      <c r="U18" s="1"/>
      <c r="V18" s="1"/>
      <c r="W18" s="1"/>
      <c r="X18" s="1"/>
      <c r="Y18" s="1"/>
    </row>
    <row r="19" spans="1:25" ht="22.5" customHeight="1" x14ac:dyDescent="0.2">
      <c r="A19" s="14" t="s">
        <v>1281</v>
      </c>
      <c r="B19" s="3" t="s">
        <v>34</v>
      </c>
      <c r="C19" s="3" t="s">
        <v>1216</v>
      </c>
      <c r="D19" s="11" t="s">
        <v>2117</v>
      </c>
      <c r="E19" s="6" t="s">
        <v>138</v>
      </c>
      <c r="F19" s="9">
        <v>45874</v>
      </c>
      <c r="G19" s="3" t="s">
        <v>2095</v>
      </c>
      <c r="H19" s="3" t="s">
        <v>2105</v>
      </c>
      <c r="I19" s="3"/>
      <c r="J19" s="3"/>
      <c r="K19" s="3"/>
      <c r="L19" s="3"/>
      <c r="M19" s="1"/>
      <c r="N19" s="1"/>
      <c r="O19" s="1"/>
      <c r="P19" s="1"/>
      <c r="Q19" s="1"/>
      <c r="R19" s="1"/>
      <c r="S19" s="1"/>
      <c r="T19" s="1"/>
      <c r="U19" s="1"/>
      <c r="V19" s="1"/>
      <c r="W19" s="1"/>
      <c r="X19" s="1"/>
      <c r="Y19" s="1"/>
    </row>
    <row r="20" spans="1:25" ht="22.5" customHeight="1" x14ac:dyDescent="0.2">
      <c r="A20" s="14" t="s">
        <v>1284</v>
      </c>
      <c r="B20" s="3" t="s">
        <v>34</v>
      </c>
      <c r="C20" s="3" t="s">
        <v>1216</v>
      </c>
      <c r="D20" s="11" t="s">
        <v>2118</v>
      </c>
      <c r="E20" s="6" t="s">
        <v>138</v>
      </c>
      <c r="F20" s="9">
        <v>45874</v>
      </c>
      <c r="G20" s="3" t="s">
        <v>2095</v>
      </c>
      <c r="H20" s="3" t="s">
        <v>2105</v>
      </c>
      <c r="I20" s="3"/>
      <c r="J20" s="3"/>
      <c r="K20" s="3"/>
      <c r="L20" s="3"/>
      <c r="M20" s="1"/>
      <c r="N20" s="1"/>
      <c r="O20" s="1"/>
      <c r="P20" s="1"/>
      <c r="Q20" s="1"/>
      <c r="R20" s="1"/>
      <c r="S20" s="1"/>
      <c r="T20" s="1"/>
      <c r="U20" s="1"/>
      <c r="V20" s="1"/>
      <c r="W20" s="1"/>
      <c r="X20" s="1"/>
      <c r="Y20" s="1"/>
    </row>
    <row r="21" spans="1:25" ht="22.5" customHeight="1" x14ac:dyDescent="0.2">
      <c r="A21" s="14" t="s">
        <v>1286</v>
      </c>
      <c r="B21" s="3" t="s">
        <v>34</v>
      </c>
      <c r="C21" s="3" t="s">
        <v>1216</v>
      </c>
      <c r="D21" s="11" t="s">
        <v>2119</v>
      </c>
      <c r="E21" s="6" t="s">
        <v>138</v>
      </c>
      <c r="F21" s="9">
        <v>45874</v>
      </c>
      <c r="G21" s="3" t="s">
        <v>2095</v>
      </c>
      <c r="H21" s="3" t="s">
        <v>2105</v>
      </c>
      <c r="I21" s="3"/>
      <c r="J21" s="3"/>
      <c r="K21" s="3"/>
      <c r="L21" s="3"/>
      <c r="M21" s="1"/>
      <c r="N21" s="1"/>
      <c r="O21" s="1"/>
      <c r="P21" s="1"/>
      <c r="Q21" s="1"/>
      <c r="R21" s="1"/>
      <c r="S21" s="1"/>
      <c r="T21" s="1"/>
      <c r="U21" s="1"/>
      <c r="V21" s="1"/>
      <c r="W21" s="1"/>
      <c r="X21" s="1"/>
      <c r="Y21" s="1"/>
    </row>
    <row r="22" spans="1:25" ht="22.5" customHeight="1" x14ac:dyDescent="0.2">
      <c r="A22" s="14" t="s">
        <v>1288</v>
      </c>
      <c r="B22" s="3" t="s">
        <v>34</v>
      </c>
      <c r="C22" s="3" t="s">
        <v>1216</v>
      </c>
      <c r="D22" s="11" t="s">
        <v>2120</v>
      </c>
      <c r="E22" s="6" t="s">
        <v>165</v>
      </c>
      <c r="F22" s="9">
        <v>45874</v>
      </c>
      <c r="G22" s="3" t="s">
        <v>2095</v>
      </c>
      <c r="H22" s="3" t="s">
        <v>1289</v>
      </c>
      <c r="I22" s="3" t="s">
        <v>2121</v>
      </c>
      <c r="J22" s="8">
        <v>45960</v>
      </c>
      <c r="K22" s="3"/>
      <c r="L22" s="3"/>
      <c r="M22" s="1"/>
      <c r="N22" s="1"/>
      <c r="O22" s="1"/>
      <c r="P22" s="1"/>
      <c r="Q22" s="1"/>
      <c r="R22" s="1"/>
      <c r="S22" s="1"/>
      <c r="T22" s="1"/>
      <c r="U22" s="1"/>
      <c r="V22" s="1"/>
      <c r="W22" s="1"/>
      <c r="X22" s="1"/>
      <c r="Y22" s="1"/>
    </row>
    <row r="23" spans="1:25" ht="22.5" customHeight="1" x14ac:dyDescent="0.2">
      <c r="A23" s="14" t="s">
        <v>1290</v>
      </c>
      <c r="B23" s="3" t="s">
        <v>34</v>
      </c>
      <c r="C23" s="3" t="s">
        <v>1216</v>
      </c>
      <c r="D23" s="11" t="s">
        <v>2122</v>
      </c>
      <c r="E23" s="6" t="s">
        <v>1259</v>
      </c>
      <c r="F23" s="9">
        <v>45869</v>
      </c>
      <c r="G23" s="3" t="s">
        <v>2095</v>
      </c>
      <c r="H23" s="3" t="s">
        <v>1291</v>
      </c>
      <c r="I23" s="3" t="s">
        <v>2121</v>
      </c>
      <c r="J23" s="8">
        <v>45960</v>
      </c>
      <c r="K23" s="3"/>
      <c r="L23" s="3"/>
      <c r="M23" s="1"/>
      <c r="N23" s="1"/>
      <c r="O23" s="1"/>
      <c r="P23" s="1"/>
      <c r="Q23" s="1"/>
      <c r="R23" s="1"/>
      <c r="S23" s="1"/>
      <c r="T23" s="1"/>
      <c r="U23" s="1"/>
      <c r="V23" s="1"/>
      <c r="W23" s="1"/>
      <c r="X23" s="1"/>
      <c r="Y23" s="1"/>
    </row>
    <row r="24" spans="1:25" ht="22.5" customHeight="1" x14ac:dyDescent="0.2">
      <c r="A24" s="14" t="s">
        <v>1294</v>
      </c>
      <c r="B24" s="3" t="s">
        <v>34</v>
      </c>
      <c r="C24" s="3" t="s">
        <v>1216</v>
      </c>
      <c r="D24" s="11" t="s">
        <v>2123</v>
      </c>
      <c r="E24" s="6" t="s">
        <v>121</v>
      </c>
      <c r="F24" s="9">
        <v>45863</v>
      </c>
      <c r="G24" s="3" t="s">
        <v>2095</v>
      </c>
      <c r="H24" s="3" t="s">
        <v>2105</v>
      </c>
      <c r="I24" s="3"/>
      <c r="J24" s="3"/>
      <c r="K24" s="3"/>
      <c r="L24" s="3"/>
      <c r="M24" s="1"/>
      <c r="N24" s="1"/>
      <c r="O24" s="1"/>
      <c r="P24" s="1"/>
      <c r="Q24" s="1"/>
      <c r="R24" s="1"/>
      <c r="S24" s="1"/>
      <c r="T24" s="1"/>
      <c r="U24" s="1"/>
      <c r="V24" s="1"/>
      <c r="W24" s="1"/>
      <c r="X24" s="1"/>
      <c r="Y24" s="1"/>
    </row>
    <row r="25" spans="1:25" ht="22.5" customHeight="1" x14ac:dyDescent="0.2">
      <c r="A25" s="14" t="s">
        <v>1297</v>
      </c>
      <c r="B25" s="3" t="s">
        <v>34</v>
      </c>
      <c r="C25" s="3" t="s">
        <v>1216</v>
      </c>
      <c r="D25" s="11" t="s">
        <v>2124</v>
      </c>
      <c r="E25" s="6" t="s">
        <v>1298</v>
      </c>
      <c r="F25" s="9">
        <v>45862</v>
      </c>
      <c r="G25" s="3" t="s">
        <v>2095</v>
      </c>
      <c r="H25" s="3"/>
      <c r="I25" s="3"/>
      <c r="J25" s="3"/>
      <c r="K25" s="3"/>
      <c r="L25" s="3"/>
      <c r="M25" s="1"/>
      <c r="N25" s="1"/>
      <c r="O25" s="1"/>
      <c r="P25" s="1"/>
      <c r="Q25" s="1"/>
      <c r="R25" s="1"/>
      <c r="S25" s="1"/>
      <c r="T25" s="1"/>
      <c r="U25" s="1"/>
      <c r="V25" s="1"/>
      <c r="W25" s="1"/>
      <c r="X25" s="1"/>
      <c r="Y25" s="1"/>
    </row>
    <row r="26" spans="1:25" ht="22.5" customHeight="1" x14ac:dyDescent="0.2">
      <c r="A26" s="14" t="s">
        <v>1301</v>
      </c>
      <c r="B26" s="3" t="s">
        <v>34</v>
      </c>
      <c r="C26" s="3" t="s">
        <v>1216</v>
      </c>
      <c r="D26" s="11" t="s">
        <v>2125</v>
      </c>
      <c r="E26" s="6" t="s">
        <v>74</v>
      </c>
      <c r="F26" s="9">
        <v>45861</v>
      </c>
      <c r="G26" s="3" t="s">
        <v>2095</v>
      </c>
      <c r="H26" s="7" t="s">
        <v>1302</v>
      </c>
      <c r="I26" s="3" t="s">
        <v>2126</v>
      </c>
      <c r="J26" s="9">
        <v>45933</v>
      </c>
      <c r="K26" s="3"/>
      <c r="L26" s="3"/>
      <c r="M26" s="1"/>
      <c r="N26" s="1"/>
      <c r="O26" s="1"/>
      <c r="P26" s="1"/>
      <c r="Q26" s="1"/>
      <c r="R26" s="1"/>
      <c r="S26" s="1"/>
      <c r="T26" s="1"/>
      <c r="U26" s="1"/>
      <c r="V26" s="1"/>
      <c r="W26" s="1"/>
      <c r="X26" s="1"/>
      <c r="Y26" s="1"/>
    </row>
    <row r="27" spans="1:25" ht="22.5" customHeight="1" x14ac:dyDescent="0.2">
      <c r="A27" s="14" t="s">
        <v>1303</v>
      </c>
      <c r="B27" s="3" t="s">
        <v>34</v>
      </c>
      <c r="C27" s="3" t="s">
        <v>1216</v>
      </c>
      <c r="D27" s="11" t="s">
        <v>2127</v>
      </c>
      <c r="E27" s="6" t="s">
        <v>165</v>
      </c>
      <c r="F27" s="9">
        <v>45860</v>
      </c>
      <c r="G27" s="3" t="s">
        <v>2095</v>
      </c>
      <c r="H27" s="3" t="s">
        <v>2105</v>
      </c>
      <c r="I27" s="3"/>
      <c r="J27" s="3"/>
      <c r="K27" s="3"/>
      <c r="L27" s="3"/>
      <c r="M27" s="1"/>
      <c r="N27" s="1"/>
      <c r="O27" s="1"/>
      <c r="P27" s="1"/>
      <c r="Q27" s="1"/>
      <c r="R27" s="1"/>
      <c r="S27" s="1"/>
      <c r="T27" s="1"/>
      <c r="U27" s="1"/>
      <c r="V27" s="1"/>
      <c r="W27" s="1"/>
      <c r="X27" s="1"/>
      <c r="Y27" s="1"/>
    </row>
    <row r="28" spans="1:25" ht="22.5" customHeight="1" x14ac:dyDescent="0.2">
      <c r="A28" s="14" t="s">
        <v>1304</v>
      </c>
      <c r="B28" s="3" t="s">
        <v>34</v>
      </c>
      <c r="C28" s="3" t="s">
        <v>1216</v>
      </c>
      <c r="D28" s="11" t="s">
        <v>2128</v>
      </c>
      <c r="E28" s="6" t="s">
        <v>1240</v>
      </c>
      <c r="F28" s="9">
        <v>45859</v>
      </c>
      <c r="G28" s="3" t="s">
        <v>2095</v>
      </c>
      <c r="H28" s="3" t="s">
        <v>2105</v>
      </c>
      <c r="I28" s="3"/>
      <c r="J28" s="3"/>
      <c r="K28" s="3"/>
      <c r="L28" s="3"/>
      <c r="M28" s="1"/>
      <c r="N28" s="1"/>
      <c r="O28" s="1"/>
      <c r="P28" s="1"/>
      <c r="Q28" s="1"/>
      <c r="R28" s="1"/>
      <c r="S28" s="1"/>
      <c r="T28" s="1"/>
      <c r="U28" s="1"/>
      <c r="V28" s="1"/>
      <c r="W28" s="1"/>
      <c r="X28" s="1"/>
      <c r="Y28" s="1"/>
    </row>
    <row r="29" spans="1:25" ht="22.5" customHeight="1" x14ac:dyDescent="0.2">
      <c r="A29" s="14" t="s">
        <v>1307</v>
      </c>
      <c r="B29" s="3" t="s">
        <v>34</v>
      </c>
      <c r="C29" s="3" t="s">
        <v>1216</v>
      </c>
      <c r="D29" s="11" t="s">
        <v>2129</v>
      </c>
      <c r="E29" s="6" t="s">
        <v>1308</v>
      </c>
      <c r="F29" s="9">
        <v>45853</v>
      </c>
      <c r="G29" s="3" t="s">
        <v>2095</v>
      </c>
      <c r="H29" s="3" t="s">
        <v>2105</v>
      </c>
      <c r="I29" s="3"/>
      <c r="J29" s="3"/>
      <c r="K29" s="3"/>
      <c r="L29" s="3"/>
      <c r="M29" s="1"/>
      <c r="N29" s="1"/>
      <c r="O29" s="1"/>
      <c r="P29" s="1"/>
      <c r="Q29" s="1"/>
      <c r="R29" s="1"/>
      <c r="S29" s="1"/>
      <c r="T29" s="1"/>
      <c r="U29" s="1"/>
      <c r="V29" s="1"/>
      <c r="W29" s="1"/>
      <c r="X29" s="1"/>
      <c r="Y29" s="1"/>
    </row>
    <row r="30" spans="1:25" ht="22.5" customHeight="1" x14ac:dyDescent="0.2">
      <c r="A30" s="14" t="s">
        <v>1309</v>
      </c>
      <c r="B30" s="3" t="s">
        <v>34</v>
      </c>
      <c r="C30" s="3" t="s">
        <v>1216</v>
      </c>
      <c r="D30" s="11" t="s">
        <v>2104</v>
      </c>
      <c r="E30" s="6" t="s">
        <v>1236</v>
      </c>
      <c r="F30" s="9">
        <v>45849</v>
      </c>
      <c r="G30" s="3" t="s">
        <v>2095</v>
      </c>
      <c r="H30" s="3" t="s">
        <v>2105</v>
      </c>
      <c r="I30" s="3"/>
      <c r="J30" s="3"/>
      <c r="K30" s="3"/>
      <c r="L30" s="3"/>
      <c r="M30" s="1"/>
      <c r="N30" s="1"/>
      <c r="O30" s="1"/>
      <c r="P30" s="1"/>
      <c r="Q30" s="1"/>
      <c r="R30" s="1"/>
      <c r="S30" s="1"/>
      <c r="T30" s="1"/>
      <c r="U30" s="1"/>
      <c r="V30" s="1"/>
      <c r="W30" s="1"/>
      <c r="X30" s="1"/>
      <c r="Y30" s="1"/>
    </row>
    <row r="31" spans="1:25" ht="22.5" customHeight="1" x14ac:dyDescent="0.2">
      <c r="A31" s="14" t="s">
        <v>1310</v>
      </c>
      <c r="B31" s="3" t="s">
        <v>34</v>
      </c>
      <c r="C31" s="3" t="s">
        <v>1216</v>
      </c>
      <c r="D31" s="11" t="s">
        <v>2113</v>
      </c>
      <c r="E31" s="6" t="s">
        <v>1253</v>
      </c>
      <c r="F31" s="9">
        <v>45848</v>
      </c>
      <c r="G31" s="3" t="s">
        <v>2095</v>
      </c>
      <c r="H31" s="3" t="s">
        <v>2105</v>
      </c>
      <c r="I31" s="3"/>
      <c r="J31" s="3"/>
      <c r="K31" s="3"/>
      <c r="L31" s="3"/>
      <c r="M31" s="1"/>
      <c r="N31" s="1"/>
      <c r="O31" s="1"/>
      <c r="P31" s="1"/>
      <c r="Q31" s="1"/>
      <c r="R31" s="1"/>
      <c r="S31" s="1"/>
      <c r="T31" s="1"/>
      <c r="U31" s="1"/>
      <c r="V31" s="1"/>
      <c r="W31" s="1"/>
      <c r="X31" s="1"/>
      <c r="Y31" s="1"/>
    </row>
    <row r="32" spans="1:25" ht="22.5" customHeight="1" x14ac:dyDescent="0.2">
      <c r="A32" s="14" t="s">
        <v>1315</v>
      </c>
      <c r="B32" s="3" t="s">
        <v>34</v>
      </c>
      <c r="C32" s="3" t="s">
        <v>1216</v>
      </c>
      <c r="D32" s="11" t="s">
        <v>2130</v>
      </c>
      <c r="E32" s="6" t="s">
        <v>165</v>
      </c>
      <c r="F32" s="9">
        <v>45838</v>
      </c>
      <c r="G32" s="3" t="s">
        <v>2095</v>
      </c>
      <c r="H32" s="7" t="s">
        <v>1316</v>
      </c>
      <c r="I32" s="3" t="s">
        <v>2126</v>
      </c>
      <c r="J32" s="15">
        <v>45909</v>
      </c>
      <c r="K32" s="3"/>
      <c r="L32" s="3"/>
      <c r="M32" s="1"/>
      <c r="N32" s="1"/>
      <c r="O32" s="1"/>
      <c r="P32" s="1"/>
      <c r="Q32" s="1"/>
      <c r="R32" s="1"/>
      <c r="S32" s="1"/>
      <c r="T32" s="1"/>
      <c r="U32" s="1"/>
      <c r="V32" s="1"/>
      <c r="W32" s="1"/>
      <c r="X32" s="1"/>
      <c r="Y32" s="1"/>
    </row>
    <row r="33" spans="1:25" ht="22.5" customHeight="1" x14ac:dyDescent="0.2">
      <c r="A33" s="14" t="s">
        <v>1317</v>
      </c>
      <c r="B33" s="3" t="s">
        <v>34</v>
      </c>
      <c r="C33" s="3" t="s">
        <v>1216</v>
      </c>
      <c r="D33" s="11" t="s">
        <v>2131</v>
      </c>
      <c r="E33" s="6" t="s">
        <v>1318</v>
      </c>
      <c r="F33" s="9">
        <v>45833</v>
      </c>
      <c r="G33" s="3" t="s">
        <v>2095</v>
      </c>
      <c r="H33" s="7" t="s">
        <v>1319</v>
      </c>
      <c r="I33" s="3" t="s">
        <v>2132</v>
      </c>
      <c r="J33" s="8">
        <v>45959</v>
      </c>
      <c r="K33" s="3"/>
      <c r="L33" s="3"/>
      <c r="M33" s="1"/>
      <c r="N33" s="1"/>
      <c r="O33" s="1"/>
      <c r="P33" s="1"/>
      <c r="Q33" s="1"/>
      <c r="R33" s="1"/>
      <c r="S33" s="1"/>
      <c r="T33" s="1"/>
      <c r="U33" s="1"/>
      <c r="V33" s="1"/>
      <c r="W33" s="1"/>
      <c r="X33" s="1"/>
      <c r="Y33" s="1"/>
    </row>
    <row r="34" spans="1:25" ht="22.5" customHeight="1" x14ac:dyDescent="0.2">
      <c r="A34" s="14" t="s">
        <v>1323</v>
      </c>
      <c r="B34" s="3" t="s">
        <v>34</v>
      </c>
      <c r="C34" s="3" t="s">
        <v>1216</v>
      </c>
      <c r="D34" s="11" t="s">
        <v>2133</v>
      </c>
      <c r="E34" s="6" t="s">
        <v>1324</v>
      </c>
      <c r="F34" s="9">
        <v>45826</v>
      </c>
      <c r="G34" s="3" t="s">
        <v>2095</v>
      </c>
      <c r="H34" s="7" t="s">
        <v>1325</v>
      </c>
      <c r="I34" s="3" t="s">
        <v>2132</v>
      </c>
      <c r="J34" s="8">
        <v>45959</v>
      </c>
      <c r="K34" s="3"/>
      <c r="L34" s="3"/>
      <c r="M34" s="1"/>
      <c r="N34" s="1"/>
      <c r="O34" s="1"/>
      <c r="P34" s="1"/>
      <c r="Q34" s="1"/>
      <c r="R34" s="1"/>
      <c r="S34" s="1"/>
      <c r="T34" s="1"/>
      <c r="U34" s="1"/>
      <c r="V34" s="1"/>
      <c r="W34" s="1"/>
      <c r="X34" s="1"/>
      <c r="Y34" s="1"/>
    </row>
    <row r="35" spans="1:25" ht="22.5" customHeight="1" x14ac:dyDescent="0.2">
      <c r="A35" s="14" t="s">
        <v>1328</v>
      </c>
      <c r="B35" s="3" t="s">
        <v>34</v>
      </c>
      <c r="C35" s="3" t="s">
        <v>1216</v>
      </c>
      <c r="D35" s="11" t="s">
        <v>2104</v>
      </c>
      <c r="E35" s="6" t="s">
        <v>1236</v>
      </c>
      <c r="F35" s="9">
        <v>45824</v>
      </c>
      <c r="G35" s="3" t="s">
        <v>2095</v>
      </c>
      <c r="H35" s="3" t="s">
        <v>2105</v>
      </c>
      <c r="I35" s="3"/>
      <c r="J35" s="3"/>
      <c r="K35" s="3"/>
      <c r="L35" s="3"/>
      <c r="M35" s="1"/>
      <c r="N35" s="1"/>
      <c r="O35" s="1"/>
      <c r="P35" s="1"/>
      <c r="Q35" s="1"/>
      <c r="R35" s="1"/>
      <c r="S35" s="1"/>
      <c r="T35" s="1"/>
      <c r="U35" s="1"/>
      <c r="V35" s="1"/>
      <c r="W35" s="1"/>
      <c r="X35" s="1"/>
      <c r="Y35" s="1"/>
    </row>
    <row r="36" spans="1:25" ht="22.5" customHeight="1" x14ac:dyDescent="0.2">
      <c r="A36" s="14" t="s">
        <v>1329</v>
      </c>
      <c r="B36" s="3" t="s">
        <v>34</v>
      </c>
      <c r="C36" s="3" t="s">
        <v>1216</v>
      </c>
      <c r="D36" s="11" t="s">
        <v>2134</v>
      </c>
      <c r="E36" s="6" t="s">
        <v>1330</v>
      </c>
      <c r="F36" s="9">
        <v>45819</v>
      </c>
      <c r="G36" s="3" t="s">
        <v>2095</v>
      </c>
      <c r="H36" s="3" t="s">
        <v>2105</v>
      </c>
      <c r="I36" s="3"/>
      <c r="J36" s="3"/>
      <c r="K36" s="3"/>
      <c r="L36" s="3"/>
      <c r="M36" s="1"/>
      <c r="N36" s="1"/>
      <c r="O36" s="1"/>
      <c r="P36" s="1"/>
      <c r="Q36" s="1"/>
      <c r="R36" s="1"/>
      <c r="S36" s="1"/>
      <c r="T36" s="1"/>
      <c r="U36" s="1"/>
      <c r="V36" s="1"/>
      <c r="W36" s="1"/>
      <c r="X36" s="1"/>
      <c r="Y36" s="1"/>
    </row>
    <row r="37" spans="1:25" ht="22.5" customHeight="1" x14ac:dyDescent="0.2">
      <c r="A37" s="14" t="s">
        <v>1331</v>
      </c>
      <c r="B37" s="3" t="s">
        <v>34</v>
      </c>
      <c r="C37" s="3" t="s">
        <v>1216</v>
      </c>
      <c r="D37" s="11" t="s">
        <v>2135</v>
      </c>
      <c r="E37" s="6" t="s">
        <v>118</v>
      </c>
      <c r="F37" s="9">
        <v>45818</v>
      </c>
      <c r="G37" s="3" t="s">
        <v>2095</v>
      </c>
      <c r="H37" s="3" t="s">
        <v>2105</v>
      </c>
      <c r="I37" s="3"/>
      <c r="J37" s="3"/>
      <c r="K37" s="3"/>
      <c r="L37" s="3"/>
      <c r="M37" s="1"/>
      <c r="N37" s="1"/>
      <c r="O37" s="1"/>
      <c r="P37" s="1"/>
      <c r="Q37" s="1"/>
      <c r="R37" s="1"/>
      <c r="S37" s="1"/>
      <c r="T37" s="1"/>
      <c r="U37" s="1"/>
      <c r="V37" s="1"/>
      <c r="W37" s="1"/>
      <c r="X37" s="1"/>
      <c r="Y37" s="1"/>
    </row>
    <row r="38" spans="1:25" ht="22.5" customHeight="1" x14ac:dyDescent="0.2">
      <c r="A38" s="14" t="s">
        <v>1332</v>
      </c>
      <c r="B38" s="3" t="s">
        <v>34</v>
      </c>
      <c r="C38" s="3" t="s">
        <v>1216</v>
      </c>
      <c r="D38" s="11" t="s">
        <v>2136</v>
      </c>
      <c r="E38" s="6" t="s">
        <v>118</v>
      </c>
      <c r="F38" s="9">
        <v>45818</v>
      </c>
      <c r="G38" s="3" t="s">
        <v>2095</v>
      </c>
      <c r="H38" s="3" t="s">
        <v>2105</v>
      </c>
      <c r="I38" s="3"/>
      <c r="J38" s="3"/>
      <c r="K38" s="3"/>
      <c r="L38" s="3"/>
      <c r="M38" s="1"/>
      <c r="N38" s="1"/>
      <c r="O38" s="1"/>
      <c r="P38" s="1"/>
      <c r="Q38" s="1"/>
      <c r="R38" s="1"/>
      <c r="S38" s="1"/>
      <c r="T38" s="1"/>
      <c r="U38" s="1"/>
      <c r="V38" s="1"/>
      <c r="W38" s="1"/>
      <c r="X38" s="1"/>
      <c r="Y38" s="1"/>
    </row>
    <row r="39" spans="1:25" ht="22.5" customHeight="1" x14ac:dyDescent="0.2">
      <c r="A39" s="14" t="s">
        <v>1337</v>
      </c>
      <c r="B39" s="3" t="s">
        <v>34</v>
      </c>
      <c r="C39" s="3" t="s">
        <v>1216</v>
      </c>
      <c r="D39" s="11" t="s">
        <v>2137</v>
      </c>
      <c r="E39" s="6" t="s">
        <v>1338</v>
      </c>
      <c r="F39" s="9">
        <v>45813</v>
      </c>
      <c r="G39" s="3" t="s">
        <v>2095</v>
      </c>
      <c r="H39" s="3" t="s">
        <v>2105</v>
      </c>
      <c r="I39" s="3"/>
      <c r="J39" s="3"/>
      <c r="K39" s="3"/>
      <c r="L39" s="3"/>
      <c r="M39" s="1"/>
      <c r="N39" s="1"/>
      <c r="O39" s="1"/>
      <c r="P39" s="1"/>
      <c r="Q39" s="1"/>
      <c r="R39" s="1"/>
      <c r="S39" s="1"/>
      <c r="T39" s="1"/>
      <c r="U39" s="1"/>
      <c r="V39" s="1"/>
      <c r="W39" s="1"/>
      <c r="X39" s="1"/>
      <c r="Y39" s="1"/>
    </row>
    <row r="40" spans="1:25" ht="22.5" customHeight="1" x14ac:dyDescent="0.2">
      <c r="A40" s="14" t="s">
        <v>1339</v>
      </c>
      <c r="B40" s="3" t="s">
        <v>34</v>
      </c>
      <c r="C40" s="3" t="s">
        <v>1216</v>
      </c>
      <c r="D40" s="11" t="s">
        <v>2113</v>
      </c>
      <c r="E40" s="6" t="s">
        <v>1253</v>
      </c>
      <c r="F40" s="9">
        <v>45812</v>
      </c>
      <c r="G40" s="3" t="s">
        <v>2095</v>
      </c>
      <c r="H40" s="3" t="s">
        <v>2105</v>
      </c>
      <c r="I40" s="3"/>
      <c r="J40" s="3"/>
      <c r="K40" s="3"/>
      <c r="L40" s="3"/>
      <c r="M40" s="1"/>
      <c r="N40" s="1"/>
      <c r="O40" s="1"/>
      <c r="P40" s="1"/>
      <c r="Q40" s="1"/>
      <c r="R40" s="1"/>
      <c r="S40" s="1"/>
      <c r="T40" s="1"/>
      <c r="U40" s="1"/>
      <c r="V40" s="1"/>
      <c r="W40" s="1"/>
      <c r="X40" s="1"/>
      <c r="Y40" s="1"/>
    </row>
    <row r="41" spans="1:25" ht="22.5" customHeight="1" x14ac:dyDescent="0.2">
      <c r="A41" s="14" t="s">
        <v>1343</v>
      </c>
      <c r="B41" s="3" t="s">
        <v>34</v>
      </c>
      <c r="C41" s="3" t="s">
        <v>1216</v>
      </c>
      <c r="D41" s="11" t="s">
        <v>2138</v>
      </c>
      <c r="E41" s="6" t="s">
        <v>1265</v>
      </c>
      <c r="F41" s="9">
        <v>45806</v>
      </c>
      <c r="G41" s="3" t="s">
        <v>2095</v>
      </c>
      <c r="H41" s="3" t="s">
        <v>2105</v>
      </c>
      <c r="I41" s="3"/>
      <c r="J41" s="3"/>
      <c r="K41" s="3"/>
      <c r="L41" s="3"/>
      <c r="M41" s="1"/>
      <c r="N41" s="1"/>
      <c r="O41" s="1"/>
      <c r="P41" s="1"/>
      <c r="Q41" s="1"/>
      <c r="R41" s="1"/>
      <c r="S41" s="1"/>
      <c r="T41" s="1"/>
      <c r="U41" s="1"/>
      <c r="V41" s="1"/>
      <c r="W41" s="1"/>
      <c r="X41" s="1"/>
      <c r="Y41" s="1"/>
    </row>
    <row r="42" spans="1:25" ht="22.5" customHeight="1" x14ac:dyDescent="0.2">
      <c r="A42" s="14" t="s">
        <v>1344</v>
      </c>
      <c r="B42" s="3" t="s">
        <v>34</v>
      </c>
      <c r="C42" s="3" t="s">
        <v>1216</v>
      </c>
      <c r="D42" s="11" t="s">
        <v>2139</v>
      </c>
      <c r="E42" s="6" t="s">
        <v>195</v>
      </c>
      <c r="F42" s="9">
        <v>45806</v>
      </c>
      <c r="G42" s="3" t="s">
        <v>2095</v>
      </c>
      <c r="H42" s="3" t="s">
        <v>2105</v>
      </c>
      <c r="I42" s="3"/>
      <c r="J42" s="3"/>
      <c r="K42" s="3"/>
      <c r="L42" s="3"/>
      <c r="M42" s="1"/>
      <c r="N42" s="1"/>
      <c r="O42" s="1"/>
      <c r="P42" s="1"/>
      <c r="Q42" s="1"/>
      <c r="R42" s="1"/>
      <c r="S42" s="1"/>
      <c r="T42" s="1"/>
      <c r="U42" s="1"/>
      <c r="V42" s="1"/>
      <c r="W42" s="1"/>
      <c r="X42" s="1"/>
      <c r="Y42" s="1"/>
    </row>
    <row r="43" spans="1:25" ht="22.5" customHeight="1" x14ac:dyDescent="0.2">
      <c r="A43" s="14" t="s">
        <v>1345</v>
      </c>
      <c r="B43" s="3" t="s">
        <v>34</v>
      </c>
      <c r="C43" s="3" t="s">
        <v>1216</v>
      </c>
      <c r="D43" s="11" t="s">
        <v>2140</v>
      </c>
      <c r="E43" s="6" t="s">
        <v>1238</v>
      </c>
      <c r="F43" s="9">
        <v>45806</v>
      </c>
      <c r="G43" s="3" t="s">
        <v>2095</v>
      </c>
      <c r="H43" s="3" t="s">
        <v>2105</v>
      </c>
      <c r="I43" s="3"/>
      <c r="J43" s="3"/>
      <c r="K43" s="3"/>
      <c r="L43" s="3"/>
      <c r="M43" s="1"/>
      <c r="N43" s="1"/>
      <c r="O43" s="1"/>
      <c r="P43" s="1"/>
      <c r="Q43" s="1"/>
      <c r="R43" s="1"/>
      <c r="S43" s="1"/>
      <c r="T43" s="1"/>
      <c r="U43" s="1"/>
      <c r="V43" s="1"/>
      <c r="W43" s="1"/>
      <c r="X43" s="1"/>
      <c r="Y43" s="1"/>
    </row>
    <row r="44" spans="1:25" ht="22.5" customHeight="1" x14ac:dyDescent="0.2">
      <c r="A44" s="14" t="s">
        <v>1350</v>
      </c>
      <c r="B44" s="3" t="s">
        <v>34</v>
      </c>
      <c r="C44" s="3" t="s">
        <v>1216</v>
      </c>
      <c r="D44" s="11" t="s">
        <v>2141</v>
      </c>
      <c r="E44" s="6" t="s">
        <v>1230</v>
      </c>
      <c r="F44" s="9">
        <v>45803</v>
      </c>
      <c r="G44" s="3" t="s">
        <v>2095</v>
      </c>
      <c r="H44" s="3" t="s">
        <v>2105</v>
      </c>
      <c r="I44" s="3"/>
      <c r="J44" s="3"/>
      <c r="K44" s="3"/>
      <c r="L44" s="3"/>
      <c r="M44" s="1"/>
      <c r="N44" s="1"/>
      <c r="O44" s="1"/>
      <c r="P44" s="1"/>
      <c r="Q44" s="1"/>
      <c r="R44" s="1"/>
      <c r="S44" s="1"/>
      <c r="T44" s="1"/>
      <c r="U44" s="1"/>
      <c r="V44" s="1"/>
      <c r="W44" s="1"/>
      <c r="X44" s="1"/>
      <c r="Y44" s="1"/>
    </row>
    <row r="45" spans="1:25" ht="22.5" customHeight="1" x14ac:dyDescent="0.2">
      <c r="A45" s="14" t="s">
        <v>1353</v>
      </c>
      <c r="B45" s="3" t="s">
        <v>34</v>
      </c>
      <c r="C45" s="3" t="s">
        <v>1216</v>
      </c>
      <c r="D45" s="11" t="s">
        <v>2142</v>
      </c>
      <c r="E45" s="6" t="s">
        <v>1238</v>
      </c>
      <c r="F45" s="9">
        <v>45803</v>
      </c>
      <c r="G45" s="3" t="s">
        <v>2095</v>
      </c>
      <c r="H45" s="3" t="s">
        <v>2105</v>
      </c>
      <c r="I45" s="3"/>
      <c r="J45" s="3"/>
      <c r="K45" s="3"/>
      <c r="L45" s="3"/>
      <c r="M45" s="1"/>
      <c r="N45" s="1"/>
      <c r="O45" s="1"/>
      <c r="P45" s="1"/>
      <c r="Q45" s="1"/>
      <c r="R45" s="1"/>
      <c r="S45" s="1"/>
      <c r="T45" s="1"/>
      <c r="U45" s="1"/>
      <c r="V45" s="1"/>
      <c r="W45" s="1"/>
      <c r="X45" s="1"/>
      <c r="Y45" s="1"/>
    </row>
    <row r="46" spans="1:25" ht="22.5" customHeight="1" x14ac:dyDescent="0.2">
      <c r="A46" s="14" t="s">
        <v>1355</v>
      </c>
      <c r="B46" s="3" t="s">
        <v>34</v>
      </c>
      <c r="C46" s="3" t="s">
        <v>1216</v>
      </c>
      <c r="D46" s="11" t="s">
        <v>2106</v>
      </c>
      <c r="E46" s="6" t="s">
        <v>1238</v>
      </c>
      <c r="F46" s="9">
        <v>45803</v>
      </c>
      <c r="G46" s="3" t="s">
        <v>2095</v>
      </c>
      <c r="H46" s="3" t="s">
        <v>2105</v>
      </c>
      <c r="I46" s="3"/>
      <c r="J46" s="3"/>
      <c r="K46" s="3"/>
      <c r="L46" s="3"/>
      <c r="M46" s="1"/>
      <c r="N46" s="1"/>
      <c r="O46" s="1"/>
      <c r="P46" s="1"/>
      <c r="Q46" s="1"/>
      <c r="R46" s="1"/>
      <c r="S46" s="1"/>
      <c r="T46" s="1"/>
      <c r="U46" s="1"/>
      <c r="V46" s="1"/>
      <c r="W46" s="1"/>
      <c r="X46" s="1"/>
      <c r="Y46" s="1"/>
    </row>
    <row r="47" spans="1:25" ht="22.5" customHeight="1" x14ac:dyDescent="0.2">
      <c r="A47" s="14" t="s">
        <v>1356</v>
      </c>
      <c r="B47" s="3" t="s">
        <v>34</v>
      </c>
      <c r="C47" s="3" t="s">
        <v>1216</v>
      </c>
      <c r="D47" s="11" t="s">
        <v>2143</v>
      </c>
      <c r="E47" s="6" t="s">
        <v>391</v>
      </c>
      <c r="F47" s="9">
        <v>45800</v>
      </c>
      <c r="G47" s="3" t="s">
        <v>2095</v>
      </c>
      <c r="H47" s="3" t="s">
        <v>2105</v>
      </c>
      <c r="I47" s="3"/>
      <c r="J47" s="3"/>
      <c r="K47" s="3"/>
      <c r="L47" s="3"/>
      <c r="M47" s="1"/>
      <c r="N47" s="1"/>
      <c r="O47" s="1"/>
      <c r="P47" s="1"/>
      <c r="Q47" s="1"/>
      <c r="R47" s="1"/>
      <c r="S47" s="1"/>
      <c r="T47" s="1"/>
      <c r="U47" s="1"/>
      <c r="V47" s="1"/>
      <c r="W47" s="1"/>
      <c r="X47" s="1"/>
      <c r="Y47" s="1"/>
    </row>
    <row r="48" spans="1:25" ht="22.5" customHeight="1" x14ac:dyDescent="0.2">
      <c r="A48" s="13" t="s">
        <v>1357</v>
      </c>
      <c r="B48" s="3" t="s">
        <v>34</v>
      </c>
      <c r="C48" s="3" t="s">
        <v>1216</v>
      </c>
      <c r="D48" s="11" t="s">
        <v>2144</v>
      </c>
      <c r="E48" s="6" t="s">
        <v>1324</v>
      </c>
      <c r="F48" s="9">
        <v>45799</v>
      </c>
      <c r="G48" s="3" t="s">
        <v>2095</v>
      </c>
      <c r="H48" s="7" t="s">
        <v>1358</v>
      </c>
      <c r="I48" s="3" t="s">
        <v>2145</v>
      </c>
      <c r="J48" s="8">
        <v>45959</v>
      </c>
      <c r="K48" s="3"/>
      <c r="L48" s="3"/>
      <c r="M48" s="1"/>
      <c r="N48" s="1"/>
      <c r="O48" s="1"/>
      <c r="P48" s="1"/>
      <c r="Q48" s="1"/>
      <c r="R48" s="1"/>
      <c r="S48" s="1"/>
      <c r="T48" s="1"/>
      <c r="U48" s="1"/>
      <c r="V48" s="1"/>
      <c r="W48" s="1"/>
      <c r="X48" s="1"/>
      <c r="Y48" s="1"/>
    </row>
    <row r="49" spans="1:25" ht="22.5" customHeight="1" x14ac:dyDescent="0.2">
      <c r="A49" s="14" t="s">
        <v>1359</v>
      </c>
      <c r="B49" s="3" t="s">
        <v>34</v>
      </c>
      <c r="C49" s="3" t="s">
        <v>1216</v>
      </c>
      <c r="D49" s="11" t="s">
        <v>2146</v>
      </c>
      <c r="E49" s="6" t="s">
        <v>1324</v>
      </c>
      <c r="F49" s="9">
        <v>45799</v>
      </c>
      <c r="G49" s="3" t="s">
        <v>2095</v>
      </c>
      <c r="H49" s="7" t="s">
        <v>1360</v>
      </c>
      <c r="I49" s="3" t="s">
        <v>2145</v>
      </c>
      <c r="J49" s="8">
        <v>45959</v>
      </c>
      <c r="K49" s="3"/>
      <c r="L49" s="3"/>
      <c r="M49" s="1"/>
      <c r="N49" s="1"/>
      <c r="O49" s="1"/>
      <c r="P49" s="1"/>
      <c r="Q49" s="1"/>
      <c r="R49" s="1"/>
      <c r="S49" s="1"/>
      <c r="T49" s="1"/>
      <c r="U49" s="1"/>
      <c r="V49" s="1"/>
      <c r="W49" s="1"/>
      <c r="X49" s="1"/>
      <c r="Y49" s="1"/>
    </row>
    <row r="50" spans="1:25" ht="22.5" customHeight="1" x14ac:dyDescent="0.2">
      <c r="A50" s="14" t="s">
        <v>1361</v>
      </c>
      <c r="B50" s="3" t="s">
        <v>34</v>
      </c>
      <c r="C50" s="3" t="s">
        <v>1216</v>
      </c>
      <c r="D50" s="11" t="s">
        <v>2147</v>
      </c>
      <c r="E50" s="6" t="s">
        <v>184</v>
      </c>
      <c r="F50" s="9">
        <v>45798</v>
      </c>
      <c r="G50" s="3" t="s">
        <v>2095</v>
      </c>
      <c r="H50" s="3" t="s">
        <v>1362</v>
      </c>
      <c r="I50" s="3" t="s">
        <v>2148</v>
      </c>
      <c r="J50" s="8">
        <v>45958</v>
      </c>
      <c r="K50" s="3"/>
      <c r="L50" s="3"/>
      <c r="M50" s="1"/>
      <c r="N50" s="1"/>
      <c r="O50" s="1"/>
      <c r="P50" s="1"/>
      <c r="Q50" s="1"/>
      <c r="R50" s="1"/>
      <c r="S50" s="1"/>
      <c r="T50" s="1"/>
      <c r="U50" s="1"/>
      <c r="V50" s="1"/>
      <c r="W50" s="1"/>
      <c r="X50" s="1"/>
      <c r="Y50" s="1"/>
    </row>
    <row r="51" spans="1:25" ht="22.5" customHeight="1" x14ac:dyDescent="0.2">
      <c r="A51" s="14" t="s">
        <v>1364</v>
      </c>
      <c r="B51" s="3" t="s">
        <v>34</v>
      </c>
      <c r="C51" s="3" t="s">
        <v>1216</v>
      </c>
      <c r="D51" s="11" t="s">
        <v>2149</v>
      </c>
      <c r="E51" s="6" t="s">
        <v>1365</v>
      </c>
      <c r="F51" s="9">
        <v>45797</v>
      </c>
      <c r="G51" s="3" t="s">
        <v>2150</v>
      </c>
      <c r="H51" s="3" t="s">
        <v>2105</v>
      </c>
      <c r="I51" s="3"/>
      <c r="J51" s="3"/>
      <c r="K51" s="3"/>
      <c r="L51" s="3"/>
      <c r="M51" s="1"/>
      <c r="N51" s="1"/>
      <c r="O51" s="1"/>
      <c r="P51" s="1"/>
      <c r="Q51" s="1"/>
      <c r="R51" s="1"/>
      <c r="S51" s="1"/>
      <c r="T51" s="1"/>
      <c r="U51" s="1"/>
      <c r="V51" s="1"/>
      <c r="W51" s="1"/>
      <c r="X51" s="1"/>
      <c r="Y51" s="1"/>
    </row>
    <row r="52" spans="1:25" ht="22.5" customHeight="1" x14ac:dyDescent="0.2">
      <c r="A52" s="14" t="s">
        <v>1366</v>
      </c>
      <c r="B52" s="3" t="s">
        <v>34</v>
      </c>
      <c r="C52" s="3" t="s">
        <v>1216</v>
      </c>
      <c r="D52" s="11" t="s">
        <v>2151</v>
      </c>
      <c r="E52" s="6" t="s">
        <v>184</v>
      </c>
      <c r="F52" s="9">
        <v>45797</v>
      </c>
      <c r="G52" s="3" t="s">
        <v>2095</v>
      </c>
      <c r="H52" s="3" t="s">
        <v>2105</v>
      </c>
      <c r="I52" s="3"/>
      <c r="J52" s="3"/>
      <c r="K52" s="3"/>
      <c r="L52" s="3"/>
      <c r="M52" s="1"/>
      <c r="N52" s="1"/>
      <c r="O52" s="1"/>
      <c r="P52" s="1"/>
      <c r="Q52" s="1"/>
      <c r="R52" s="1"/>
      <c r="S52" s="1"/>
      <c r="T52" s="1"/>
      <c r="U52" s="1"/>
      <c r="V52" s="1"/>
      <c r="W52" s="1"/>
      <c r="X52" s="1"/>
      <c r="Y52" s="1"/>
    </row>
    <row r="53" spans="1:25" ht="22.5" customHeight="1" x14ac:dyDescent="0.2">
      <c r="A53" s="14" t="s">
        <v>1367</v>
      </c>
      <c r="B53" s="3" t="s">
        <v>34</v>
      </c>
      <c r="C53" s="3" t="s">
        <v>1216</v>
      </c>
      <c r="D53" s="11" t="s">
        <v>2152</v>
      </c>
      <c r="E53" s="6" t="s">
        <v>184</v>
      </c>
      <c r="F53" s="9">
        <v>45797</v>
      </c>
      <c r="G53" s="3" t="s">
        <v>2095</v>
      </c>
      <c r="H53" s="3" t="s">
        <v>2105</v>
      </c>
      <c r="I53" s="3"/>
      <c r="J53" s="3"/>
      <c r="K53" s="3"/>
      <c r="L53" s="3"/>
      <c r="M53" s="1"/>
      <c r="N53" s="1"/>
      <c r="O53" s="1"/>
      <c r="P53" s="1"/>
      <c r="Q53" s="1"/>
      <c r="R53" s="1"/>
      <c r="S53" s="1"/>
      <c r="T53" s="1"/>
      <c r="U53" s="1"/>
      <c r="V53" s="1"/>
      <c r="W53" s="1"/>
      <c r="X53" s="1"/>
      <c r="Y53" s="1"/>
    </row>
    <row r="54" spans="1:25" ht="22.5" customHeight="1" x14ac:dyDescent="0.2">
      <c r="A54" s="14" t="s">
        <v>1370</v>
      </c>
      <c r="B54" s="3" t="s">
        <v>34</v>
      </c>
      <c r="C54" s="3" t="s">
        <v>1216</v>
      </c>
      <c r="D54" s="11" t="s">
        <v>2140</v>
      </c>
      <c r="E54" s="6" t="s">
        <v>1238</v>
      </c>
      <c r="F54" s="9">
        <v>45797</v>
      </c>
      <c r="G54" s="3" t="s">
        <v>2095</v>
      </c>
      <c r="H54" s="3" t="s">
        <v>2105</v>
      </c>
      <c r="I54" s="3"/>
      <c r="J54" s="3"/>
      <c r="K54" s="3"/>
      <c r="L54" s="3"/>
      <c r="M54" s="1"/>
      <c r="N54" s="1"/>
      <c r="O54" s="1"/>
      <c r="P54" s="1"/>
      <c r="Q54" s="1"/>
      <c r="R54" s="1"/>
      <c r="S54" s="1"/>
      <c r="T54" s="1"/>
      <c r="U54" s="1"/>
      <c r="V54" s="1"/>
      <c r="W54" s="1"/>
      <c r="X54" s="1"/>
      <c r="Y54" s="1"/>
    </row>
    <row r="55" spans="1:25" ht="22.5" customHeight="1" x14ac:dyDescent="0.2">
      <c r="A55" s="14" t="s">
        <v>1373</v>
      </c>
      <c r="B55" s="3" t="s">
        <v>34</v>
      </c>
      <c r="C55" s="3" t="s">
        <v>1216</v>
      </c>
      <c r="D55" s="11" t="s">
        <v>2153</v>
      </c>
      <c r="E55" s="6" t="s">
        <v>74</v>
      </c>
      <c r="F55" s="9">
        <v>45796</v>
      </c>
      <c r="G55" s="3" t="s">
        <v>2095</v>
      </c>
      <c r="H55" s="3" t="s">
        <v>2105</v>
      </c>
      <c r="I55" s="3"/>
      <c r="J55" s="3"/>
      <c r="K55" s="3"/>
      <c r="L55" s="3"/>
      <c r="M55" s="1"/>
      <c r="N55" s="1"/>
      <c r="O55" s="1"/>
      <c r="P55" s="1"/>
      <c r="Q55" s="1"/>
      <c r="R55" s="1"/>
      <c r="S55" s="1"/>
      <c r="T55" s="1"/>
      <c r="U55" s="1"/>
      <c r="V55" s="1"/>
      <c r="W55" s="1"/>
      <c r="X55" s="1"/>
      <c r="Y55" s="1"/>
    </row>
    <row r="56" spans="1:25" ht="22.5" customHeight="1" x14ac:dyDescent="0.2">
      <c r="A56" s="14" t="s">
        <v>1374</v>
      </c>
      <c r="B56" s="3" t="s">
        <v>34</v>
      </c>
      <c r="C56" s="3" t="s">
        <v>1216</v>
      </c>
      <c r="D56" s="11" t="s">
        <v>2129</v>
      </c>
      <c r="E56" s="6" t="s">
        <v>1308</v>
      </c>
      <c r="F56" s="9">
        <v>45796</v>
      </c>
      <c r="G56" s="3" t="s">
        <v>2095</v>
      </c>
      <c r="H56" s="3" t="s">
        <v>2105</v>
      </c>
      <c r="I56" s="3"/>
      <c r="J56" s="3"/>
      <c r="K56" s="3"/>
      <c r="L56" s="3"/>
      <c r="M56" s="1"/>
      <c r="N56" s="1"/>
      <c r="O56" s="1"/>
      <c r="P56" s="1"/>
      <c r="Q56" s="1"/>
      <c r="R56" s="1"/>
      <c r="S56" s="1"/>
      <c r="T56" s="1"/>
      <c r="U56" s="1"/>
      <c r="V56" s="1"/>
      <c r="W56" s="1"/>
      <c r="X56" s="1"/>
      <c r="Y56" s="1"/>
    </row>
    <row r="57" spans="1:25" ht="22.5" customHeight="1" x14ac:dyDescent="0.2">
      <c r="A57" s="14" t="s">
        <v>1382</v>
      </c>
      <c r="B57" s="3" t="s">
        <v>34</v>
      </c>
      <c r="C57" s="3" t="s">
        <v>1216</v>
      </c>
      <c r="D57" s="11" t="s">
        <v>2154</v>
      </c>
      <c r="E57" s="6" t="s">
        <v>1365</v>
      </c>
      <c r="F57" s="8">
        <v>45796</v>
      </c>
      <c r="G57" s="3" t="s">
        <v>2095</v>
      </c>
      <c r="H57" s="3" t="s">
        <v>2105</v>
      </c>
      <c r="I57" s="3"/>
      <c r="J57" s="3"/>
      <c r="K57" s="3"/>
      <c r="L57" s="3"/>
      <c r="M57" s="1"/>
      <c r="N57" s="1"/>
      <c r="O57" s="1"/>
      <c r="P57" s="1"/>
      <c r="Q57" s="1"/>
      <c r="R57" s="1"/>
      <c r="S57" s="1"/>
      <c r="T57" s="1"/>
      <c r="U57" s="1"/>
      <c r="V57" s="1"/>
      <c r="W57" s="1"/>
      <c r="X57" s="1"/>
      <c r="Y57" s="1"/>
    </row>
    <row r="58" spans="1:25" ht="22.5" customHeight="1" x14ac:dyDescent="0.2">
      <c r="A58" s="14" t="s">
        <v>1385</v>
      </c>
      <c r="B58" s="3" t="s">
        <v>34</v>
      </c>
      <c r="C58" s="3" t="s">
        <v>1216</v>
      </c>
      <c r="D58" s="11" t="s">
        <v>2155</v>
      </c>
      <c r="E58" s="6" t="s">
        <v>1386</v>
      </c>
      <c r="F58" s="9">
        <v>45796</v>
      </c>
      <c r="G58" s="3" t="s">
        <v>2095</v>
      </c>
      <c r="H58" s="3" t="s">
        <v>2105</v>
      </c>
      <c r="I58" s="3"/>
      <c r="J58" s="3"/>
      <c r="K58" s="3"/>
      <c r="L58" s="3"/>
      <c r="M58" s="1"/>
      <c r="N58" s="1"/>
      <c r="O58" s="1"/>
      <c r="P58" s="1"/>
      <c r="Q58" s="1"/>
      <c r="R58" s="1"/>
      <c r="S58" s="1"/>
      <c r="T58" s="1"/>
      <c r="U58" s="1"/>
      <c r="V58" s="1"/>
      <c r="W58" s="1"/>
      <c r="X58" s="1"/>
      <c r="Y58" s="1"/>
    </row>
    <row r="59" spans="1:25" ht="22.5" customHeight="1" x14ac:dyDescent="0.2">
      <c r="A59" s="14" t="s">
        <v>1385</v>
      </c>
      <c r="B59" s="3" t="s">
        <v>34</v>
      </c>
      <c r="C59" s="3" t="s">
        <v>1216</v>
      </c>
      <c r="D59" s="11" t="s">
        <v>2156</v>
      </c>
      <c r="E59" s="6" t="s">
        <v>1392</v>
      </c>
      <c r="F59" s="9">
        <v>45793</v>
      </c>
      <c r="G59" s="3" t="s">
        <v>2095</v>
      </c>
      <c r="H59" s="3" t="s">
        <v>2105</v>
      </c>
      <c r="I59" s="3"/>
      <c r="J59" s="3"/>
      <c r="K59" s="3"/>
      <c r="L59" s="3"/>
      <c r="M59" s="1"/>
      <c r="N59" s="1"/>
      <c r="O59" s="1"/>
      <c r="P59" s="1"/>
      <c r="Q59" s="1"/>
      <c r="R59" s="1"/>
      <c r="S59" s="1"/>
      <c r="T59" s="1"/>
      <c r="U59" s="1"/>
      <c r="V59" s="1"/>
      <c r="W59" s="1"/>
      <c r="X59" s="1"/>
      <c r="Y59" s="1"/>
    </row>
    <row r="60" spans="1:25" ht="22.5" customHeight="1" x14ac:dyDescent="0.2">
      <c r="A60" s="14" t="s">
        <v>1397</v>
      </c>
      <c r="B60" s="3" t="s">
        <v>34</v>
      </c>
      <c r="C60" s="3" t="s">
        <v>1216</v>
      </c>
      <c r="D60" s="11" t="s">
        <v>2157</v>
      </c>
      <c r="E60" s="6" t="s">
        <v>1386</v>
      </c>
      <c r="F60" s="9">
        <v>45785</v>
      </c>
      <c r="G60" s="3" t="s">
        <v>2095</v>
      </c>
      <c r="H60" s="3" t="s">
        <v>2105</v>
      </c>
      <c r="I60" s="3"/>
      <c r="J60" s="3"/>
      <c r="K60" s="3"/>
      <c r="L60" s="3"/>
      <c r="M60" s="1"/>
      <c r="N60" s="1"/>
      <c r="O60" s="1"/>
      <c r="P60" s="1"/>
      <c r="Q60" s="1"/>
      <c r="R60" s="1"/>
      <c r="S60" s="1"/>
      <c r="T60" s="1"/>
      <c r="U60" s="1"/>
      <c r="V60" s="1"/>
      <c r="W60" s="1"/>
      <c r="X60" s="1"/>
      <c r="Y60" s="1"/>
    </row>
    <row r="61" spans="1:25" ht="22.5" customHeight="1" x14ac:dyDescent="0.2">
      <c r="A61" s="14" t="s">
        <v>1401</v>
      </c>
      <c r="B61" s="3" t="s">
        <v>34</v>
      </c>
      <c r="C61" s="3" t="s">
        <v>1216</v>
      </c>
      <c r="D61" s="11" t="s">
        <v>2158</v>
      </c>
      <c r="E61" s="6" t="s">
        <v>1402</v>
      </c>
      <c r="F61" s="9">
        <v>45783</v>
      </c>
      <c r="G61" s="3" t="s">
        <v>2095</v>
      </c>
      <c r="H61" s="3" t="s">
        <v>2105</v>
      </c>
      <c r="I61" s="3"/>
      <c r="J61" s="3"/>
      <c r="K61" s="3"/>
      <c r="L61" s="3"/>
      <c r="M61" s="1"/>
      <c r="N61" s="1"/>
      <c r="O61" s="1"/>
      <c r="P61" s="1"/>
      <c r="Q61" s="1"/>
      <c r="R61" s="1"/>
      <c r="S61" s="1"/>
      <c r="T61" s="1"/>
      <c r="U61" s="1"/>
      <c r="V61" s="1"/>
      <c r="W61" s="1"/>
      <c r="X61" s="1"/>
      <c r="Y61" s="1"/>
    </row>
    <row r="62" spans="1:25" ht="22.5" customHeight="1" x14ac:dyDescent="0.2">
      <c r="A62" s="14" t="s">
        <v>1403</v>
      </c>
      <c r="B62" s="3" t="s">
        <v>34</v>
      </c>
      <c r="C62" s="3" t="s">
        <v>1216</v>
      </c>
      <c r="D62" s="11" t="s">
        <v>2159</v>
      </c>
      <c r="E62" s="6" t="s">
        <v>1392</v>
      </c>
      <c r="F62" s="9">
        <v>45783</v>
      </c>
      <c r="G62" s="3" t="s">
        <v>2095</v>
      </c>
      <c r="H62" s="3" t="s">
        <v>2105</v>
      </c>
      <c r="I62" s="3"/>
      <c r="J62" s="3"/>
      <c r="K62" s="3"/>
      <c r="L62" s="3"/>
      <c r="M62" s="1"/>
      <c r="N62" s="1"/>
      <c r="O62" s="1"/>
      <c r="P62" s="1"/>
      <c r="Q62" s="1"/>
      <c r="R62" s="1"/>
      <c r="S62" s="1"/>
      <c r="T62" s="1"/>
      <c r="U62" s="1"/>
      <c r="V62" s="1"/>
      <c r="W62" s="1"/>
      <c r="X62" s="1"/>
      <c r="Y62" s="1"/>
    </row>
    <row r="63" spans="1:25" ht="22.5" customHeight="1" x14ac:dyDescent="0.2">
      <c r="A63" s="14" t="s">
        <v>1405</v>
      </c>
      <c r="B63" s="3" t="s">
        <v>34</v>
      </c>
      <c r="C63" s="3" t="s">
        <v>1216</v>
      </c>
      <c r="D63" s="11" t="s">
        <v>2160</v>
      </c>
      <c r="E63" s="6" t="s">
        <v>1406</v>
      </c>
      <c r="F63" s="9">
        <v>45783</v>
      </c>
      <c r="G63" s="3" t="s">
        <v>2095</v>
      </c>
      <c r="H63" s="7" t="s">
        <v>1407</v>
      </c>
      <c r="I63" s="3" t="s">
        <v>2145</v>
      </c>
      <c r="J63" s="8">
        <v>45959</v>
      </c>
      <c r="K63" s="3"/>
      <c r="L63" s="3"/>
      <c r="M63" s="1"/>
      <c r="N63" s="1"/>
      <c r="O63" s="1"/>
      <c r="P63" s="1"/>
      <c r="Q63" s="1"/>
      <c r="R63" s="1"/>
      <c r="S63" s="1"/>
      <c r="T63" s="1"/>
      <c r="U63" s="1"/>
      <c r="V63" s="1"/>
      <c r="W63" s="1"/>
      <c r="X63" s="1"/>
      <c r="Y63" s="1"/>
    </row>
    <row r="64" spans="1:25" ht="22.5" customHeight="1" x14ac:dyDescent="0.2">
      <c r="A64" s="14" t="s">
        <v>1408</v>
      </c>
      <c r="B64" s="3" t="s">
        <v>34</v>
      </c>
      <c r="C64" s="3" t="s">
        <v>1216</v>
      </c>
      <c r="D64" s="11" t="s">
        <v>2161</v>
      </c>
      <c r="E64" s="6" t="s">
        <v>1409</v>
      </c>
      <c r="F64" s="9">
        <v>45783</v>
      </c>
      <c r="G64" s="3" t="s">
        <v>2095</v>
      </c>
      <c r="H64" s="3" t="s">
        <v>2105</v>
      </c>
      <c r="I64" s="3"/>
      <c r="J64" s="3"/>
      <c r="K64" s="3"/>
      <c r="L64" s="3"/>
      <c r="M64" s="1"/>
      <c r="N64" s="1"/>
      <c r="O64" s="1"/>
      <c r="P64" s="1"/>
      <c r="Q64" s="1"/>
      <c r="R64" s="1"/>
      <c r="S64" s="1"/>
      <c r="T64" s="1"/>
      <c r="U64" s="1"/>
      <c r="V64" s="1"/>
      <c r="W64" s="1"/>
      <c r="X64" s="1"/>
      <c r="Y64" s="1"/>
    </row>
    <row r="65" spans="1:25" ht="22.5" customHeight="1" x14ac:dyDescent="0.2">
      <c r="A65" s="14" t="s">
        <v>1411</v>
      </c>
      <c r="B65" s="3" t="s">
        <v>34</v>
      </c>
      <c r="C65" s="3" t="s">
        <v>1216</v>
      </c>
      <c r="D65" s="11" t="s">
        <v>2162</v>
      </c>
      <c r="E65" s="6" t="s">
        <v>1412</v>
      </c>
      <c r="F65" s="9">
        <v>45782</v>
      </c>
      <c r="G65" s="3" t="s">
        <v>2095</v>
      </c>
      <c r="H65" s="3" t="s">
        <v>2105</v>
      </c>
      <c r="I65" s="3"/>
      <c r="J65" s="3"/>
      <c r="K65" s="3"/>
      <c r="L65" s="3"/>
      <c r="M65" s="1"/>
      <c r="N65" s="1"/>
      <c r="O65" s="1"/>
      <c r="P65" s="1"/>
      <c r="Q65" s="1"/>
      <c r="R65" s="1"/>
      <c r="S65" s="1"/>
      <c r="T65" s="1"/>
      <c r="U65" s="1"/>
      <c r="V65" s="1"/>
      <c r="W65" s="1"/>
      <c r="X65" s="1"/>
      <c r="Y65" s="1"/>
    </row>
    <row r="66" spans="1:25" ht="22.5" customHeight="1" x14ac:dyDescent="0.2">
      <c r="A66" s="14" t="s">
        <v>1414</v>
      </c>
      <c r="B66" s="3" t="s">
        <v>34</v>
      </c>
      <c r="C66" s="3" t="s">
        <v>1216</v>
      </c>
      <c r="D66" s="11" t="s">
        <v>2163</v>
      </c>
      <c r="E66" s="6" t="s">
        <v>1415</v>
      </c>
      <c r="F66" s="9">
        <v>45774</v>
      </c>
      <c r="G66" s="3" t="s">
        <v>2095</v>
      </c>
      <c r="H66" s="3" t="s">
        <v>2105</v>
      </c>
      <c r="I66" s="3"/>
      <c r="J66" s="3"/>
      <c r="K66" s="3"/>
      <c r="L66" s="3"/>
      <c r="M66" s="1"/>
      <c r="N66" s="1"/>
      <c r="O66" s="1"/>
      <c r="P66" s="1"/>
      <c r="Q66" s="1"/>
      <c r="R66" s="1"/>
      <c r="S66" s="1"/>
      <c r="T66" s="1"/>
      <c r="U66" s="1"/>
      <c r="V66" s="1"/>
      <c r="W66" s="1"/>
      <c r="X66" s="1"/>
      <c r="Y66" s="1"/>
    </row>
    <row r="67" spans="1:25" ht="22.5" customHeight="1" x14ac:dyDescent="0.2">
      <c r="A67" s="14" t="s">
        <v>1416</v>
      </c>
      <c r="B67" s="3" t="s">
        <v>34</v>
      </c>
      <c r="C67" s="3" t="s">
        <v>1216</v>
      </c>
      <c r="D67" s="11" t="s">
        <v>2164</v>
      </c>
      <c r="E67" s="6" t="s">
        <v>1347</v>
      </c>
      <c r="F67" s="9">
        <v>45774</v>
      </c>
      <c r="G67" s="3" t="s">
        <v>2095</v>
      </c>
      <c r="H67" s="3" t="s">
        <v>1417</v>
      </c>
      <c r="I67" s="3" t="s">
        <v>2145</v>
      </c>
      <c r="J67" s="8">
        <v>45959</v>
      </c>
      <c r="K67" s="3"/>
      <c r="L67" s="3"/>
      <c r="M67" s="1"/>
      <c r="N67" s="1"/>
      <c r="O67" s="1"/>
      <c r="P67" s="1"/>
      <c r="Q67" s="1"/>
      <c r="R67" s="1"/>
      <c r="S67" s="1"/>
      <c r="T67" s="1"/>
      <c r="U67" s="1"/>
      <c r="V67" s="1"/>
      <c r="W67" s="1"/>
      <c r="X67" s="1"/>
      <c r="Y67" s="1"/>
    </row>
    <row r="68" spans="1:25" ht="22.5" customHeight="1" x14ac:dyDescent="0.2">
      <c r="A68" s="14" t="s">
        <v>1421</v>
      </c>
      <c r="B68" s="3" t="s">
        <v>34</v>
      </c>
      <c r="C68" s="3" t="s">
        <v>1216</v>
      </c>
      <c r="D68" s="11" t="s">
        <v>2165</v>
      </c>
      <c r="E68" s="6" t="s">
        <v>1347</v>
      </c>
      <c r="F68" s="9">
        <v>45770</v>
      </c>
      <c r="G68" s="3" t="s">
        <v>2095</v>
      </c>
      <c r="H68" s="3" t="s">
        <v>2105</v>
      </c>
      <c r="I68" s="3"/>
      <c r="J68" s="3"/>
      <c r="K68" s="3"/>
      <c r="L68" s="3"/>
      <c r="M68" s="1"/>
      <c r="N68" s="1"/>
      <c r="O68" s="1"/>
      <c r="P68" s="1"/>
      <c r="Q68" s="1"/>
      <c r="R68" s="1"/>
      <c r="S68" s="1"/>
      <c r="T68" s="1"/>
      <c r="U68" s="1"/>
      <c r="V68" s="1"/>
      <c r="W68" s="1"/>
      <c r="X68" s="1"/>
      <c r="Y68" s="1"/>
    </row>
    <row r="69" spans="1:25" ht="22.5" customHeight="1" x14ac:dyDescent="0.2">
      <c r="A69" s="14" t="s">
        <v>1422</v>
      </c>
      <c r="B69" s="3" t="s">
        <v>34</v>
      </c>
      <c r="C69" s="3" t="s">
        <v>1216</v>
      </c>
      <c r="D69" s="11" t="s">
        <v>2165</v>
      </c>
      <c r="E69" s="6" t="s">
        <v>1347</v>
      </c>
      <c r="F69" s="9">
        <v>45770</v>
      </c>
      <c r="G69" s="3" t="s">
        <v>2095</v>
      </c>
      <c r="H69" s="3" t="s">
        <v>2105</v>
      </c>
      <c r="I69" s="3"/>
      <c r="J69" s="3"/>
      <c r="K69" s="3"/>
      <c r="L69" s="3"/>
      <c r="M69" s="1"/>
      <c r="N69" s="1"/>
      <c r="O69" s="1"/>
      <c r="P69" s="1"/>
      <c r="Q69" s="1"/>
      <c r="R69" s="1"/>
      <c r="S69" s="1"/>
      <c r="T69" s="1"/>
      <c r="U69" s="1"/>
      <c r="V69" s="1"/>
      <c r="W69" s="1"/>
      <c r="X69" s="1"/>
      <c r="Y69" s="1"/>
    </row>
    <row r="70" spans="1:25" ht="22.5" customHeight="1" x14ac:dyDescent="0.2">
      <c r="A70" s="14" t="s">
        <v>1426</v>
      </c>
      <c r="B70" s="3" t="s">
        <v>34</v>
      </c>
      <c r="C70" s="3" t="s">
        <v>1216</v>
      </c>
      <c r="D70" s="11" t="s">
        <v>2166</v>
      </c>
      <c r="E70" s="6" t="s">
        <v>184</v>
      </c>
      <c r="F70" s="9">
        <v>45763</v>
      </c>
      <c r="G70" s="3" t="s">
        <v>2095</v>
      </c>
      <c r="H70" s="3" t="s">
        <v>2105</v>
      </c>
      <c r="I70" s="3"/>
      <c r="J70" s="3"/>
      <c r="K70" s="3"/>
      <c r="L70" s="3"/>
      <c r="M70" s="1"/>
      <c r="N70" s="1"/>
      <c r="O70" s="1"/>
      <c r="P70" s="1"/>
      <c r="Q70" s="1"/>
      <c r="R70" s="1"/>
      <c r="S70" s="1"/>
      <c r="T70" s="1"/>
      <c r="U70" s="1"/>
      <c r="V70" s="1"/>
      <c r="W70" s="1"/>
      <c r="X70" s="1"/>
      <c r="Y70" s="1"/>
    </row>
    <row r="71" spans="1:25" ht="22.5" customHeight="1" x14ac:dyDescent="0.2">
      <c r="A71" s="14" t="s">
        <v>1433</v>
      </c>
      <c r="B71" s="3" t="s">
        <v>34</v>
      </c>
      <c r="C71" s="3" t="s">
        <v>1216</v>
      </c>
      <c r="D71" s="11" t="s">
        <v>2167</v>
      </c>
      <c r="E71" s="6" t="s">
        <v>1434</v>
      </c>
      <c r="F71" s="9">
        <v>45761</v>
      </c>
      <c r="G71" s="3" t="s">
        <v>2095</v>
      </c>
      <c r="H71" s="3" t="s">
        <v>2105</v>
      </c>
      <c r="I71" s="3"/>
      <c r="J71" s="3"/>
      <c r="K71" s="3"/>
      <c r="L71" s="3"/>
      <c r="M71" s="1"/>
      <c r="N71" s="1"/>
      <c r="O71" s="1"/>
      <c r="P71" s="1"/>
      <c r="Q71" s="1"/>
      <c r="R71" s="1"/>
      <c r="S71" s="1"/>
      <c r="T71" s="1"/>
      <c r="U71" s="1"/>
      <c r="V71" s="1"/>
      <c r="W71" s="1"/>
      <c r="X71" s="1"/>
      <c r="Y71" s="1"/>
    </row>
    <row r="72" spans="1:25" ht="22.5" customHeight="1" x14ac:dyDescent="0.2">
      <c r="A72" s="14" t="s">
        <v>1435</v>
      </c>
      <c r="B72" s="3" t="s">
        <v>34</v>
      </c>
      <c r="C72" s="3" t="s">
        <v>1216</v>
      </c>
      <c r="D72" s="11" t="s">
        <v>2168</v>
      </c>
      <c r="E72" s="6" t="s">
        <v>1436</v>
      </c>
      <c r="F72" s="9">
        <v>45761</v>
      </c>
      <c r="G72" s="3" t="s">
        <v>2095</v>
      </c>
      <c r="H72" s="3" t="s">
        <v>2105</v>
      </c>
      <c r="I72" s="3"/>
      <c r="J72" s="3"/>
      <c r="K72" s="3"/>
      <c r="L72" s="3"/>
      <c r="M72" s="1"/>
      <c r="N72" s="1"/>
      <c r="O72" s="1"/>
      <c r="P72" s="1"/>
      <c r="Q72" s="1"/>
      <c r="R72" s="1"/>
      <c r="S72" s="1"/>
      <c r="T72" s="1"/>
      <c r="U72" s="1"/>
      <c r="V72" s="1"/>
      <c r="W72" s="1"/>
      <c r="X72" s="1"/>
      <c r="Y72" s="1"/>
    </row>
    <row r="73" spans="1:25" ht="22.5" customHeight="1" x14ac:dyDescent="0.2">
      <c r="A73" s="14" t="s">
        <v>1437</v>
      </c>
      <c r="B73" s="3" t="s">
        <v>34</v>
      </c>
      <c r="C73" s="3" t="s">
        <v>1216</v>
      </c>
      <c r="D73" s="11" t="s">
        <v>2169</v>
      </c>
      <c r="E73" s="6" t="s">
        <v>1436</v>
      </c>
      <c r="F73" s="9">
        <v>45761</v>
      </c>
      <c r="G73" s="3" t="s">
        <v>2095</v>
      </c>
      <c r="H73" s="3" t="s">
        <v>2105</v>
      </c>
      <c r="I73" s="3"/>
      <c r="J73" s="3"/>
      <c r="K73" s="3"/>
      <c r="L73" s="3"/>
      <c r="M73" s="1"/>
      <c r="N73" s="1"/>
      <c r="O73" s="1"/>
      <c r="P73" s="1"/>
      <c r="Q73" s="1"/>
      <c r="R73" s="1"/>
      <c r="S73" s="1"/>
      <c r="T73" s="1"/>
      <c r="U73" s="1"/>
      <c r="V73" s="1"/>
      <c r="W73" s="1"/>
      <c r="X73" s="1"/>
      <c r="Y73" s="1"/>
    </row>
    <row r="74" spans="1:25" ht="22.5" customHeight="1" x14ac:dyDescent="0.2">
      <c r="A74" s="14" t="s">
        <v>1438</v>
      </c>
      <c r="B74" s="3" t="s">
        <v>34</v>
      </c>
      <c r="C74" s="3" t="s">
        <v>1216</v>
      </c>
      <c r="D74" s="11" t="s">
        <v>2108</v>
      </c>
      <c r="E74" s="6" t="s">
        <v>121</v>
      </c>
      <c r="F74" s="9">
        <v>45761</v>
      </c>
      <c r="G74" s="3" t="s">
        <v>2095</v>
      </c>
      <c r="H74" s="3" t="s">
        <v>2105</v>
      </c>
      <c r="I74" s="3"/>
      <c r="J74" s="3"/>
      <c r="K74" s="3"/>
      <c r="L74" s="3"/>
      <c r="M74" s="1"/>
      <c r="N74" s="1"/>
      <c r="O74" s="1"/>
      <c r="P74" s="1"/>
      <c r="Q74" s="1"/>
      <c r="R74" s="1"/>
      <c r="S74" s="1"/>
      <c r="T74" s="1"/>
      <c r="U74" s="1"/>
      <c r="V74" s="1"/>
      <c r="W74" s="1"/>
      <c r="X74" s="1"/>
      <c r="Y74" s="1"/>
    </row>
    <row r="75" spans="1:25" ht="22.5" customHeight="1" x14ac:dyDescent="0.2">
      <c r="A75" s="14" t="s">
        <v>1439</v>
      </c>
      <c r="B75" s="3" t="s">
        <v>34</v>
      </c>
      <c r="C75" s="3" t="s">
        <v>1216</v>
      </c>
      <c r="D75" s="11" t="s">
        <v>2170</v>
      </c>
      <c r="E75" s="6" t="s">
        <v>228</v>
      </c>
      <c r="F75" s="9">
        <v>45757</v>
      </c>
      <c r="G75" s="3" t="s">
        <v>2095</v>
      </c>
      <c r="H75" s="3" t="s">
        <v>2105</v>
      </c>
      <c r="I75" s="3"/>
      <c r="J75" s="3"/>
      <c r="K75" s="3"/>
      <c r="L75" s="3"/>
      <c r="M75" s="1"/>
      <c r="N75" s="1"/>
      <c r="O75" s="1"/>
      <c r="P75" s="1"/>
      <c r="Q75" s="1"/>
      <c r="R75" s="1"/>
      <c r="S75" s="1"/>
      <c r="T75" s="1"/>
      <c r="U75" s="1"/>
      <c r="V75" s="1"/>
      <c r="W75" s="1"/>
      <c r="X75" s="1"/>
      <c r="Y75" s="1"/>
    </row>
    <row r="76" spans="1:25" ht="22.5" customHeight="1" x14ac:dyDescent="0.2">
      <c r="A76" s="14" t="s">
        <v>1442</v>
      </c>
      <c r="B76" s="3" t="s">
        <v>34</v>
      </c>
      <c r="C76" s="3" t="s">
        <v>1216</v>
      </c>
      <c r="D76" s="11" t="s">
        <v>2171</v>
      </c>
      <c r="E76" s="6" t="s">
        <v>228</v>
      </c>
      <c r="F76" s="9">
        <v>45756</v>
      </c>
      <c r="G76" s="3" t="s">
        <v>2095</v>
      </c>
      <c r="H76" s="3" t="s">
        <v>2105</v>
      </c>
      <c r="I76" s="3"/>
      <c r="J76" s="3"/>
      <c r="K76" s="3"/>
      <c r="L76" s="3"/>
      <c r="M76" s="1"/>
      <c r="N76" s="1"/>
      <c r="O76" s="1"/>
      <c r="P76" s="1"/>
      <c r="Q76" s="1"/>
      <c r="R76" s="1"/>
      <c r="S76" s="1"/>
      <c r="T76" s="1"/>
      <c r="U76" s="1"/>
      <c r="V76" s="1"/>
      <c r="W76" s="1"/>
      <c r="X76" s="1"/>
      <c r="Y76" s="1"/>
    </row>
    <row r="77" spans="1:25" ht="22.5" customHeight="1" x14ac:dyDescent="0.2">
      <c r="A77" s="14" t="s">
        <v>1444</v>
      </c>
      <c r="B77" s="3" t="s">
        <v>34</v>
      </c>
      <c r="C77" s="3" t="s">
        <v>1216</v>
      </c>
      <c r="D77" s="11" t="s">
        <v>2172</v>
      </c>
      <c r="E77" s="6" t="s">
        <v>184</v>
      </c>
      <c r="F77" s="9">
        <v>45756</v>
      </c>
      <c r="G77" s="3" t="s">
        <v>2095</v>
      </c>
      <c r="H77" s="3" t="s">
        <v>2105</v>
      </c>
      <c r="I77" s="3"/>
      <c r="J77" s="3"/>
      <c r="K77" s="3"/>
      <c r="L77" s="3"/>
      <c r="M77" s="1"/>
      <c r="N77" s="1"/>
      <c r="O77" s="1"/>
      <c r="P77" s="1"/>
      <c r="Q77" s="1"/>
      <c r="R77" s="1"/>
      <c r="S77" s="1"/>
      <c r="T77" s="1"/>
      <c r="U77" s="1"/>
      <c r="V77" s="1"/>
      <c r="W77" s="1"/>
      <c r="X77" s="1"/>
      <c r="Y77" s="1"/>
    </row>
    <row r="78" spans="1:25" ht="22.5" customHeight="1" x14ac:dyDescent="0.2">
      <c r="A78" s="14" t="s">
        <v>1445</v>
      </c>
      <c r="B78" s="3" t="s">
        <v>34</v>
      </c>
      <c r="C78" s="3" t="s">
        <v>1216</v>
      </c>
      <c r="D78" s="11" t="s">
        <v>2143</v>
      </c>
      <c r="E78" s="6" t="s">
        <v>391</v>
      </c>
      <c r="F78" s="9">
        <v>45756</v>
      </c>
      <c r="G78" s="3" t="s">
        <v>2095</v>
      </c>
      <c r="H78" s="3" t="s">
        <v>2105</v>
      </c>
      <c r="I78" s="3"/>
      <c r="J78" s="3"/>
      <c r="K78" s="3"/>
      <c r="L78" s="3"/>
      <c r="M78" s="1"/>
      <c r="N78" s="1"/>
      <c r="O78" s="1"/>
      <c r="P78" s="1"/>
      <c r="Q78" s="1"/>
      <c r="R78" s="1"/>
      <c r="S78" s="1"/>
      <c r="T78" s="1"/>
      <c r="U78" s="1"/>
      <c r="V78" s="1"/>
      <c r="W78" s="1"/>
      <c r="X78" s="1"/>
      <c r="Y78" s="1"/>
    </row>
    <row r="79" spans="1:25" ht="22.5" customHeight="1" x14ac:dyDescent="0.2">
      <c r="A79" s="14" t="s">
        <v>1447</v>
      </c>
      <c r="B79" s="3" t="s">
        <v>34</v>
      </c>
      <c r="C79" s="3" t="s">
        <v>1216</v>
      </c>
      <c r="D79" s="11" t="s">
        <v>2173</v>
      </c>
      <c r="E79" s="6" t="s">
        <v>184</v>
      </c>
      <c r="F79" s="9">
        <v>45756</v>
      </c>
      <c r="G79" s="3" t="s">
        <v>2095</v>
      </c>
      <c r="H79" s="7" t="s">
        <v>1448</v>
      </c>
      <c r="I79" s="3" t="s">
        <v>2145</v>
      </c>
      <c r="J79" s="8">
        <v>45959</v>
      </c>
      <c r="K79" s="3"/>
      <c r="L79" s="3"/>
      <c r="M79" s="1"/>
      <c r="N79" s="1"/>
      <c r="O79" s="1"/>
      <c r="P79" s="1"/>
      <c r="Q79" s="1"/>
      <c r="R79" s="1"/>
      <c r="S79" s="1"/>
      <c r="T79" s="1"/>
      <c r="U79" s="1"/>
      <c r="V79" s="1"/>
      <c r="W79" s="1"/>
      <c r="X79" s="1"/>
      <c r="Y79" s="1"/>
    </row>
    <row r="80" spans="1:25" ht="22.5" customHeight="1" x14ac:dyDescent="0.2">
      <c r="A80" s="14" t="s">
        <v>1467</v>
      </c>
      <c r="B80" s="3" t="s">
        <v>34</v>
      </c>
      <c r="C80" s="3" t="s">
        <v>1216</v>
      </c>
      <c r="D80" s="11" t="s">
        <v>2174</v>
      </c>
      <c r="E80" s="6" t="s">
        <v>1352</v>
      </c>
      <c r="F80" s="9">
        <v>45750</v>
      </c>
      <c r="G80" s="3" t="s">
        <v>2095</v>
      </c>
      <c r="H80" s="3" t="s">
        <v>2105</v>
      </c>
      <c r="I80" s="3"/>
      <c r="J80" s="3"/>
      <c r="K80" s="3"/>
      <c r="L80" s="3"/>
      <c r="M80" s="1"/>
      <c r="N80" s="1"/>
      <c r="O80" s="1"/>
      <c r="P80" s="1"/>
      <c r="Q80" s="1"/>
      <c r="R80" s="1"/>
      <c r="S80" s="1"/>
      <c r="T80" s="1"/>
      <c r="U80" s="1"/>
      <c r="V80" s="1"/>
      <c r="W80" s="1"/>
      <c r="X80" s="1"/>
      <c r="Y80" s="1"/>
    </row>
    <row r="81" spans="1:25" ht="22.5" customHeight="1" x14ac:dyDescent="0.2">
      <c r="A81" s="14" t="s">
        <v>1486</v>
      </c>
      <c r="B81" s="3" t="s">
        <v>34</v>
      </c>
      <c r="C81" s="3" t="s">
        <v>1216</v>
      </c>
      <c r="D81" s="11" t="s">
        <v>2175</v>
      </c>
      <c r="E81" s="6" t="s">
        <v>1483</v>
      </c>
      <c r="F81" s="9">
        <v>45750</v>
      </c>
      <c r="G81" s="3" t="s">
        <v>2095</v>
      </c>
      <c r="H81" s="3" t="s">
        <v>2105</v>
      </c>
      <c r="I81" s="3"/>
      <c r="J81" s="3"/>
      <c r="K81" s="3"/>
      <c r="L81" s="3"/>
      <c r="M81" s="1"/>
      <c r="N81" s="1"/>
      <c r="O81" s="1"/>
      <c r="P81" s="1"/>
      <c r="Q81" s="1"/>
      <c r="R81" s="1"/>
      <c r="S81" s="1"/>
      <c r="T81" s="1"/>
      <c r="U81" s="1"/>
      <c r="V81" s="1"/>
      <c r="W81" s="1"/>
      <c r="X81" s="1"/>
      <c r="Y81" s="1"/>
    </row>
    <row r="82" spans="1:25" ht="22.5" customHeight="1" x14ac:dyDescent="0.2">
      <c r="A82" s="14" t="s">
        <v>1506</v>
      </c>
      <c r="B82" s="3" t="s">
        <v>34</v>
      </c>
      <c r="C82" s="3" t="s">
        <v>1216</v>
      </c>
      <c r="D82" s="11" t="s">
        <v>2176</v>
      </c>
      <c r="E82" s="6" t="s">
        <v>1419</v>
      </c>
      <c r="F82" s="9">
        <v>45749</v>
      </c>
      <c r="G82" s="3" t="s">
        <v>2095</v>
      </c>
      <c r="H82" s="3" t="s">
        <v>2105</v>
      </c>
      <c r="I82" s="3"/>
      <c r="J82" s="3"/>
      <c r="K82" s="3"/>
      <c r="L82" s="3"/>
      <c r="M82" s="1"/>
      <c r="N82" s="1"/>
      <c r="O82" s="1"/>
      <c r="P82" s="1"/>
      <c r="Q82" s="1"/>
      <c r="R82" s="1"/>
      <c r="S82" s="1"/>
      <c r="T82" s="1"/>
      <c r="U82" s="1"/>
      <c r="V82" s="1"/>
      <c r="W82" s="1"/>
      <c r="X82" s="1"/>
      <c r="Y82" s="1"/>
    </row>
    <row r="83" spans="1:25" ht="22.5" customHeight="1" x14ac:dyDescent="0.2">
      <c r="A83" s="14" t="s">
        <v>1507</v>
      </c>
      <c r="B83" s="3" t="s">
        <v>34</v>
      </c>
      <c r="C83" s="3" t="s">
        <v>1216</v>
      </c>
      <c r="D83" s="11" t="s">
        <v>2125</v>
      </c>
      <c r="E83" s="6" t="s">
        <v>74</v>
      </c>
      <c r="F83" s="9">
        <v>45748</v>
      </c>
      <c r="G83" s="3" t="s">
        <v>2095</v>
      </c>
      <c r="H83" s="3" t="s">
        <v>2105</v>
      </c>
      <c r="I83" s="3"/>
      <c r="J83" s="3"/>
      <c r="K83" s="3"/>
      <c r="L83" s="3"/>
      <c r="M83" s="1"/>
      <c r="N83" s="1"/>
      <c r="O83" s="1"/>
      <c r="P83" s="1"/>
      <c r="Q83" s="1"/>
      <c r="R83" s="1"/>
      <c r="S83" s="1"/>
      <c r="T83" s="1"/>
      <c r="U83" s="1"/>
      <c r="V83" s="1"/>
      <c r="W83" s="1"/>
      <c r="X83" s="1"/>
      <c r="Y83" s="1"/>
    </row>
    <row r="84" spans="1:25" ht="22.5" customHeight="1" x14ac:dyDescent="0.2">
      <c r="A84" s="14" t="s">
        <v>1509</v>
      </c>
      <c r="B84" s="3" t="s">
        <v>34</v>
      </c>
      <c r="C84" s="3" t="s">
        <v>1216</v>
      </c>
      <c r="D84" s="11" t="s">
        <v>2177</v>
      </c>
      <c r="E84" s="6" t="s">
        <v>74</v>
      </c>
      <c r="F84" s="9">
        <v>45748</v>
      </c>
      <c r="G84" s="3" t="s">
        <v>2095</v>
      </c>
      <c r="H84" s="3" t="s">
        <v>2105</v>
      </c>
      <c r="I84" s="3"/>
      <c r="J84" s="3"/>
      <c r="K84" s="3"/>
      <c r="L84" s="3"/>
      <c r="M84" s="1"/>
      <c r="N84" s="1"/>
      <c r="O84" s="1"/>
      <c r="P84" s="1"/>
      <c r="Q84" s="1"/>
      <c r="R84" s="1"/>
      <c r="S84" s="1"/>
      <c r="T84" s="1"/>
      <c r="U84" s="1"/>
      <c r="V84" s="1"/>
      <c r="W84" s="1"/>
      <c r="X84" s="1"/>
      <c r="Y84" s="1"/>
    </row>
    <row r="85" spans="1:25" ht="22.5" customHeight="1" x14ac:dyDescent="0.2">
      <c r="A85" s="14" t="s">
        <v>1510</v>
      </c>
      <c r="B85" s="3" t="s">
        <v>34</v>
      </c>
      <c r="C85" s="3" t="s">
        <v>1216</v>
      </c>
      <c r="D85" s="11" t="s">
        <v>2155</v>
      </c>
      <c r="E85" s="6" t="s">
        <v>1386</v>
      </c>
      <c r="F85" s="9">
        <v>45747</v>
      </c>
      <c r="G85" s="3" t="s">
        <v>2095</v>
      </c>
      <c r="H85" s="3" t="s">
        <v>2105</v>
      </c>
      <c r="I85" s="3"/>
      <c r="J85" s="3"/>
      <c r="K85" s="3"/>
      <c r="L85" s="3"/>
      <c r="M85" s="1"/>
      <c r="N85" s="1"/>
      <c r="O85" s="1"/>
      <c r="P85" s="1"/>
      <c r="Q85" s="1"/>
      <c r="R85" s="1"/>
      <c r="S85" s="1"/>
      <c r="T85" s="1"/>
      <c r="U85" s="1"/>
      <c r="V85" s="1"/>
      <c r="W85" s="1"/>
      <c r="X85" s="1"/>
      <c r="Y85" s="1"/>
    </row>
    <row r="86" spans="1:25" ht="22.5" customHeight="1" x14ac:dyDescent="0.2">
      <c r="A86" s="14" t="s">
        <v>1511</v>
      </c>
      <c r="B86" s="3" t="s">
        <v>34</v>
      </c>
      <c r="C86" s="3" t="s">
        <v>1216</v>
      </c>
      <c r="D86" s="11" t="s">
        <v>2178</v>
      </c>
      <c r="E86" s="6" t="s">
        <v>1330</v>
      </c>
      <c r="F86" s="9">
        <v>45747</v>
      </c>
      <c r="G86" s="3" t="s">
        <v>2095</v>
      </c>
      <c r="H86" s="3" t="s">
        <v>2105</v>
      </c>
      <c r="I86" s="3"/>
      <c r="J86" s="3"/>
      <c r="K86" s="3"/>
      <c r="L86" s="3"/>
      <c r="M86" s="1"/>
      <c r="N86" s="1"/>
      <c r="O86" s="1"/>
      <c r="P86" s="1"/>
      <c r="Q86" s="1"/>
      <c r="R86" s="1"/>
      <c r="S86" s="1"/>
      <c r="T86" s="1"/>
      <c r="U86" s="1"/>
      <c r="V86" s="1"/>
      <c r="W86" s="1"/>
      <c r="X86" s="1"/>
      <c r="Y86" s="1"/>
    </row>
    <row r="87" spans="1:25" ht="22.5" customHeight="1" x14ac:dyDescent="0.2">
      <c r="A87" s="14" t="s">
        <v>1514</v>
      </c>
      <c r="B87" s="3" t="s">
        <v>34</v>
      </c>
      <c r="C87" s="3" t="s">
        <v>1216</v>
      </c>
      <c r="D87" s="11" t="s">
        <v>2179</v>
      </c>
      <c r="E87" s="6" t="s">
        <v>1515</v>
      </c>
      <c r="F87" s="9">
        <v>45742</v>
      </c>
      <c r="G87" s="3" t="s">
        <v>2095</v>
      </c>
      <c r="H87" s="3" t="s">
        <v>2105</v>
      </c>
      <c r="I87" s="3"/>
      <c r="J87" s="3"/>
      <c r="K87" s="3"/>
      <c r="L87" s="3"/>
      <c r="M87" s="1"/>
      <c r="N87" s="1"/>
      <c r="O87" s="1"/>
      <c r="P87" s="1"/>
      <c r="Q87" s="1"/>
      <c r="R87" s="1"/>
      <c r="S87" s="1"/>
      <c r="T87" s="1"/>
      <c r="U87" s="1"/>
      <c r="V87" s="1"/>
      <c r="W87" s="1"/>
      <c r="X87" s="1"/>
      <c r="Y87" s="1"/>
    </row>
    <row r="88" spans="1:25" ht="22.5" customHeight="1" x14ac:dyDescent="0.2">
      <c r="A88" s="14" t="s">
        <v>1520</v>
      </c>
      <c r="B88" s="3" t="s">
        <v>34</v>
      </c>
      <c r="C88" s="3" t="s">
        <v>1216</v>
      </c>
      <c r="D88" s="11" t="s">
        <v>2180</v>
      </c>
      <c r="E88" s="6" t="s">
        <v>1518</v>
      </c>
      <c r="F88" s="9">
        <v>45737</v>
      </c>
      <c r="G88" s="3" t="s">
        <v>2095</v>
      </c>
      <c r="H88" s="7" t="s">
        <v>1521</v>
      </c>
      <c r="I88" s="3" t="s">
        <v>2145</v>
      </c>
      <c r="J88" s="8">
        <v>45959</v>
      </c>
      <c r="K88" s="3"/>
      <c r="L88" s="3"/>
      <c r="M88" s="1"/>
      <c r="N88" s="1"/>
      <c r="O88" s="1"/>
      <c r="P88" s="1"/>
      <c r="Q88" s="1"/>
      <c r="R88" s="1"/>
      <c r="S88" s="1"/>
      <c r="T88" s="1"/>
      <c r="U88" s="1"/>
      <c r="V88" s="1"/>
      <c r="W88" s="1"/>
      <c r="X88" s="1"/>
      <c r="Y88" s="1"/>
    </row>
    <row r="89" spans="1:25" ht="22.5" customHeight="1" x14ac:dyDescent="0.2">
      <c r="A89" s="14" t="s">
        <v>1523</v>
      </c>
      <c r="B89" s="3" t="s">
        <v>34</v>
      </c>
      <c r="C89" s="3" t="s">
        <v>1216</v>
      </c>
      <c r="D89" s="11" t="s">
        <v>2181</v>
      </c>
      <c r="E89" s="6" t="s">
        <v>1524</v>
      </c>
      <c r="F89" s="9">
        <v>45736</v>
      </c>
      <c r="G89" s="3" t="s">
        <v>2095</v>
      </c>
      <c r="H89" s="7" t="s">
        <v>1525</v>
      </c>
      <c r="I89" s="3" t="s">
        <v>2145</v>
      </c>
      <c r="J89" s="8">
        <v>45959</v>
      </c>
      <c r="K89" s="3"/>
      <c r="L89" s="3"/>
      <c r="M89" s="1"/>
      <c r="N89" s="1"/>
      <c r="O89" s="1"/>
      <c r="P89" s="1"/>
      <c r="Q89" s="1"/>
      <c r="R89" s="1"/>
      <c r="S89" s="1"/>
      <c r="T89" s="1"/>
      <c r="U89" s="1"/>
      <c r="V89" s="1"/>
      <c r="W89" s="1"/>
      <c r="X89" s="1"/>
      <c r="Y89" s="1"/>
    </row>
    <row r="90" spans="1:25" ht="22.5" customHeight="1" x14ac:dyDescent="0.2">
      <c r="A90" s="14" t="s">
        <v>1527</v>
      </c>
      <c r="B90" s="3" t="s">
        <v>34</v>
      </c>
      <c r="C90" s="3" t="s">
        <v>1216</v>
      </c>
      <c r="D90" s="11" t="s">
        <v>2182</v>
      </c>
      <c r="E90" s="6" t="s">
        <v>1524</v>
      </c>
      <c r="F90" s="9">
        <v>45736</v>
      </c>
      <c r="G90" s="3" t="s">
        <v>2095</v>
      </c>
      <c r="H90" s="3" t="s">
        <v>1528</v>
      </c>
      <c r="I90" s="3" t="s">
        <v>2145</v>
      </c>
      <c r="J90" s="8">
        <v>45959</v>
      </c>
      <c r="K90" s="3"/>
      <c r="L90" s="3"/>
      <c r="M90" s="1"/>
      <c r="N90" s="1"/>
      <c r="O90" s="1"/>
      <c r="P90" s="1"/>
      <c r="Q90" s="1"/>
      <c r="R90" s="1"/>
      <c r="S90" s="1"/>
      <c r="T90" s="1"/>
      <c r="U90" s="1"/>
      <c r="V90" s="1"/>
      <c r="W90" s="1"/>
      <c r="X90" s="1"/>
      <c r="Y90" s="1"/>
    </row>
    <row r="91" spans="1:25" ht="22.5" customHeight="1" x14ac:dyDescent="0.2">
      <c r="A91" s="14" t="s">
        <v>1529</v>
      </c>
      <c r="B91" s="3" t="s">
        <v>34</v>
      </c>
      <c r="C91" s="3" t="s">
        <v>1216</v>
      </c>
      <c r="D91" s="11" t="s">
        <v>2183</v>
      </c>
      <c r="E91" s="6" t="s">
        <v>1530</v>
      </c>
      <c r="F91" s="9">
        <v>45735</v>
      </c>
      <c r="G91" s="3" t="s">
        <v>2095</v>
      </c>
      <c r="H91" s="3" t="s">
        <v>1531</v>
      </c>
      <c r="I91" s="3" t="s">
        <v>2145</v>
      </c>
      <c r="J91" s="8">
        <v>45959</v>
      </c>
      <c r="K91" s="3"/>
      <c r="L91" s="3"/>
      <c r="M91" s="1"/>
      <c r="N91" s="1"/>
      <c r="O91" s="1"/>
      <c r="P91" s="1"/>
      <c r="Q91" s="1"/>
      <c r="R91" s="1"/>
      <c r="S91" s="1"/>
      <c r="T91" s="1"/>
      <c r="U91" s="1"/>
      <c r="V91" s="1"/>
      <c r="W91" s="1"/>
      <c r="X91" s="1"/>
      <c r="Y91" s="1"/>
    </row>
    <row r="92" spans="1:25" ht="22.5" customHeight="1" x14ac:dyDescent="0.2">
      <c r="A92" s="14" t="s">
        <v>1532</v>
      </c>
      <c r="B92" s="3" t="s">
        <v>34</v>
      </c>
      <c r="C92" s="3" t="s">
        <v>1216</v>
      </c>
      <c r="D92" s="11" t="s">
        <v>2184</v>
      </c>
      <c r="E92" s="6" t="s">
        <v>1524</v>
      </c>
      <c r="F92" s="9">
        <v>45733</v>
      </c>
      <c r="G92" s="3" t="s">
        <v>2095</v>
      </c>
      <c r="H92" s="7" t="s">
        <v>1533</v>
      </c>
      <c r="I92" s="3" t="s">
        <v>2145</v>
      </c>
      <c r="J92" s="8">
        <v>45959</v>
      </c>
      <c r="K92" s="3"/>
      <c r="L92" s="3"/>
      <c r="M92" s="1"/>
      <c r="N92" s="1"/>
      <c r="O92" s="1"/>
      <c r="P92" s="1"/>
      <c r="Q92" s="1"/>
      <c r="R92" s="1"/>
      <c r="S92" s="1"/>
      <c r="T92" s="1"/>
      <c r="U92" s="1"/>
      <c r="V92" s="1"/>
      <c r="W92" s="1"/>
      <c r="X92" s="1"/>
      <c r="Y92" s="1"/>
    </row>
    <row r="93" spans="1:25" ht="22.5" customHeight="1" x14ac:dyDescent="0.2">
      <c r="A93" s="14" t="s">
        <v>1534</v>
      </c>
      <c r="B93" s="3" t="s">
        <v>34</v>
      </c>
      <c r="C93" s="3" t="s">
        <v>1216</v>
      </c>
      <c r="D93" s="11" t="s">
        <v>2185</v>
      </c>
      <c r="E93" s="6" t="s">
        <v>1524</v>
      </c>
      <c r="F93" s="9">
        <v>45733</v>
      </c>
      <c r="G93" s="3" t="s">
        <v>2095</v>
      </c>
      <c r="H93" s="7" t="s">
        <v>1535</v>
      </c>
      <c r="I93" s="3" t="s">
        <v>2145</v>
      </c>
      <c r="J93" s="8">
        <v>45959</v>
      </c>
      <c r="K93" s="3"/>
      <c r="L93" s="3"/>
      <c r="M93" s="1"/>
      <c r="N93" s="1"/>
      <c r="O93" s="1"/>
      <c r="P93" s="1"/>
      <c r="Q93" s="1"/>
      <c r="R93" s="1"/>
      <c r="S93" s="1"/>
      <c r="T93" s="1"/>
      <c r="U93" s="1"/>
      <c r="V93" s="1"/>
      <c r="W93" s="1"/>
      <c r="X93" s="1"/>
      <c r="Y93" s="1"/>
    </row>
    <row r="94" spans="1:25" ht="22.5" customHeight="1" x14ac:dyDescent="0.2">
      <c r="A94" s="14" t="s">
        <v>1536</v>
      </c>
      <c r="B94" s="3" t="s">
        <v>34</v>
      </c>
      <c r="C94" s="3" t="s">
        <v>1216</v>
      </c>
      <c r="D94" s="11" t="s">
        <v>2177</v>
      </c>
      <c r="E94" s="6" t="s">
        <v>74</v>
      </c>
      <c r="F94" s="9">
        <v>45728</v>
      </c>
      <c r="G94" s="3" t="s">
        <v>2095</v>
      </c>
      <c r="H94" s="3" t="s">
        <v>2105</v>
      </c>
      <c r="I94" s="3"/>
      <c r="J94" s="3"/>
      <c r="K94" s="3"/>
      <c r="L94" s="3"/>
      <c r="M94" s="1"/>
      <c r="N94" s="1"/>
      <c r="O94" s="1"/>
      <c r="P94" s="1"/>
      <c r="Q94" s="1"/>
      <c r="R94" s="1"/>
      <c r="S94" s="1"/>
      <c r="T94" s="1"/>
      <c r="U94" s="1"/>
      <c r="V94" s="1"/>
      <c r="W94" s="1"/>
      <c r="X94" s="1"/>
      <c r="Y94" s="1"/>
    </row>
    <row r="95" spans="1:25" ht="22.5" customHeight="1" x14ac:dyDescent="0.2">
      <c r="A95" s="14" t="s">
        <v>1537</v>
      </c>
      <c r="B95" s="3" t="s">
        <v>34</v>
      </c>
      <c r="C95" s="3" t="s">
        <v>1216</v>
      </c>
      <c r="D95" s="11" t="s">
        <v>2186</v>
      </c>
      <c r="E95" s="6" t="s">
        <v>348</v>
      </c>
      <c r="F95" s="9">
        <v>45728</v>
      </c>
      <c r="G95" s="3" t="s">
        <v>2095</v>
      </c>
      <c r="H95" s="3" t="s">
        <v>2105</v>
      </c>
      <c r="I95" s="3"/>
      <c r="J95" s="3"/>
      <c r="K95" s="3"/>
      <c r="L95" s="3"/>
      <c r="M95" s="1"/>
      <c r="N95" s="1"/>
      <c r="O95" s="1"/>
      <c r="P95" s="1"/>
      <c r="Q95" s="1"/>
      <c r="R95" s="1"/>
      <c r="S95" s="1"/>
      <c r="T95" s="1"/>
      <c r="U95" s="1"/>
      <c r="V95" s="1"/>
      <c r="W95" s="1"/>
      <c r="X95" s="1"/>
      <c r="Y95" s="1"/>
    </row>
    <row r="96" spans="1:25" ht="22.5" customHeight="1" x14ac:dyDescent="0.2">
      <c r="A96" s="14" t="s">
        <v>1538</v>
      </c>
      <c r="B96" s="3" t="s">
        <v>34</v>
      </c>
      <c r="C96" s="3" t="s">
        <v>1216</v>
      </c>
      <c r="D96" s="11" t="s">
        <v>2187</v>
      </c>
      <c r="E96" s="6" t="s">
        <v>1539</v>
      </c>
      <c r="F96" s="9">
        <v>45728</v>
      </c>
      <c r="G96" s="3" t="s">
        <v>2095</v>
      </c>
      <c r="H96" s="3" t="s">
        <v>1540</v>
      </c>
      <c r="I96" s="3" t="s">
        <v>2145</v>
      </c>
      <c r="J96" s="8">
        <v>45959</v>
      </c>
      <c r="K96" s="3"/>
      <c r="L96" s="3"/>
      <c r="M96" s="1"/>
      <c r="N96" s="1"/>
      <c r="O96" s="1"/>
      <c r="P96" s="1"/>
      <c r="Q96" s="1"/>
      <c r="R96" s="1"/>
      <c r="S96" s="1"/>
      <c r="T96" s="1"/>
      <c r="U96" s="1"/>
      <c r="V96" s="1"/>
      <c r="W96" s="1"/>
      <c r="X96" s="1"/>
      <c r="Y96" s="1"/>
    </row>
    <row r="97" spans="1:25" ht="22.5" customHeight="1" x14ac:dyDescent="0.2">
      <c r="A97" s="14" t="s">
        <v>1541</v>
      </c>
      <c r="B97" s="3" t="s">
        <v>34</v>
      </c>
      <c r="C97" s="3" t="s">
        <v>1216</v>
      </c>
      <c r="D97" s="11" t="s">
        <v>2188</v>
      </c>
      <c r="E97" s="6" t="s">
        <v>1542</v>
      </c>
      <c r="F97" s="9">
        <v>45728</v>
      </c>
      <c r="G97" s="3" t="s">
        <v>2095</v>
      </c>
      <c r="H97" s="3" t="s">
        <v>1543</v>
      </c>
      <c r="I97" s="3" t="s">
        <v>2145</v>
      </c>
      <c r="J97" s="8">
        <v>45959</v>
      </c>
      <c r="K97" s="3"/>
      <c r="L97" s="3"/>
      <c r="M97" s="1"/>
      <c r="N97" s="1"/>
      <c r="O97" s="1"/>
      <c r="P97" s="1"/>
      <c r="Q97" s="1"/>
      <c r="R97" s="1"/>
      <c r="S97" s="1"/>
      <c r="T97" s="1"/>
      <c r="U97" s="1"/>
      <c r="V97" s="1"/>
      <c r="W97" s="1"/>
      <c r="X97" s="1"/>
      <c r="Y97" s="1"/>
    </row>
    <row r="98" spans="1:25" ht="22.5" customHeight="1" x14ac:dyDescent="0.2">
      <c r="A98" s="14" t="s">
        <v>1544</v>
      </c>
      <c r="B98" s="3" t="s">
        <v>34</v>
      </c>
      <c r="C98" s="3" t="s">
        <v>1216</v>
      </c>
      <c r="D98" s="11" t="s">
        <v>2189</v>
      </c>
      <c r="E98" s="6" t="s">
        <v>1545</v>
      </c>
      <c r="F98" s="9">
        <v>45727</v>
      </c>
      <c r="G98" s="3" t="s">
        <v>2095</v>
      </c>
      <c r="H98" s="7" t="s">
        <v>1546</v>
      </c>
      <c r="I98" s="3" t="s">
        <v>2145</v>
      </c>
      <c r="J98" s="8">
        <v>45959</v>
      </c>
      <c r="K98" s="3"/>
      <c r="L98" s="3"/>
      <c r="M98" s="1"/>
      <c r="N98" s="1"/>
      <c r="O98" s="1"/>
      <c r="P98" s="1"/>
      <c r="Q98" s="1"/>
      <c r="R98" s="1"/>
      <c r="S98" s="1"/>
      <c r="T98" s="1"/>
      <c r="U98" s="1"/>
      <c r="V98" s="1"/>
      <c r="W98" s="1"/>
      <c r="X98" s="1"/>
      <c r="Y98" s="1"/>
    </row>
    <row r="99" spans="1:25" ht="22.5" customHeight="1" x14ac:dyDescent="0.2">
      <c r="A99" s="14" t="s">
        <v>1547</v>
      </c>
      <c r="B99" s="3" t="s">
        <v>34</v>
      </c>
      <c r="C99" s="3" t="s">
        <v>1216</v>
      </c>
      <c r="D99" s="11" t="s">
        <v>2190</v>
      </c>
      <c r="E99" s="6" t="s">
        <v>1548</v>
      </c>
      <c r="F99" s="9">
        <v>45718</v>
      </c>
      <c r="G99" s="3" t="s">
        <v>2095</v>
      </c>
      <c r="H99" s="7" t="s">
        <v>1549</v>
      </c>
      <c r="I99" s="3" t="s">
        <v>2145</v>
      </c>
      <c r="J99" s="8">
        <v>45959</v>
      </c>
      <c r="K99" s="3"/>
      <c r="L99" s="3"/>
      <c r="M99" s="1"/>
      <c r="N99" s="1"/>
      <c r="O99" s="1"/>
      <c r="P99" s="1"/>
      <c r="Q99" s="1"/>
      <c r="R99" s="1"/>
      <c r="S99" s="1"/>
      <c r="T99" s="1"/>
      <c r="U99" s="1"/>
      <c r="V99" s="1"/>
      <c r="W99" s="1"/>
      <c r="X99" s="1"/>
      <c r="Y99" s="1"/>
    </row>
    <row r="100" spans="1:25" ht="22.5" customHeight="1" x14ac:dyDescent="0.2">
      <c r="A100" s="14" t="s">
        <v>1556</v>
      </c>
      <c r="B100" s="3" t="s">
        <v>34</v>
      </c>
      <c r="C100" s="3" t="s">
        <v>1216</v>
      </c>
      <c r="D100" s="11" t="s">
        <v>2191</v>
      </c>
      <c r="E100" s="6" t="s">
        <v>1217</v>
      </c>
      <c r="F100" s="9">
        <v>45715</v>
      </c>
      <c r="G100" s="3" t="s">
        <v>2095</v>
      </c>
      <c r="H100" s="3" t="s">
        <v>2105</v>
      </c>
      <c r="I100" s="3"/>
      <c r="J100" s="3"/>
      <c r="K100" s="3"/>
      <c r="L100" s="3"/>
      <c r="M100" s="1"/>
      <c r="N100" s="1"/>
      <c r="O100" s="1"/>
      <c r="P100" s="1"/>
      <c r="Q100" s="1"/>
      <c r="R100" s="1"/>
      <c r="S100" s="1"/>
      <c r="T100" s="1"/>
      <c r="U100" s="1"/>
      <c r="V100" s="1"/>
      <c r="W100" s="1"/>
      <c r="X100" s="1"/>
      <c r="Y100" s="1"/>
    </row>
    <row r="101" spans="1:25" ht="22.5" customHeight="1" x14ac:dyDescent="0.2">
      <c r="A101" s="14" t="s">
        <v>1561</v>
      </c>
      <c r="B101" s="3" t="s">
        <v>34</v>
      </c>
      <c r="C101" s="3" t="s">
        <v>1216</v>
      </c>
      <c r="D101" s="11" t="s">
        <v>2192</v>
      </c>
      <c r="E101" s="6" t="s">
        <v>1560</v>
      </c>
      <c r="F101" s="9">
        <v>45713</v>
      </c>
      <c r="G101" s="3" t="s">
        <v>2150</v>
      </c>
      <c r="H101" s="3" t="s">
        <v>2105</v>
      </c>
      <c r="I101" s="3"/>
      <c r="J101" s="3"/>
      <c r="K101" s="3"/>
      <c r="L101" s="3"/>
      <c r="M101" s="1"/>
      <c r="N101" s="1"/>
      <c r="O101" s="1"/>
      <c r="P101" s="1"/>
      <c r="Q101" s="1"/>
      <c r="R101" s="1"/>
      <c r="S101" s="1"/>
      <c r="T101" s="1"/>
      <c r="U101" s="1"/>
      <c r="V101" s="1"/>
      <c r="W101" s="1"/>
      <c r="X101" s="1"/>
      <c r="Y101" s="1"/>
    </row>
    <row r="102" spans="1:25" ht="22.5" customHeight="1" x14ac:dyDescent="0.2">
      <c r="A102" s="14" t="s">
        <v>1565</v>
      </c>
      <c r="B102" s="3" t="s">
        <v>34</v>
      </c>
      <c r="C102" s="3" t="s">
        <v>1216</v>
      </c>
      <c r="D102" s="11" t="s">
        <v>2193</v>
      </c>
      <c r="E102" s="6" t="s">
        <v>1515</v>
      </c>
      <c r="F102" s="9">
        <v>45713</v>
      </c>
      <c r="G102" s="3" t="s">
        <v>2095</v>
      </c>
      <c r="H102" s="3" t="s">
        <v>2105</v>
      </c>
      <c r="I102" s="3"/>
      <c r="J102" s="3"/>
      <c r="K102" s="3"/>
      <c r="L102" s="3"/>
      <c r="M102" s="1"/>
      <c r="N102" s="1"/>
      <c r="O102" s="1"/>
      <c r="P102" s="1"/>
      <c r="Q102" s="1"/>
      <c r="R102" s="1"/>
      <c r="S102" s="1"/>
      <c r="T102" s="1"/>
      <c r="U102" s="1"/>
      <c r="V102" s="1"/>
      <c r="W102" s="1"/>
      <c r="X102" s="1"/>
      <c r="Y102" s="1"/>
    </row>
    <row r="103" spans="1:25" ht="22.5" customHeight="1" x14ac:dyDescent="0.2">
      <c r="A103" s="14" t="s">
        <v>1566</v>
      </c>
      <c r="B103" s="3" t="s">
        <v>34</v>
      </c>
      <c r="C103" s="3" t="s">
        <v>1216</v>
      </c>
      <c r="D103" s="11" t="s">
        <v>2194</v>
      </c>
      <c r="E103" s="6" t="s">
        <v>1515</v>
      </c>
      <c r="F103" s="9">
        <v>45713</v>
      </c>
      <c r="G103" s="3" t="s">
        <v>2095</v>
      </c>
      <c r="H103" s="3" t="s">
        <v>2105</v>
      </c>
      <c r="I103" s="3"/>
      <c r="J103" s="3"/>
      <c r="K103" s="3"/>
      <c r="L103" s="3"/>
      <c r="M103" s="1"/>
      <c r="N103" s="1"/>
      <c r="O103" s="1"/>
      <c r="P103" s="1"/>
      <c r="Q103" s="1"/>
      <c r="R103" s="1"/>
      <c r="S103" s="1"/>
      <c r="T103" s="1"/>
      <c r="U103" s="1"/>
      <c r="V103" s="1"/>
      <c r="W103" s="1"/>
      <c r="X103" s="1"/>
      <c r="Y103" s="1"/>
    </row>
    <row r="104" spans="1:25" ht="22.5" customHeight="1" x14ac:dyDescent="0.2">
      <c r="A104" s="14" t="s">
        <v>1567</v>
      </c>
      <c r="B104" s="3" t="s">
        <v>34</v>
      </c>
      <c r="C104" s="3" t="s">
        <v>1216</v>
      </c>
      <c r="D104" s="11" t="s">
        <v>2195</v>
      </c>
      <c r="E104" s="6" t="s">
        <v>1568</v>
      </c>
      <c r="F104" s="9">
        <v>45713</v>
      </c>
      <c r="G104" s="3" t="s">
        <v>2095</v>
      </c>
      <c r="H104" s="3" t="s">
        <v>2105</v>
      </c>
      <c r="I104" s="3"/>
      <c r="J104" s="3"/>
      <c r="K104" s="3"/>
      <c r="L104" s="3"/>
      <c r="M104" s="1"/>
      <c r="N104" s="1"/>
      <c r="O104" s="1"/>
      <c r="P104" s="1"/>
      <c r="Q104" s="1"/>
      <c r="R104" s="1"/>
      <c r="S104" s="1"/>
      <c r="T104" s="1"/>
      <c r="U104" s="1"/>
      <c r="V104" s="1"/>
      <c r="W104" s="1"/>
      <c r="X104" s="1"/>
      <c r="Y104" s="1"/>
    </row>
    <row r="105" spans="1:25" ht="22.5" customHeight="1" x14ac:dyDescent="0.2">
      <c r="A105" s="14" t="s">
        <v>1569</v>
      </c>
      <c r="B105" s="3" t="s">
        <v>34</v>
      </c>
      <c r="C105" s="3" t="s">
        <v>1216</v>
      </c>
      <c r="D105" s="11" t="s">
        <v>2196</v>
      </c>
      <c r="E105" s="6" t="s">
        <v>1568</v>
      </c>
      <c r="F105" s="9">
        <v>45713</v>
      </c>
      <c r="G105" s="3" t="s">
        <v>2095</v>
      </c>
      <c r="H105" s="3" t="s">
        <v>2105</v>
      </c>
      <c r="I105" s="3"/>
      <c r="J105" s="3"/>
      <c r="K105" s="3"/>
      <c r="L105" s="3"/>
      <c r="M105" s="1"/>
      <c r="N105" s="1"/>
      <c r="O105" s="1"/>
      <c r="P105" s="1"/>
      <c r="Q105" s="1"/>
      <c r="R105" s="1"/>
      <c r="S105" s="1"/>
      <c r="T105" s="1"/>
      <c r="U105" s="1"/>
      <c r="V105" s="1"/>
      <c r="W105" s="1"/>
      <c r="X105" s="1"/>
      <c r="Y105" s="1"/>
    </row>
    <row r="106" spans="1:25" ht="22.5" customHeight="1" x14ac:dyDescent="0.2">
      <c r="A106" s="14" t="s">
        <v>1570</v>
      </c>
      <c r="B106" s="3" t="s">
        <v>34</v>
      </c>
      <c r="C106" s="3" t="s">
        <v>1216</v>
      </c>
      <c r="D106" s="11" t="s">
        <v>2197</v>
      </c>
      <c r="E106" s="6" t="s">
        <v>1568</v>
      </c>
      <c r="F106" s="9">
        <v>45713</v>
      </c>
      <c r="G106" s="3" t="s">
        <v>2095</v>
      </c>
      <c r="H106" s="3" t="s">
        <v>2105</v>
      </c>
      <c r="I106" s="3"/>
      <c r="J106" s="3"/>
      <c r="K106" s="3"/>
      <c r="L106" s="3"/>
      <c r="M106" s="1"/>
      <c r="N106" s="1"/>
      <c r="O106" s="1"/>
      <c r="P106" s="1"/>
      <c r="Q106" s="1"/>
      <c r="R106" s="1"/>
      <c r="S106" s="1"/>
      <c r="T106" s="1"/>
      <c r="U106" s="1"/>
      <c r="V106" s="1"/>
      <c r="W106" s="1"/>
      <c r="X106" s="1"/>
      <c r="Y106" s="1"/>
    </row>
    <row r="107" spans="1:25" ht="22.5" customHeight="1" x14ac:dyDescent="0.2">
      <c r="A107" s="14" t="s">
        <v>1571</v>
      </c>
      <c r="B107" s="3" t="s">
        <v>34</v>
      </c>
      <c r="C107" s="3" t="s">
        <v>1216</v>
      </c>
      <c r="D107" s="11" t="s">
        <v>2198</v>
      </c>
      <c r="E107" s="6" t="s">
        <v>1568</v>
      </c>
      <c r="F107" s="9">
        <v>45713</v>
      </c>
      <c r="G107" s="3" t="s">
        <v>2095</v>
      </c>
      <c r="H107" s="3" t="s">
        <v>2105</v>
      </c>
      <c r="I107" s="3"/>
      <c r="J107" s="3"/>
      <c r="K107" s="3"/>
      <c r="L107" s="3"/>
      <c r="M107" s="1"/>
      <c r="N107" s="1"/>
      <c r="O107" s="1"/>
      <c r="P107" s="1"/>
      <c r="Q107" s="1"/>
      <c r="R107" s="1"/>
      <c r="S107" s="1"/>
      <c r="T107" s="1"/>
      <c r="U107" s="1"/>
      <c r="V107" s="1"/>
      <c r="W107" s="1"/>
      <c r="X107" s="1"/>
      <c r="Y107" s="1"/>
    </row>
    <row r="108" spans="1:25" ht="22.5" customHeight="1" x14ac:dyDescent="0.2">
      <c r="A108" s="14" t="s">
        <v>1572</v>
      </c>
      <c r="B108" s="3" t="s">
        <v>34</v>
      </c>
      <c r="C108" s="3" t="s">
        <v>1216</v>
      </c>
      <c r="D108" s="11" t="s">
        <v>2199</v>
      </c>
      <c r="E108" s="6" t="s">
        <v>1568</v>
      </c>
      <c r="F108" s="9">
        <v>45713</v>
      </c>
      <c r="G108" s="3" t="s">
        <v>2095</v>
      </c>
      <c r="H108" s="3" t="s">
        <v>2105</v>
      </c>
      <c r="I108" s="3"/>
      <c r="J108" s="3"/>
      <c r="K108" s="3"/>
      <c r="L108" s="3"/>
      <c r="M108" s="1"/>
      <c r="N108" s="1"/>
      <c r="O108" s="1"/>
      <c r="P108" s="1"/>
      <c r="Q108" s="1"/>
      <c r="R108" s="1"/>
      <c r="S108" s="1"/>
      <c r="T108" s="1"/>
      <c r="U108" s="1"/>
      <c r="V108" s="1"/>
      <c r="W108" s="1"/>
      <c r="X108" s="1"/>
      <c r="Y108" s="1"/>
    </row>
    <row r="109" spans="1:25" ht="22.5" customHeight="1" x14ac:dyDescent="0.2">
      <c r="A109" s="14" t="s">
        <v>1578</v>
      </c>
      <c r="B109" s="3" t="s">
        <v>34</v>
      </c>
      <c r="C109" s="3" t="s">
        <v>1216</v>
      </c>
      <c r="D109" s="11" t="s">
        <v>2200</v>
      </c>
      <c r="E109" s="6" t="s">
        <v>1579</v>
      </c>
      <c r="F109" s="9">
        <v>45713</v>
      </c>
      <c r="G109" s="3" t="s">
        <v>2095</v>
      </c>
      <c r="H109" s="3" t="s">
        <v>2105</v>
      </c>
      <c r="I109" s="3"/>
      <c r="J109" s="3"/>
      <c r="K109" s="3"/>
      <c r="L109" s="3"/>
      <c r="M109" s="1"/>
      <c r="N109" s="1"/>
      <c r="O109" s="1"/>
      <c r="P109" s="1"/>
      <c r="Q109" s="1"/>
      <c r="R109" s="1"/>
      <c r="S109" s="1"/>
      <c r="T109" s="1"/>
      <c r="U109" s="1"/>
      <c r="V109" s="1"/>
      <c r="W109" s="1"/>
      <c r="X109" s="1"/>
      <c r="Y109" s="1"/>
    </row>
    <row r="110" spans="1:25" ht="22.5" customHeight="1" x14ac:dyDescent="0.2">
      <c r="A110" s="14" t="s">
        <v>1580</v>
      </c>
      <c r="B110" s="3" t="s">
        <v>34</v>
      </c>
      <c r="C110" s="3" t="s">
        <v>1216</v>
      </c>
      <c r="D110" s="11" t="s">
        <v>2201</v>
      </c>
      <c r="E110" s="6" t="s">
        <v>1579</v>
      </c>
      <c r="F110" s="9">
        <v>45713</v>
      </c>
      <c r="G110" s="3" t="s">
        <v>2095</v>
      </c>
      <c r="H110" s="3" t="s">
        <v>2105</v>
      </c>
      <c r="I110" s="3"/>
      <c r="J110" s="3"/>
      <c r="K110" s="3"/>
      <c r="L110" s="3"/>
      <c r="M110" s="1"/>
      <c r="N110" s="1"/>
      <c r="O110" s="1"/>
      <c r="P110" s="1"/>
      <c r="Q110" s="1"/>
      <c r="R110" s="1"/>
      <c r="S110" s="1"/>
      <c r="T110" s="1"/>
      <c r="U110" s="1"/>
      <c r="V110" s="1"/>
      <c r="W110" s="1"/>
      <c r="X110" s="1"/>
      <c r="Y110" s="1"/>
    </row>
    <row r="111" spans="1:25" ht="22.5" customHeight="1" x14ac:dyDescent="0.2">
      <c r="A111" s="14" t="s">
        <v>1581</v>
      </c>
      <c r="B111" s="3" t="s">
        <v>34</v>
      </c>
      <c r="C111" s="3" t="s">
        <v>1216</v>
      </c>
      <c r="D111" s="11" t="s">
        <v>2202</v>
      </c>
      <c r="E111" s="6" t="s">
        <v>1579</v>
      </c>
      <c r="F111" s="9">
        <v>45713</v>
      </c>
      <c r="G111" s="3" t="s">
        <v>2095</v>
      </c>
      <c r="H111" s="3" t="s">
        <v>2105</v>
      </c>
      <c r="I111" s="3"/>
      <c r="J111" s="3"/>
      <c r="K111" s="3"/>
      <c r="L111" s="3"/>
      <c r="M111" s="1"/>
      <c r="N111" s="1"/>
      <c r="O111" s="1"/>
      <c r="P111" s="1"/>
      <c r="Q111" s="1"/>
      <c r="R111" s="1"/>
      <c r="S111" s="1"/>
      <c r="T111" s="1"/>
      <c r="U111" s="1"/>
      <c r="V111" s="1"/>
      <c r="W111" s="1"/>
      <c r="X111" s="1"/>
      <c r="Y111" s="1"/>
    </row>
    <row r="112" spans="1:25" ht="22.5" customHeight="1" x14ac:dyDescent="0.2">
      <c r="A112" s="14" t="s">
        <v>1587</v>
      </c>
      <c r="B112" s="3" t="s">
        <v>34</v>
      </c>
      <c r="C112" s="3" t="s">
        <v>1216</v>
      </c>
      <c r="D112" s="11" t="s">
        <v>2203</v>
      </c>
      <c r="E112" s="6" t="s">
        <v>1588</v>
      </c>
      <c r="F112" s="9">
        <v>45712</v>
      </c>
      <c r="G112" s="3" t="s">
        <v>2095</v>
      </c>
      <c r="H112" s="3" t="s">
        <v>2105</v>
      </c>
      <c r="I112" s="3"/>
      <c r="J112" s="3"/>
      <c r="K112" s="3"/>
      <c r="L112" s="3"/>
      <c r="M112" s="1"/>
      <c r="N112" s="1"/>
      <c r="O112" s="1"/>
      <c r="P112" s="1"/>
      <c r="Q112" s="1"/>
      <c r="R112" s="1"/>
      <c r="S112" s="1"/>
      <c r="T112" s="1"/>
      <c r="U112" s="1"/>
      <c r="V112" s="1"/>
      <c r="W112" s="1"/>
      <c r="X112" s="1"/>
      <c r="Y112" s="1"/>
    </row>
    <row r="113" spans="1:25" ht="22.5" customHeight="1" x14ac:dyDescent="0.2">
      <c r="A113" s="14" t="s">
        <v>1589</v>
      </c>
      <c r="B113" s="3" t="s">
        <v>34</v>
      </c>
      <c r="C113" s="3" t="s">
        <v>1216</v>
      </c>
      <c r="D113" s="11" t="s">
        <v>2204</v>
      </c>
      <c r="E113" s="6" t="s">
        <v>1588</v>
      </c>
      <c r="F113" s="9">
        <v>45712</v>
      </c>
      <c r="G113" s="3" t="s">
        <v>2095</v>
      </c>
      <c r="H113" s="3" t="s">
        <v>2105</v>
      </c>
      <c r="I113" s="3"/>
      <c r="J113" s="3"/>
      <c r="K113" s="3"/>
      <c r="L113" s="3"/>
      <c r="M113" s="1"/>
      <c r="N113" s="1"/>
      <c r="O113" s="1"/>
      <c r="P113" s="1"/>
      <c r="Q113" s="1"/>
      <c r="R113" s="1"/>
      <c r="S113" s="1"/>
      <c r="T113" s="1"/>
      <c r="U113" s="1"/>
      <c r="V113" s="1"/>
      <c r="W113" s="1"/>
      <c r="X113" s="1"/>
      <c r="Y113" s="1"/>
    </row>
    <row r="114" spans="1:25" ht="22.5" customHeight="1" x14ac:dyDescent="0.2">
      <c r="A114" s="14" t="s">
        <v>1591</v>
      </c>
      <c r="B114" s="3" t="s">
        <v>34</v>
      </c>
      <c r="C114" s="3" t="s">
        <v>1216</v>
      </c>
      <c r="D114" s="11" t="s">
        <v>2205</v>
      </c>
      <c r="E114" s="6" t="s">
        <v>1450</v>
      </c>
      <c r="F114" s="9">
        <v>45712</v>
      </c>
      <c r="G114" s="3" t="s">
        <v>2095</v>
      </c>
      <c r="H114" s="3" t="s">
        <v>2105</v>
      </c>
      <c r="I114" s="3"/>
      <c r="J114" s="3"/>
      <c r="K114" s="3"/>
      <c r="L114" s="3"/>
      <c r="M114" s="1"/>
      <c r="N114" s="1"/>
      <c r="O114" s="1"/>
      <c r="P114" s="1"/>
      <c r="Q114" s="1"/>
      <c r="R114" s="1"/>
      <c r="S114" s="1"/>
      <c r="T114" s="1"/>
      <c r="U114" s="1"/>
      <c r="V114" s="1"/>
      <c r="W114" s="1"/>
      <c r="X114" s="1"/>
      <c r="Y114" s="1"/>
    </row>
    <row r="115" spans="1:25" ht="22.5" customHeight="1" x14ac:dyDescent="0.2">
      <c r="A115" s="14" t="s">
        <v>1595</v>
      </c>
      <c r="B115" s="3" t="s">
        <v>34</v>
      </c>
      <c r="C115" s="3" t="s">
        <v>1216</v>
      </c>
      <c r="D115" s="11" t="s">
        <v>2206</v>
      </c>
      <c r="E115" s="6" t="s">
        <v>1596</v>
      </c>
      <c r="F115" s="9">
        <v>45712</v>
      </c>
      <c r="G115" s="3" t="s">
        <v>2095</v>
      </c>
      <c r="H115" s="3" t="s">
        <v>2105</v>
      </c>
      <c r="I115" s="3"/>
      <c r="J115" s="3"/>
      <c r="K115" s="3"/>
      <c r="L115" s="3"/>
      <c r="M115" s="1"/>
      <c r="N115" s="1"/>
      <c r="O115" s="1"/>
      <c r="P115" s="1"/>
      <c r="Q115" s="1"/>
      <c r="R115" s="1"/>
      <c r="S115" s="1"/>
      <c r="T115" s="1"/>
      <c r="U115" s="1"/>
      <c r="V115" s="1"/>
      <c r="W115" s="1"/>
      <c r="X115" s="1"/>
      <c r="Y115" s="1"/>
    </row>
    <row r="116" spans="1:25" ht="22.5" customHeight="1" x14ac:dyDescent="0.2">
      <c r="A116" s="14" t="s">
        <v>1597</v>
      </c>
      <c r="B116" s="3" t="s">
        <v>34</v>
      </c>
      <c r="C116" s="3" t="s">
        <v>1216</v>
      </c>
      <c r="D116" s="11" t="s">
        <v>2207</v>
      </c>
      <c r="E116" s="6" t="s">
        <v>1596</v>
      </c>
      <c r="F116" s="9">
        <v>45712</v>
      </c>
      <c r="G116" s="3" t="s">
        <v>2095</v>
      </c>
      <c r="H116" s="3" t="s">
        <v>2105</v>
      </c>
      <c r="I116" s="3"/>
      <c r="J116" s="3"/>
      <c r="K116" s="3"/>
      <c r="L116" s="3"/>
      <c r="M116" s="1"/>
      <c r="N116" s="1"/>
      <c r="O116" s="1"/>
      <c r="P116" s="1"/>
      <c r="Q116" s="1"/>
      <c r="R116" s="1"/>
      <c r="S116" s="1"/>
      <c r="T116" s="1"/>
      <c r="U116" s="1"/>
      <c r="V116" s="1"/>
      <c r="W116" s="1"/>
      <c r="X116" s="1"/>
      <c r="Y116" s="1"/>
    </row>
    <row r="117" spans="1:25" ht="22.5" customHeight="1" x14ac:dyDescent="0.2">
      <c r="A117" s="14" t="s">
        <v>1598</v>
      </c>
      <c r="B117" s="3" t="s">
        <v>34</v>
      </c>
      <c r="C117" s="3" t="s">
        <v>1216</v>
      </c>
      <c r="D117" s="11" t="s">
        <v>2208</v>
      </c>
      <c r="E117" s="6" t="s">
        <v>1596</v>
      </c>
      <c r="F117" s="9">
        <v>45712</v>
      </c>
      <c r="G117" s="3" t="s">
        <v>2095</v>
      </c>
      <c r="H117" s="3" t="s">
        <v>2105</v>
      </c>
      <c r="I117" s="3"/>
      <c r="J117" s="3"/>
      <c r="K117" s="3"/>
      <c r="L117" s="3"/>
      <c r="M117" s="1"/>
      <c r="N117" s="1"/>
      <c r="O117" s="1"/>
      <c r="P117" s="1"/>
      <c r="Q117" s="1"/>
      <c r="R117" s="1"/>
      <c r="S117" s="1"/>
      <c r="T117" s="1"/>
      <c r="U117" s="1"/>
      <c r="V117" s="1"/>
      <c r="W117" s="1"/>
      <c r="X117" s="1"/>
      <c r="Y117" s="1"/>
    </row>
    <row r="118" spans="1:25" ht="22.5" customHeight="1" x14ac:dyDescent="0.2">
      <c r="A118" s="14" t="s">
        <v>1601</v>
      </c>
      <c r="B118" s="3" t="s">
        <v>34</v>
      </c>
      <c r="C118" s="3" t="s">
        <v>1216</v>
      </c>
      <c r="D118" s="11" t="s">
        <v>2209</v>
      </c>
      <c r="E118" s="6" t="s">
        <v>1513</v>
      </c>
      <c r="F118" s="9">
        <v>45712</v>
      </c>
      <c r="G118" s="3" t="s">
        <v>2095</v>
      </c>
      <c r="H118" s="3" t="s">
        <v>2105</v>
      </c>
      <c r="I118" s="3"/>
      <c r="J118" s="3"/>
      <c r="K118" s="3"/>
      <c r="L118" s="3"/>
      <c r="M118" s="1"/>
      <c r="N118" s="1"/>
      <c r="O118" s="1"/>
      <c r="P118" s="1"/>
      <c r="Q118" s="1"/>
      <c r="R118" s="1"/>
      <c r="S118" s="1"/>
      <c r="T118" s="1"/>
      <c r="U118" s="1"/>
      <c r="V118" s="1"/>
      <c r="W118" s="1"/>
      <c r="X118" s="1"/>
      <c r="Y118" s="1"/>
    </row>
    <row r="119" spans="1:25" ht="22.5" customHeight="1" x14ac:dyDescent="0.2">
      <c r="A119" s="14" t="s">
        <v>1602</v>
      </c>
      <c r="B119" s="3" t="s">
        <v>34</v>
      </c>
      <c r="C119" s="3" t="s">
        <v>1216</v>
      </c>
      <c r="D119" s="11" t="s">
        <v>2104</v>
      </c>
      <c r="E119" s="6" t="s">
        <v>1236</v>
      </c>
      <c r="F119" s="9">
        <v>45712</v>
      </c>
      <c r="G119" s="3" t="s">
        <v>2095</v>
      </c>
      <c r="H119" s="7" t="s">
        <v>1603</v>
      </c>
      <c r="I119" s="3" t="s">
        <v>2145</v>
      </c>
      <c r="J119" s="8">
        <v>45959</v>
      </c>
      <c r="K119" s="3"/>
      <c r="L119" s="3"/>
      <c r="M119" s="1"/>
      <c r="N119" s="1"/>
      <c r="O119" s="1"/>
      <c r="P119" s="1"/>
      <c r="Q119" s="1"/>
      <c r="R119" s="1"/>
      <c r="S119" s="1"/>
      <c r="T119" s="1"/>
      <c r="U119" s="1"/>
      <c r="V119" s="1"/>
      <c r="W119" s="1"/>
      <c r="X119" s="1"/>
      <c r="Y119" s="1"/>
    </row>
    <row r="120" spans="1:25" ht="22.5" customHeight="1" x14ac:dyDescent="0.2">
      <c r="A120" s="14" t="s">
        <v>1604</v>
      </c>
      <c r="B120" s="3" t="s">
        <v>34</v>
      </c>
      <c r="C120" s="3" t="s">
        <v>1216</v>
      </c>
      <c r="D120" s="11" t="s">
        <v>2210</v>
      </c>
      <c r="E120" s="6" t="s">
        <v>1513</v>
      </c>
      <c r="F120" s="9">
        <v>45708</v>
      </c>
      <c r="G120" s="3" t="s">
        <v>2095</v>
      </c>
      <c r="H120" s="3" t="s">
        <v>2105</v>
      </c>
      <c r="I120" s="3"/>
      <c r="J120" s="3"/>
      <c r="K120" s="3"/>
      <c r="L120" s="3"/>
      <c r="M120" s="1"/>
      <c r="N120" s="1"/>
      <c r="O120" s="1"/>
      <c r="P120" s="1"/>
      <c r="Q120" s="1"/>
      <c r="R120" s="1"/>
      <c r="S120" s="1"/>
      <c r="T120" s="1"/>
      <c r="U120" s="1"/>
      <c r="V120" s="1"/>
      <c r="W120" s="1"/>
      <c r="X120" s="1"/>
      <c r="Y120" s="1"/>
    </row>
    <row r="121" spans="1:25" ht="22.5" customHeight="1" x14ac:dyDescent="0.2">
      <c r="A121" s="14" t="s">
        <v>1606</v>
      </c>
      <c r="B121" s="3" t="s">
        <v>34</v>
      </c>
      <c r="C121" s="3" t="s">
        <v>1216</v>
      </c>
      <c r="D121" s="11" t="s">
        <v>2211</v>
      </c>
      <c r="E121" s="6" t="s">
        <v>1513</v>
      </c>
      <c r="F121" s="9">
        <v>45708</v>
      </c>
      <c r="G121" s="3" t="s">
        <v>2095</v>
      </c>
      <c r="H121" s="3" t="s">
        <v>2105</v>
      </c>
      <c r="I121" s="3"/>
      <c r="J121" s="3"/>
      <c r="K121" s="3"/>
      <c r="L121" s="3"/>
      <c r="M121" s="1"/>
      <c r="N121" s="1"/>
      <c r="O121" s="1"/>
      <c r="P121" s="1"/>
      <c r="Q121" s="1"/>
      <c r="R121" s="1"/>
      <c r="S121" s="1"/>
      <c r="T121" s="1"/>
      <c r="U121" s="1"/>
      <c r="V121" s="1"/>
      <c r="W121" s="1"/>
      <c r="X121" s="1"/>
      <c r="Y121" s="1"/>
    </row>
    <row r="122" spans="1:25" ht="22.5" customHeight="1" x14ac:dyDescent="0.2">
      <c r="A122" s="14" t="s">
        <v>1607</v>
      </c>
      <c r="B122" s="3" t="s">
        <v>34</v>
      </c>
      <c r="C122" s="3" t="s">
        <v>1216</v>
      </c>
      <c r="D122" s="11" t="s">
        <v>2212</v>
      </c>
      <c r="E122" s="6" t="s">
        <v>1513</v>
      </c>
      <c r="F122" s="9">
        <v>45708</v>
      </c>
      <c r="G122" s="3" t="s">
        <v>2095</v>
      </c>
      <c r="H122" s="3" t="s">
        <v>2105</v>
      </c>
      <c r="I122" s="3"/>
      <c r="J122" s="3"/>
      <c r="K122" s="3"/>
      <c r="L122" s="3"/>
      <c r="M122" s="1"/>
      <c r="N122" s="1"/>
      <c r="O122" s="1"/>
      <c r="P122" s="1"/>
      <c r="Q122" s="1"/>
      <c r="R122" s="1"/>
      <c r="S122" s="1"/>
      <c r="T122" s="1"/>
      <c r="U122" s="1"/>
      <c r="V122" s="1"/>
      <c r="W122" s="1"/>
      <c r="X122" s="1"/>
      <c r="Y122" s="1"/>
    </row>
    <row r="123" spans="1:25" ht="22.5" customHeight="1" x14ac:dyDescent="0.2">
      <c r="A123" s="14" t="s">
        <v>1608</v>
      </c>
      <c r="B123" s="3" t="s">
        <v>34</v>
      </c>
      <c r="C123" s="3" t="s">
        <v>1216</v>
      </c>
      <c r="D123" s="11" t="s">
        <v>2213</v>
      </c>
      <c r="E123" s="6" t="s">
        <v>391</v>
      </c>
      <c r="F123" s="9">
        <v>45707</v>
      </c>
      <c r="G123" s="3" t="s">
        <v>2095</v>
      </c>
      <c r="H123" s="7" t="s">
        <v>1609</v>
      </c>
      <c r="I123" s="3" t="s">
        <v>2145</v>
      </c>
      <c r="J123" s="8">
        <v>45959</v>
      </c>
      <c r="K123" s="3"/>
      <c r="L123" s="3"/>
      <c r="M123" s="1"/>
      <c r="N123" s="1"/>
      <c r="O123" s="1"/>
      <c r="P123" s="1"/>
      <c r="Q123" s="1"/>
      <c r="R123" s="1"/>
      <c r="S123" s="1"/>
      <c r="T123" s="1"/>
      <c r="U123" s="1"/>
      <c r="V123" s="1"/>
      <c r="W123" s="1"/>
      <c r="X123" s="1"/>
      <c r="Y123" s="1"/>
    </row>
    <row r="124" spans="1:25" ht="22.5" customHeight="1" x14ac:dyDescent="0.2">
      <c r="A124" s="14" t="s">
        <v>1614</v>
      </c>
      <c r="B124" s="3" t="s">
        <v>34</v>
      </c>
      <c r="C124" s="3" t="s">
        <v>1216</v>
      </c>
      <c r="D124" s="11" t="s">
        <v>2187</v>
      </c>
      <c r="E124" s="6" t="s">
        <v>1539</v>
      </c>
      <c r="F124" s="9">
        <v>45705</v>
      </c>
      <c r="G124" s="3" t="s">
        <v>2095</v>
      </c>
      <c r="H124" s="7" t="s">
        <v>1615</v>
      </c>
      <c r="I124" s="3" t="s">
        <v>2145</v>
      </c>
      <c r="J124" s="8">
        <v>45959</v>
      </c>
      <c r="K124" s="3"/>
      <c r="L124" s="3"/>
      <c r="M124" s="1"/>
      <c r="N124" s="1"/>
      <c r="O124" s="1"/>
      <c r="P124" s="1"/>
      <c r="Q124" s="1"/>
      <c r="R124" s="1"/>
      <c r="S124" s="1"/>
      <c r="T124" s="1"/>
      <c r="U124" s="1"/>
      <c r="V124" s="1"/>
      <c r="W124" s="1"/>
      <c r="X124" s="1"/>
      <c r="Y124" s="1"/>
    </row>
    <row r="125" spans="1:25" ht="22.5" customHeight="1" x14ac:dyDescent="0.2">
      <c r="A125" s="14" t="s">
        <v>1617</v>
      </c>
      <c r="B125" s="3" t="s">
        <v>34</v>
      </c>
      <c r="C125" s="3" t="s">
        <v>1216</v>
      </c>
      <c r="D125" s="11" t="s">
        <v>2214</v>
      </c>
      <c r="E125" s="6" t="s">
        <v>1265</v>
      </c>
      <c r="F125" s="9">
        <v>45702</v>
      </c>
      <c r="G125" s="3" t="s">
        <v>2095</v>
      </c>
      <c r="H125" s="3" t="s">
        <v>2105</v>
      </c>
      <c r="I125" s="3"/>
      <c r="J125" s="3"/>
      <c r="K125" s="3"/>
      <c r="L125" s="3"/>
      <c r="M125" s="1"/>
      <c r="N125" s="1"/>
      <c r="O125" s="1"/>
      <c r="P125" s="1"/>
      <c r="Q125" s="1"/>
      <c r="R125" s="1"/>
      <c r="S125" s="1"/>
      <c r="T125" s="1"/>
      <c r="U125" s="1"/>
      <c r="V125" s="1"/>
      <c r="W125" s="1"/>
      <c r="X125" s="1"/>
      <c r="Y125" s="1"/>
    </row>
    <row r="126" spans="1:25" ht="22.5" customHeight="1" x14ac:dyDescent="0.2">
      <c r="A126" s="14" t="s">
        <v>1618</v>
      </c>
      <c r="B126" s="3" t="s">
        <v>34</v>
      </c>
      <c r="C126" s="3" t="s">
        <v>1216</v>
      </c>
      <c r="D126" s="11" t="s">
        <v>2215</v>
      </c>
      <c r="E126" s="6" t="s">
        <v>1265</v>
      </c>
      <c r="F126" s="9">
        <v>45702</v>
      </c>
      <c r="G126" s="3" t="s">
        <v>2095</v>
      </c>
      <c r="H126" s="7" t="s">
        <v>1619</v>
      </c>
      <c r="I126" s="3" t="s">
        <v>2145</v>
      </c>
      <c r="J126" s="8">
        <v>45959</v>
      </c>
      <c r="K126" s="3"/>
      <c r="L126" s="3"/>
      <c r="M126" s="1"/>
      <c r="N126" s="1"/>
      <c r="O126" s="1"/>
      <c r="P126" s="1"/>
      <c r="Q126" s="1"/>
      <c r="R126" s="1"/>
      <c r="S126" s="1"/>
      <c r="T126" s="1"/>
      <c r="U126" s="1"/>
      <c r="V126" s="1"/>
      <c r="W126" s="1"/>
      <c r="X126" s="1"/>
      <c r="Y126" s="1"/>
    </row>
    <row r="127" spans="1:25" ht="22.5" customHeight="1" x14ac:dyDescent="0.2">
      <c r="A127" s="13" t="s">
        <v>1620</v>
      </c>
      <c r="B127" s="3" t="s">
        <v>34</v>
      </c>
      <c r="C127" s="3" t="s">
        <v>1216</v>
      </c>
      <c r="D127" s="11" t="s">
        <v>2216</v>
      </c>
      <c r="E127" s="6" t="s">
        <v>1436</v>
      </c>
      <c r="F127" s="9">
        <v>45701</v>
      </c>
      <c r="G127" s="3" t="s">
        <v>2095</v>
      </c>
      <c r="H127" s="3" t="s">
        <v>2105</v>
      </c>
      <c r="I127" s="3"/>
      <c r="J127" s="3"/>
      <c r="K127" s="3"/>
      <c r="L127" s="3"/>
      <c r="M127" s="1"/>
      <c r="N127" s="1"/>
      <c r="O127" s="1"/>
      <c r="P127" s="1"/>
      <c r="Q127" s="1"/>
      <c r="R127" s="1"/>
      <c r="S127" s="1"/>
      <c r="T127" s="1"/>
      <c r="U127" s="1"/>
      <c r="V127" s="1"/>
      <c r="W127" s="1"/>
      <c r="X127" s="1"/>
      <c r="Y127" s="1"/>
    </row>
    <row r="128" spans="1:25" ht="22.5" customHeight="1" x14ac:dyDescent="0.2">
      <c r="A128" s="14" t="s">
        <v>1621</v>
      </c>
      <c r="B128" s="3" t="s">
        <v>34</v>
      </c>
      <c r="C128" s="3" t="s">
        <v>1216</v>
      </c>
      <c r="D128" s="11" t="s">
        <v>2216</v>
      </c>
      <c r="E128" s="6" t="s">
        <v>1436</v>
      </c>
      <c r="F128" s="9">
        <v>45701</v>
      </c>
      <c r="G128" s="3" t="s">
        <v>2095</v>
      </c>
      <c r="H128" s="3" t="s">
        <v>2105</v>
      </c>
      <c r="I128" s="3"/>
      <c r="J128" s="3"/>
      <c r="K128" s="3"/>
      <c r="L128" s="3"/>
      <c r="M128" s="1"/>
      <c r="N128" s="1"/>
      <c r="O128" s="1"/>
      <c r="P128" s="1"/>
      <c r="Q128" s="1"/>
      <c r="R128" s="1"/>
      <c r="S128" s="1"/>
      <c r="T128" s="1"/>
      <c r="U128" s="1"/>
      <c r="V128" s="1"/>
      <c r="W128" s="1"/>
      <c r="X128" s="1"/>
      <c r="Y128" s="1"/>
    </row>
    <row r="129" spans="1:25" ht="22.5" customHeight="1" x14ac:dyDescent="0.2">
      <c r="A129" s="14" t="s">
        <v>1622</v>
      </c>
      <c r="B129" s="3" t="s">
        <v>34</v>
      </c>
      <c r="C129" s="3" t="s">
        <v>1216</v>
      </c>
      <c r="D129" s="11" t="s">
        <v>2217</v>
      </c>
      <c r="E129" s="6" t="s">
        <v>1217</v>
      </c>
      <c r="F129" s="9">
        <v>45699</v>
      </c>
      <c r="G129" s="3" t="s">
        <v>2095</v>
      </c>
      <c r="H129" s="3" t="s">
        <v>2105</v>
      </c>
      <c r="I129" s="3"/>
      <c r="J129" s="3"/>
      <c r="K129" s="3"/>
      <c r="L129" s="3"/>
      <c r="M129" s="1"/>
      <c r="N129" s="1"/>
      <c r="O129" s="1"/>
      <c r="P129" s="1"/>
      <c r="Q129" s="1"/>
      <c r="R129" s="1"/>
      <c r="S129" s="1"/>
      <c r="T129" s="1"/>
      <c r="U129" s="1"/>
      <c r="V129" s="1"/>
      <c r="W129" s="1"/>
      <c r="X129" s="1"/>
      <c r="Y129" s="1"/>
    </row>
    <row r="130" spans="1:25" ht="22.5" customHeight="1" x14ac:dyDescent="0.2">
      <c r="A130" s="14" t="s">
        <v>1623</v>
      </c>
      <c r="B130" s="3" t="s">
        <v>34</v>
      </c>
      <c r="C130" s="3" t="s">
        <v>1216</v>
      </c>
      <c r="D130" s="11" t="s">
        <v>2218</v>
      </c>
      <c r="E130" s="6" t="s">
        <v>1530</v>
      </c>
      <c r="F130" s="9">
        <v>45699</v>
      </c>
      <c r="G130" s="3" t="s">
        <v>2095</v>
      </c>
      <c r="H130" s="3" t="s">
        <v>2105</v>
      </c>
      <c r="I130" s="3"/>
      <c r="J130" s="3"/>
      <c r="K130" s="3"/>
      <c r="L130" s="3"/>
      <c r="M130" s="1"/>
      <c r="N130" s="1"/>
      <c r="O130" s="1"/>
      <c r="P130" s="1"/>
      <c r="Q130" s="1"/>
      <c r="R130" s="1"/>
      <c r="S130" s="1"/>
      <c r="T130" s="1"/>
      <c r="U130" s="1"/>
      <c r="V130" s="1"/>
      <c r="W130" s="1"/>
      <c r="X130" s="1"/>
      <c r="Y130" s="1"/>
    </row>
    <row r="131" spans="1:25" ht="22.5" customHeight="1" x14ac:dyDescent="0.2">
      <c r="A131" s="14" t="s">
        <v>1624</v>
      </c>
      <c r="B131" s="3" t="s">
        <v>34</v>
      </c>
      <c r="C131" s="3" t="s">
        <v>1216</v>
      </c>
      <c r="D131" s="11" t="s">
        <v>2219</v>
      </c>
      <c r="E131" s="6" t="s">
        <v>1530</v>
      </c>
      <c r="F131" s="9">
        <v>45699</v>
      </c>
      <c r="G131" s="3" t="s">
        <v>2095</v>
      </c>
      <c r="H131" s="3" t="s">
        <v>2105</v>
      </c>
      <c r="I131" s="3"/>
      <c r="J131" s="3"/>
      <c r="K131" s="3"/>
      <c r="L131" s="3"/>
      <c r="M131" s="1"/>
      <c r="N131" s="1"/>
      <c r="O131" s="1"/>
      <c r="P131" s="1"/>
      <c r="Q131" s="1"/>
      <c r="R131" s="1"/>
      <c r="S131" s="1"/>
      <c r="T131" s="1"/>
      <c r="U131" s="1"/>
      <c r="V131" s="1"/>
      <c r="W131" s="1"/>
      <c r="X131" s="1"/>
      <c r="Y131" s="1"/>
    </row>
    <row r="132" spans="1:25" ht="22.5" customHeight="1" x14ac:dyDescent="0.2">
      <c r="A132" s="14" t="s">
        <v>1625</v>
      </c>
      <c r="B132" s="3" t="s">
        <v>34</v>
      </c>
      <c r="C132" s="3" t="s">
        <v>1216</v>
      </c>
      <c r="D132" s="11" t="s">
        <v>2220</v>
      </c>
      <c r="E132" s="6" t="s">
        <v>1626</v>
      </c>
      <c r="F132" s="9">
        <v>45699</v>
      </c>
      <c r="G132" s="3" t="s">
        <v>2095</v>
      </c>
      <c r="H132" s="3" t="s">
        <v>2105</v>
      </c>
      <c r="I132" s="3"/>
      <c r="J132" s="3"/>
      <c r="K132" s="3"/>
      <c r="L132" s="3"/>
      <c r="M132" s="1"/>
      <c r="N132" s="1"/>
      <c r="O132" s="1"/>
      <c r="P132" s="1"/>
      <c r="Q132" s="1"/>
      <c r="R132" s="1"/>
      <c r="S132" s="1"/>
      <c r="T132" s="1"/>
      <c r="U132" s="1"/>
      <c r="V132" s="1"/>
      <c r="W132" s="1"/>
      <c r="X132" s="1"/>
      <c r="Y132" s="1"/>
    </row>
    <row r="133" spans="1:25" ht="22.5" customHeight="1" x14ac:dyDescent="0.2">
      <c r="A133" s="14" t="s">
        <v>1629</v>
      </c>
      <c r="B133" s="3" t="s">
        <v>34</v>
      </c>
      <c r="C133" s="3" t="s">
        <v>1216</v>
      </c>
      <c r="D133" s="11" t="s">
        <v>2221</v>
      </c>
      <c r="E133" s="6" t="s">
        <v>1630</v>
      </c>
      <c r="F133" s="9">
        <v>45695</v>
      </c>
      <c r="G133" s="3" t="s">
        <v>2095</v>
      </c>
      <c r="H133" s="7" t="s">
        <v>1631</v>
      </c>
      <c r="I133" s="3" t="s">
        <v>2145</v>
      </c>
      <c r="J133" s="8">
        <v>45959</v>
      </c>
      <c r="K133" s="3"/>
      <c r="L133" s="3"/>
      <c r="M133" s="1"/>
      <c r="N133" s="1"/>
      <c r="O133" s="1"/>
      <c r="P133" s="1"/>
      <c r="Q133" s="1"/>
      <c r="R133" s="1"/>
      <c r="S133" s="1"/>
      <c r="T133" s="1"/>
      <c r="U133" s="1"/>
      <c r="V133" s="1"/>
      <c r="W133" s="1"/>
      <c r="X133" s="1"/>
      <c r="Y133" s="1"/>
    </row>
    <row r="134" spans="1:25" ht="22.5" customHeight="1" x14ac:dyDescent="0.2">
      <c r="A134" s="14" t="s">
        <v>1632</v>
      </c>
      <c r="B134" s="3" t="s">
        <v>34</v>
      </c>
      <c r="C134" s="3" t="s">
        <v>1216</v>
      </c>
      <c r="D134" s="11" t="s">
        <v>2221</v>
      </c>
      <c r="E134" s="6" t="s">
        <v>1630</v>
      </c>
      <c r="F134" s="9">
        <v>45695</v>
      </c>
      <c r="G134" s="3" t="s">
        <v>2095</v>
      </c>
      <c r="H134" s="7" t="s">
        <v>1549</v>
      </c>
      <c r="I134" s="3" t="s">
        <v>2145</v>
      </c>
      <c r="J134" s="8">
        <v>45959</v>
      </c>
      <c r="K134" s="3"/>
      <c r="L134" s="3"/>
      <c r="M134" s="1"/>
      <c r="N134" s="1"/>
      <c r="O134" s="1"/>
      <c r="P134" s="1"/>
      <c r="Q134" s="1"/>
      <c r="R134" s="1"/>
      <c r="S134" s="1"/>
      <c r="T134" s="1"/>
      <c r="U134" s="1"/>
      <c r="V134" s="1"/>
      <c r="W134" s="1"/>
      <c r="X134" s="1"/>
      <c r="Y134" s="1"/>
    </row>
    <row r="135" spans="1:25" ht="22.5" customHeight="1" x14ac:dyDescent="0.2">
      <c r="A135" s="14" t="s">
        <v>1637</v>
      </c>
      <c r="B135" s="3" t="s">
        <v>34</v>
      </c>
      <c r="C135" s="3" t="s">
        <v>1216</v>
      </c>
      <c r="D135" s="11" t="s">
        <v>2222</v>
      </c>
      <c r="E135" s="6" t="s">
        <v>1265</v>
      </c>
      <c r="F135" s="9">
        <v>45692</v>
      </c>
      <c r="G135" s="3" t="s">
        <v>2095</v>
      </c>
      <c r="H135" s="3" t="s">
        <v>2105</v>
      </c>
      <c r="I135" s="3"/>
      <c r="J135" s="3"/>
      <c r="K135" s="3"/>
      <c r="L135" s="3"/>
      <c r="M135" s="1"/>
      <c r="N135" s="1"/>
      <c r="O135" s="1"/>
      <c r="P135" s="1"/>
      <c r="Q135" s="1"/>
      <c r="R135" s="1"/>
      <c r="S135" s="1"/>
      <c r="T135" s="1"/>
      <c r="U135" s="1"/>
      <c r="V135" s="1"/>
      <c r="W135" s="1"/>
      <c r="X135" s="1"/>
      <c r="Y135" s="1"/>
    </row>
    <row r="136" spans="1:25" ht="22.5" customHeight="1" x14ac:dyDescent="0.2">
      <c r="A136" s="14" t="s">
        <v>1638</v>
      </c>
      <c r="B136" s="3" t="s">
        <v>34</v>
      </c>
      <c r="C136" s="3" t="s">
        <v>1216</v>
      </c>
      <c r="D136" s="11" t="s">
        <v>2222</v>
      </c>
      <c r="E136" s="6" t="s">
        <v>1265</v>
      </c>
      <c r="F136" s="9">
        <v>45692</v>
      </c>
      <c r="G136" s="3" t="s">
        <v>2095</v>
      </c>
      <c r="H136" s="3" t="s">
        <v>2105</v>
      </c>
      <c r="I136" s="3"/>
      <c r="J136" s="3"/>
      <c r="K136" s="3"/>
      <c r="L136" s="3"/>
      <c r="M136" s="1"/>
      <c r="N136" s="1"/>
      <c r="O136" s="1"/>
      <c r="P136" s="1"/>
      <c r="Q136" s="1"/>
      <c r="R136" s="1"/>
      <c r="S136" s="1"/>
      <c r="T136" s="1"/>
      <c r="U136" s="1"/>
      <c r="V136" s="1"/>
      <c r="W136" s="1"/>
      <c r="X136" s="1"/>
      <c r="Y136" s="1"/>
    </row>
    <row r="137" spans="1:25" ht="22.5" customHeight="1" x14ac:dyDescent="0.2">
      <c r="A137" s="14" t="s">
        <v>1640</v>
      </c>
      <c r="B137" s="3" t="s">
        <v>34</v>
      </c>
      <c r="C137" s="3" t="s">
        <v>1216</v>
      </c>
      <c r="D137" s="11" t="s">
        <v>2223</v>
      </c>
      <c r="E137" s="6" t="s">
        <v>391</v>
      </c>
      <c r="F137" s="9">
        <v>45692</v>
      </c>
      <c r="G137" s="3" t="s">
        <v>2095</v>
      </c>
      <c r="H137" s="3" t="s">
        <v>2105</v>
      </c>
      <c r="I137" s="3"/>
      <c r="J137" s="3"/>
      <c r="K137" s="3"/>
      <c r="L137" s="3"/>
      <c r="M137" s="1"/>
      <c r="N137" s="1"/>
      <c r="O137" s="1"/>
      <c r="P137" s="1"/>
      <c r="Q137" s="1"/>
      <c r="R137" s="1"/>
      <c r="S137" s="1"/>
      <c r="T137" s="1"/>
      <c r="U137" s="1"/>
      <c r="V137" s="1"/>
      <c r="W137" s="1"/>
      <c r="X137" s="1"/>
      <c r="Y137" s="1"/>
    </row>
    <row r="138" spans="1:25" ht="22.5" customHeight="1" x14ac:dyDescent="0.2">
      <c r="A138" s="14" t="s">
        <v>1641</v>
      </c>
      <c r="B138" s="3" t="s">
        <v>34</v>
      </c>
      <c r="C138" s="3" t="s">
        <v>1216</v>
      </c>
      <c r="D138" s="11" t="s">
        <v>2224</v>
      </c>
      <c r="E138" s="6" t="s">
        <v>1300</v>
      </c>
      <c r="F138" s="9">
        <v>45691</v>
      </c>
      <c r="G138" s="3" t="s">
        <v>2095</v>
      </c>
      <c r="H138" s="7" t="s">
        <v>1642</v>
      </c>
      <c r="I138" s="3" t="s">
        <v>2145</v>
      </c>
      <c r="J138" s="8">
        <v>45959</v>
      </c>
      <c r="K138" s="3"/>
      <c r="L138" s="3"/>
      <c r="M138" s="1"/>
      <c r="N138" s="1"/>
      <c r="O138" s="1"/>
      <c r="P138" s="1"/>
      <c r="Q138" s="1"/>
      <c r="R138" s="1"/>
      <c r="S138" s="1"/>
      <c r="T138" s="1"/>
      <c r="U138" s="1"/>
      <c r="V138" s="1"/>
      <c r="W138" s="1"/>
      <c r="X138" s="1"/>
      <c r="Y138" s="1"/>
    </row>
    <row r="139" spans="1:25" ht="22.5" customHeight="1" x14ac:dyDescent="0.2">
      <c r="A139" s="14" t="s">
        <v>1644</v>
      </c>
      <c r="B139" s="3" t="s">
        <v>34</v>
      </c>
      <c r="C139" s="3" t="s">
        <v>1216</v>
      </c>
      <c r="D139" s="11" t="s">
        <v>2225</v>
      </c>
      <c r="E139" s="6" t="s">
        <v>1298</v>
      </c>
      <c r="F139" s="9">
        <v>45690</v>
      </c>
      <c r="G139" s="3" t="s">
        <v>2095</v>
      </c>
      <c r="H139" s="3" t="s">
        <v>2105</v>
      </c>
      <c r="I139" s="3"/>
      <c r="J139" s="3"/>
      <c r="K139" s="3"/>
      <c r="L139" s="3"/>
      <c r="M139" s="1"/>
      <c r="N139" s="1"/>
      <c r="O139" s="1"/>
      <c r="P139" s="1"/>
      <c r="Q139" s="1"/>
      <c r="R139" s="1"/>
      <c r="S139" s="1"/>
      <c r="T139" s="1"/>
      <c r="U139" s="1"/>
      <c r="V139" s="1"/>
      <c r="W139" s="1"/>
      <c r="X139" s="1"/>
      <c r="Y139" s="1"/>
    </row>
    <row r="140" spans="1:25" ht="22.5" customHeight="1" x14ac:dyDescent="0.2">
      <c r="A140" s="14" t="s">
        <v>1648</v>
      </c>
      <c r="B140" s="3" t="s">
        <v>34</v>
      </c>
      <c r="C140" s="3" t="s">
        <v>1216</v>
      </c>
      <c r="D140" s="11" t="s">
        <v>2138</v>
      </c>
      <c r="E140" s="6" t="s">
        <v>1265</v>
      </c>
      <c r="F140" s="9">
        <v>45688</v>
      </c>
      <c r="G140" s="3" t="s">
        <v>2095</v>
      </c>
      <c r="H140" s="3" t="s">
        <v>2105</v>
      </c>
      <c r="I140" s="3"/>
      <c r="J140" s="3"/>
      <c r="K140" s="3"/>
      <c r="L140" s="3"/>
      <c r="M140" s="1"/>
      <c r="N140" s="1"/>
      <c r="O140" s="1"/>
      <c r="P140" s="1"/>
      <c r="Q140" s="1"/>
      <c r="R140" s="1"/>
      <c r="S140" s="1"/>
      <c r="T140" s="1"/>
      <c r="U140" s="1"/>
      <c r="V140" s="1"/>
      <c r="W140" s="1"/>
      <c r="X140" s="1"/>
      <c r="Y140" s="1"/>
    </row>
    <row r="141" spans="1:25" ht="22.5" customHeight="1" x14ac:dyDescent="0.2">
      <c r="A141" s="14" t="s">
        <v>1654</v>
      </c>
      <c r="B141" s="3" t="s">
        <v>34</v>
      </c>
      <c r="C141" s="3" t="s">
        <v>1216</v>
      </c>
      <c r="D141" s="11" t="s">
        <v>2226</v>
      </c>
      <c r="E141" s="6" t="s">
        <v>1651</v>
      </c>
      <c r="F141" s="9">
        <v>45688</v>
      </c>
      <c r="G141" s="3" t="s">
        <v>2095</v>
      </c>
      <c r="H141" s="3" t="s">
        <v>2105</v>
      </c>
      <c r="I141" s="3"/>
      <c r="J141" s="3"/>
      <c r="K141" s="3"/>
      <c r="L141" s="3"/>
      <c r="M141" s="1"/>
      <c r="N141" s="1"/>
      <c r="O141" s="1"/>
      <c r="P141" s="1"/>
      <c r="Q141" s="1"/>
      <c r="R141" s="1"/>
      <c r="S141" s="1"/>
      <c r="T141" s="1"/>
      <c r="U141" s="1"/>
      <c r="V141" s="1"/>
      <c r="W141" s="1"/>
      <c r="X141" s="1"/>
      <c r="Y141" s="1"/>
    </row>
    <row r="142" spans="1:25" ht="22.5" customHeight="1" x14ac:dyDescent="0.2">
      <c r="A142" s="14" t="s">
        <v>1655</v>
      </c>
      <c r="B142" s="3" t="s">
        <v>34</v>
      </c>
      <c r="C142" s="3" t="s">
        <v>1216</v>
      </c>
      <c r="D142" s="11" t="s">
        <v>2226</v>
      </c>
      <c r="E142" s="6" t="s">
        <v>1651</v>
      </c>
      <c r="F142" s="9">
        <v>45688</v>
      </c>
      <c r="G142" s="3" t="s">
        <v>2095</v>
      </c>
      <c r="H142" s="3" t="s">
        <v>2105</v>
      </c>
      <c r="I142" s="3"/>
      <c r="J142" s="3"/>
      <c r="K142" s="3"/>
      <c r="L142" s="3"/>
      <c r="M142" s="1"/>
      <c r="N142" s="1"/>
      <c r="O142" s="1"/>
      <c r="P142" s="1"/>
      <c r="Q142" s="1"/>
      <c r="R142" s="1"/>
      <c r="S142" s="1"/>
      <c r="T142" s="1"/>
      <c r="U142" s="1"/>
      <c r="V142" s="1"/>
      <c r="W142" s="1"/>
      <c r="X142" s="1"/>
      <c r="Y142" s="1"/>
    </row>
    <row r="143" spans="1:25" ht="22.5" customHeight="1" x14ac:dyDescent="0.2">
      <c r="A143" s="14" t="s">
        <v>1656</v>
      </c>
      <c r="B143" s="3" t="s">
        <v>34</v>
      </c>
      <c r="C143" s="3" t="s">
        <v>1216</v>
      </c>
      <c r="D143" s="11" t="s">
        <v>2227</v>
      </c>
      <c r="E143" s="6" t="s">
        <v>1376</v>
      </c>
      <c r="F143" s="9">
        <v>45687</v>
      </c>
      <c r="G143" s="3" t="s">
        <v>2095</v>
      </c>
      <c r="H143" s="3" t="s">
        <v>2105</v>
      </c>
      <c r="I143" s="3"/>
      <c r="J143" s="3"/>
      <c r="K143" s="3"/>
      <c r="L143" s="3"/>
      <c r="M143" s="1"/>
      <c r="N143" s="1"/>
      <c r="O143" s="1"/>
      <c r="P143" s="1"/>
      <c r="Q143" s="1"/>
      <c r="R143" s="1"/>
      <c r="S143" s="1"/>
      <c r="T143" s="1"/>
      <c r="U143" s="1"/>
      <c r="V143" s="1"/>
      <c r="W143" s="1"/>
      <c r="X143" s="1"/>
      <c r="Y143" s="1"/>
    </row>
    <row r="144" spans="1:25" ht="22.5" customHeight="1" x14ac:dyDescent="0.2">
      <c r="A144" s="14" t="s">
        <v>1659</v>
      </c>
      <c r="B144" s="3" t="s">
        <v>34</v>
      </c>
      <c r="C144" s="3" t="s">
        <v>1216</v>
      </c>
      <c r="D144" s="11" t="s">
        <v>2228</v>
      </c>
      <c r="E144" s="6" t="s">
        <v>1660</v>
      </c>
      <c r="F144" s="9">
        <v>45687</v>
      </c>
      <c r="G144" s="3" t="s">
        <v>2095</v>
      </c>
      <c r="H144" s="3" t="s">
        <v>2105</v>
      </c>
      <c r="I144" s="3"/>
      <c r="J144" s="3"/>
      <c r="K144" s="3"/>
      <c r="L144" s="3"/>
      <c r="M144" s="1"/>
      <c r="N144" s="1"/>
      <c r="O144" s="1"/>
      <c r="P144" s="1"/>
      <c r="Q144" s="1"/>
      <c r="R144" s="1"/>
      <c r="S144" s="1"/>
      <c r="T144" s="1"/>
      <c r="U144" s="1"/>
      <c r="V144" s="1"/>
      <c r="W144" s="1"/>
      <c r="X144" s="1"/>
      <c r="Y144" s="1"/>
    </row>
    <row r="145" spans="1:25" ht="22.5" customHeight="1" x14ac:dyDescent="0.2">
      <c r="A145" s="14" t="s">
        <v>1661</v>
      </c>
      <c r="B145" s="3" t="s">
        <v>34</v>
      </c>
      <c r="C145" s="3" t="s">
        <v>1216</v>
      </c>
      <c r="D145" s="11" t="s">
        <v>2177</v>
      </c>
      <c r="E145" s="6" t="s">
        <v>74</v>
      </c>
      <c r="F145" s="9">
        <v>45686</v>
      </c>
      <c r="G145" s="3" t="s">
        <v>2095</v>
      </c>
      <c r="H145" s="3" t="s">
        <v>2105</v>
      </c>
      <c r="I145" s="3"/>
      <c r="J145" s="3"/>
      <c r="K145" s="3"/>
      <c r="L145" s="3"/>
      <c r="M145" s="1"/>
      <c r="N145" s="1"/>
      <c r="O145" s="1"/>
      <c r="P145" s="1"/>
      <c r="Q145" s="1"/>
      <c r="R145" s="1"/>
      <c r="S145" s="1"/>
      <c r="T145" s="1"/>
      <c r="U145" s="1"/>
      <c r="V145" s="1"/>
      <c r="W145" s="1"/>
      <c r="X145" s="1"/>
      <c r="Y145" s="1"/>
    </row>
    <row r="146" spans="1:25" ht="22.5" customHeight="1" x14ac:dyDescent="0.2">
      <c r="A146" s="14" t="s">
        <v>1663</v>
      </c>
      <c r="B146" s="3" t="s">
        <v>34</v>
      </c>
      <c r="C146" s="3" t="s">
        <v>1216</v>
      </c>
      <c r="D146" s="11" t="s">
        <v>2177</v>
      </c>
      <c r="E146" s="6" t="s">
        <v>74</v>
      </c>
      <c r="F146" s="9">
        <v>45686</v>
      </c>
      <c r="G146" s="3" t="s">
        <v>2095</v>
      </c>
      <c r="H146" s="3" t="s">
        <v>2105</v>
      </c>
      <c r="I146" s="3"/>
      <c r="J146" s="3"/>
      <c r="K146" s="3"/>
      <c r="L146" s="3"/>
      <c r="M146" s="1"/>
      <c r="N146" s="1"/>
      <c r="O146" s="1"/>
      <c r="P146" s="1"/>
      <c r="Q146" s="1"/>
      <c r="R146" s="1"/>
      <c r="S146" s="1"/>
      <c r="T146" s="1"/>
      <c r="U146" s="1"/>
      <c r="V146" s="1"/>
      <c r="W146" s="1"/>
      <c r="X146" s="1"/>
      <c r="Y146" s="1"/>
    </row>
    <row r="147" spans="1:25" ht="22.5" customHeight="1" x14ac:dyDescent="0.2">
      <c r="A147" s="14" t="s">
        <v>1664</v>
      </c>
      <c r="B147" s="3" t="s">
        <v>34</v>
      </c>
      <c r="C147" s="3" t="s">
        <v>1216</v>
      </c>
      <c r="D147" s="11" t="s">
        <v>2177</v>
      </c>
      <c r="E147" s="6" t="s">
        <v>74</v>
      </c>
      <c r="F147" s="9">
        <v>45686</v>
      </c>
      <c r="G147" s="3" t="s">
        <v>2095</v>
      </c>
      <c r="H147" s="3" t="s">
        <v>2105</v>
      </c>
      <c r="I147" s="3"/>
      <c r="J147" s="3"/>
      <c r="K147" s="3"/>
      <c r="L147" s="3"/>
      <c r="M147" s="1"/>
      <c r="N147" s="1"/>
      <c r="O147" s="1"/>
      <c r="P147" s="1"/>
      <c r="Q147" s="1"/>
      <c r="R147" s="1"/>
      <c r="S147" s="1"/>
      <c r="T147" s="1"/>
      <c r="U147" s="1"/>
      <c r="V147" s="1"/>
      <c r="W147" s="1"/>
      <c r="X147" s="1"/>
      <c r="Y147" s="1"/>
    </row>
    <row r="148" spans="1:25" ht="22.5" customHeight="1" x14ac:dyDescent="0.2">
      <c r="A148" s="14" t="s">
        <v>1667</v>
      </c>
      <c r="B148" s="3" t="s">
        <v>34</v>
      </c>
      <c r="C148" s="3" t="s">
        <v>1216</v>
      </c>
      <c r="D148" s="11" t="s">
        <v>2229</v>
      </c>
      <c r="E148" s="6" t="s">
        <v>1217</v>
      </c>
      <c r="F148" s="9">
        <v>45686</v>
      </c>
      <c r="G148" s="3" t="s">
        <v>2095</v>
      </c>
      <c r="H148" s="3" t="s">
        <v>2105</v>
      </c>
      <c r="I148" s="3"/>
      <c r="J148" s="3"/>
      <c r="K148" s="3"/>
      <c r="L148" s="3"/>
      <c r="M148" s="1"/>
      <c r="N148" s="1"/>
      <c r="O148" s="1"/>
      <c r="P148" s="1"/>
      <c r="Q148" s="1"/>
      <c r="R148" s="1"/>
      <c r="S148" s="1"/>
      <c r="T148" s="1"/>
      <c r="U148" s="1"/>
      <c r="V148" s="1"/>
      <c r="W148" s="1"/>
      <c r="X148" s="1"/>
      <c r="Y148" s="1"/>
    </row>
    <row r="149" spans="1:25" ht="22.5" customHeight="1" x14ac:dyDescent="0.2">
      <c r="A149" s="14" t="s">
        <v>1672</v>
      </c>
      <c r="B149" s="3" t="s">
        <v>34</v>
      </c>
      <c r="C149" s="3" t="s">
        <v>1216</v>
      </c>
      <c r="D149" s="11" t="s">
        <v>2230</v>
      </c>
      <c r="E149" s="6" t="s">
        <v>1626</v>
      </c>
      <c r="F149" s="9">
        <v>45679</v>
      </c>
      <c r="G149" s="3" t="s">
        <v>2095</v>
      </c>
      <c r="H149" s="3" t="s">
        <v>2105</v>
      </c>
      <c r="I149" s="3"/>
      <c r="J149" s="3"/>
      <c r="K149" s="3"/>
      <c r="L149" s="3"/>
      <c r="M149" s="1"/>
      <c r="N149" s="1"/>
      <c r="O149" s="1"/>
      <c r="P149" s="1"/>
      <c r="Q149" s="1"/>
      <c r="R149" s="1"/>
      <c r="S149" s="1"/>
      <c r="T149" s="1"/>
      <c r="U149" s="1"/>
      <c r="V149" s="1"/>
      <c r="W149" s="1"/>
      <c r="X149" s="1"/>
      <c r="Y149" s="1"/>
    </row>
    <row r="150" spans="1:25" ht="22.5" customHeight="1" x14ac:dyDescent="0.2">
      <c r="A150" s="14" t="s">
        <v>1673</v>
      </c>
      <c r="B150" s="3" t="s">
        <v>34</v>
      </c>
      <c r="C150" s="3" t="s">
        <v>1216</v>
      </c>
      <c r="D150" s="11" t="s">
        <v>2231</v>
      </c>
      <c r="E150" s="6" t="s">
        <v>1626</v>
      </c>
      <c r="F150" s="9">
        <v>45679</v>
      </c>
      <c r="G150" s="3" t="s">
        <v>2095</v>
      </c>
      <c r="H150" s="3" t="s">
        <v>2105</v>
      </c>
      <c r="I150" s="3"/>
      <c r="J150" s="3"/>
      <c r="K150" s="3"/>
      <c r="L150" s="3"/>
      <c r="M150" s="1"/>
      <c r="N150" s="1"/>
      <c r="O150" s="1"/>
      <c r="P150" s="1"/>
      <c r="Q150" s="1"/>
      <c r="R150" s="1"/>
      <c r="S150" s="1"/>
      <c r="T150" s="1"/>
      <c r="U150" s="1"/>
      <c r="V150" s="1"/>
      <c r="W150" s="1"/>
      <c r="X150" s="1"/>
      <c r="Y150" s="1"/>
    </row>
    <row r="151" spans="1:25" ht="22.5" customHeight="1" x14ac:dyDescent="0.2">
      <c r="A151" s="14" t="s">
        <v>1675</v>
      </c>
      <c r="B151" s="3" t="s">
        <v>34</v>
      </c>
      <c r="C151" s="3" t="s">
        <v>1216</v>
      </c>
      <c r="D151" s="11" t="s">
        <v>2232</v>
      </c>
      <c r="E151" s="6" t="s">
        <v>1626</v>
      </c>
      <c r="F151" s="9">
        <v>45679</v>
      </c>
      <c r="G151" s="3" t="s">
        <v>2150</v>
      </c>
      <c r="H151" s="3" t="s">
        <v>2105</v>
      </c>
      <c r="I151" s="3"/>
      <c r="J151" s="3"/>
      <c r="K151" s="3"/>
      <c r="L151" s="3"/>
      <c r="M151" s="1"/>
      <c r="N151" s="1"/>
      <c r="O151" s="1"/>
      <c r="P151" s="1"/>
      <c r="Q151" s="1"/>
      <c r="R151" s="1"/>
      <c r="S151" s="1"/>
      <c r="T151" s="1"/>
      <c r="U151" s="1"/>
      <c r="V151" s="1"/>
      <c r="W151" s="1"/>
      <c r="X151" s="1"/>
      <c r="Y151" s="1"/>
    </row>
    <row r="152" spans="1:25" ht="22.5" customHeight="1" x14ac:dyDescent="0.2">
      <c r="A152" s="14" t="s">
        <v>1677</v>
      </c>
      <c r="B152" s="3" t="s">
        <v>34</v>
      </c>
      <c r="C152" s="3" t="s">
        <v>1216</v>
      </c>
      <c r="D152" s="11" t="s">
        <v>2233</v>
      </c>
      <c r="E152" s="6" t="s">
        <v>1678</v>
      </c>
      <c r="F152" s="9">
        <v>45679</v>
      </c>
      <c r="G152" s="3" t="s">
        <v>2095</v>
      </c>
      <c r="H152" s="3" t="s">
        <v>2105</v>
      </c>
      <c r="I152" s="3"/>
      <c r="J152" s="3"/>
      <c r="K152" s="3"/>
      <c r="L152" s="3"/>
      <c r="M152" s="1"/>
      <c r="N152" s="1"/>
      <c r="O152" s="1"/>
      <c r="P152" s="1"/>
      <c r="Q152" s="1"/>
      <c r="R152" s="1"/>
      <c r="S152" s="1"/>
      <c r="T152" s="1"/>
      <c r="U152" s="1"/>
      <c r="V152" s="1"/>
      <c r="W152" s="1"/>
      <c r="X152" s="1"/>
      <c r="Y152" s="1"/>
    </row>
    <row r="153" spans="1:25" ht="22.5" customHeight="1" x14ac:dyDescent="0.2">
      <c r="A153" s="14" t="s">
        <v>1679</v>
      </c>
      <c r="B153" s="3" t="s">
        <v>34</v>
      </c>
      <c r="C153" s="3" t="s">
        <v>1216</v>
      </c>
      <c r="D153" s="11" t="s">
        <v>2234</v>
      </c>
      <c r="E153" s="6" t="s">
        <v>1678</v>
      </c>
      <c r="F153" s="9">
        <v>45679</v>
      </c>
      <c r="G153" s="3" t="s">
        <v>2095</v>
      </c>
      <c r="H153" s="3" t="s">
        <v>2105</v>
      </c>
      <c r="I153" s="3"/>
      <c r="J153" s="3"/>
      <c r="K153" s="3"/>
      <c r="L153" s="3"/>
      <c r="M153" s="1"/>
      <c r="N153" s="1"/>
      <c r="O153" s="1"/>
      <c r="P153" s="1"/>
      <c r="Q153" s="1"/>
      <c r="R153" s="1"/>
      <c r="S153" s="1"/>
      <c r="T153" s="1"/>
      <c r="U153" s="1"/>
      <c r="V153" s="1"/>
      <c r="W153" s="1"/>
      <c r="X153" s="1"/>
      <c r="Y153" s="1"/>
    </row>
    <row r="154" spans="1:25" ht="22.5" customHeight="1" x14ac:dyDescent="0.2">
      <c r="A154" s="14" t="s">
        <v>1680</v>
      </c>
      <c r="B154" s="3" t="s">
        <v>34</v>
      </c>
      <c r="C154" s="3" t="s">
        <v>1216</v>
      </c>
      <c r="D154" s="11" t="s">
        <v>2235</v>
      </c>
      <c r="E154" s="6" t="s">
        <v>1678</v>
      </c>
      <c r="F154" s="9">
        <v>45679</v>
      </c>
      <c r="G154" s="3" t="s">
        <v>2095</v>
      </c>
      <c r="H154" s="3" t="s">
        <v>2105</v>
      </c>
      <c r="I154" s="3"/>
      <c r="J154" s="3"/>
      <c r="K154" s="3"/>
      <c r="L154" s="3"/>
      <c r="M154" s="1"/>
      <c r="N154" s="1"/>
      <c r="O154" s="1"/>
      <c r="P154" s="1"/>
      <c r="Q154" s="1"/>
      <c r="R154" s="1"/>
      <c r="S154" s="1"/>
      <c r="T154" s="1"/>
      <c r="U154" s="1"/>
      <c r="V154" s="1"/>
      <c r="W154" s="1"/>
      <c r="X154" s="1"/>
      <c r="Y154" s="1"/>
    </row>
    <row r="155" spans="1:25" ht="22.5" customHeight="1" x14ac:dyDescent="0.2">
      <c r="A155" s="14" t="s">
        <v>1681</v>
      </c>
      <c r="B155" s="3" t="s">
        <v>34</v>
      </c>
      <c r="C155" s="3" t="s">
        <v>1216</v>
      </c>
      <c r="D155" s="11" t="s">
        <v>2236</v>
      </c>
      <c r="E155" s="6" t="s">
        <v>1678</v>
      </c>
      <c r="F155" s="9">
        <v>45679</v>
      </c>
      <c r="G155" s="3" t="s">
        <v>2095</v>
      </c>
      <c r="H155" s="3" t="s">
        <v>2105</v>
      </c>
      <c r="I155" s="3"/>
      <c r="J155" s="3"/>
      <c r="K155" s="3"/>
      <c r="L155" s="3"/>
      <c r="M155" s="1"/>
      <c r="N155" s="1"/>
      <c r="O155" s="1"/>
      <c r="P155" s="1"/>
      <c r="Q155" s="1"/>
      <c r="R155" s="1"/>
      <c r="S155" s="1"/>
      <c r="T155" s="1"/>
      <c r="U155" s="1"/>
      <c r="V155" s="1"/>
      <c r="W155" s="1"/>
      <c r="X155" s="1"/>
      <c r="Y155" s="1"/>
    </row>
    <row r="156" spans="1:25" ht="22.5" customHeight="1" x14ac:dyDescent="0.2">
      <c r="A156" s="14" t="s">
        <v>1682</v>
      </c>
      <c r="B156" s="3" t="s">
        <v>34</v>
      </c>
      <c r="C156" s="3" t="s">
        <v>1216</v>
      </c>
      <c r="D156" s="11" t="s">
        <v>2189</v>
      </c>
      <c r="E156" s="6" t="s">
        <v>1545</v>
      </c>
      <c r="F156" s="9">
        <v>45673</v>
      </c>
      <c r="G156" s="3" t="s">
        <v>2095</v>
      </c>
      <c r="H156" s="7" t="s">
        <v>1683</v>
      </c>
      <c r="I156" s="3" t="s">
        <v>2096</v>
      </c>
      <c r="J156" s="8">
        <v>45959</v>
      </c>
      <c r="K156" s="3"/>
      <c r="L156" s="3"/>
      <c r="M156" s="1"/>
      <c r="N156" s="1"/>
      <c r="O156" s="1"/>
      <c r="P156" s="1"/>
      <c r="Q156" s="1"/>
      <c r="R156" s="1"/>
      <c r="S156" s="1"/>
      <c r="T156" s="1"/>
      <c r="U156" s="1"/>
      <c r="V156" s="1"/>
      <c r="W156" s="1"/>
      <c r="X156" s="1"/>
      <c r="Y156" s="1"/>
    </row>
    <row r="157" spans="1:25" ht="22.5" customHeight="1" x14ac:dyDescent="0.2">
      <c r="A157" s="14" t="s">
        <v>117</v>
      </c>
      <c r="B157" s="3" t="s">
        <v>34</v>
      </c>
      <c r="C157" s="3" t="s">
        <v>35</v>
      </c>
      <c r="D157" s="11" t="s">
        <v>2136</v>
      </c>
      <c r="E157" s="6" t="s">
        <v>118</v>
      </c>
      <c r="F157" s="8">
        <v>45946</v>
      </c>
      <c r="G157" s="3" t="s">
        <v>2095</v>
      </c>
      <c r="H157" s="7" t="s">
        <v>119</v>
      </c>
      <c r="I157" s="3" t="s">
        <v>2096</v>
      </c>
      <c r="J157" s="8">
        <v>45952</v>
      </c>
      <c r="K157" s="3"/>
      <c r="L157" s="3"/>
      <c r="M157" s="1"/>
      <c r="N157" s="1"/>
      <c r="O157" s="1"/>
      <c r="P157" s="1"/>
      <c r="Q157" s="1"/>
      <c r="R157" s="1"/>
      <c r="S157" s="1"/>
      <c r="T157" s="1"/>
      <c r="U157" s="1"/>
      <c r="V157" s="1"/>
      <c r="W157" s="1"/>
      <c r="X157" s="1"/>
      <c r="Y157" s="1"/>
    </row>
    <row r="158" spans="1:25" ht="22.5" customHeight="1" x14ac:dyDescent="0.2">
      <c r="A158" s="14" t="s">
        <v>2237</v>
      </c>
      <c r="B158" s="3" t="s">
        <v>34</v>
      </c>
      <c r="C158" s="3" t="s">
        <v>35</v>
      </c>
      <c r="D158" s="11" t="s">
        <v>2238</v>
      </c>
      <c r="E158" s="6" t="s">
        <v>86</v>
      </c>
      <c r="F158" s="8">
        <v>45943</v>
      </c>
      <c r="G158" s="3" t="s">
        <v>2095</v>
      </c>
      <c r="H158" s="3" t="s">
        <v>2239</v>
      </c>
      <c r="I158" s="3" t="s">
        <v>2096</v>
      </c>
      <c r="J158" s="8">
        <v>45952</v>
      </c>
      <c r="K158" s="3"/>
      <c r="L158" s="3"/>
      <c r="M158" s="1"/>
      <c r="N158" s="1"/>
      <c r="O158" s="1"/>
      <c r="P158" s="1"/>
      <c r="Q158" s="1"/>
      <c r="R158" s="1"/>
      <c r="S158" s="1"/>
      <c r="T158" s="1"/>
      <c r="U158" s="1"/>
      <c r="V158" s="1"/>
      <c r="W158" s="1"/>
      <c r="X158" s="1"/>
      <c r="Y158" s="1"/>
    </row>
    <row r="159" spans="1:25" ht="22.5" customHeight="1" x14ac:dyDescent="0.2">
      <c r="A159" s="14" t="s">
        <v>97</v>
      </c>
      <c r="B159" s="3" t="s">
        <v>34</v>
      </c>
      <c r="C159" s="3" t="s">
        <v>35</v>
      </c>
      <c r="D159" s="11" t="s">
        <v>2238</v>
      </c>
      <c r="E159" s="6" t="s">
        <v>86</v>
      </c>
      <c r="F159" s="8">
        <v>45943</v>
      </c>
      <c r="G159" s="3" t="s">
        <v>2095</v>
      </c>
      <c r="H159" s="3" t="s">
        <v>98</v>
      </c>
      <c r="I159" s="3" t="s">
        <v>2096</v>
      </c>
      <c r="J159" s="8">
        <v>45952</v>
      </c>
      <c r="K159" s="3"/>
      <c r="L159" s="3"/>
      <c r="M159" s="1"/>
      <c r="N159" s="1"/>
      <c r="O159" s="1"/>
      <c r="P159" s="1"/>
      <c r="Q159" s="1"/>
      <c r="R159" s="1"/>
      <c r="S159" s="1"/>
      <c r="T159" s="1"/>
      <c r="U159" s="1"/>
      <c r="V159" s="1"/>
      <c r="W159" s="1"/>
      <c r="X159" s="1"/>
      <c r="Y159" s="1"/>
    </row>
    <row r="160" spans="1:25" ht="22.5" customHeight="1" x14ac:dyDescent="0.2">
      <c r="A160" s="14" t="s">
        <v>134</v>
      </c>
      <c r="B160" s="3" t="s">
        <v>34</v>
      </c>
      <c r="C160" s="3" t="s">
        <v>35</v>
      </c>
      <c r="D160" s="11" t="s">
        <v>2240</v>
      </c>
      <c r="E160" s="6" t="s">
        <v>135</v>
      </c>
      <c r="F160" s="8">
        <v>45943</v>
      </c>
      <c r="G160" s="3" t="s">
        <v>2095</v>
      </c>
      <c r="H160" s="3" t="s">
        <v>136</v>
      </c>
      <c r="I160" s="3" t="s">
        <v>2096</v>
      </c>
      <c r="J160" s="8">
        <v>45952</v>
      </c>
      <c r="K160" s="3"/>
      <c r="L160" s="3"/>
      <c r="M160" s="1"/>
      <c r="N160" s="1"/>
      <c r="O160" s="1"/>
      <c r="P160" s="1"/>
      <c r="Q160" s="1"/>
      <c r="R160" s="1"/>
      <c r="S160" s="1"/>
      <c r="T160" s="1"/>
      <c r="U160" s="1"/>
      <c r="V160" s="1"/>
      <c r="W160" s="1"/>
      <c r="X160" s="1"/>
      <c r="Y160" s="1"/>
    </row>
    <row r="161" spans="1:25" ht="22.5" customHeight="1" x14ac:dyDescent="0.2">
      <c r="A161" s="14" t="s">
        <v>144</v>
      </c>
      <c r="B161" s="3" t="s">
        <v>34</v>
      </c>
      <c r="C161" s="3" t="s">
        <v>35</v>
      </c>
      <c r="D161" s="11" t="s">
        <v>2241</v>
      </c>
      <c r="E161" s="6" t="s">
        <v>145</v>
      </c>
      <c r="F161" s="8">
        <v>45943</v>
      </c>
      <c r="G161" s="3" t="s">
        <v>2095</v>
      </c>
      <c r="H161" s="7" t="s">
        <v>146</v>
      </c>
      <c r="I161" s="3" t="s">
        <v>2121</v>
      </c>
      <c r="J161" s="8">
        <v>45952</v>
      </c>
      <c r="K161" s="3"/>
      <c r="L161" s="3"/>
      <c r="M161" s="1"/>
      <c r="N161" s="1"/>
      <c r="O161" s="1"/>
      <c r="P161" s="1"/>
      <c r="Q161" s="1"/>
      <c r="R161" s="1"/>
      <c r="S161" s="1"/>
      <c r="T161" s="1"/>
      <c r="U161" s="1"/>
      <c r="V161" s="1"/>
      <c r="W161" s="1"/>
      <c r="X161" s="1"/>
      <c r="Y161" s="1"/>
    </row>
    <row r="162" spans="1:25" ht="22.5" customHeight="1" x14ac:dyDescent="0.2">
      <c r="A162" s="14" t="s">
        <v>161</v>
      </c>
      <c r="B162" s="3" t="s">
        <v>34</v>
      </c>
      <c r="C162" s="3" t="s">
        <v>35</v>
      </c>
      <c r="D162" s="11" t="s">
        <v>2242</v>
      </c>
      <c r="E162" s="6" t="s">
        <v>162</v>
      </c>
      <c r="F162" s="8">
        <v>45940</v>
      </c>
      <c r="G162" s="3" t="s">
        <v>2095</v>
      </c>
      <c r="H162" s="3" t="s">
        <v>163</v>
      </c>
      <c r="I162" s="3" t="s">
        <v>2096</v>
      </c>
      <c r="J162" s="8">
        <v>45952</v>
      </c>
      <c r="K162" s="3"/>
      <c r="L162" s="3"/>
      <c r="M162" s="1"/>
      <c r="N162" s="1"/>
      <c r="O162" s="1"/>
      <c r="P162" s="1"/>
      <c r="Q162" s="1"/>
      <c r="R162" s="1"/>
      <c r="S162" s="1"/>
      <c r="T162" s="1"/>
      <c r="U162" s="1"/>
      <c r="V162" s="1"/>
      <c r="W162" s="1"/>
      <c r="X162" s="1"/>
      <c r="Y162" s="1"/>
    </row>
    <row r="163" spans="1:25" ht="22.5" customHeight="1" x14ac:dyDescent="0.2">
      <c r="A163" s="14" t="s">
        <v>43</v>
      </c>
      <c r="B163" s="3" t="s">
        <v>34</v>
      </c>
      <c r="C163" s="3" t="s">
        <v>35</v>
      </c>
      <c r="D163" s="11" t="s">
        <v>2243</v>
      </c>
      <c r="E163" s="6" t="s">
        <v>41</v>
      </c>
      <c r="F163" s="9">
        <v>45933</v>
      </c>
      <c r="G163" s="3" t="s">
        <v>2095</v>
      </c>
      <c r="H163" s="3" t="s">
        <v>47</v>
      </c>
      <c r="I163" s="3" t="s">
        <v>2096</v>
      </c>
      <c r="J163" s="8">
        <v>45950</v>
      </c>
      <c r="K163" s="3"/>
      <c r="L163" s="3"/>
      <c r="M163" s="1"/>
      <c r="N163" s="1"/>
      <c r="O163" s="1"/>
      <c r="P163" s="1"/>
      <c r="Q163" s="1"/>
      <c r="R163" s="1"/>
      <c r="S163" s="1"/>
      <c r="T163" s="1"/>
      <c r="U163" s="1"/>
      <c r="V163" s="1"/>
      <c r="W163" s="1"/>
      <c r="X163" s="1"/>
      <c r="Y163" s="1"/>
    </row>
    <row r="164" spans="1:25" ht="22.5" customHeight="1" x14ac:dyDescent="0.2">
      <c r="A164" s="14" t="s">
        <v>155</v>
      </c>
      <c r="B164" s="3" t="s">
        <v>34</v>
      </c>
      <c r="C164" s="3" t="s">
        <v>35</v>
      </c>
      <c r="D164" s="11" t="s">
        <v>2244</v>
      </c>
      <c r="E164" s="6" t="s">
        <v>156</v>
      </c>
      <c r="F164" s="9">
        <v>45933</v>
      </c>
      <c r="G164" s="3" t="s">
        <v>2095</v>
      </c>
      <c r="H164" s="7" t="s">
        <v>157</v>
      </c>
      <c r="I164" s="3" t="s">
        <v>2096</v>
      </c>
      <c r="J164" s="8">
        <v>45952</v>
      </c>
      <c r="K164" s="3"/>
      <c r="L164" s="3"/>
      <c r="M164" s="1"/>
      <c r="N164" s="1"/>
      <c r="O164" s="1"/>
      <c r="P164" s="1"/>
      <c r="Q164" s="1"/>
      <c r="R164" s="1"/>
      <c r="S164" s="1"/>
      <c r="T164" s="1"/>
      <c r="U164" s="1"/>
      <c r="V164" s="1"/>
      <c r="W164" s="1"/>
      <c r="X164" s="1"/>
      <c r="Y164" s="1"/>
    </row>
    <row r="165" spans="1:25" ht="22.5" customHeight="1" x14ac:dyDescent="0.2">
      <c r="A165" s="13" t="s">
        <v>58</v>
      </c>
      <c r="B165" s="3" t="s">
        <v>34</v>
      </c>
      <c r="C165" s="3" t="s">
        <v>35</v>
      </c>
      <c r="D165" s="3" t="s">
        <v>2245</v>
      </c>
      <c r="E165" s="6" t="s">
        <v>59</v>
      </c>
      <c r="F165" s="9">
        <v>45929</v>
      </c>
      <c r="G165" s="3" t="s">
        <v>2110</v>
      </c>
      <c r="H165" s="7" t="s">
        <v>61</v>
      </c>
      <c r="I165" s="3" t="s">
        <v>2096</v>
      </c>
      <c r="J165" s="8">
        <v>45952</v>
      </c>
      <c r="K165" s="3"/>
      <c r="L165" s="3"/>
      <c r="M165" s="1"/>
      <c r="N165" s="1"/>
      <c r="O165" s="1"/>
      <c r="P165" s="1"/>
      <c r="Q165" s="1"/>
      <c r="R165" s="1"/>
      <c r="S165" s="1"/>
      <c r="T165" s="1"/>
      <c r="U165" s="1"/>
      <c r="V165" s="1"/>
      <c r="W165" s="1"/>
      <c r="X165" s="1"/>
      <c r="Y165" s="1"/>
    </row>
    <row r="166" spans="1:25" ht="22.5" customHeight="1" x14ac:dyDescent="0.2">
      <c r="A166" s="14" t="s">
        <v>126</v>
      </c>
      <c r="B166" s="3" t="s">
        <v>34</v>
      </c>
      <c r="C166" s="3" t="s">
        <v>35</v>
      </c>
      <c r="D166" s="11" t="s">
        <v>2246</v>
      </c>
      <c r="E166" s="6" t="s">
        <v>127</v>
      </c>
      <c r="F166" s="9">
        <v>45929</v>
      </c>
      <c r="G166" s="3" t="s">
        <v>2095</v>
      </c>
      <c r="H166" s="7" t="s">
        <v>128</v>
      </c>
      <c r="I166" s="3" t="s">
        <v>2247</v>
      </c>
      <c r="J166" s="8">
        <v>45945</v>
      </c>
      <c r="K166" s="3"/>
      <c r="L166" s="3"/>
      <c r="M166" s="1"/>
      <c r="N166" s="1"/>
      <c r="O166" s="1"/>
      <c r="P166" s="1"/>
      <c r="Q166" s="1"/>
      <c r="R166" s="1"/>
      <c r="S166" s="1"/>
      <c r="T166" s="1"/>
      <c r="U166" s="1"/>
      <c r="V166" s="1"/>
      <c r="W166" s="1"/>
      <c r="X166" s="1"/>
      <c r="Y166" s="1"/>
    </row>
    <row r="167" spans="1:25" ht="22.5" customHeight="1" x14ac:dyDescent="0.2">
      <c r="A167" s="14" t="s">
        <v>109</v>
      </c>
      <c r="B167" s="3" t="s">
        <v>34</v>
      </c>
      <c r="C167" s="3" t="s">
        <v>35</v>
      </c>
      <c r="D167" s="11" t="s">
        <v>2248</v>
      </c>
      <c r="E167" s="6" t="s">
        <v>110</v>
      </c>
      <c r="F167" s="9">
        <v>45925</v>
      </c>
      <c r="G167" s="3" t="s">
        <v>2095</v>
      </c>
      <c r="H167" s="7" t="s">
        <v>111</v>
      </c>
      <c r="I167" s="3" t="s">
        <v>2096</v>
      </c>
      <c r="J167" s="8">
        <v>45952</v>
      </c>
      <c r="K167" s="3"/>
      <c r="L167" s="3"/>
      <c r="M167" s="1"/>
      <c r="N167" s="1"/>
      <c r="O167" s="1"/>
      <c r="P167" s="1"/>
      <c r="Q167" s="1"/>
      <c r="R167" s="1"/>
      <c r="S167" s="1"/>
      <c r="T167" s="1"/>
      <c r="U167" s="1"/>
      <c r="V167" s="1"/>
      <c r="W167" s="1"/>
      <c r="X167" s="1"/>
      <c r="Y167" s="1"/>
    </row>
    <row r="168" spans="1:25" ht="22.5" customHeight="1" x14ac:dyDescent="0.2">
      <c r="A168" s="14" t="s">
        <v>112</v>
      </c>
      <c r="B168" s="3" t="s">
        <v>34</v>
      </c>
      <c r="C168" s="3" t="s">
        <v>35</v>
      </c>
      <c r="D168" s="11" t="s">
        <v>2249</v>
      </c>
      <c r="E168" s="6" t="s">
        <v>110</v>
      </c>
      <c r="F168" s="9">
        <v>45925</v>
      </c>
      <c r="G168" s="3" t="s">
        <v>2095</v>
      </c>
      <c r="H168" s="7" t="s">
        <v>113</v>
      </c>
      <c r="I168" s="3" t="s">
        <v>2096</v>
      </c>
      <c r="J168" s="8">
        <v>45952</v>
      </c>
      <c r="K168" s="3"/>
      <c r="L168" s="3"/>
      <c r="M168" s="1"/>
      <c r="N168" s="1"/>
      <c r="O168" s="1"/>
      <c r="P168" s="1"/>
      <c r="Q168" s="1"/>
      <c r="R168" s="1"/>
      <c r="S168" s="1"/>
      <c r="T168" s="1"/>
      <c r="U168" s="1"/>
      <c r="V168" s="1"/>
      <c r="W168" s="1"/>
      <c r="X168" s="1"/>
      <c r="Y168" s="1"/>
    </row>
    <row r="169" spans="1:25" ht="22.5" customHeight="1" x14ac:dyDescent="0.2">
      <c r="A169" s="14" t="s">
        <v>147</v>
      </c>
      <c r="B169" s="3" t="s">
        <v>34</v>
      </c>
      <c r="C169" s="3" t="s">
        <v>35</v>
      </c>
      <c r="D169" s="11" t="s">
        <v>2250</v>
      </c>
      <c r="E169" s="6" t="s">
        <v>148</v>
      </c>
      <c r="F169" s="9">
        <v>45925</v>
      </c>
      <c r="G169" s="3" t="s">
        <v>2095</v>
      </c>
      <c r="H169" s="7" t="s">
        <v>149</v>
      </c>
      <c r="I169" s="3" t="s">
        <v>2096</v>
      </c>
      <c r="J169" s="8">
        <v>45952</v>
      </c>
      <c r="K169" s="3"/>
      <c r="L169" s="3"/>
      <c r="M169" s="1"/>
      <c r="N169" s="1"/>
      <c r="O169" s="1"/>
      <c r="P169" s="1"/>
      <c r="Q169" s="1"/>
      <c r="R169" s="1"/>
      <c r="S169" s="1"/>
      <c r="T169" s="1"/>
      <c r="U169" s="1"/>
      <c r="V169" s="1"/>
      <c r="W169" s="1"/>
      <c r="X169" s="1"/>
      <c r="Y169" s="1"/>
    </row>
    <row r="170" spans="1:25" ht="22.5" customHeight="1" x14ac:dyDescent="0.2">
      <c r="A170" s="14" t="s">
        <v>78</v>
      </c>
      <c r="B170" s="3" t="s">
        <v>34</v>
      </c>
      <c r="C170" s="3" t="s">
        <v>35</v>
      </c>
      <c r="D170" s="11" t="s">
        <v>2251</v>
      </c>
      <c r="E170" s="6" t="s">
        <v>79</v>
      </c>
      <c r="F170" s="9">
        <v>45925</v>
      </c>
      <c r="G170" s="3" t="s">
        <v>2095</v>
      </c>
      <c r="H170" s="7" t="s">
        <v>80</v>
      </c>
      <c r="I170" s="3" t="s">
        <v>2096</v>
      </c>
      <c r="J170" s="8">
        <v>45950</v>
      </c>
      <c r="K170" s="3"/>
      <c r="L170" s="3"/>
      <c r="M170" s="1"/>
      <c r="N170" s="1"/>
      <c r="O170" s="1"/>
      <c r="P170" s="1"/>
      <c r="Q170" s="1"/>
      <c r="R170" s="1"/>
      <c r="S170" s="1"/>
      <c r="T170" s="1"/>
      <c r="U170" s="1"/>
      <c r="V170" s="1"/>
      <c r="W170" s="1"/>
      <c r="X170" s="1"/>
      <c r="Y170" s="1"/>
    </row>
    <row r="171" spans="1:25" ht="22.5" customHeight="1" x14ac:dyDescent="0.2">
      <c r="A171" s="14" t="s">
        <v>50</v>
      </c>
      <c r="B171" s="3" t="s">
        <v>34</v>
      </c>
      <c r="C171" s="3" t="s">
        <v>35</v>
      </c>
      <c r="D171" s="11" t="s">
        <v>2252</v>
      </c>
      <c r="E171" s="6" t="s">
        <v>51</v>
      </c>
      <c r="F171" s="9">
        <v>45923</v>
      </c>
      <c r="G171" s="3" t="s">
        <v>2095</v>
      </c>
      <c r="H171" s="7" t="s">
        <v>53</v>
      </c>
      <c r="I171" s="3" t="s">
        <v>2247</v>
      </c>
      <c r="J171" s="8">
        <v>45945</v>
      </c>
      <c r="K171" s="3"/>
      <c r="L171" s="3"/>
      <c r="M171" s="1"/>
      <c r="N171" s="1"/>
      <c r="O171" s="1"/>
      <c r="P171" s="1"/>
      <c r="Q171" s="1"/>
      <c r="R171" s="1"/>
      <c r="S171" s="1"/>
      <c r="T171" s="1"/>
      <c r="U171" s="1"/>
      <c r="V171" s="1"/>
      <c r="W171" s="1"/>
      <c r="X171" s="1"/>
      <c r="Y171" s="1"/>
    </row>
    <row r="172" spans="1:25" ht="22.5" customHeight="1" x14ac:dyDescent="0.2">
      <c r="A172" s="14" t="s">
        <v>65</v>
      </c>
      <c r="B172" s="3" t="s">
        <v>34</v>
      </c>
      <c r="C172" s="3" t="s">
        <v>35</v>
      </c>
      <c r="D172" s="11" t="s">
        <v>2253</v>
      </c>
      <c r="E172" s="6" t="s">
        <v>66</v>
      </c>
      <c r="F172" s="9">
        <v>45923</v>
      </c>
      <c r="G172" s="3" t="s">
        <v>2095</v>
      </c>
      <c r="H172" s="7" t="s">
        <v>67</v>
      </c>
      <c r="I172" s="3" t="s">
        <v>2096</v>
      </c>
      <c r="J172" s="8">
        <v>45952</v>
      </c>
      <c r="K172" s="3"/>
      <c r="L172" s="3"/>
      <c r="M172" s="1"/>
      <c r="N172" s="1"/>
      <c r="O172" s="1"/>
      <c r="P172" s="1"/>
      <c r="Q172" s="1"/>
      <c r="R172" s="1"/>
      <c r="S172" s="1"/>
      <c r="T172" s="1"/>
      <c r="U172" s="1"/>
      <c r="V172" s="1"/>
      <c r="W172" s="1"/>
      <c r="X172" s="1"/>
      <c r="Y172" s="1"/>
    </row>
    <row r="173" spans="1:25" ht="22.5" customHeight="1" x14ac:dyDescent="0.2">
      <c r="A173" s="14" t="s">
        <v>132</v>
      </c>
      <c r="B173" s="3" t="s">
        <v>34</v>
      </c>
      <c r="C173" s="3" t="s">
        <v>35</v>
      </c>
      <c r="D173" s="11" t="s">
        <v>2248</v>
      </c>
      <c r="E173" s="6" t="s">
        <v>110</v>
      </c>
      <c r="F173" s="9">
        <v>45923</v>
      </c>
      <c r="G173" s="3" t="s">
        <v>2095</v>
      </c>
      <c r="H173" s="7" t="s">
        <v>133</v>
      </c>
      <c r="I173" s="3" t="s">
        <v>2247</v>
      </c>
      <c r="J173" s="8">
        <v>45946</v>
      </c>
      <c r="K173" s="3"/>
      <c r="L173" s="3"/>
      <c r="M173" s="1"/>
      <c r="N173" s="1"/>
      <c r="O173" s="1"/>
      <c r="P173" s="1"/>
      <c r="Q173" s="1"/>
      <c r="R173" s="1"/>
      <c r="S173" s="1"/>
      <c r="T173" s="1"/>
      <c r="U173" s="1"/>
      <c r="V173" s="1"/>
      <c r="W173" s="1"/>
      <c r="X173" s="1"/>
      <c r="Y173" s="1"/>
    </row>
    <row r="174" spans="1:25" ht="22.5" customHeight="1" x14ac:dyDescent="0.2">
      <c r="A174" s="14" t="s">
        <v>94</v>
      </c>
      <c r="B174" s="3" t="s">
        <v>34</v>
      </c>
      <c r="C174" s="3" t="s">
        <v>35</v>
      </c>
      <c r="D174" s="11" t="s">
        <v>2254</v>
      </c>
      <c r="E174" s="6" t="s">
        <v>95</v>
      </c>
      <c r="F174" s="9">
        <v>45923</v>
      </c>
      <c r="G174" s="3" t="s">
        <v>2095</v>
      </c>
      <c r="H174" s="7" t="s">
        <v>96</v>
      </c>
      <c r="I174" s="3" t="s">
        <v>2096</v>
      </c>
      <c r="J174" s="8">
        <v>45952</v>
      </c>
      <c r="K174" s="3"/>
      <c r="L174" s="3"/>
      <c r="M174" s="1"/>
      <c r="N174" s="1"/>
      <c r="O174" s="1"/>
      <c r="P174" s="1"/>
      <c r="Q174" s="1"/>
      <c r="R174" s="1"/>
      <c r="S174" s="1"/>
      <c r="T174" s="1"/>
      <c r="U174" s="1"/>
      <c r="V174" s="1"/>
      <c r="W174" s="1"/>
      <c r="X174" s="1"/>
      <c r="Y174" s="1"/>
    </row>
    <row r="175" spans="1:25" ht="22.5" customHeight="1" x14ac:dyDescent="0.2">
      <c r="A175" s="14" t="s">
        <v>164</v>
      </c>
      <c r="B175" s="3" t="s">
        <v>34</v>
      </c>
      <c r="C175" s="3" t="s">
        <v>35</v>
      </c>
      <c r="D175" s="11" t="s">
        <v>2120</v>
      </c>
      <c r="E175" s="6" t="s">
        <v>165</v>
      </c>
      <c r="F175" s="9">
        <v>45918</v>
      </c>
      <c r="G175" s="3" t="s">
        <v>2095</v>
      </c>
      <c r="H175" s="3" t="s">
        <v>166</v>
      </c>
      <c r="I175" s="3" t="s">
        <v>2096</v>
      </c>
      <c r="J175" s="8">
        <v>45952</v>
      </c>
      <c r="K175" s="3"/>
      <c r="L175" s="3"/>
      <c r="M175" s="1"/>
      <c r="N175" s="1"/>
      <c r="O175" s="1"/>
      <c r="P175" s="1"/>
      <c r="Q175" s="1"/>
      <c r="R175" s="1"/>
      <c r="S175" s="1"/>
      <c r="T175" s="1"/>
      <c r="U175" s="1"/>
      <c r="V175" s="1"/>
      <c r="W175" s="1"/>
      <c r="X175" s="1"/>
      <c r="Y175" s="1"/>
    </row>
    <row r="176" spans="1:25" ht="22.5" customHeight="1" x14ac:dyDescent="0.2">
      <c r="A176" s="14" t="s">
        <v>139</v>
      </c>
      <c r="B176" s="3" t="s">
        <v>34</v>
      </c>
      <c r="C176" s="3" t="s">
        <v>35</v>
      </c>
      <c r="D176" s="11" t="s">
        <v>2255</v>
      </c>
      <c r="E176" s="6" t="s">
        <v>79</v>
      </c>
      <c r="F176" s="9">
        <v>45918</v>
      </c>
      <c r="G176" s="3" t="s">
        <v>2095</v>
      </c>
      <c r="H176" s="7" t="s">
        <v>140</v>
      </c>
      <c r="I176" s="3" t="s">
        <v>2247</v>
      </c>
      <c r="J176" s="9">
        <v>45926</v>
      </c>
      <c r="K176" s="3"/>
      <c r="L176" s="3"/>
      <c r="M176" s="1"/>
      <c r="N176" s="1"/>
      <c r="O176" s="1"/>
      <c r="P176" s="1"/>
      <c r="Q176" s="1"/>
      <c r="R176" s="1"/>
      <c r="S176" s="1"/>
      <c r="T176" s="1"/>
      <c r="U176" s="1"/>
      <c r="V176" s="1"/>
      <c r="W176" s="1"/>
      <c r="X176" s="1"/>
      <c r="Y176" s="1"/>
    </row>
    <row r="177" spans="1:25" ht="22.5" customHeight="1" x14ac:dyDescent="0.2">
      <c r="A177" s="14" t="s">
        <v>88</v>
      </c>
      <c r="B177" s="3" t="s">
        <v>34</v>
      </c>
      <c r="C177" s="3" t="s">
        <v>35</v>
      </c>
      <c r="D177" s="11" t="s">
        <v>2256</v>
      </c>
      <c r="E177" s="6" t="s">
        <v>82</v>
      </c>
      <c r="F177" s="9">
        <v>45918</v>
      </c>
      <c r="G177" s="3" t="s">
        <v>2095</v>
      </c>
      <c r="H177" s="3" t="s">
        <v>89</v>
      </c>
      <c r="I177" s="3" t="s">
        <v>2096</v>
      </c>
      <c r="J177" s="8">
        <v>45952</v>
      </c>
      <c r="K177" s="3"/>
      <c r="L177" s="3"/>
      <c r="M177" s="1"/>
      <c r="N177" s="1"/>
      <c r="O177" s="1"/>
      <c r="P177" s="1"/>
      <c r="Q177" s="1"/>
      <c r="R177" s="1"/>
      <c r="S177" s="1"/>
      <c r="T177" s="1"/>
      <c r="U177" s="1"/>
      <c r="V177" s="1"/>
      <c r="W177" s="1"/>
      <c r="X177" s="1"/>
      <c r="Y177" s="1"/>
    </row>
    <row r="178" spans="1:25" ht="22.5" customHeight="1" x14ac:dyDescent="0.2">
      <c r="A178" s="14" t="s">
        <v>158</v>
      </c>
      <c r="B178" s="3" t="s">
        <v>34</v>
      </c>
      <c r="C178" s="3" t="s">
        <v>35</v>
      </c>
      <c r="D178" s="11" t="s">
        <v>2117</v>
      </c>
      <c r="E178" s="6" t="s">
        <v>138</v>
      </c>
      <c r="F178" s="9">
        <v>45918</v>
      </c>
      <c r="G178" s="3" t="s">
        <v>2095</v>
      </c>
      <c r="H178" s="7" t="s">
        <v>159</v>
      </c>
      <c r="I178" s="3" t="s">
        <v>2096</v>
      </c>
      <c r="J178" s="8">
        <v>45952</v>
      </c>
      <c r="K178" s="3"/>
      <c r="L178" s="3"/>
      <c r="M178" s="1"/>
      <c r="N178" s="1"/>
      <c r="O178" s="1"/>
      <c r="P178" s="1"/>
      <c r="Q178" s="1"/>
      <c r="R178" s="1"/>
      <c r="S178" s="1"/>
      <c r="T178" s="1"/>
      <c r="U178" s="1"/>
      <c r="V178" s="1"/>
      <c r="W178" s="1"/>
      <c r="X178" s="1"/>
      <c r="Y178" s="1"/>
    </row>
    <row r="179" spans="1:25" ht="22.5" customHeight="1" x14ac:dyDescent="0.2">
      <c r="A179" s="14" t="s">
        <v>150</v>
      </c>
      <c r="B179" s="3" t="s">
        <v>34</v>
      </c>
      <c r="C179" s="3" t="s">
        <v>35</v>
      </c>
      <c r="D179" s="11" t="s">
        <v>2257</v>
      </c>
      <c r="E179" s="6" t="s">
        <v>148</v>
      </c>
      <c r="F179" s="9">
        <v>45917</v>
      </c>
      <c r="G179" s="3" t="s">
        <v>2095</v>
      </c>
      <c r="H179" s="7" t="s">
        <v>151</v>
      </c>
      <c r="I179" s="16" t="s">
        <v>2247</v>
      </c>
      <c r="J179" s="8">
        <v>45960</v>
      </c>
      <c r="K179" s="3"/>
      <c r="L179" s="3"/>
      <c r="M179" s="1"/>
      <c r="N179" s="1"/>
      <c r="O179" s="1"/>
      <c r="P179" s="1"/>
      <c r="Q179" s="1"/>
      <c r="R179" s="1"/>
      <c r="S179" s="1"/>
      <c r="T179" s="1"/>
      <c r="U179" s="1"/>
      <c r="V179" s="1"/>
      <c r="W179" s="1"/>
      <c r="X179" s="1"/>
      <c r="Y179" s="1"/>
    </row>
    <row r="180" spans="1:25" ht="22.5" customHeight="1" x14ac:dyDescent="0.2">
      <c r="A180" s="14" t="s">
        <v>101</v>
      </c>
      <c r="B180" s="3" t="s">
        <v>34</v>
      </c>
      <c r="C180" s="3" t="s">
        <v>35</v>
      </c>
      <c r="D180" s="11" t="s">
        <v>2258</v>
      </c>
      <c r="E180" s="6" t="s">
        <v>102</v>
      </c>
      <c r="F180" s="9">
        <v>45917</v>
      </c>
      <c r="G180" s="3" t="s">
        <v>2095</v>
      </c>
      <c r="H180" s="7" t="s">
        <v>103</v>
      </c>
      <c r="I180" s="3" t="s">
        <v>2096</v>
      </c>
      <c r="J180" s="8">
        <v>45952</v>
      </c>
      <c r="K180" s="3"/>
      <c r="L180" s="3"/>
      <c r="M180" s="1"/>
      <c r="N180" s="1"/>
      <c r="O180" s="1"/>
      <c r="P180" s="1"/>
      <c r="Q180" s="1"/>
      <c r="R180" s="1"/>
      <c r="S180" s="1"/>
      <c r="T180" s="1"/>
      <c r="U180" s="1"/>
      <c r="V180" s="1"/>
      <c r="W180" s="1"/>
      <c r="X180" s="1"/>
      <c r="Y180" s="1"/>
    </row>
    <row r="181" spans="1:25" ht="22.5" customHeight="1" x14ac:dyDescent="0.2">
      <c r="A181" s="14" t="s">
        <v>124</v>
      </c>
      <c r="B181" s="3" t="s">
        <v>34</v>
      </c>
      <c r="C181" s="3" t="s">
        <v>35</v>
      </c>
      <c r="D181" s="11" t="s">
        <v>2259</v>
      </c>
      <c r="E181" s="6" t="s">
        <v>85</v>
      </c>
      <c r="F181" s="9">
        <v>45917</v>
      </c>
      <c r="G181" s="3" t="s">
        <v>2095</v>
      </c>
      <c r="H181" s="7" t="s">
        <v>125</v>
      </c>
      <c r="I181" s="3" t="s">
        <v>2096</v>
      </c>
      <c r="J181" s="8">
        <v>45952</v>
      </c>
      <c r="K181" s="3"/>
      <c r="L181" s="3"/>
      <c r="M181" s="1"/>
      <c r="N181" s="1"/>
      <c r="O181" s="1"/>
      <c r="P181" s="1"/>
      <c r="Q181" s="1"/>
      <c r="R181" s="1"/>
      <c r="S181" s="1"/>
      <c r="T181" s="1"/>
      <c r="U181" s="1"/>
      <c r="V181" s="1"/>
      <c r="W181" s="1"/>
      <c r="X181" s="1"/>
      <c r="Y181" s="1"/>
    </row>
    <row r="182" spans="1:25" ht="22.5" customHeight="1" x14ac:dyDescent="0.2">
      <c r="A182" s="13" t="s">
        <v>62</v>
      </c>
      <c r="B182" s="3" t="s">
        <v>34</v>
      </c>
      <c r="C182" s="3" t="s">
        <v>35</v>
      </c>
      <c r="D182" s="3" t="s">
        <v>2245</v>
      </c>
      <c r="E182" s="6" t="s">
        <v>59</v>
      </c>
      <c r="F182" s="9">
        <v>45917</v>
      </c>
      <c r="G182" s="3" t="s">
        <v>2110</v>
      </c>
      <c r="H182" s="7" t="s">
        <v>63</v>
      </c>
      <c r="I182" s="16" t="s">
        <v>2260</v>
      </c>
      <c r="J182" s="8">
        <v>45953</v>
      </c>
      <c r="K182" s="3"/>
      <c r="L182" s="3"/>
      <c r="M182" s="1"/>
      <c r="N182" s="1"/>
      <c r="O182" s="1"/>
      <c r="P182" s="1"/>
      <c r="Q182" s="1"/>
      <c r="R182" s="1"/>
      <c r="S182" s="1"/>
      <c r="T182" s="1"/>
      <c r="U182" s="1"/>
      <c r="V182" s="1"/>
      <c r="W182" s="1"/>
      <c r="X182" s="1"/>
      <c r="Y182" s="1"/>
    </row>
    <row r="183" spans="1:25" ht="22.5" customHeight="1" x14ac:dyDescent="0.2">
      <c r="A183" s="13" t="s">
        <v>129</v>
      </c>
      <c r="B183" s="3" t="s">
        <v>34</v>
      </c>
      <c r="C183" s="3" t="s">
        <v>35</v>
      </c>
      <c r="D183" s="3" t="s">
        <v>2261</v>
      </c>
      <c r="E183" s="6" t="s">
        <v>130</v>
      </c>
      <c r="F183" s="9">
        <v>45917</v>
      </c>
      <c r="G183" s="3" t="s">
        <v>2110</v>
      </c>
      <c r="H183" s="7" t="s">
        <v>131</v>
      </c>
      <c r="I183" s="3" t="s">
        <v>2247</v>
      </c>
      <c r="J183" s="8">
        <v>45950</v>
      </c>
      <c r="K183" s="3"/>
      <c r="L183" s="3"/>
      <c r="M183" s="1"/>
      <c r="N183" s="1"/>
      <c r="O183" s="1"/>
      <c r="P183" s="1"/>
      <c r="Q183" s="1"/>
      <c r="R183" s="1"/>
      <c r="S183" s="1"/>
      <c r="T183" s="1"/>
      <c r="U183" s="1"/>
      <c r="V183" s="1"/>
      <c r="W183" s="1"/>
      <c r="X183" s="1"/>
      <c r="Y183" s="1"/>
    </row>
    <row r="184" spans="1:25" ht="22.5" customHeight="1" x14ac:dyDescent="0.2">
      <c r="A184" s="14" t="s">
        <v>114</v>
      </c>
      <c r="B184" s="3" t="s">
        <v>34</v>
      </c>
      <c r="C184" s="3" t="s">
        <v>35</v>
      </c>
      <c r="D184" s="11" t="s">
        <v>2262</v>
      </c>
      <c r="E184" s="6" t="s">
        <v>115</v>
      </c>
      <c r="F184" s="9">
        <v>45916</v>
      </c>
      <c r="G184" s="3" t="s">
        <v>2095</v>
      </c>
      <c r="H184" s="3" t="s">
        <v>116</v>
      </c>
      <c r="I184" s="3" t="s">
        <v>2247</v>
      </c>
      <c r="J184" s="8">
        <v>45943</v>
      </c>
      <c r="K184" s="3"/>
      <c r="L184" s="3"/>
      <c r="M184" s="1"/>
      <c r="N184" s="1"/>
      <c r="O184" s="1"/>
      <c r="P184" s="1"/>
      <c r="Q184" s="1"/>
      <c r="R184" s="1"/>
      <c r="S184" s="1"/>
      <c r="T184" s="1"/>
      <c r="U184" s="1"/>
      <c r="V184" s="1"/>
      <c r="W184" s="1"/>
      <c r="X184" s="1"/>
      <c r="Y184" s="1"/>
    </row>
    <row r="185" spans="1:25" ht="22.5" customHeight="1" x14ac:dyDescent="0.2">
      <c r="A185" s="14" t="s">
        <v>213</v>
      </c>
      <c r="B185" s="3" t="s">
        <v>34</v>
      </c>
      <c r="C185" s="3" t="s">
        <v>35</v>
      </c>
      <c r="D185" s="11" t="s">
        <v>2263</v>
      </c>
      <c r="E185" s="6" t="s">
        <v>36</v>
      </c>
      <c r="F185" s="9">
        <v>45911</v>
      </c>
      <c r="G185" s="3" t="s">
        <v>2095</v>
      </c>
      <c r="H185" s="7" t="s">
        <v>214</v>
      </c>
      <c r="I185" s="3" t="s">
        <v>2247</v>
      </c>
      <c r="J185" s="8">
        <v>45943</v>
      </c>
      <c r="K185" s="3"/>
      <c r="L185" s="3"/>
      <c r="M185" s="1"/>
      <c r="N185" s="1"/>
      <c r="O185" s="1"/>
      <c r="P185" s="1"/>
      <c r="Q185" s="1"/>
      <c r="R185" s="1"/>
      <c r="S185" s="1"/>
      <c r="T185" s="1"/>
      <c r="U185" s="1"/>
      <c r="V185" s="1"/>
      <c r="W185" s="1"/>
      <c r="X185" s="1"/>
      <c r="Y185" s="1"/>
    </row>
    <row r="186" spans="1:25" ht="22.5" customHeight="1" x14ac:dyDescent="0.2">
      <c r="A186" s="14" t="s">
        <v>231</v>
      </c>
      <c r="B186" s="3" t="s">
        <v>34</v>
      </c>
      <c r="C186" s="3" t="s">
        <v>35</v>
      </c>
      <c r="D186" s="11" t="s">
        <v>2264</v>
      </c>
      <c r="E186" s="6" t="s">
        <v>232</v>
      </c>
      <c r="F186" s="9">
        <v>45911</v>
      </c>
      <c r="G186" s="3" t="s">
        <v>2095</v>
      </c>
      <c r="H186" s="7" t="s">
        <v>233</v>
      </c>
      <c r="I186" s="3" t="s">
        <v>2247</v>
      </c>
      <c r="J186" s="8">
        <v>45925</v>
      </c>
      <c r="K186" s="3"/>
      <c r="L186" s="3"/>
      <c r="M186" s="1"/>
      <c r="N186" s="1"/>
      <c r="O186" s="1"/>
      <c r="P186" s="1"/>
      <c r="Q186" s="1"/>
      <c r="R186" s="1"/>
      <c r="S186" s="1"/>
      <c r="T186" s="1"/>
      <c r="U186" s="1"/>
      <c r="V186" s="1"/>
      <c r="W186" s="1"/>
      <c r="X186" s="1"/>
      <c r="Y186" s="1"/>
    </row>
    <row r="187" spans="1:25" ht="22.5" customHeight="1" x14ac:dyDescent="0.2">
      <c r="A187" s="13" t="s">
        <v>192</v>
      </c>
      <c r="B187" s="3" t="s">
        <v>34</v>
      </c>
      <c r="C187" s="3" t="s">
        <v>35</v>
      </c>
      <c r="D187" s="3" t="s">
        <v>2245</v>
      </c>
      <c r="E187" s="6" t="s">
        <v>59</v>
      </c>
      <c r="F187" s="9">
        <v>45910</v>
      </c>
      <c r="G187" s="3" t="s">
        <v>2110</v>
      </c>
      <c r="H187" s="7" t="s">
        <v>63</v>
      </c>
      <c r="I187" s="16" t="s">
        <v>2260</v>
      </c>
      <c r="J187" s="8">
        <v>45953</v>
      </c>
      <c r="K187" s="3"/>
      <c r="L187" s="3"/>
      <c r="M187" s="1"/>
      <c r="N187" s="1"/>
      <c r="O187" s="1"/>
      <c r="P187" s="1"/>
      <c r="Q187" s="1"/>
      <c r="R187" s="1"/>
      <c r="S187" s="1"/>
      <c r="T187" s="1"/>
      <c r="U187" s="1"/>
      <c r="V187" s="1"/>
      <c r="W187" s="1"/>
      <c r="X187" s="1"/>
      <c r="Y187" s="1"/>
    </row>
    <row r="188" spans="1:25" ht="22.5" customHeight="1" x14ac:dyDescent="0.2">
      <c r="A188" s="14" t="s">
        <v>180</v>
      </c>
      <c r="B188" s="3" t="s">
        <v>34</v>
      </c>
      <c r="C188" s="3" t="s">
        <v>35</v>
      </c>
      <c r="D188" s="11" t="s">
        <v>2265</v>
      </c>
      <c r="E188" s="6" t="s">
        <v>181</v>
      </c>
      <c r="F188" s="9">
        <v>45910</v>
      </c>
      <c r="G188" s="3" t="s">
        <v>2095</v>
      </c>
      <c r="H188" s="7" t="s">
        <v>182</v>
      </c>
      <c r="I188" s="3" t="s">
        <v>2247</v>
      </c>
      <c r="J188" s="8">
        <v>45946</v>
      </c>
      <c r="K188" s="3"/>
      <c r="L188" s="3"/>
      <c r="M188" s="1"/>
      <c r="N188" s="1"/>
      <c r="O188" s="1"/>
      <c r="P188" s="1"/>
      <c r="Q188" s="1"/>
      <c r="R188" s="1"/>
      <c r="S188" s="1"/>
      <c r="T188" s="1"/>
      <c r="U188" s="1"/>
      <c r="V188" s="1"/>
      <c r="W188" s="1"/>
      <c r="X188" s="1"/>
      <c r="Y188" s="1"/>
    </row>
    <row r="189" spans="1:25" ht="22.5" customHeight="1" x14ac:dyDescent="0.2">
      <c r="A189" s="14" t="s">
        <v>218</v>
      </c>
      <c r="B189" s="3" t="s">
        <v>34</v>
      </c>
      <c r="C189" s="3" t="s">
        <v>35</v>
      </c>
      <c r="D189" s="11" t="s">
        <v>2266</v>
      </c>
      <c r="E189" s="6" t="s">
        <v>216</v>
      </c>
      <c r="F189" s="9">
        <v>45910</v>
      </c>
      <c r="G189" s="3" t="s">
        <v>2095</v>
      </c>
      <c r="H189" s="7" t="s">
        <v>219</v>
      </c>
      <c r="I189" s="3" t="s">
        <v>2247</v>
      </c>
      <c r="J189" s="8">
        <v>45945</v>
      </c>
      <c r="K189" s="8"/>
      <c r="L189" s="3"/>
      <c r="M189" s="1"/>
      <c r="N189" s="1"/>
      <c r="O189" s="1"/>
      <c r="P189" s="1"/>
      <c r="Q189" s="1"/>
      <c r="R189" s="1"/>
      <c r="S189" s="1"/>
      <c r="T189" s="1"/>
      <c r="U189" s="1"/>
      <c r="V189" s="1"/>
      <c r="W189" s="1"/>
      <c r="X189" s="1"/>
      <c r="Y189" s="1"/>
    </row>
    <row r="190" spans="1:25" ht="22.5" customHeight="1" x14ac:dyDescent="0.2">
      <c r="A190" s="14" t="s">
        <v>215</v>
      </c>
      <c r="B190" s="3" t="s">
        <v>34</v>
      </c>
      <c r="C190" s="3" t="s">
        <v>35</v>
      </c>
      <c r="D190" s="11" t="s">
        <v>2267</v>
      </c>
      <c r="E190" s="6" t="s">
        <v>216</v>
      </c>
      <c r="F190" s="9">
        <v>45910</v>
      </c>
      <c r="G190" s="3" t="s">
        <v>2095</v>
      </c>
      <c r="H190" s="7" t="s">
        <v>217</v>
      </c>
      <c r="I190" s="3" t="s">
        <v>2247</v>
      </c>
      <c r="J190" s="8">
        <v>45951</v>
      </c>
      <c r="K190" s="3"/>
      <c r="L190" s="3"/>
      <c r="M190" s="1"/>
      <c r="N190" s="1"/>
      <c r="O190" s="1"/>
      <c r="P190" s="1"/>
      <c r="Q190" s="1"/>
      <c r="R190" s="1"/>
      <c r="S190" s="1"/>
      <c r="T190" s="1"/>
      <c r="U190" s="1"/>
      <c r="V190" s="1"/>
      <c r="W190" s="1"/>
      <c r="X190" s="1"/>
      <c r="Y190" s="1"/>
    </row>
    <row r="191" spans="1:25" ht="22.5" customHeight="1" x14ac:dyDescent="0.2">
      <c r="A191" s="14" t="s">
        <v>272</v>
      </c>
      <c r="B191" s="3" t="s">
        <v>34</v>
      </c>
      <c r="C191" s="3" t="s">
        <v>35</v>
      </c>
      <c r="D191" s="11" t="s">
        <v>2268</v>
      </c>
      <c r="E191" s="6" t="s">
        <v>273</v>
      </c>
      <c r="F191" s="9">
        <v>45905</v>
      </c>
      <c r="G191" s="3" t="s">
        <v>2095</v>
      </c>
      <c r="H191" s="7" t="s">
        <v>274</v>
      </c>
      <c r="I191" s="3" t="s">
        <v>2096</v>
      </c>
      <c r="J191" s="8">
        <v>45953</v>
      </c>
      <c r="K191" s="3"/>
      <c r="L191" s="3"/>
      <c r="M191" s="1"/>
      <c r="N191" s="1"/>
      <c r="O191" s="1"/>
      <c r="P191" s="1"/>
      <c r="Q191" s="1"/>
      <c r="R191" s="1"/>
      <c r="S191" s="1"/>
      <c r="T191" s="1"/>
      <c r="U191" s="1"/>
      <c r="V191" s="1"/>
      <c r="W191" s="1"/>
      <c r="X191" s="1"/>
      <c r="Y191" s="1"/>
    </row>
    <row r="192" spans="1:25" ht="22.5" customHeight="1" x14ac:dyDescent="0.2">
      <c r="A192" s="14" t="s">
        <v>229</v>
      </c>
      <c r="B192" s="3" t="s">
        <v>34</v>
      </c>
      <c r="C192" s="3" t="s">
        <v>35</v>
      </c>
      <c r="D192" s="11" t="s">
        <v>2269</v>
      </c>
      <c r="E192" s="6" t="s">
        <v>174</v>
      </c>
      <c r="F192" s="9">
        <v>45904</v>
      </c>
      <c r="G192" s="3" t="s">
        <v>2095</v>
      </c>
      <c r="H192" s="7" t="s">
        <v>230</v>
      </c>
      <c r="I192" s="3" t="s">
        <v>2096</v>
      </c>
      <c r="J192" s="8">
        <v>45953</v>
      </c>
      <c r="K192" s="3"/>
      <c r="L192" s="3"/>
      <c r="M192" s="1"/>
      <c r="N192" s="1"/>
      <c r="O192" s="1"/>
      <c r="P192" s="1"/>
      <c r="Q192" s="1"/>
      <c r="R192" s="1"/>
      <c r="S192" s="1"/>
      <c r="T192" s="1"/>
      <c r="U192" s="1"/>
      <c r="V192" s="1"/>
      <c r="W192" s="1"/>
      <c r="X192" s="1"/>
      <c r="Y192" s="1"/>
    </row>
    <row r="193" spans="1:25" ht="22.5" customHeight="1" x14ac:dyDescent="0.2">
      <c r="A193" s="14" t="s">
        <v>205</v>
      </c>
      <c r="B193" s="3" t="s">
        <v>34</v>
      </c>
      <c r="C193" s="3" t="s">
        <v>35</v>
      </c>
      <c r="D193" s="11" t="s">
        <v>2270</v>
      </c>
      <c r="E193" s="6" t="s">
        <v>206</v>
      </c>
      <c r="F193" s="9">
        <v>45904</v>
      </c>
      <c r="G193" s="3" t="s">
        <v>2095</v>
      </c>
      <c r="H193" s="7" t="s">
        <v>207</v>
      </c>
      <c r="I193" s="3" t="s">
        <v>2096</v>
      </c>
      <c r="J193" s="8">
        <v>45953</v>
      </c>
      <c r="K193" s="3"/>
      <c r="L193" s="3"/>
      <c r="M193" s="1"/>
      <c r="N193" s="1"/>
      <c r="O193" s="1"/>
      <c r="P193" s="1"/>
      <c r="Q193" s="1"/>
      <c r="R193" s="1"/>
      <c r="S193" s="1"/>
      <c r="T193" s="1"/>
      <c r="U193" s="1"/>
      <c r="V193" s="1"/>
      <c r="W193" s="1"/>
      <c r="X193" s="1"/>
      <c r="Y193" s="1"/>
    </row>
    <row r="194" spans="1:25" ht="22.5" customHeight="1" x14ac:dyDescent="0.2">
      <c r="A194" s="14" t="s">
        <v>189</v>
      </c>
      <c r="B194" s="3" t="s">
        <v>34</v>
      </c>
      <c r="C194" s="3" t="s">
        <v>35</v>
      </c>
      <c r="D194" s="11" t="s">
        <v>2271</v>
      </c>
      <c r="E194" s="6" t="s">
        <v>190</v>
      </c>
      <c r="F194" s="9">
        <v>45904</v>
      </c>
      <c r="G194" s="3" t="s">
        <v>2095</v>
      </c>
      <c r="H194" s="7" t="s">
        <v>191</v>
      </c>
      <c r="I194" s="17" t="s">
        <v>2260</v>
      </c>
      <c r="J194" s="8">
        <v>45953</v>
      </c>
      <c r="K194" s="3"/>
      <c r="L194" s="3"/>
      <c r="M194" s="1"/>
      <c r="N194" s="1"/>
      <c r="O194" s="1"/>
      <c r="P194" s="1"/>
      <c r="Q194" s="1"/>
      <c r="R194" s="1"/>
      <c r="S194" s="1"/>
      <c r="T194" s="1"/>
      <c r="U194" s="1"/>
      <c r="V194" s="1"/>
      <c r="W194" s="1"/>
      <c r="X194" s="1"/>
      <c r="Y194" s="1"/>
    </row>
    <row r="195" spans="1:25" ht="22.5" customHeight="1" x14ac:dyDescent="0.2">
      <c r="A195" s="14" t="s">
        <v>261</v>
      </c>
      <c r="B195" s="3" t="s">
        <v>34</v>
      </c>
      <c r="C195" s="3" t="s">
        <v>35</v>
      </c>
      <c r="D195" s="11" t="s">
        <v>2272</v>
      </c>
      <c r="E195" s="6" t="s">
        <v>262</v>
      </c>
      <c r="F195" s="9">
        <v>45898</v>
      </c>
      <c r="G195" s="3" t="s">
        <v>2110</v>
      </c>
      <c r="H195" s="7" t="s">
        <v>263</v>
      </c>
      <c r="I195" s="3" t="s">
        <v>2096</v>
      </c>
      <c r="J195" s="8">
        <v>45953</v>
      </c>
      <c r="K195" s="3"/>
      <c r="L195" s="3"/>
      <c r="M195" s="1"/>
      <c r="N195" s="1"/>
      <c r="O195" s="1"/>
      <c r="P195" s="1"/>
      <c r="Q195" s="1"/>
      <c r="R195" s="1"/>
      <c r="S195" s="1"/>
      <c r="T195" s="1"/>
      <c r="U195" s="1"/>
      <c r="V195" s="1"/>
      <c r="W195" s="1"/>
      <c r="X195" s="1"/>
      <c r="Y195" s="1"/>
    </row>
    <row r="196" spans="1:25" ht="22.5" customHeight="1" x14ac:dyDescent="0.2">
      <c r="A196" s="13" t="s">
        <v>281</v>
      </c>
      <c r="B196" s="3" t="s">
        <v>34</v>
      </c>
      <c r="C196" s="3" t="s">
        <v>35</v>
      </c>
      <c r="D196" s="3" t="s">
        <v>2273</v>
      </c>
      <c r="E196" s="6" t="s">
        <v>108</v>
      </c>
      <c r="F196" s="9">
        <v>45897</v>
      </c>
      <c r="G196" s="3" t="s">
        <v>2110</v>
      </c>
      <c r="H196" s="7" t="s">
        <v>282</v>
      </c>
      <c r="I196" s="3" t="s">
        <v>2096</v>
      </c>
      <c r="J196" s="8">
        <v>45953</v>
      </c>
      <c r="K196" s="3"/>
      <c r="L196" s="3"/>
      <c r="M196" s="1"/>
      <c r="N196" s="1"/>
      <c r="O196" s="1"/>
      <c r="P196" s="1"/>
      <c r="Q196" s="1"/>
      <c r="R196" s="1"/>
      <c r="S196" s="1"/>
      <c r="T196" s="1"/>
      <c r="U196" s="1"/>
      <c r="V196" s="1"/>
      <c r="W196" s="1"/>
      <c r="X196" s="1"/>
      <c r="Y196" s="1"/>
    </row>
    <row r="197" spans="1:25" ht="22.5" customHeight="1" x14ac:dyDescent="0.2">
      <c r="A197" s="14" t="s">
        <v>183</v>
      </c>
      <c r="B197" s="3" t="s">
        <v>34</v>
      </c>
      <c r="C197" s="3" t="s">
        <v>35</v>
      </c>
      <c r="D197" s="11" t="s">
        <v>2147</v>
      </c>
      <c r="E197" s="6" t="s">
        <v>184</v>
      </c>
      <c r="F197" s="9">
        <v>45897</v>
      </c>
      <c r="G197" s="3" t="s">
        <v>2095</v>
      </c>
      <c r="H197" s="7" t="s">
        <v>185</v>
      </c>
      <c r="I197" s="3" t="s">
        <v>2096</v>
      </c>
      <c r="J197" s="8">
        <v>45953</v>
      </c>
      <c r="K197" s="3"/>
      <c r="L197" s="3"/>
      <c r="M197" s="1"/>
      <c r="N197" s="1"/>
      <c r="O197" s="1"/>
      <c r="P197" s="1"/>
      <c r="Q197" s="1"/>
      <c r="R197" s="1"/>
      <c r="S197" s="1"/>
      <c r="T197" s="1"/>
      <c r="U197" s="1"/>
      <c r="V197" s="1"/>
      <c r="W197" s="1"/>
      <c r="X197" s="1"/>
      <c r="Y197" s="1"/>
    </row>
    <row r="198" spans="1:25" ht="22.5" customHeight="1" x14ac:dyDescent="0.2">
      <c r="A198" s="14" t="s">
        <v>269</v>
      </c>
      <c r="B198" s="3" t="s">
        <v>34</v>
      </c>
      <c r="C198" s="3" t="s">
        <v>35</v>
      </c>
      <c r="D198" s="11" t="s">
        <v>2274</v>
      </c>
      <c r="E198" s="6" t="s">
        <v>270</v>
      </c>
      <c r="F198" s="9">
        <v>45896</v>
      </c>
      <c r="G198" s="3" t="s">
        <v>2095</v>
      </c>
      <c r="H198" s="7" t="s">
        <v>271</v>
      </c>
      <c r="I198" s="3" t="s">
        <v>2247</v>
      </c>
      <c r="J198" s="8">
        <v>45953</v>
      </c>
      <c r="K198" s="3"/>
      <c r="L198" s="3"/>
      <c r="M198" s="1"/>
      <c r="N198" s="1"/>
      <c r="O198" s="1"/>
      <c r="P198" s="1"/>
      <c r="Q198" s="1"/>
      <c r="R198" s="1"/>
      <c r="S198" s="1"/>
      <c r="T198" s="1"/>
      <c r="U198" s="1"/>
      <c r="V198" s="1"/>
      <c r="W198" s="1"/>
      <c r="X198" s="1"/>
      <c r="Y198" s="1"/>
    </row>
    <row r="199" spans="1:25" ht="22.5" customHeight="1" x14ac:dyDescent="0.2">
      <c r="A199" s="14" t="s">
        <v>200</v>
      </c>
      <c r="B199" s="3" t="s">
        <v>34</v>
      </c>
      <c r="C199" s="3" t="s">
        <v>35</v>
      </c>
      <c r="D199" s="11" t="s">
        <v>2275</v>
      </c>
      <c r="E199" s="6" t="s">
        <v>79</v>
      </c>
      <c r="F199" s="9">
        <v>45896</v>
      </c>
      <c r="G199" s="3" t="s">
        <v>2095</v>
      </c>
      <c r="H199" s="7" t="s">
        <v>201</v>
      </c>
      <c r="I199" s="3" t="s">
        <v>2247</v>
      </c>
      <c r="J199" s="8">
        <v>45953</v>
      </c>
      <c r="K199" s="3"/>
      <c r="L199" s="3"/>
      <c r="M199" s="1"/>
      <c r="N199" s="1"/>
      <c r="O199" s="1"/>
      <c r="P199" s="1"/>
      <c r="Q199" s="1"/>
      <c r="R199" s="1"/>
      <c r="S199" s="1"/>
      <c r="T199" s="1"/>
      <c r="U199" s="1"/>
      <c r="V199" s="1"/>
      <c r="W199" s="1"/>
      <c r="X199" s="1"/>
      <c r="Y199" s="1"/>
    </row>
    <row r="200" spans="1:25" ht="22.5" customHeight="1" x14ac:dyDescent="0.2">
      <c r="A200" s="14" t="s">
        <v>238</v>
      </c>
      <c r="B200" s="3" t="s">
        <v>34</v>
      </c>
      <c r="C200" s="3" t="s">
        <v>35</v>
      </c>
      <c r="D200" s="11" t="s">
        <v>2276</v>
      </c>
      <c r="E200" s="6" t="s">
        <v>239</v>
      </c>
      <c r="F200" s="9">
        <v>45896</v>
      </c>
      <c r="G200" s="3" t="s">
        <v>2095</v>
      </c>
      <c r="H200" s="7" t="s">
        <v>240</v>
      </c>
      <c r="I200" s="17" t="s">
        <v>2260</v>
      </c>
      <c r="J200" s="8">
        <v>45953</v>
      </c>
      <c r="K200" s="3"/>
      <c r="L200" s="3"/>
      <c r="M200" s="1"/>
      <c r="N200" s="1"/>
      <c r="O200" s="1"/>
      <c r="P200" s="1"/>
      <c r="Q200" s="1"/>
      <c r="R200" s="1"/>
      <c r="S200" s="1"/>
      <c r="T200" s="1"/>
      <c r="U200" s="1"/>
      <c r="V200" s="1"/>
      <c r="W200" s="1"/>
      <c r="X200" s="1"/>
      <c r="Y200" s="1"/>
    </row>
    <row r="201" spans="1:25" ht="22.5" customHeight="1" x14ac:dyDescent="0.2">
      <c r="A201" s="14" t="s">
        <v>244</v>
      </c>
      <c r="B201" s="3" t="s">
        <v>34</v>
      </c>
      <c r="C201" s="3" t="s">
        <v>35</v>
      </c>
      <c r="D201" s="11" t="s">
        <v>2277</v>
      </c>
      <c r="E201" s="6" t="s">
        <v>245</v>
      </c>
      <c r="F201" s="9">
        <v>45896</v>
      </c>
      <c r="G201" s="3" t="s">
        <v>2095</v>
      </c>
      <c r="H201" s="7" t="s">
        <v>246</v>
      </c>
      <c r="I201" s="3" t="s">
        <v>2247</v>
      </c>
      <c r="J201" s="8">
        <v>45950</v>
      </c>
      <c r="K201" s="3"/>
      <c r="L201" s="3"/>
      <c r="M201" s="1"/>
      <c r="N201" s="1"/>
      <c r="O201" s="1"/>
      <c r="P201" s="1"/>
      <c r="Q201" s="1"/>
      <c r="R201" s="1"/>
      <c r="S201" s="1"/>
      <c r="T201" s="1"/>
      <c r="U201" s="1"/>
      <c r="V201" s="1"/>
      <c r="W201" s="1"/>
      <c r="X201" s="1"/>
      <c r="Y201" s="1"/>
    </row>
    <row r="202" spans="1:25" ht="22.5" customHeight="1" x14ac:dyDescent="0.2">
      <c r="A202" s="13" t="s">
        <v>250</v>
      </c>
      <c r="B202" s="3" t="s">
        <v>34</v>
      </c>
      <c r="C202" s="3" t="s">
        <v>35</v>
      </c>
      <c r="D202" s="3" t="s">
        <v>2278</v>
      </c>
      <c r="E202" s="6" t="s">
        <v>251</v>
      </c>
      <c r="F202" s="9">
        <v>45896</v>
      </c>
      <c r="G202" s="3" t="s">
        <v>2110</v>
      </c>
      <c r="H202" s="7" t="s">
        <v>252</v>
      </c>
      <c r="I202" s="3" t="s">
        <v>2145</v>
      </c>
      <c r="J202" s="8">
        <v>45953</v>
      </c>
      <c r="K202" s="3"/>
      <c r="L202" s="3"/>
      <c r="M202" s="1"/>
      <c r="N202" s="1"/>
      <c r="O202" s="1"/>
      <c r="P202" s="1"/>
      <c r="Q202" s="1"/>
      <c r="R202" s="1"/>
      <c r="S202" s="1"/>
      <c r="T202" s="1"/>
      <c r="U202" s="1"/>
      <c r="V202" s="1"/>
      <c r="W202" s="1"/>
      <c r="X202" s="1"/>
      <c r="Y202" s="1"/>
    </row>
    <row r="203" spans="1:25" ht="22.5" customHeight="1" x14ac:dyDescent="0.2">
      <c r="A203" s="14" t="s">
        <v>197</v>
      </c>
      <c r="B203" s="3" t="s">
        <v>34</v>
      </c>
      <c r="C203" s="3" t="s">
        <v>35</v>
      </c>
      <c r="D203" s="11" t="s">
        <v>2279</v>
      </c>
      <c r="E203" s="6" t="s">
        <v>198</v>
      </c>
      <c r="F203" s="9">
        <v>45894</v>
      </c>
      <c r="G203" s="3" t="s">
        <v>2095</v>
      </c>
      <c r="H203" s="7" t="s">
        <v>199</v>
      </c>
      <c r="I203" s="3" t="s">
        <v>2096</v>
      </c>
      <c r="J203" s="8">
        <v>45953</v>
      </c>
      <c r="K203" s="3"/>
      <c r="L203" s="3"/>
      <c r="M203" s="1"/>
      <c r="N203" s="1"/>
      <c r="O203" s="1"/>
      <c r="P203" s="1"/>
      <c r="Q203" s="1"/>
      <c r="R203" s="1"/>
      <c r="S203" s="1"/>
      <c r="T203" s="1"/>
      <c r="U203" s="1"/>
      <c r="V203" s="1"/>
      <c r="W203" s="1"/>
      <c r="X203" s="1"/>
      <c r="Y203" s="1"/>
    </row>
    <row r="204" spans="1:25" ht="22.5" customHeight="1" x14ac:dyDescent="0.2">
      <c r="A204" s="13" t="s">
        <v>285</v>
      </c>
      <c r="B204" s="3" t="s">
        <v>34</v>
      </c>
      <c r="C204" s="3" t="s">
        <v>35</v>
      </c>
      <c r="D204" s="3" t="s">
        <v>2280</v>
      </c>
      <c r="E204" s="6" t="s">
        <v>286</v>
      </c>
      <c r="F204" s="9">
        <v>45890</v>
      </c>
      <c r="G204" s="3" t="s">
        <v>2110</v>
      </c>
      <c r="H204" s="7" t="s">
        <v>287</v>
      </c>
      <c r="I204" s="3" t="s">
        <v>2096</v>
      </c>
      <c r="J204" s="8">
        <v>45953</v>
      </c>
      <c r="K204" s="3"/>
      <c r="L204" s="3"/>
      <c r="M204" s="1"/>
      <c r="N204" s="1"/>
      <c r="O204" s="1"/>
      <c r="P204" s="1"/>
      <c r="Q204" s="1"/>
      <c r="R204" s="1"/>
      <c r="S204" s="1"/>
      <c r="T204" s="1"/>
      <c r="U204" s="1"/>
      <c r="V204" s="1"/>
      <c r="W204" s="1"/>
      <c r="X204" s="1"/>
      <c r="Y204" s="1"/>
    </row>
    <row r="205" spans="1:25" ht="22.5" customHeight="1" x14ac:dyDescent="0.2">
      <c r="A205" s="13" t="s">
        <v>278</v>
      </c>
      <c r="B205" s="3" t="s">
        <v>34</v>
      </c>
      <c r="C205" s="3" t="s">
        <v>35</v>
      </c>
      <c r="D205" s="3" t="s">
        <v>2281</v>
      </c>
      <c r="E205" s="6" t="s">
        <v>279</v>
      </c>
      <c r="F205" s="9">
        <v>45889</v>
      </c>
      <c r="G205" s="3" t="s">
        <v>2110</v>
      </c>
      <c r="H205" s="7" t="s">
        <v>280</v>
      </c>
      <c r="I205" s="3" t="s">
        <v>2096</v>
      </c>
      <c r="J205" s="8">
        <v>45953</v>
      </c>
      <c r="K205" s="3"/>
      <c r="L205" s="3"/>
      <c r="M205" s="1"/>
      <c r="N205" s="1"/>
      <c r="O205" s="1"/>
      <c r="P205" s="1"/>
      <c r="Q205" s="1"/>
      <c r="R205" s="1"/>
      <c r="S205" s="1"/>
      <c r="T205" s="1"/>
      <c r="U205" s="1"/>
      <c r="V205" s="1"/>
      <c r="W205" s="1"/>
      <c r="X205" s="1"/>
      <c r="Y205" s="1"/>
    </row>
    <row r="206" spans="1:25" ht="22.5" customHeight="1" x14ac:dyDescent="0.2">
      <c r="A206" s="13" t="s">
        <v>266</v>
      </c>
      <c r="B206" s="3" t="s">
        <v>34</v>
      </c>
      <c r="C206" s="3" t="s">
        <v>35</v>
      </c>
      <c r="D206" s="3" t="s">
        <v>2282</v>
      </c>
      <c r="E206" s="6" t="s">
        <v>267</v>
      </c>
      <c r="F206" s="9">
        <v>45888</v>
      </c>
      <c r="G206" s="3" t="s">
        <v>2110</v>
      </c>
      <c r="H206" s="7" t="s">
        <v>268</v>
      </c>
      <c r="I206" s="17" t="s">
        <v>2260</v>
      </c>
      <c r="J206" s="8">
        <v>45953</v>
      </c>
      <c r="K206" s="3"/>
      <c r="L206" s="3"/>
      <c r="M206" s="1"/>
      <c r="N206" s="1"/>
      <c r="O206" s="1"/>
      <c r="P206" s="1"/>
      <c r="Q206" s="1"/>
      <c r="R206" s="1"/>
      <c r="S206" s="1"/>
      <c r="T206" s="1"/>
      <c r="U206" s="1"/>
      <c r="V206" s="1"/>
      <c r="W206" s="1"/>
      <c r="X206" s="1"/>
      <c r="Y206" s="1"/>
    </row>
    <row r="207" spans="1:25" ht="22.5" customHeight="1" x14ac:dyDescent="0.2">
      <c r="A207" s="14" t="s">
        <v>247</v>
      </c>
      <c r="B207" s="3" t="s">
        <v>34</v>
      </c>
      <c r="C207" s="3" t="s">
        <v>35</v>
      </c>
      <c r="D207" s="11" t="s">
        <v>2283</v>
      </c>
      <c r="E207" s="6" t="s">
        <v>248</v>
      </c>
      <c r="F207" s="9">
        <v>45887</v>
      </c>
      <c r="G207" s="3" t="s">
        <v>2095</v>
      </c>
      <c r="H207" s="7" t="s">
        <v>249</v>
      </c>
      <c r="I207" s="3" t="s">
        <v>2145</v>
      </c>
      <c r="J207" s="8">
        <v>45953</v>
      </c>
      <c r="K207" s="3"/>
      <c r="L207" s="3"/>
      <c r="M207" s="1"/>
      <c r="N207" s="1"/>
      <c r="O207" s="1"/>
      <c r="P207" s="1"/>
      <c r="Q207" s="1"/>
      <c r="R207" s="1"/>
      <c r="S207" s="1"/>
      <c r="T207" s="1"/>
      <c r="U207" s="1"/>
      <c r="V207" s="1"/>
      <c r="W207" s="1"/>
      <c r="X207" s="1"/>
      <c r="Y207" s="1"/>
    </row>
    <row r="208" spans="1:25" ht="22.5" customHeight="1" x14ac:dyDescent="0.2">
      <c r="A208" s="14" t="s">
        <v>186</v>
      </c>
      <c r="B208" s="3" t="s">
        <v>34</v>
      </c>
      <c r="C208" s="3" t="s">
        <v>35</v>
      </c>
      <c r="D208" s="11" t="s">
        <v>2284</v>
      </c>
      <c r="E208" s="6" t="s">
        <v>187</v>
      </c>
      <c r="F208" s="9">
        <v>45884</v>
      </c>
      <c r="G208" s="3" t="s">
        <v>2095</v>
      </c>
      <c r="H208" s="7" t="s">
        <v>188</v>
      </c>
      <c r="I208" s="3" t="s">
        <v>2145</v>
      </c>
      <c r="J208" s="8">
        <v>45958</v>
      </c>
      <c r="K208" s="3"/>
      <c r="L208" s="3"/>
      <c r="M208" s="1"/>
      <c r="N208" s="1"/>
      <c r="O208" s="1"/>
      <c r="P208" s="1"/>
      <c r="Q208" s="1"/>
      <c r="R208" s="1"/>
      <c r="S208" s="1"/>
      <c r="T208" s="1"/>
      <c r="U208" s="1"/>
      <c r="V208" s="1"/>
      <c r="W208" s="1"/>
      <c r="X208" s="1"/>
      <c r="Y208" s="1"/>
    </row>
    <row r="209" spans="1:25" ht="22.5" customHeight="1" x14ac:dyDescent="0.2">
      <c r="A209" s="14" t="s">
        <v>203</v>
      </c>
      <c r="B209" s="3" t="s">
        <v>34</v>
      </c>
      <c r="C209" s="3" t="s">
        <v>35</v>
      </c>
      <c r="D209" s="11" t="s">
        <v>2285</v>
      </c>
      <c r="E209" s="6" t="s">
        <v>127</v>
      </c>
      <c r="F209" s="9">
        <v>45884</v>
      </c>
      <c r="G209" s="3" t="s">
        <v>2095</v>
      </c>
      <c r="H209" s="7" t="s">
        <v>204</v>
      </c>
      <c r="I209" s="3" t="s">
        <v>2145</v>
      </c>
      <c r="J209" s="8">
        <v>45958</v>
      </c>
      <c r="K209" s="3"/>
      <c r="L209" s="3"/>
      <c r="M209" s="1"/>
      <c r="N209" s="1"/>
      <c r="O209" s="1"/>
      <c r="P209" s="1"/>
      <c r="Q209" s="1"/>
      <c r="R209" s="1"/>
      <c r="S209" s="1"/>
      <c r="T209" s="1"/>
      <c r="U209" s="1"/>
      <c r="V209" s="1"/>
      <c r="W209" s="1"/>
      <c r="X209" s="1"/>
      <c r="Y209" s="1"/>
    </row>
    <row r="210" spans="1:25" ht="22.5" customHeight="1" x14ac:dyDescent="0.2">
      <c r="A210" s="14" t="s">
        <v>253</v>
      </c>
      <c r="B210" s="3" t="s">
        <v>34</v>
      </c>
      <c r="C210" s="3" t="s">
        <v>35</v>
      </c>
      <c r="D210" s="11" t="s">
        <v>2286</v>
      </c>
      <c r="E210" s="6" t="s">
        <v>254</v>
      </c>
      <c r="F210" s="9">
        <v>45884</v>
      </c>
      <c r="G210" s="3" t="s">
        <v>2095</v>
      </c>
      <c r="H210" s="7" t="s">
        <v>255</v>
      </c>
      <c r="I210" s="17" t="s">
        <v>2260</v>
      </c>
      <c r="J210" s="8">
        <v>45958</v>
      </c>
      <c r="K210" s="3"/>
      <c r="L210" s="3"/>
      <c r="M210" s="1"/>
      <c r="N210" s="1"/>
      <c r="O210" s="1"/>
      <c r="P210" s="1"/>
      <c r="Q210" s="1"/>
      <c r="R210" s="1"/>
      <c r="S210" s="1"/>
      <c r="T210" s="1"/>
      <c r="U210" s="1"/>
      <c r="V210" s="1"/>
      <c r="W210" s="1"/>
      <c r="X210" s="1"/>
      <c r="Y210" s="1"/>
    </row>
    <row r="211" spans="1:25" ht="22.5" customHeight="1" x14ac:dyDescent="0.2">
      <c r="A211" s="14" t="s">
        <v>234</v>
      </c>
      <c r="B211" s="3" t="s">
        <v>34</v>
      </c>
      <c r="C211" s="3" t="s">
        <v>35</v>
      </c>
      <c r="D211" s="11" t="s">
        <v>2287</v>
      </c>
      <c r="E211" s="6" t="s">
        <v>235</v>
      </c>
      <c r="F211" s="9">
        <v>45884</v>
      </c>
      <c r="G211" s="3" t="s">
        <v>2095</v>
      </c>
      <c r="H211" s="7" t="s">
        <v>236</v>
      </c>
      <c r="I211" s="3" t="s">
        <v>2145</v>
      </c>
      <c r="J211" s="8">
        <v>45958</v>
      </c>
      <c r="K211" s="3"/>
      <c r="L211" s="3"/>
      <c r="M211" s="1"/>
      <c r="N211" s="1"/>
      <c r="O211" s="1"/>
      <c r="P211" s="1"/>
      <c r="Q211" s="1"/>
      <c r="R211" s="1"/>
      <c r="S211" s="1"/>
      <c r="T211" s="1"/>
      <c r="U211" s="1"/>
      <c r="V211" s="1"/>
      <c r="W211" s="1"/>
      <c r="X211" s="1"/>
      <c r="Y211" s="1"/>
    </row>
    <row r="212" spans="1:25" ht="22.5" customHeight="1" x14ac:dyDescent="0.2">
      <c r="A212" s="14" t="s">
        <v>173</v>
      </c>
      <c r="B212" s="3" t="s">
        <v>34</v>
      </c>
      <c r="C212" s="3" t="s">
        <v>35</v>
      </c>
      <c r="D212" s="11" t="s">
        <v>2288</v>
      </c>
      <c r="E212" s="6" t="s">
        <v>174</v>
      </c>
      <c r="F212" s="9">
        <v>45884</v>
      </c>
      <c r="G212" s="3" t="s">
        <v>2095</v>
      </c>
      <c r="H212" s="7" t="s">
        <v>175</v>
      </c>
      <c r="I212" s="3" t="s">
        <v>2145</v>
      </c>
      <c r="J212" s="8">
        <v>45958</v>
      </c>
      <c r="K212" s="3"/>
      <c r="L212" s="3"/>
      <c r="M212" s="1"/>
      <c r="N212" s="1"/>
      <c r="O212" s="1"/>
      <c r="P212" s="1"/>
      <c r="Q212" s="1"/>
      <c r="R212" s="1"/>
      <c r="S212" s="1"/>
      <c r="T212" s="1"/>
      <c r="U212" s="1"/>
      <c r="V212" s="1"/>
      <c r="W212" s="1"/>
      <c r="X212" s="1"/>
      <c r="Y212" s="1"/>
    </row>
    <row r="213" spans="1:25" ht="22.5" customHeight="1" x14ac:dyDescent="0.2">
      <c r="A213" s="14" t="s">
        <v>222</v>
      </c>
      <c r="B213" s="3" t="s">
        <v>34</v>
      </c>
      <c r="C213" s="3" t="s">
        <v>35</v>
      </c>
      <c r="D213" s="11" t="s">
        <v>2289</v>
      </c>
      <c r="E213" s="6" t="s">
        <v>223</v>
      </c>
      <c r="F213" s="9">
        <v>45884</v>
      </c>
      <c r="G213" s="3" t="s">
        <v>2095</v>
      </c>
      <c r="H213" s="7" t="s">
        <v>224</v>
      </c>
      <c r="I213" s="17" t="s">
        <v>2260</v>
      </c>
      <c r="J213" s="8">
        <v>45922</v>
      </c>
      <c r="K213" s="3"/>
      <c r="L213" s="3"/>
      <c r="M213" s="1"/>
      <c r="N213" s="1"/>
      <c r="O213" s="1"/>
      <c r="P213" s="1"/>
      <c r="Q213" s="1"/>
      <c r="R213" s="1"/>
      <c r="S213" s="1"/>
      <c r="T213" s="1"/>
      <c r="U213" s="1"/>
      <c r="V213" s="1"/>
      <c r="W213" s="1"/>
      <c r="X213" s="1"/>
      <c r="Y213" s="1"/>
    </row>
    <row r="214" spans="1:25" ht="22.5" customHeight="1" x14ac:dyDescent="0.2">
      <c r="A214" s="14" t="s">
        <v>170</v>
      </c>
      <c r="B214" s="3" t="s">
        <v>34</v>
      </c>
      <c r="C214" s="3" t="s">
        <v>35</v>
      </c>
      <c r="D214" s="11" t="s">
        <v>2290</v>
      </c>
      <c r="E214" s="6" t="s">
        <v>171</v>
      </c>
      <c r="F214" s="9">
        <v>45883</v>
      </c>
      <c r="G214" s="3" t="s">
        <v>2095</v>
      </c>
      <c r="H214" s="7" t="s">
        <v>172</v>
      </c>
      <c r="I214" s="3" t="s">
        <v>2145</v>
      </c>
      <c r="J214" s="8">
        <v>45958</v>
      </c>
      <c r="K214" s="3"/>
      <c r="L214" s="3"/>
      <c r="M214" s="1"/>
      <c r="N214" s="1"/>
      <c r="O214" s="1"/>
      <c r="P214" s="1"/>
      <c r="Q214" s="1"/>
      <c r="R214" s="1"/>
      <c r="S214" s="1"/>
      <c r="T214" s="1"/>
      <c r="U214" s="1"/>
      <c r="V214" s="1"/>
      <c r="W214" s="1"/>
      <c r="X214" s="1"/>
      <c r="Y214" s="1"/>
    </row>
    <row r="215" spans="1:25" ht="22.5" customHeight="1" x14ac:dyDescent="0.2">
      <c r="A215" s="14" t="s">
        <v>211</v>
      </c>
      <c r="B215" s="3" t="s">
        <v>34</v>
      </c>
      <c r="C215" s="3" t="s">
        <v>35</v>
      </c>
      <c r="D215" s="11" t="s">
        <v>2291</v>
      </c>
      <c r="E215" s="6" t="s">
        <v>198</v>
      </c>
      <c r="F215" s="9">
        <v>45882</v>
      </c>
      <c r="G215" s="3" t="s">
        <v>2095</v>
      </c>
      <c r="H215" s="7" t="s">
        <v>212</v>
      </c>
      <c r="I215" s="3" t="s">
        <v>2145</v>
      </c>
      <c r="J215" s="8">
        <v>45958</v>
      </c>
      <c r="K215" s="3"/>
      <c r="L215" s="3"/>
      <c r="M215" s="1"/>
      <c r="N215" s="1"/>
      <c r="O215" s="1"/>
      <c r="P215" s="1"/>
      <c r="Q215" s="1"/>
      <c r="R215" s="1"/>
      <c r="S215" s="1"/>
      <c r="T215" s="1"/>
      <c r="U215" s="1"/>
      <c r="V215" s="1"/>
      <c r="W215" s="1"/>
      <c r="X215" s="1"/>
      <c r="Y215" s="1"/>
    </row>
    <row r="216" spans="1:25" ht="22.5" customHeight="1" x14ac:dyDescent="0.2">
      <c r="A216" s="14" t="s">
        <v>275</v>
      </c>
      <c r="B216" s="3" t="s">
        <v>34</v>
      </c>
      <c r="C216" s="3" t="s">
        <v>35</v>
      </c>
      <c r="D216" s="11" t="s">
        <v>2292</v>
      </c>
      <c r="E216" s="6" t="s">
        <v>276</v>
      </c>
      <c r="F216" s="9">
        <v>45882</v>
      </c>
      <c r="G216" s="3" t="s">
        <v>2110</v>
      </c>
      <c r="H216" s="7" t="s">
        <v>277</v>
      </c>
      <c r="I216" s="3"/>
      <c r="J216" s="8">
        <v>45953</v>
      </c>
      <c r="K216" s="3"/>
      <c r="L216" s="3"/>
      <c r="M216" s="1"/>
      <c r="N216" s="1"/>
      <c r="O216" s="1"/>
      <c r="P216" s="1"/>
      <c r="Q216" s="1"/>
      <c r="R216" s="1"/>
      <c r="S216" s="1"/>
      <c r="T216" s="1"/>
      <c r="U216" s="1"/>
      <c r="V216" s="1"/>
      <c r="W216" s="1"/>
      <c r="X216" s="1"/>
      <c r="Y216" s="1"/>
    </row>
    <row r="217" spans="1:25" ht="22.5" customHeight="1" x14ac:dyDescent="0.2">
      <c r="A217" s="14" t="s">
        <v>257</v>
      </c>
      <c r="B217" s="3" t="s">
        <v>34</v>
      </c>
      <c r="C217" s="3" t="s">
        <v>35</v>
      </c>
      <c r="D217" s="11" t="s">
        <v>2293</v>
      </c>
      <c r="E217" s="6" t="s">
        <v>258</v>
      </c>
      <c r="F217" s="9">
        <v>45877</v>
      </c>
      <c r="G217" s="3" t="s">
        <v>2095</v>
      </c>
      <c r="H217" s="7" t="s">
        <v>259</v>
      </c>
      <c r="I217" s="3" t="s">
        <v>2096</v>
      </c>
      <c r="J217" s="8">
        <v>45958</v>
      </c>
      <c r="K217" s="3"/>
      <c r="L217" s="3"/>
      <c r="M217" s="1"/>
      <c r="N217" s="1"/>
      <c r="O217" s="1"/>
      <c r="P217" s="1"/>
      <c r="Q217" s="1"/>
      <c r="R217" s="1"/>
      <c r="S217" s="1"/>
      <c r="T217" s="1"/>
      <c r="U217" s="1"/>
      <c r="V217" s="1"/>
      <c r="W217" s="1"/>
      <c r="X217" s="1"/>
      <c r="Y217" s="1"/>
    </row>
    <row r="218" spans="1:25" ht="22.5" customHeight="1" x14ac:dyDescent="0.2">
      <c r="A218" s="14" t="s">
        <v>220</v>
      </c>
      <c r="B218" s="3" t="s">
        <v>34</v>
      </c>
      <c r="C218" s="3" t="s">
        <v>35</v>
      </c>
      <c r="D218" s="11" t="s">
        <v>2294</v>
      </c>
      <c r="E218" s="6" t="s">
        <v>105</v>
      </c>
      <c r="F218" s="9">
        <v>45877</v>
      </c>
      <c r="G218" s="3" t="s">
        <v>2095</v>
      </c>
      <c r="H218" s="7" t="s">
        <v>221</v>
      </c>
      <c r="I218" s="3" t="s">
        <v>2145</v>
      </c>
      <c r="J218" s="8">
        <v>45958</v>
      </c>
      <c r="K218" s="3"/>
      <c r="L218" s="3"/>
      <c r="M218" s="1"/>
      <c r="N218" s="1"/>
      <c r="O218" s="1"/>
      <c r="P218" s="1"/>
      <c r="Q218" s="1"/>
      <c r="R218" s="1"/>
      <c r="S218" s="1"/>
      <c r="T218" s="1"/>
      <c r="U218" s="1"/>
      <c r="V218" s="1"/>
      <c r="W218" s="1"/>
      <c r="X218" s="1"/>
      <c r="Y218" s="1"/>
    </row>
    <row r="219" spans="1:25" ht="22.5" customHeight="1" x14ac:dyDescent="0.2">
      <c r="A219" s="14" t="s">
        <v>300</v>
      </c>
      <c r="B219" s="3" t="s">
        <v>34</v>
      </c>
      <c r="C219" s="3" t="s">
        <v>35</v>
      </c>
      <c r="D219" s="11" t="s">
        <v>2295</v>
      </c>
      <c r="E219" s="6" t="s">
        <v>127</v>
      </c>
      <c r="F219" s="9">
        <v>45876</v>
      </c>
      <c r="G219" s="3" t="s">
        <v>2095</v>
      </c>
      <c r="H219" s="7" t="s">
        <v>301</v>
      </c>
      <c r="I219" s="3" t="s">
        <v>2145</v>
      </c>
      <c r="J219" s="8">
        <v>45958</v>
      </c>
      <c r="K219" s="3"/>
      <c r="L219" s="3"/>
      <c r="M219" s="1"/>
      <c r="N219" s="1"/>
      <c r="O219" s="1"/>
      <c r="P219" s="1"/>
      <c r="Q219" s="1"/>
      <c r="R219" s="1"/>
      <c r="S219" s="1"/>
      <c r="T219" s="1"/>
      <c r="U219" s="1"/>
      <c r="V219" s="1"/>
      <c r="W219" s="1"/>
      <c r="X219" s="1"/>
      <c r="Y219" s="1"/>
    </row>
    <row r="220" spans="1:25" ht="22.5" customHeight="1" x14ac:dyDescent="0.2">
      <c r="A220" s="13" t="s">
        <v>382</v>
      </c>
      <c r="B220" s="3" t="s">
        <v>34</v>
      </c>
      <c r="C220" s="3" t="s">
        <v>35</v>
      </c>
      <c r="D220" s="3" t="s">
        <v>2296</v>
      </c>
      <c r="E220" s="6" t="s">
        <v>383</v>
      </c>
      <c r="F220" s="9">
        <v>45875</v>
      </c>
      <c r="G220" s="3" t="s">
        <v>2110</v>
      </c>
      <c r="H220" s="7" t="s">
        <v>384</v>
      </c>
      <c r="I220" s="3" t="s">
        <v>2096</v>
      </c>
      <c r="J220" s="8">
        <v>45958</v>
      </c>
      <c r="K220" s="3"/>
      <c r="L220" s="3"/>
      <c r="M220" s="1"/>
      <c r="N220" s="1"/>
      <c r="O220" s="1"/>
      <c r="P220" s="1"/>
      <c r="Q220" s="1"/>
      <c r="R220" s="1"/>
      <c r="S220" s="1"/>
      <c r="T220" s="1"/>
      <c r="U220" s="1"/>
      <c r="V220" s="1"/>
      <c r="W220" s="1"/>
      <c r="X220" s="1"/>
      <c r="Y220" s="1"/>
    </row>
    <row r="221" spans="1:25" ht="22.5" customHeight="1" x14ac:dyDescent="0.2">
      <c r="A221" s="14" t="s">
        <v>370</v>
      </c>
      <c r="B221" s="3" t="s">
        <v>34</v>
      </c>
      <c r="C221" s="3" t="s">
        <v>35</v>
      </c>
      <c r="D221" s="11" t="s">
        <v>2283</v>
      </c>
      <c r="E221" s="6" t="s">
        <v>248</v>
      </c>
      <c r="F221" s="9">
        <v>45875</v>
      </c>
      <c r="G221" s="3" t="s">
        <v>2095</v>
      </c>
      <c r="H221" s="7" t="s">
        <v>371</v>
      </c>
      <c r="I221" s="3" t="s">
        <v>2297</v>
      </c>
      <c r="J221" s="8">
        <v>45958</v>
      </c>
      <c r="K221" s="3"/>
      <c r="L221" s="3"/>
      <c r="M221" s="1"/>
      <c r="N221" s="1"/>
      <c r="O221" s="1"/>
      <c r="P221" s="1"/>
      <c r="Q221" s="1"/>
      <c r="R221" s="1"/>
      <c r="S221" s="1"/>
      <c r="T221" s="1"/>
      <c r="U221" s="1"/>
      <c r="V221" s="1"/>
      <c r="W221" s="1"/>
      <c r="X221" s="1"/>
      <c r="Y221" s="1"/>
    </row>
    <row r="222" spans="1:25" ht="22.5" customHeight="1" x14ac:dyDescent="0.2">
      <c r="A222" s="13" t="s">
        <v>356</v>
      </c>
      <c r="B222" s="3" t="s">
        <v>34</v>
      </c>
      <c r="C222" s="3" t="s">
        <v>35</v>
      </c>
      <c r="D222" s="3" t="s">
        <v>2298</v>
      </c>
      <c r="E222" s="6" t="s">
        <v>357</v>
      </c>
      <c r="F222" s="9">
        <v>45874</v>
      </c>
      <c r="G222" s="3" t="s">
        <v>2110</v>
      </c>
      <c r="H222" s="7" t="s">
        <v>358</v>
      </c>
      <c r="I222" s="3" t="s">
        <v>2096</v>
      </c>
      <c r="J222" s="8">
        <v>45960</v>
      </c>
      <c r="K222" s="3"/>
      <c r="L222" s="3"/>
      <c r="M222" s="1"/>
      <c r="N222" s="1"/>
      <c r="O222" s="1"/>
      <c r="P222" s="1"/>
      <c r="Q222" s="1"/>
      <c r="R222" s="1"/>
      <c r="S222" s="1"/>
      <c r="T222" s="1"/>
      <c r="U222" s="1"/>
      <c r="V222" s="1"/>
      <c r="W222" s="1"/>
      <c r="X222" s="1"/>
      <c r="Y222" s="1"/>
    </row>
    <row r="223" spans="1:25" ht="22.5" customHeight="1" x14ac:dyDescent="0.2">
      <c r="A223" s="13" t="s">
        <v>376</v>
      </c>
      <c r="B223" s="3" t="s">
        <v>34</v>
      </c>
      <c r="C223" s="3" t="s">
        <v>35</v>
      </c>
      <c r="D223" s="3" t="s">
        <v>2299</v>
      </c>
      <c r="E223" s="6" t="s">
        <v>377</v>
      </c>
      <c r="F223" s="9">
        <v>45870</v>
      </c>
      <c r="G223" s="3" t="s">
        <v>2110</v>
      </c>
      <c r="H223" s="7" t="s">
        <v>378</v>
      </c>
      <c r="I223" s="3" t="s">
        <v>2145</v>
      </c>
      <c r="J223" s="8">
        <v>45958</v>
      </c>
      <c r="K223" s="3"/>
      <c r="L223" s="3"/>
      <c r="M223" s="1"/>
      <c r="N223" s="1"/>
      <c r="O223" s="1"/>
      <c r="P223" s="1"/>
      <c r="Q223" s="1"/>
      <c r="R223" s="1"/>
      <c r="S223" s="1"/>
      <c r="T223" s="1"/>
      <c r="U223" s="1"/>
      <c r="V223" s="1"/>
      <c r="W223" s="1"/>
      <c r="X223" s="1"/>
      <c r="Y223" s="1"/>
    </row>
    <row r="224" spans="1:25" ht="22.5" customHeight="1" x14ac:dyDescent="0.2">
      <c r="A224" s="14" t="s">
        <v>297</v>
      </c>
      <c r="B224" s="3" t="s">
        <v>34</v>
      </c>
      <c r="C224" s="3" t="s">
        <v>35</v>
      </c>
      <c r="D224" s="11" t="s">
        <v>2300</v>
      </c>
      <c r="E224" s="6" t="s">
        <v>296</v>
      </c>
      <c r="F224" s="9">
        <v>45868</v>
      </c>
      <c r="G224" s="3" t="s">
        <v>2095</v>
      </c>
      <c r="H224" s="7" t="s">
        <v>298</v>
      </c>
      <c r="I224" s="17" t="s">
        <v>2260</v>
      </c>
      <c r="J224" s="8">
        <v>45958</v>
      </c>
      <c r="K224" s="3"/>
      <c r="L224" s="3"/>
      <c r="M224" s="1"/>
      <c r="N224" s="1"/>
      <c r="O224" s="1"/>
      <c r="P224" s="1"/>
      <c r="Q224" s="1"/>
      <c r="R224" s="1"/>
      <c r="S224" s="1"/>
      <c r="T224" s="1"/>
      <c r="U224" s="1"/>
      <c r="V224" s="1"/>
      <c r="W224" s="1"/>
      <c r="X224" s="1"/>
      <c r="Y224" s="1"/>
    </row>
    <row r="225" spans="1:25" ht="22.5" customHeight="1" x14ac:dyDescent="0.2">
      <c r="A225" s="14" t="s">
        <v>322</v>
      </c>
      <c r="B225" s="3" t="s">
        <v>34</v>
      </c>
      <c r="C225" s="3" t="s">
        <v>35</v>
      </c>
      <c r="D225" s="11" t="s">
        <v>2301</v>
      </c>
      <c r="E225" s="6" t="s">
        <v>323</v>
      </c>
      <c r="F225" s="9">
        <v>45868</v>
      </c>
      <c r="G225" s="3" t="s">
        <v>2095</v>
      </c>
      <c r="H225" s="7" t="s">
        <v>324</v>
      </c>
      <c r="I225" s="3" t="s">
        <v>2096</v>
      </c>
      <c r="J225" s="8">
        <v>45958</v>
      </c>
      <c r="K225" s="3"/>
      <c r="L225" s="3"/>
      <c r="M225" s="1"/>
      <c r="N225" s="1"/>
      <c r="O225" s="1"/>
      <c r="P225" s="1"/>
      <c r="Q225" s="1"/>
      <c r="R225" s="1"/>
      <c r="S225" s="1"/>
      <c r="T225" s="1"/>
      <c r="U225" s="1"/>
      <c r="V225" s="1"/>
      <c r="W225" s="1"/>
      <c r="X225" s="1"/>
      <c r="Y225" s="1"/>
    </row>
    <row r="226" spans="1:25" ht="22.5" customHeight="1" x14ac:dyDescent="0.2">
      <c r="A226" s="13" t="s">
        <v>340</v>
      </c>
      <c r="B226" s="3" t="s">
        <v>34</v>
      </c>
      <c r="C226" s="3" t="s">
        <v>35</v>
      </c>
      <c r="D226" s="3" t="s">
        <v>2245</v>
      </c>
      <c r="E226" s="6" t="s">
        <v>59</v>
      </c>
      <c r="F226" s="9">
        <v>45867</v>
      </c>
      <c r="G226" s="3" t="s">
        <v>2110</v>
      </c>
      <c r="H226" s="7" t="s">
        <v>341</v>
      </c>
      <c r="I226" s="3" t="s">
        <v>2145</v>
      </c>
      <c r="J226" s="8">
        <v>45958</v>
      </c>
      <c r="K226" s="3"/>
      <c r="L226" s="3"/>
      <c r="M226" s="1"/>
      <c r="N226" s="1"/>
      <c r="O226" s="1"/>
      <c r="P226" s="1"/>
      <c r="Q226" s="1"/>
      <c r="R226" s="1"/>
      <c r="S226" s="1"/>
      <c r="T226" s="1"/>
      <c r="U226" s="1"/>
      <c r="V226" s="1"/>
      <c r="W226" s="1"/>
      <c r="X226" s="1"/>
      <c r="Y226" s="1"/>
    </row>
    <row r="227" spans="1:25" ht="22.5" customHeight="1" x14ac:dyDescent="0.2">
      <c r="A227" s="14" t="s">
        <v>312</v>
      </c>
      <c r="B227" s="3" t="s">
        <v>34</v>
      </c>
      <c r="C227" s="3" t="s">
        <v>35</v>
      </c>
      <c r="D227" s="11" t="s">
        <v>2302</v>
      </c>
      <c r="E227" s="6" t="s">
        <v>313</v>
      </c>
      <c r="F227" s="9">
        <v>45867</v>
      </c>
      <c r="G227" s="3" t="s">
        <v>2095</v>
      </c>
      <c r="H227" s="7" t="s">
        <v>314</v>
      </c>
      <c r="I227" s="3" t="s">
        <v>2145</v>
      </c>
      <c r="J227" s="8">
        <v>45958</v>
      </c>
      <c r="K227" s="3"/>
      <c r="L227" s="3"/>
      <c r="M227" s="1"/>
      <c r="N227" s="1"/>
      <c r="O227" s="1"/>
      <c r="P227" s="1"/>
      <c r="Q227" s="1"/>
      <c r="R227" s="1"/>
      <c r="S227" s="1"/>
      <c r="T227" s="1"/>
      <c r="U227" s="1"/>
      <c r="V227" s="1"/>
      <c r="W227" s="1"/>
      <c r="X227" s="1"/>
      <c r="Y227" s="1"/>
    </row>
    <row r="228" spans="1:25" ht="22.5" customHeight="1" x14ac:dyDescent="0.2">
      <c r="A228" s="13" t="s">
        <v>345</v>
      </c>
      <c r="B228" s="3" t="s">
        <v>34</v>
      </c>
      <c r="C228" s="3" t="s">
        <v>35</v>
      </c>
      <c r="D228" s="3" t="s">
        <v>2245</v>
      </c>
      <c r="E228" s="6" t="s">
        <v>59</v>
      </c>
      <c r="F228" s="9">
        <v>45867</v>
      </c>
      <c r="G228" s="3" t="s">
        <v>2110</v>
      </c>
      <c r="H228" s="7" t="s">
        <v>346</v>
      </c>
      <c r="I228" s="3" t="s">
        <v>2145</v>
      </c>
      <c r="J228" s="8">
        <v>45958</v>
      </c>
      <c r="K228" s="3"/>
      <c r="L228" s="3"/>
      <c r="M228" s="1"/>
      <c r="N228" s="1"/>
      <c r="O228" s="1"/>
      <c r="P228" s="1"/>
      <c r="Q228" s="1"/>
      <c r="R228" s="1"/>
      <c r="S228" s="1"/>
      <c r="T228" s="1"/>
      <c r="U228" s="1"/>
      <c r="V228" s="1"/>
      <c r="W228" s="1"/>
      <c r="X228" s="1"/>
      <c r="Y228" s="1"/>
    </row>
    <row r="229" spans="1:25" ht="22.5" customHeight="1" x14ac:dyDescent="0.2">
      <c r="A229" s="13" t="s">
        <v>354</v>
      </c>
      <c r="B229" s="3" t="s">
        <v>34</v>
      </c>
      <c r="C229" s="3" t="s">
        <v>35</v>
      </c>
      <c r="D229" s="3" t="s">
        <v>2245</v>
      </c>
      <c r="E229" s="6" t="s">
        <v>59</v>
      </c>
      <c r="F229" s="9">
        <v>45867</v>
      </c>
      <c r="G229" s="3" t="s">
        <v>2110</v>
      </c>
      <c r="H229" s="7" t="s">
        <v>355</v>
      </c>
      <c r="I229" s="3" t="s">
        <v>2145</v>
      </c>
      <c r="J229" s="8">
        <v>45958</v>
      </c>
      <c r="K229" s="3"/>
      <c r="L229" s="3"/>
      <c r="M229" s="1"/>
      <c r="N229" s="1"/>
      <c r="O229" s="1"/>
      <c r="P229" s="1"/>
      <c r="Q229" s="1"/>
      <c r="R229" s="1"/>
      <c r="S229" s="1"/>
      <c r="T229" s="1"/>
      <c r="U229" s="1"/>
      <c r="V229" s="1"/>
      <c r="W229" s="1"/>
      <c r="X229" s="1"/>
      <c r="Y229" s="1"/>
    </row>
    <row r="230" spans="1:25" ht="22.5" customHeight="1" x14ac:dyDescent="0.2">
      <c r="A230" s="14" t="s">
        <v>303</v>
      </c>
      <c r="B230" s="3" t="s">
        <v>34</v>
      </c>
      <c r="C230" s="3" t="s">
        <v>35</v>
      </c>
      <c r="D230" s="11" t="s">
        <v>2303</v>
      </c>
      <c r="E230" s="6" t="s">
        <v>174</v>
      </c>
      <c r="F230" s="9">
        <v>45863</v>
      </c>
      <c r="G230" s="3" t="s">
        <v>2095</v>
      </c>
      <c r="H230" s="7" t="s">
        <v>304</v>
      </c>
      <c r="I230" s="3" t="s">
        <v>2145</v>
      </c>
      <c r="J230" s="8">
        <v>45958</v>
      </c>
      <c r="K230" s="3"/>
      <c r="L230" s="3"/>
      <c r="M230" s="1"/>
      <c r="N230" s="1"/>
      <c r="O230" s="1"/>
      <c r="P230" s="1"/>
      <c r="Q230" s="1"/>
      <c r="R230" s="1"/>
      <c r="S230" s="1"/>
      <c r="T230" s="1"/>
      <c r="U230" s="1"/>
      <c r="V230" s="1"/>
      <c r="W230" s="1"/>
      <c r="X230" s="1"/>
      <c r="Y230" s="1"/>
    </row>
    <row r="231" spans="1:25" ht="22.5" customHeight="1" x14ac:dyDescent="0.2">
      <c r="A231" s="14" t="s">
        <v>316</v>
      </c>
      <c r="B231" s="3" t="s">
        <v>34</v>
      </c>
      <c r="C231" s="3" t="s">
        <v>35</v>
      </c>
      <c r="D231" s="11" t="s">
        <v>2304</v>
      </c>
      <c r="E231" s="6" t="s">
        <v>51</v>
      </c>
      <c r="F231" s="9">
        <v>45861</v>
      </c>
      <c r="G231" s="3" t="s">
        <v>2095</v>
      </c>
      <c r="H231" s="7" t="s">
        <v>317</v>
      </c>
      <c r="I231" s="3" t="s">
        <v>2145</v>
      </c>
      <c r="J231" s="8">
        <v>45958</v>
      </c>
      <c r="K231" s="3"/>
      <c r="L231" s="3"/>
      <c r="M231" s="1"/>
      <c r="N231" s="1"/>
      <c r="O231" s="1"/>
      <c r="P231" s="1"/>
      <c r="Q231" s="1"/>
      <c r="R231" s="1"/>
      <c r="S231" s="1"/>
      <c r="T231" s="1"/>
      <c r="U231" s="1"/>
      <c r="V231" s="1"/>
      <c r="W231" s="1"/>
      <c r="X231" s="1"/>
      <c r="Y231" s="1"/>
    </row>
    <row r="232" spans="1:25" ht="22.5" customHeight="1" x14ac:dyDescent="0.2">
      <c r="A232" s="14" t="s">
        <v>350</v>
      </c>
      <c r="B232" s="3" t="s">
        <v>34</v>
      </c>
      <c r="C232" s="3" t="s">
        <v>35</v>
      </c>
      <c r="D232" s="11" t="s">
        <v>2305</v>
      </c>
      <c r="E232" s="6" t="s">
        <v>351</v>
      </c>
      <c r="F232" s="9">
        <v>45861</v>
      </c>
      <c r="G232" s="3" t="s">
        <v>2095</v>
      </c>
      <c r="H232" s="7" t="s">
        <v>352</v>
      </c>
      <c r="I232" s="3" t="s">
        <v>2096</v>
      </c>
      <c r="J232" s="8">
        <v>45958</v>
      </c>
      <c r="K232" s="3"/>
      <c r="L232" s="3"/>
      <c r="M232" s="1"/>
      <c r="N232" s="1"/>
      <c r="O232" s="1"/>
      <c r="P232" s="1"/>
      <c r="Q232" s="1"/>
      <c r="R232" s="1"/>
      <c r="S232" s="1"/>
      <c r="T232" s="1"/>
      <c r="U232" s="1"/>
      <c r="V232" s="1"/>
      <c r="W232" s="1"/>
      <c r="X232" s="1"/>
      <c r="Y232" s="1"/>
    </row>
    <row r="233" spans="1:25" ht="22.5" customHeight="1" x14ac:dyDescent="0.2">
      <c r="A233" s="14" t="s">
        <v>368</v>
      </c>
      <c r="B233" s="3" t="s">
        <v>34</v>
      </c>
      <c r="C233" s="3" t="s">
        <v>35</v>
      </c>
      <c r="D233" s="11" t="s">
        <v>2130</v>
      </c>
      <c r="E233" s="6" t="s">
        <v>165</v>
      </c>
      <c r="F233" s="9">
        <v>45860</v>
      </c>
      <c r="G233" s="3" t="s">
        <v>2095</v>
      </c>
      <c r="H233" s="7" t="s">
        <v>369</v>
      </c>
      <c r="I233" s="3" t="s">
        <v>2096</v>
      </c>
      <c r="J233" s="8">
        <v>45958</v>
      </c>
      <c r="K233" s="3"/>
      <c r="L233" s="3"/>
      <c r="M233" s="1"/>
      <c r="N233" s="1"/>
      <c r="O233" s="1"/>
      <c r="P233" s="1"/>
      <c r="Q233" s="1"/>
      <c r="R233" s="1"/>
      <c r="S233" s="1"/>
      <c r="T233" s="1"/>
      <c r="U233" s="1"/>
      <c r="V233" s="1"/>
      <c r="W233" s="1"/>
      <c r="X233" s="1"/>
      <c r="Y233" s="1"/>
    </row>
    <row r="234" spans="1:25" ht="22.5" customHeight="1" x14ac:dyDescent="0.2">
      <c r="A234" s="13" t="s">
        <v>335</v>
      </c>
      <c r="B234" s="3" t="s">
        <v>34</v>
      </c>
      <c r="C234" s="3" t="s">
        <v>35</v>
      </c>
      <c r="D234" s="3" t="s">
        <v>2306</v>
      </c>
      <c r="E234" s="6" t="s">
        <v>286</v>
      </c>
      <c r="F234" s="9">
        <v>45859</v>
      </c>
      <c r="G234" s="3" t="s">
        <v>2110</v>
      </c>
      <c r="H234" s="7" t="s">
        <v>336</v>
      </c>
      <c r="I234" s="3" t="s">
        <v>2096</v>
      </c>
      <c r="J234" s="8">
        <v>45958</v>
      </c>
      <c r="K234" s="3" t="s">
        <v>38</v>
      </c>
      <c r="L234" s="3"/>
      <c r="M234" s="1"/>
      <c r="N234" s="1"/>
      <c r="O234" s="1"/>
      <c r="P234" s="1"/>
      <c r="Q234" s="1"/>
      <c r="R234" s="1"/>
      <c r="S234" s="1"/>
      <c r="T234" s="1"/>
      <c r="U234" s="1"/>
      <c r="V234" s="1"/>
      <c r="W234" s="1"/>
      <c r="X234" s="1"/>
      <c r="Y234" s="1"/>
    </row>
    <row r="235" spans="1:25" ht="22.5" customHeight="1" x14ac:dyDescent="0.2">
      <c r="A235" s="14" t="s">
        <v>393</v>
      </c>
      <c r="B235" s="3" t="s">
        <v>34</v>
      </c>
      <c r="C235" s="3" t="s">
        <v>35</v>
      </c>
      <c r="D235" s="11" t="s">
        <v>2307</v>
      </c>
      <c r="E235" s="6" t="s">
        <v>308</v>
      </c>
      <c r="F235" s="9">
        <v>45856</v>
      </c>
      <c r="G235" s="3" t="s">
        <v>2095</v>
      </c>
      <c r="H235" s="7" t="s">
        <v>394</v>
      </c>
      <c r="I235" s="3" t="s">
        <v>2096</v>
      </c>
      <c r="J235" s="8">
        <v>45958</v>
      </c>
      <c r="K235" s="3"/>
      <c r="L235" s="3"/>
      <c r="M235" s="1"/>
      <c r="N235" s="1"/>
      <c r="O235" s="1"/>
      <c r="P235" s="1"/>
      <c r="Q235" s="1"/>
      <c r="R235" s="1"/>
      <c r="S235" s="1"/>
      <c r="T235" s="1"/>
      <c r="U235" s="1"/>
      <c r="V235" s="1"/>
      <c r="W235" s="1"/>
      <c r="X235" s="1"/>
      <c r="Y235" s="1"/>
    </row>
    <row r="236" spans="1:25" ht="22.5" customHeight="1" x14ac:dyDescent="0.2">
      <c r="A236" s="14" t="s">
        <v>364</v>
      </c>
      <c r="B236" s="3" t="s">
        <v>34</v>
      </c>
      <c r="C236" s="3" t="s">
        <v>35</v>
      </c>
      <c r="D236" s="11" t="s">
        <v>2308</v>
      </c>
      <c r="E236" s="6" t="s">
        <v>365</v>
      </c>
      <c r="F236" s="9">
        <v>45856</v>
      </c>
      <c r="G236" s="3" t="s">
        <v>2095</v>
      </c>
      <c r="H236" s="7" t="s">
        <v>366</v>
      </c>
      <c r="I236" s="3" t="s">
        <v>2309</v>
      </c>
      <c r="J236" s="8">
        <v>45958</v>
      </c>
      <c r="K236" s="3"/>
      <c r="L236" s="3"/>
      <c r="M236" s="1"/>
      <c r="N236" s="1"/>
      <c r="O236" s="1"/>
      <c r="P236" s="1"/>
      <c r="Q236" s="1"/>
      <c r="R236" s="1"/>
      <c r="S236" s="1"/>
      <c r="T236" s="1"/>
      <c r="U236" s="1"/>
      <c r="V236" s="1"/>
      <c r="W236" s="1"/>
      <c r="X236" s="1"/>
      <c r="Y236" s="1"/>
    </row>
    <row r="237" spans="1:25" ht="22.5" customHeight="1" x14ac:dyDescent="0.2">
      <c r="A237" s="14" t="s">
        <v>288</v>
      </c>
      <c r="B237" s="3" t="s">
        <v>34</v>
      </c>
      <c r="C237" s="3" t="s">
        <v>35</v>
      </c>
      <c r="D237" s="11" t="s">
        <v>2310</v>
      </c>
      <c r="E237" s="6" t="s">
        <v>289</v>
      </c>
      <c r="F237" s="9">
        <v>45854</v>
      </c>
      <c r="G237" s="3" t="s">
        <v>2095</v>
      </c>
      <c r="H237" s="7" t="s">
        <v>290</v>
      </c>
      <c r="I237" s="3" t="s">
        <v>2309</v>
      </c>
      <c r="J237" s="8">
        <v>45958</v>
      </c>
      <c r="K237" s="3"/>
      <c r="L237" s="3"/>
      <c r="M237" s="1"/>
      <c r="N237" s="1"/>
      <c r="O237" s="1"/>
      <c r="P237" s="1"/>
      <c r="Q237" s="1"/>
      <c r="R237" s="1"/>
      <c r="S237" s="1"/>
      <c r="T237" s="1"/>
      <c r="U237" s="1"/>
      <c r="V237" s="1"/>
      <c r="W237" s="1"/>
      <c r="X237" s="1"/>
      <c r="Y237" s="1"/>
    </row>
    <row r="238" spans="1:25" ht="22.5" customHeight="1" x14ac:dyDescent="0.2">
      <c r="A238" s="14" t="s">
        <v>307</v>
      </c>
      <c r="B238" s="3" t="s">
        <v>34</v>
      </c>
      <c r="C238" s="3" t="s">
        <v>35</v>
      </c>
      <c r="D238" s="11" t="s">
        <v>2311</v>
      </c>
      <c r="E238" s="6" t="s">
        <v>308</v>
      </c>
      <c r="F238" s="9">
        <v>45854</v>
      </c>
      <c r="G238" s="3" t="s">
        <v>2095</v>
      </c>
      <c r="H238" s="7" t="s">
        <v>309</v>
      </c>
      <c r="I238" s="3" t="s">
        <v>2309</v>
      </c>
      <c r="J238" s="8">
        <v>45958</v>
      </c>
      <c r="K238" s="3"/>
      <c r="L238" s="3"/>
      <c r="M238" s="1"/>
      <c r="N238" s="1"/>
      <c r="O238" s="1"/>
      <c r="P238" s="1"/>
      <c r="Q238" s="1"/>
      <c r="R238" s="1"/>
      <c r="S238" s="1"/>
      <c r="T238" s="1"/>
      <c r="U238" s="1"/>
      <c r="V238" s="1"/>
      <c r="W238" s="1"/>
      <c r="X238" s="1"/>
      <c r="Y238" s="1"/>
    </row>
    <row r="239" spans="1:25" ht="22.5" customHeight="1" x14ac:dyDescent="0.2">
      <c r="A239" s="14" t="s">
        <v>318</v>
      </c>
      <c r="B239" s="3" t="s">
        <v>34</v>
      </c>
      <c r="C239" s="3" t="s">
        <v>35</v>
      </c>
      <c r="D239" s="11" t="s">
        <v>2312</v>
      </c>
      <c r="E239" s="6" t="s">
        <v>319</v>
      </c>
      <c r="F239" s="9">
        <v>45852</v>
      </c>
      <c r="G239" s="3" t="s">
        <v>2095</v>
      </c>
      <c r="H239" s="7" t="s">
        <v>320</v>
      </c>
      <c r="I239" s="3" t="s">
        <v>2309</v>
      </c>
      <c r="J239" s="8">
        <v>45958</v>
      </c>
      <c r="K239" s="3"/>
      <c r="L239" s="3"/>
      <c r="M239" s="1"/>
      <c r="N239" s="1"/>
      <c r="O239" s="1"/>
      <c r="P239" s="1"/>
      <c r="Q239" s="1"/>
      <c r="R239" s="1"/>
      <c r="S239" s="1"/>
      <c r="T239" s="1"/>
      <c r="U239" s="1"/>
      <c r="V239" s="1"/>
      <c r="W239" s="1"/>
      <c r="X239" s="1"/>
      <c r="Y239" s="1"/>
    </row>
    <row r="240" spans="1:25" ht="22.5" customHeight="1" x14ac:dyDescent="0.2">
      <c r="A240" s="14" t="s">
        <v>360</v>
      </c>
      <c r="B240" s="3" t="s">
        <v>34</v>
      </c>
      <c r="C240" s="3" t="s">
        <v>35</v>
      </c>
      <c r="D240" s="11" t="s">
        <v>2313</v>
      </c>
      <c r="E240" s="6" t="s">
        <v>361</v>
      </c>
      <c r="F240" s="9">
        <v>45849</v>
      </c>
      <c r="G240" s="3" t="s">
        <v>2095</v>
      </c>
      <c r="H240" s="7" t="s">
        <v>2314</v>
      </c>
      <c r="I240" s="3" t="s">
        <v>2096</v>
      </c>
      <c r="J240" s="8">
        <v>45958</v>
      </c>
      <c r="K240" s="3"/>
      <c r="L240" s="3"/>
      <c r="M240" s="1"/>
      <c r="N240" s="1"/>
      <c r="O240" s="1"/>
      <c r="P240" s="1"/>
      <c r="Q240" s="1"/>
      <c r="R240" s="1"/>
      <c r="S240" s="1"/>
      <c r="T240" s="1"/>
      <c r="U240" s="1"/>
      <c r="V240" s="1"/>
      <c r="W240" s="1"/>
      <c r="X240" s="1"/>
      <c r="Y240" s="1"/>
    </row>
    <row r="241" spans="1:25" ht="22.5" customHeight="1" x14ac:dyDescent="0.2">
      <c r="A241" s="14" t="s">
        <v>331</v>
      </c>
      <c r="B241" s="3" t="s">
        <v>34</v>
      </c>
      <c r="C241" s="3" t="s">
        <v>35</v>
      </c>
      <c r="D241" s="11" t="s">
        <v>2315</v>
      </c>
      <c r="E241" s="6" t="s">
        <v>127</v>
      </c>
      <c r="F241" s="9">
        <v>45849</v>
      </c>
      <c r="G241" s="3" t="s">
        <v>2095</v>
      </c>
      <c r="H241" s="7" t="s">
        <v>332</v>
      </c>
      <c r="I241" s="3" t="s">
        <v>2309</v>
      </c>
      <c r="J241" s="8">
        <v>45958</v>
      </c>
      <c r="K241" s="3"/>
      <c r="L241" s="3"/>
      <c r="M241" s="1"/>
      <c r="N241" s="1"/>
      <c r="O241" s="1"/>
      <c r="P241" s="1"/>
      <c r="Q241" s="1"/>
      <c r="R241" s="1"/>
      <c r="S241" s="1"/>
      <c r="T241" s="1"/>
      <c r="U241" s="1"/>
      <c r="V241" s="1"/>
      <c r="W241" s="1"/>
      <c r="X241" s="1"/>
      <c r="Y241" s="1"/>
    </row>
    <row r="242" spans="1:25" ht="22.5" customHeight="1" x14ac:dyDescent="0.2">
      <c r="A242" s="14" t="s">
        <v>333</v>
      </c>
      <c r="B242" s="3" t="s">
        <v>34</v>
      </c>
      <c r="C242" s="3" t="s">
        <v>35</v>
      </c>
      <c r="D242" s="11" t="s">
        <v>2316</v>
      </c>
      <c r="E242" s="6" t="s">
        <v>319</v>
      </c>
      <c r="F242" s="9">
        <v>45848</v>
      </c>
      <c r="G242" s="3" t="s">
        <v>2095</v>
      </c>
      <c r="H242" s="7" t="s">
        <v>334</v>
      </c>
      <c r="I242" s="3" t="s">
        <v>2309</v>
      </c>
      <c r="J242" s="8">
        <v>45958</v>
      </c>
      <c r="K242" s="3"/>
      <c r="L242" s="3"/>
      <c r="M242" s="1"/>
      <c r="N242" s="1"/>
      <c r="O242" s="1"/>
      <c r="P242" s="1"/>
      <c r="Q242" s="1"/>
      <c r="R242" s="1"/>
      <c r="S242" s="1"/>
      <c r="T242" s="1"/>
      <c r="U242" s="1"/>
      <c r="V242" s="1"/>
      <c r="W242" s="1"/>
      <c r="X242" s="1"/>
      <c r="Y242" s="1"/>
    </row>
    <row r="243" spans="1:25" ht="22.5" customHeight="1" x14ac:dyDescent="0.2">
      <c r="A243" s="14" t="s">
        <v>347</v>
      </c>
      <c r="B243" s="3" t="s">
        <v>34</v>
      </c>
      <c r="C243" s="3" t="s">
        <v>35</v>
      </c>
      <c r="D243" s="11" t="s">
        <v>2186</v>
      </c>
      <c r="E243" s="6" t="s">
        <v>348</v>
      </c>
      <c r="F243" s="9">
        <v>45848</v>
      </c>
      <c r="G243" s="3" t="s">
        <v>2095</v>
      </c>
      <c r="H243" s="7" t="s">
        <v>349</v>
      </c>
      <c r="I243" s="3" t="s">
        <v>2309</v>
      </c>
      <c r="J243" s="8">
        <v>45958</v>
      </c>
      <c r="K243" s="3"/>
      <c r="L243" s="3"/>
      <c r="M243" s="1"/>
      <c r="N243" s="1"/>
      <c r="O243" s="1"/>
      <c r="P243" s="1"/>
      <c r="Q243" s="1"/>
      <c r="R243" s="1"/>
      <c r="S243" s="1"/>
      <c r="T243" s="1"/>
      <c r="U243" s="1"/>
      <c r="V243" s="1"/>
      <c r="W243" s="1"/>
      <c r="X243" s="1"/>
      <c r="Y243" s="1"/>
    </row>
    <row r="244" spans="1:25" ht="22.5" customHeight="1" x14ac:dyDescent="0.2">
      <c r="A244" s="14" t="s">
        <v>385</v>
      </c>
      <c r="B244" s="3" t="s">
        <v>34</v>
      </c>
      <c r="C244" s="3" t="s">
        <v>35</v>
      </c>
      <c r="D244" s="11" t="s">
        <v>2317</v>
      </c>
      <c r="E244" s="6" t="s">
        <v>386</v>
      </c>
      <c r="F244" s="9">
        <v>45848</v>
      </c>
      <c r="G244" s="3" t="s">
        <v>2095</v>
      </c>
      <c r="H244" s="7" t="s">
        <v>387</v>
      </c>
      <c r="I244" s="3" t="s">
        <v>2309</v>
      </c>
      <c r="J244" s="8">
        <v>45958</v>
      </c>
      <c r="K244" s="3"/>
      <c r="L244" s="3"/>
      <c r="M244" s="1"/>
      <c r="N244" s="1"/>
      <c r="O244" s="1"/>
      <c r="P244" s="1"/>
      <c r="Q244" s="1"/>
      <c r="R244" s="1"/>
      <c r="S244" s="1"/>
      <c r="T244" s="1"/>
      <c r="U244" s="1"/>
      <c r="V244" s="1"/>
      <c r="W244" s="1"/>
      <c r="X244" s="1"/>
      <c r="Y244" s="1"/>
    </row>
    <row r="245" spans="1:25" ht="22.5" customHeight="1" x14ac:dyDescent="0.2">
      <c r="A245" s="14" t="s">
        <v>291</v>
      </c>
      <c r="B245" s="3" t="s">
        <v>34</v>
      </c>
      <c r="C245" s="3" t="s">
        <v>35</v>
      </c>
      <c r="D245" s="11" t="s">
        <v>2310</v>
      </c>
      <c r="E245" s="6" t="s">
        <v>289</v>
      </c>
      <c r="F245" s="9">
        <v>45847</v>
      </c>
      <c r="G245" s="3" t="s">
        <v>2095</v>
      </c>
      <c r="H245" s="7" t="s">
        <v>292</v>
      </c>
      <c r="I245" s="3" t="s">
        <v>2096</v>
      </c>
      <c r="J245" s="8">
        <v>45958</v>
      </c>
      <c r="K245" s="3"/>
      <c r="L245" s="3"/>
      <c r="M245" s="1"/>
      <c r="N245" s="1"/>
      <c r="O245" s="1"/>
      <c r="P245" s="1"/>
      <c r="Q245" s="1"/>
      <c r="R245" s="1"/>
      <c r="S245" s="1"/>
      <c r="T245" s="1"/>
      <c r="U245" s="1"/>
      <c r="V245" s="1"/>
      <c r="W245" s="1"/>
      <c r="X245" s="1"/>
      <c r="Y245" s="1"/>
    </row>
    <row r="246" spans="1:25" ht="22.5" customHeight="1" x14ac:dyDescent="0.2">
      <c r="A246" s="14" t="s">
        <v>374</v>
      </c>
      <c r="B246" s="3" t="s">
        <v>34</v>
      </c>
      <c r="C246" s="3" t="s">
        <v>35</v>
      </c>
      <c r="D246" s="11" t="s">
        <v>2318</v>
      </c>
      <c r="E246" s="6" t="s">
        <v>226</v>
      </c>
      <c r="F246" s="9">
        <v>45846</v>
      </c>
      <c r="G246" s="3" t="s">
        <v>2095</v>
      </c>
      <c r="H246" s="7" t="s">
        <v>375</v>
      </c>
      <c r="I246" s="3" t="s">
        <v>2309</v>
      </c>
      <c r="J246" s="8">
        <v>45958</v>
      </c>
      <c r="K246" s="3"/>
      <c r="L246" s="3"/>
      <c r="M246" s="1"/>
      <c r="N246" s="1"/>
      <c r="O246" s="1"/>
      <c r="P246" s="1"/>
      <c r="Q246" s="1"/>
      <c r="R246" s="1"/>
      <c r="S246" s="1"/>
      <c r="T246" s="1"/>
      <c r="U246" s="1"/>
      <c r="V246" s="1"/>
      <c r="W246" s="1"/>
      <c r="X246" s="1"/>
      <c r="Y246" s="1"/>
    </row>
    <row r="247" spans="1:25" ht="22.5" customHeight="1" x14ac:dyDescent="0.2">
      <c r="A247" s="14" t="s">
        <v>342</v>
      </c>
      <c r="B247" s="3" t="s">
        <v>34</v>
      </c>
      <c r="C247" s="3" t="s">
        <v>35</v>
      </c>
      <c r="D247" s="11" t="s">
        <v>2319</v>
      </c>
      <c r="E247" s="6" t="s">
        <v>343</v>
      </c>
      <c r="F247" s="9">
        <v>45845</v>
      </c>
      <c r="G247" s="3" t="s">
        <v>2095</v>
      </c>
      <c r="H247" s="7" t="s">
        <v>344</v>
      </c>
      <c r="I247" s="3" t="s">
        <v>2096</v>
      </c>
      <c r="J247" s="8">
        <v>45958</v>
      </c>
      <c r="K247" s="3"/>
      <c r="L247" s="3"/>
      <c r="M247" s="1"/>
      <c r="N247" s="1"/>
      <c r="O247" s="1"/>
      <c r="P247" s="1"/>
      <c r="Q247" s="1"/>
      <c r="R247" s="1"/>
      <c r="S247" s="1"/>
      <c r="T247" s="1"/>
      <c r="U247" s="1"/>
      <c r="V247" s="1"/>
      <c r="W247" s="1"/>
      <c r="X247" s="1"/>
      <c r="Y247" s="1"/>
    </row>
    <row r="248" spans="1:25" ht="22.5" customHeight="1" x14ac:dyDescent="0.2">
      <c r="A248" s="14" t="s">
        <v>379</v>
      </c>
      <c r="B248" s="3" t="s">
        <v>34</v>
      </c>
      <c r="C248" s="3" t="s">
        <v>35</v>
      </c>
      <c r="D248" s="11" t="s">
        <v>2320</v>
      </c>
      <c r="E248" s="6" t="s">
        <v>380</v>
      </c>
      <c r="F248" s="9">
        <v>45841</v>
      </c>
      <c r="G248" s="3" t="s">
        <v>2095</v>
      </c>
      <c r="H248" s="7" t="s">
        <v>381</v>
      </c>
      <c r="I248" s="3" t="s">
        <v>2309</v>
      </c>
      <c r="J248" s="8">
        <v>45958</v>
      </c>
      <c r="K248" s="3"/>
      <c r="L248" s="3"/>
      <c r="M248" s="1"/>
      <c r="N248" s="1"/>
      <c r="O248" s="1"/>
      <c r="P248" s="1"/>
      <c r="Q248" s="1"/>
      <c r="R248" s="1"/>
      <c r="S248" s="1"/>
      <c r="T248" s="1"/>
      <c r="U248" s="1"/>
      <c r="V248" s="1"/>
      <c r="W248" s="1"/>
      <c r="X248" s="1"/>
      <c r="Y248" s="1"/>
    </row>
    <row r="249" spans="1:25" ht="22.5" customHeight="1" x14ac:dyDescent="0.2">
      <c r="A249" s="14" t="s">
        <v>293</v>
      </c>
      <c r="B249" s="3" t="s">
        <v>34</v>
      </c>
      <c r="C249" s="3" t="s">
        <v>35</v>
      </c>
      <c r="D249" s="11" t="s">
        <v>2310</v>
      </c>
      <c r="E249" s="6" t="s">
        <v>289</v>
      </c>
      <c r="F249" s="9">
        <v>45840</v>
      </c>
      <c r="G249" s="3" t="s">
        <v>2095</v>
      </c>
      <c r="H249" s="7" t="s">
        <v>294</v>
      </c>
      <c r="I249" s="3" t="s">
        <v>2309</v>
      </c>
      <c r="J249" s="8">
        <v>45958</v>
      </c>
      <c r="K249" s="3"/>
      <c r="L249" s="3"/>
      <c r="M249" s="1"/>
      <c r="N249" s="1"/>
      <c r="O249" s="1"/>
      <c r="P249" s="1"/>
      <c r="Q249" s="1"/>
      <c r="R249" s="1"/>
      <c r="S249" s="1"/>
      <c r="T249" s="1"/>
      <c r="U249" s="1"/>
      <c r="V249" s="1"/>
      <c r="W249" s="1"/>
      <c r="X249" s="1"/>
      <c r="Y249" s="1"/>
    </row>
    <row r="250" spans="1:25" ht="22.5" customHeight="1" x14ac:dyDescent="0.2">
      <c r="A250" s="14" t="s">
        <v>395</v>
      </c>
      <c r="B250" s="3" t="s">
        <v>34</v>
      </c>
      <c r="C250" s="3" t="s">
        <v>35</v>
      </c>
      <c r="D250" s="11" t="s">
        <v>2321</v>
      </c>
      <c r="E250" s="6" t="s">
        <v>396</v>
      </c>
      <c r="F250" s="9">
        <v>45840</v>
      </c>
      <c r="G250" s="3" t="s">
        <v>2095</v>
      </c>
      <c r="H250" s="7" t="s">
        <v>397</v>
      </c>
      <c r="I250" s="17" t="s">
        <v>2260</v>
      </c>
      <c r="J250" s="8">
        <v>45958</v>
      </c>
      <c r="K250" s="3"/>
      <c r="L250" s="3"/>
      <c r="M250" s="1"/>
      <c r="N250" s="1"/>
      <c r="O250" s="1"/>
      <c r="P250" s="1"/>
      <c r="Q250" s="1"/>
      <c r="R250" s="1"/>
      <c r="S250" s="1"/>
      <c r="T250" s="1"/>
      <c r="U250" s="1"/>
      <c r="V250" s="1"/>
      <c r="W250" s="1"/>
      <c r="X250" s="1"/>
      <c r="Y250" s="1"/>
    </row>
    <row r="251" spans="1:25" ht="22.5" customHeight="1" x14ac:dyDescent="0.2">
      <c r="A251" s="14" t="s">
        <v>325</v>
      </c>
      <c r="B251" s="3" t="s">
        <v>34</v>
      </c>
      <c r="C251" s="3" t="s">
        <v>35</v>
      </c>
      <c r="D251" s="11" t="s">
        <v>2322</v>
      </c>
      <c r="E251" s="6" t="s">
        <v>174</v>
      </c>
      <c r="F251" s="9">
        <v>45838</v>
      </c>
      <c r="G251" s="3" t="s">
        <v>2095</v>
      </c>
      <c r="H251" s="7" t="s">
        <v>326</v>
      </c>
      <c r="I251" s="3" t="s">
        <v>2096</v>
      </c>
      <c r="J251" s="8">
        <v>45958</v>
      </c>
      <c r="K251" s="3"/>
      <c r="L251" s="3"/>
      <c r="M251" s="1"/>
      <c r="N251" s="1"/>
      <c r="O251" s="1"/>
      <c r="P251" s="1"/>
      <c r="Q251" s="1"/>
      <c r="R251" s="1"/>
      <c r="S251" s="1"/>
      <c r="T251" s="1"/>
      <c r="U251" s="1"/>
      <c r="V251" s="1"/>
      <c r="W251" s="1"/>
      <c r="X251" s="1"/>
      <c r="Y251" s="1"/>
    </row>
    <row r="252" spans="1:25" ht="22.5" customHeight="1" x14ac:dyDescent="0.2">
      <c r="A252" s="14" t="s">
        <v>390</v>
      </c>
      <c r="B252" s="3" t="s">
        <v>34</v>
      </c>
      <c r="C252" s="3" t="s">
        <v>35</v>
      </c>
      <c r="D252" s="11" t="s">
        <v>2323</v>
      </c>
      <c r="E252" s="6" t="s">
        <v>391</v>
      </c>
      <c r="F252" s="9">
        <v>45834</v>
      </c>
      <c r="G252" s="3" t="s">
        <v>2095</v>
      </c>
      <c r="H252" s="7" t="s">
        <v>392</v>
      </c>
      <c r="I252" s="3" t="s">
        <v>2309</v>
      </c>
      <c r="J252" s="8">
        <v>45958</v>
      </c>
      <c r="K252" s="3"/>
      <c r="L252" s="3"/>
      <c r="M252" s="1"/>
      <c r="N252" s="1"/>
      <c r="O252" s="1"/>
      <c r="P252" s="1"/>
      <c r="Q252" s="1"/>
      <c r="R252" s="1"/>
      <c r="S252" s="1"/>
      <c r="T252" s="1"/>
      <c r="U252" s="1"/>
      <c r="V252" s="1"/>
      <c r="W252" s="1"/>
      <c r="X252" s="1"/>
      <c r="Y252" s="1"/>
    </row>
    <row r="253" spans="1:25" ht="22.5" customHeight="1" x14ac:dyDescent="0.2">
      <c r="A253" s="14" t="s">
        <v>329</v>
      </c>
      <c r="B253" s="3" t="s">
        <v>34</v>
      </c>
      <c r="C253" s="3" t="s">
        <v>35</v>
      </c>
      <c r="D253" s="11" t="s">
        <v>2271</v>
      </c>
      <c r="E253" s="6" t="s">
        <v>190</v>
      </c>
      <c r="F253" s="9">
        <v>45834</v>
      </c>
      <c r="G253" s="3" t="s">
        <v>2095</v>
      </c>
      <c r="H253" s="7" t="s">
        <v>330</v>
      </c>
      <c r="I253" s="3" t="s">
        <v>2309</v>
      </c>
      <c r="J253" s="8">
        <v>45958</v>
      </c>
      <c r="K253" s="3"/>
      <c r="L253" s="3"/>
      <c r="M253" s="1"/>
      <c r="N253" s="1"/>
      <c r="O253" s="1"/>
      <c r="P253" s="1"/>
      <c r="Q253" s="1"/>
      <c r="R253" s="1"/>
      <c r="S253" s="1"/>
      <c r="T253" s="1"/>
      <c r="U253" s="1"/>
      <c r="V253" s="1"/>
      <c r="W253" s="1"/>
      <c r="X253" s="1"/>
      <c r="Y253" s="1"/>
    </row>
    <row r="254" spans="1:25" ht="22.5" customHeight="1" x14ac:dyDescent="0.2">
      <c r="A254" s="14" t="s">
        <v>388</v>
      </c>
      <c r="B254" s="3" t="s">
        <v>34</v>
      </c>
      <c r="C254" s="3" t="s">
        <v>35</v>
      </c>
      <c r="D254" s="11" t="s">
        <v>2170</v>
      </c>
      <c r="E254" s="6" t="s">
        <v>228</v>
      </c>
      <c r="F254" s="9">
        <v>45834</v>
      </c>
      <c r="G254" s="3" t="s">
        <v>2095</v>
      </c>
      <c r="H254" s="7" t="s">
        <v>389</v>
      </c>
      <c r="I254" s="3" t="s">
        <v>2096</v>
      </c>
      <c r="J254" s="8">
        <v>45958</v>
      </c>
      <c r="K254" s="3"/>
      <c r="L254" s="3"/>
      <c r="M254" s="1"/>
      <c r="N254" s="1"/>
      <c r="O254" s="1"/>
      <c r="P254" s="1"/>
      <c r="Q254" s="1"/>
      <c r="R254" s="1"/>
      <c r="S254" s="1"/>
      <c r="T254" s="1"/>
      <c r="U254" s="1"/>
      <c r="V254" s="1"/>
      <c r="W254" s="1"/>
      <c r="X254" s="1"/>
      <c r="Y254" s="1"/>
    </row>
    <row r="255" spans="1:25" ht="22.5" customHeight="1" x14ac:dyDescent="0.2">
      <c r="A255" s="14" t="s">
        <v>338</v>
      </c>
      <c r="B255" s="3" t="s">
        <v>34</v>
      </c>
      <c r="C255" s="3" t="s">
        <v>35</v>
      </c>
      <c r="D255" s="11" t="s">
        <v>2324</v>
      </c>
      <c r="E255" s="6" t="s">
        <v>79</v>
      </c>
      <c r="F255" s="9">
        <v>45833</v>
      </c>
      <c r="G255" s="3" t="s">
        <v>2095</v>
      </c>
      <c r="H255" s="7" t="s">
        <v>339</v>
      </c>
      <c r="I255" s="3" t="s">
        <v>2309</v>
      </c>
      <c r="J255" s="8">
        <v>45958</v>
      </c>
      <c r="K255" s="3"/>
      <c r="L255" s="3"/>
      <c r="M255" s="1"/>
      <c r="N255" s="1"/>
      <c r="O255" s="1"/>
      <c r="P255" s="1"/>
      <c r="Q255" s="1"/>
      <c r="R255" s="1"/>
      <c r="S255" s="1"/>
      <c r="T255" s="1"/>
      <c r="U255" s="1"/>
      <c r="V255" s="1"/>
      <c r="W255" s="1"/>
      <c r="X255" s="1"/>
      <c r="Y255" s="1"/>
    </row>
    <row r="256" spans="1:25" ht="22.5" customHeight="1" x14ac:dyDescent="0.2">
      <c r="A256" s="14" t="s">
        <v>305</v>
      </c>
      <c r="B256" s="3" t="s">
        <v>34</v>
      </c>
      <c r="C256" s="3" t="s">
        <v>35</v>
      </c>
      <c r="D256" s="11" t="s">
        <v>2325</v>
      </c>
      <c r="E256" s="6" t="s">
        <v>41</v>
      </c>
      <c r="F256" s="9">
        <v>45833</v>
      </c>
      <c r="G256" s="3" t="s">
        <v>2095</v>
      </c>
      <c r="H256" s="7" t="s">
        <v>306</v>
      </c>
      <c r="I256" s="3" t="s">
        <v>2096</v>
      </c>
      <c r="J256" s="8">
        <v>45958</v>
      </c>
      <c r="K256" s="3"/>
      <c r="L256" s="3"/>
      <c r="M256" s="1"/>
      <c r="N256" s="1"/>
      <c r="O256" s="1"/>
      <c r="P256" s="1"/>
      <c r="Q256" s="1"/>
      <c r="R256" s="1"/>
      <c r="S256" s="1"/>
      <c r="T256" s="1"/>
      <c r="U256" s="1"/>
      <c r="V256" s="1"/>
      <c r="W256" s="1"/>
      <c r="X256" s="1"/>
      <c r="Y256" s="1"/>
    </row>
    <row r="257" spans="1:25" ht="22.5" customHeight="1" x14ac:dyDescent="0.2">
      <c r="A257" s="14" t="s">
        <v>464</v>
      </c>
      <c r="B257" s="3" t="s">
        <v>34</v>
      </c>
      <c r="C257" s="3" t="s">
        <v>35</v>
      </c>
      <c r="D257" s="11" t="s">
        <v>2125</v>
      </c>
      <c r="E257" s="6" t="s">
        <v>74</v>
      </c>
      <c r="F257" s="9">
        <v>45828</v>
      </c>
      <c r="G257" s="3" t="s">
        <v>2095</v>
      </c>
      <c r="H257" s="7" t="s">
        <v>465</v>
      </c>
      <c r="I257" s="3" t="s">
        <v>2096</v>
      </c>
      <c r="J257" s="8">
        <v>45958</v>
      </c>
      <c r="K257" s="3"/>
      <c r="L257" s="3"/>
      <c r="M257" s="1"/>
      <c r="N257" s="1"/>
      <c r="O257" s="1"/>
      <c r="P257" s="1"/>
      <c r="Q257" s="1"/>
      <c r="R257" s="1"/>
      <c r="S257" s="1"/>
      <c r="T257" s="1"/>
      <c r="U257" s="1"/>
      <c r="V257" s="1"/>
      <c r="W257" s="1"/>
      <c r="X257" s="1"/>
      <c r="Y257" s="1"/>
    </row>
    <row r="258" spans="1:25" ht="22.5" customHeight="1" x14ac:dyDescent="0.2">
      <c r="A258" s="14" t="s">
        <v>435</v>
      </c>
      <c r="B258" s="3" t="s">
        <v>34</v>
      </c>
      <c r="C258" s="3" t="s">
        <v>35</v>
      </c>
      <c r="D258" s="11" t="s">
        <v>2326</v>
      </c>
      <c r="E258" s="6" t="s">
        <v>436</v>
      </c>
      <c r="F258" s="9">
        <v>45828</v>
      </c>
      <c r="G258" s="3" t="s">
        <v>2095</v>
      </c>
      <c r="H258" s="7" t="s">
        <v>437</v>
      </c>
      <c r="I258" s="3" t="s">
        <v>2145</v>
      </c>
      <c r="J258" s="8">
        <v>45958</v>
      </c>
      <c r="K258" s="3"/>
      <c r="L258" s="3"/>
      <c r="M258" s="1"/>
      <c r="N258" s="1"/>
      <c r="O258" s="1"/>
      <c r="P258" s="1"/>
      <c r="Q258" s="1"/>
      <c r="R258" s="1"/>
      <c r="S258" s="1"/>
      <c r="T258" s="1"/>
      <c r="U258" s="1"/>
      <c r="V258" s="1"/>
      <c r="W258" s="1"/>
      <c r="X258" s="1"/>
      <c r="Y258" s="1"/>
    </row>
    <row r="259" spans="1:25" ht="22.5" customHeight="1" x14ac:dyDescent="0.2">
      <c r="A259" s="14" t="s">
        <v>427</v>
      </c>
      <c r="B259" s="3" t="s">
        <v>34</v>
      </c>
      <c r="C259" s="3" t="s">
        <v>35</v>
      </c>
      <c r="D259" s="11" t="s">
        <v>2327</v>
      </c>
      <c r="E259" s="6" t="s">
        <v>428</v>
      </c>
      <c r="F259" s="9">
        <v>45828</v>
      </c>
      <c r="G259" s="3" t="s">
        <v>2095</v>
      </c>
      <c r="H259" s="7" t="s">
        <v>429</v>
      </c>
      <c r="I259" s="3" t="s">
        <v>2309</v>
      </c>
      <c r="J259" s="8">
        <v>45958</v>
      </c>
      <c r="K259" s="3"/>
      <c r="L259" s="3"/>
      <c r="M259" s="1"/>
      <c r="N259" s="1"/>
      <c r="O259" s="1"/>
      <c r="P259" s="1"/>
      <c r="Q259" s="1"/>
      <c r="R259" s="1"/>
      <c r="S259" s="1"/>
      <c r="T259" s="1"/>
      <c r="U259" s="1"/>
      <c r="V259" s="1"/>
      <c r="W259" s="1"/>
      <c r="X259" s="1"/>
      <c r="Y259" s="1"/>
    </row>
    <row r="260" spans="1:25" ht="22.5" customHeight="1" x14ac:dyDescent="0.2">
      <c r="A260" s="14" t="s">
        <v>422</v>
      </c>
      <c r="B260" s="3" t="s">
        <v>34</v>
      </c>
      <c r="C260" s="3" t="s">
        <v>35</v>
      </c>
      <c r="D260" s="11" t="s">
        <v>2328</v>
      </c>
      <c r="E260" s="6" t="s">
        <v>361</v>
      </c>
      <c r="F260" s="9">
        <v>45828</v>
      </c>
      <c r="G260" s="3" t="s">
        <v>2095</v>
      </c>
      <c r="H260" s="7" t="s">
        <v>423</v>
      </c>
      <c r="I260" s="3" t="s">
        <v>2309</v>
      </c>
      <c r="J260" s="8">
        <v>45958</v>
      </c>
      <c r="K260" s="3"/>
      <c r="L260" s="3"/>
      <c r="M260" s="1"/>
      <c r="N260" s="1"/>
      <c r="O260" s="1"/>
      <c r="P260" s="1"/>
      <c r="Q260" s="1"/>
      <c r="R260" s="1"/>
      <c r="S260" s="1"/>
      <c r="T260" s="1"/>
      <c r="U260" s="1"/>
      <c r="V260" s="1"/>
      <c r="W260" s="1"/>
      <c r="X260" s="1"/>
      <c r="Y260" s="1"/>
    </row>
    <row r="261" spans="1:25" ht="22.5" customHeight="1" x14ac:dyDescent="0.2">
      <c r="A261" s="14" t="s">
        <v>404</v>
      </c>
      <c r="B261" s="3" t="s">
        <v>34</v>
      </c>
      <c r="C261" s="3" t="s">
        <v>35</v>
      </c>
      <c r="D261" s="11" t="s">
        <v>2329</v>
      </c>
      <c r="E261" s="6" t="s">
        <v>127</v>
      </c>
      <c r="F261" s="9">
        <v>45826</v>
      </c>
      <c r="G261" s="3" t="s">
        <v>2095</v>
      </c>
      <c r="H261" s="7" t="s">
        <v>405</v>
      </c>
      <c r="I261" s="3" t="s">
        <v>2309</v>
      </c>
      <c r="J261" s="8">
        <v>45958</v>
      </c>
      <c r="K261" s="3"/>
      <c r="L261" s="3"/>
      <c r="M261" s="1"/>
      <c r="N261" s="1"/>
      <c r="O261" s="1"/>
      <c r="P261" s="1"/>
      <c r="Q261" s="1"/>
      <c r="R261" s="1"/>
      <c r="S261" s="1"/>
      <c r="T261" s="1"/>
      <c r="U261" s="1"/>
      <c r="V261" s="1"/>
      <c r="W261" s="1"/>
      <c r="X261" s="1"/>
      <c r="Y261" s="1"/>
    </row>
    <row r="262" spans="1:25" ht="22.5" customHeight="1" x14ac:dyDescent="0.2">
      <c r="A262" s="14" t="s">
        <v>482</v>
      </c>
      <c r="B262" s="3" t="s">
        <v>34</v>
      </c>
      <c r="C262" s="3" t="s">
        <v>35</v>
      </c>
      <c r="D262" s="11" t="s">
        <v>2283</v>
      </c>
      <c r="E262" s="6" t="s">
        <v>248</v>
      </c>
      <c r="F262" s="9">
        <v>45826</v>
      </c>
      <c r="G262" s="3" t="s">
        <v>2095</v>
      </c>
      <c r="H262" s="7" t="s">
        <v>483</v>
      </c>
      <c r="I262" s="3" t="s">
        <v>2309</v>
      </c>
      <c r="J262" s="8">
        <v>45958</v>
      </c>
      <c r="K262" s="3"/>
      <c r="L262" s="3"/>
      <c r="M262" s="1"/>
      <c r="N262" s="1"/>
      <c r="O262" s="1"/>
      <c r="P262" s="1"/>
      <c r="Q262" s="1"/>
      <c r="R262" s="1"/>
      <c r="S262" s="1"/>
      <c r="T262" s="1"/>
      <c r="U262" s="1"/>
      <c r="V262" s="1"/>
      <c r="W262" s="1"/>
      <c r="X262" s="1"/>
      <c r="Y262" s="1"/>
    </row>
    <row r="263" spans="1:25" ht="22.5" customHeight="1" x14ac:dyDescent="0.2">
      <c r="A263" s="14" t="s">
        <v>461</v>
      </c>
      <c r="B263" s="3" t="s">
        <v>34</v>
      </c>
      <c r="C263" s="3" t="s">
        <v>35</v>
      </c>
      <c r="D263" s="11" t="s">
        <v>2330</v>
      </c>
      <c r="E263" s="6" t="s">
        <v>462</v>
      </c>
      <c r="F263" s="9">
        <v>45825</v>
      </c>
      <c r="G263" s="3" t="s">
        <v>2095</v>
      </c>
      <c r="H263" s="7" t="s">
        <v>463</v>
      </c>
      <c r="I263" s="3" t="s">
        <v>2309</v>
      </c>
      <c r="J263" s="8">
        <v>45958</v>
      </c>
      <c r="K263" s="3"/>
      <c r="L263" s="3"/>
      <c r="M263" s="1"/>
      <c r="N263" s="1"/>
      <c r="O263" s="1"/>
      <c r="P263" s="1"/>
      <c r="Q263" s="1"/>
      <c r="R263" s="1"/>
      <c r="S263" s="1"/>
      <c r="T263" s="1"/>
      <c r="U263" s="1"/>
      <c r="V263" s="1"/>
      <c r="W263" s="1"/>
      <c r="X263" s="1"/>
      <c r="Y263" s="1"/>
    </row>
    <row r="264" spans="1:25" ht="22.5" customHeight="1" x14ac:dyDescent="0.2">
      <c r="A264" s="14" t="s">
        <v>398</v>
      </c>
      <c r="B264" s="3" t="s">
        <v>34</v>
      </c>
      <c r="C264" s="3" t="s">
        <v>35</v>
      </c>
      <c r="D264" s="11" t="s">
        <v>2310</v>
      </c>
      <c r="E264" s="6" t="s">
        <v>289</v>
      </c>
      <c r="F264" s="9">
        <v>45825</v>
      </c>
      <c r="G264" s="3" t="s">
        <v>2095</v>
      </c>
      <c r="H264" s="7" t="s">
        <v>399</v>
      </c>
      <c r="I264" s="3" t="s">
        <v>2309</v>
      </c>
      <c r="J264" s="8">
        <v>45958</v>
      </c>
      <c r="K264" s="3"/>
      <c r="L264" s="3"/>
      <c r="M264" s="1"/>
      <c r="N264" s="1"/>
      <c r="O264" s="1"/>
      <c r="P264" s="1"/>
      <c r="Q264" s="1"/>
      <c r="R264" s="1"/>
      <c r="S264" s="1"/>
      <c r="T264" s="1"/>
      <c r="U264" s="1"/>
      <c r="V264" s="1"/>
      <c r="W264" s="1"/>
      <c r="X264" s="1"/>
      <c r="Y264" s="1"/>
    </row>
    <row r="265" spans="1:25" ht="22.5" customHeight="1" x14ac:dyDescent="0.2">
      <c r="A265" s="14" t="s">
        <v>456</v>
      </c>
      <c r="B265" s="3" t="s">
        <v>34</v>
      </c>
      <c r="C265" s="3" t="s">
        <v>35</v>
      </c>
      <c r="D265" s="11" t="s">
        <v>2331</v>
      </c>
      <c r="E265" s="6" t="s">
        <v>79</v>
      </c>
      <c r="F265" s="9">
        <v>45824</v>
      </c>
      <c r="G265" s="3" t="s">
        <v>2095</v>
      </c>
      <c r="H265" s="7" t="s">
        <v>457</v>
      </c>
      <c r="I265" s="3" t="s">
        <v>2309</v>
      </c>
      <c r="J265" s="8">
        <v>45958</v>
      </c>
      <c r="K265" s="3"/>
      <c r="L265" s="3"/>
      <c r="M265" s="1"/>
      <c r="N265" s="1"/>
      <c r="O265" s="1"/>
      <c r="P265" s="1"/>
      <c r="Q265" s="1"/>
      <c r="R265" s="1"/>
      <c r="S265" s="1"/>
      <c r="T265" s="1"/>
      <c r="U265" s="1"/>
      <c r="V265" s="1"/>
      <c r="W265" s="1"/>
      <c r="X265" s="1"/>
      <c r="Y265" s="1"/>
    </row>
    <row r="266" spans="1:25" ht="22.5" customHeight="1" x14ac:dyDescent="0.2">
      <c r="A266" s="14" t="s">
        <v>467</v>
      </c>
      <c r="B266" s="3" t="s">
        <v>34</v>
      </c>
      <c r="C266" s="3" t="s">
        <v>35</v>
      </c>
      <c r="D266" s="11" t="s">
        <v>2332</v>
      </c>
      <c r="E266" s="6" t="s">
        <v>468</v>
      </c>
      <c r="F266" s="9">
        <v>45821</v>
      </c>
      <c r="G266" s="3" t="s">
        <v>2110</v>
      </c>
      <c r="H266" s="7" t="s">
        <v>469</v>
      </c>
      <c r="I266" s="17" t="s">
        <v>2260</v>
      </c>
      <c r="J266" s="8">
        <v>45958</v>
      </c>
      <c r="K266" s="3"/>
      <c r="L266" s="3"/>
      <c r="M266" s="1"/>
      <c r="N266" s="1"/>
      <c r="O266" s="1"/>
      <c r="P266" s="1"/>
      <c r="Q266" s="1"/>
      <c r="R266" s="1"/>
      <c r="S266" s="1"/>
      <c r="T266" s="1"/>
      <c r="U266" s="1"/>
      <c r="V266" s="1"/>
      <c r="W266" s="1"/>
      <c r="X266" s="1"/>
      <c r="Y266" s="1"/>
    </row>
    <row r="267" spans="1:25" ht="22.5" customHeight="1" x14ac:dyDescent="0.2">
      <c r="A267" s="14" t="s">
        <v>431</v>
      </c>
      <c r="B267" s="3" t="s">
        <v>34</v>
      </c>
      <c r="C267" s="3" t="s">
        <v>35</v>
      </c>
      <c r="D267" s="11" t="s">
        <v>2333</v>
      </c>
      <c r="E267" s="6" t="s">
        <v>79</v>
      </c>
      <c r="F267" s="9">
        <v>45820</v>
      </c>
      <c r="G267" s="3" t="s">
        <v>2095</v>
      </c>
      <c r="H267" s="7" t="s">
        <v>432</v>
      </c>
      <c r="I267" s="3" t="s">
        <v>2309</v>
      </c>
      <c r="J267" s="8">
        <v>45958</v>
      </c>
      <c r="K267" s="3"/>
      <c r="L267" s="3"/>
      <c r="M267" s="1"/>
      <c r="N267" s="1"/>
      <c r="O267" s="1"/>
      <c r="P267" s="1"/>
      <c r="Q267" s="1"/>
      <c r="R267" s="1"/>
      <c r="S267" s="1"/>
      <c r="T267" s="1"/>
      <c r="U267" s="1"/>
      <c r="V267" s="1"/>
      <c r="W267" s="1"/>
      <c r="X267" s="1"/>
      <c r="Y267" s="1"/>
    </row>
    <row r="268" spans="1:25" ht="22.5" customHeight="1" x14ac:dyDescent="0.2">
      <c r="A268" s="14" t="s">
        <v>470</v>
      </c>
      <c r="B268" s="3" t="s">
        <v>34</v>
      </c>
      <c r="C268" s="3" t="s">
        <v>35</v>
      </c>
      <c r="D268" s="11" t="s">
        <v>2334</v>
      </c>
      <c r="E268" s="6" t="s">
        <v>471</v>
      </c>
      <c r="F268" s="9">
        <v>45818</v>
      </c>
      <c r="G268" s="3" t="s">
        <v>2095</v>
      </c>
      <c r="H268" s="7" t="s">
        <v>472</v>
      </c>
      <c r="I268" s="3" t="s">
        <v>2309</v>
      </c>
      <c r="J268" s="8">
        <v>45958</v>
      </c>
      <c r="K268" s="3"/>
      <c r="L268" s="3"/>
      <c r="M268" s="1"/>
      <c r="N268" s="1"/>
      <c r="O268" s="1"/>
      <c r="P268" s="1"/>
      <c r="Q268" s="1"/>
      <c r="R268" s="1"/>
      <c r="S268" s="1"/>
      <c r="T268" s="1"/>
      <c r="U268" s="1"/>
      <c r="V268" s="1"/>
      <c r="W268" s="1"/>
      <c r="X268" s="1"/>
      <c r="Y268" s="1"/>
    </row>
    <row r="269" spans="1:25" ht="22.5" customHeight="1" x14ac:dyDescent="0.2">
      <c r="A269" s="14" t="s">
        <v>475</v>
      </c>
      <c r="B269" s="3" t="s">
        <v>34</v>
      </c>
      <c r="C269" s="3" t="s">
        <v>35</v>
      </c>
      <c r="D269" s="11" t="s">
        <v>2335</v>
      </c>
      <c r="E269" s="6" t="s">
        <v>79</v>
      </c>
      <c r="F269" s="9">
        <v>45817</v>
      </c>
      <c r="G269" s="3" t="s">
        <v>2095</v>
      </c>
      <c r="H269" s="7" t="s">
        <v>476</v>
      </c>
      <c r="I269" s="3" t="s">
        <v>2309</v>
      </c>
      <c r="J269" s="8">
        <v>45958</v>
      </c>
      <c r="K269" s="3"/>
      <c r="L269" s="3"/>
      <c r="M269" s="1"/>
      <c r="N269" s="1"/>
      <c r="O269" s="1"/>
      <c r="P269" s="1"/>
      <c r="Q269" s="1"/>
      <c r="R269" s="1"/>
      <c r="S269" s="1"/>
      <c r="T269" s="1"/>
      <c r="U269" s="1"/>
      <c r="V269" s="1"/>
      <c r="W269" s="1"/>
      <c r="X269" s="1"/>
      <c r="Y269" s="1"/>
    </row>
    <row r="270" spans="1:25" ht="22.5" customHeight="1" x14ac:dyDescent="0.2">
      <c r="A270" s="14" t="s">
        <v>477</v>
      </c>
      <c r="B270" s="3" t="s">
        <v>34</v>
      </c>
      <c r="C270" s="3" t="s">
        <v>35</v>
      </c>
      <c r="D270" s="11" t="s">
        <v>2336</v>
      </c>
      <c r="E270" s="6" t="s">
        <v>478</v>
      </c>
      <c r="F270" s="9">
        <v>45817</v>
      </c>
      <c r="G270" s="3" t="s">
        <v>2095</v>
      </c>
      <c r="H270" s="3" t="s">
        <v>479</v>
      </c>
      <c r="I270" s="3" t="s">
        <v>2309</v>
      </c>
      <c r="J270" s="8">
        <v>45958</v>
      </c>
      <c r="K270" s="3"/>
      <c r="L270" s="3"/>
      <c r="M270" s="1"/>
      <c r="N270" s="1"/>
      <c r="O270" s="1"/>
      <c r="P270" s="1"/>
      <c r="Q270" s="1"/>
      <c r="R270" s="1"/>
      <c r="S270" s="1"/>
      <c r="T270" s="1"/>
      <c r="U270" s="1"/>
      <c r="V270" s="1"/>
      <c r="W270" s="1"/>
      <c r="X270" s="1"/>
      <c r="Y270" s="1"/>
    </row>
    <row r="271" spans="1:25" ht="22.5" customHeight="1" x14ac:dyDescent="0.2">
      <c r="A271" s="14" t="s">
        <v>484</v>
      </c>
      <c r="B271" s="3" t="s">
        <v>34</v>
      </c>
      <c r="C271" s="3" t="s">
        <v>35</v>
      </c>
      <c r="D271" s="11" t="s">
        <v>2337</v>
      </c>
      <c r="E271" s="6" t="s">
        <v>85</v>
      </c>
      <c r="F271" s="9">
        <v>45813</v>
      </c>
      <c r="G271" s="3" t="s">
        <v>2095</v>
      </c>
      <c r="H271" s="7" t="s">
        <v>485</v>
      </c>
      <c r="I271" s="17" t="s">
        <v>2260</v>
      </c>
      <c r="J271" s="8">
        <v>45958</v>
      </c>
      <c r="K271" s="3"/>
      <c r="L271" s="3"/>
      <c r="M271" s="1"/>
      <c r="N271" s="1"/>
      <c r="O271" s="1"/>
      <c r="P271" s="1"/>
      <c r="Q271" s="1"/>
      <c r="R271" s="1"/>
      <c r="S271" s="1"/>
      <c r="T271" s="1"/>
      <c r="U271" s="1"/>
      <c r="V271" s="1"/>
      <c r="W271" s="1"/>
      <c r="X271" s="1"/>
      <c r="Y271" s="1"/>
    </row>
    <row r="272" spans="1:25" ht="22.5" customHeight="1" x14ac:dyDescent="0.2">
      <c r="A272" s="14" t="s">
        <v>419</v>
      </c>
      <c r="B272" s="3" t="s">
        <v>34</v>
      </c>
      <c r="C272" s="3" t="s">
        <v>35</v>
      </c>
      <c r="D272" s="11" t="s">
        <v>2338</v>
      </c>
      <c r="E272" s="6" t="s">
        <v>420</v>
      </c>
      <c r="F272" s="9">
        <v>45812</v>
      </c>
      <c r="G272" s="3" t="s">
        <v>2095</v>
      </c>
      <c r="H272" s="7" t="s">
        <v>421</v>
      </c>
      <c r="I272" s="3" t="s">
        <v>2309</v>
      </c>
      <c r="J272" s="8">
        <v>45958</v>
      </c>
      <c r="K272" s="3"/>
      <c r="L272" s="3"/>
      <c r="M272" s="1"/>
      <c r="N272" s="1"/>
      <c r="O272" s="1"/>
      <c r="P272" s="1"/>
      <c r="Q272" s="1"/>
      <c r="R272" s="1"/>
      <c r="S272" s="1"/>
      <c r="T272" s="1"/>
      <c r="U272" s="1"/>
      <c r="V272" s="1"/>
      <c r="W272" s="1"/>
      <c r="X272" s="1"/>
      <c r="Y272" s="1"/>
    </row>
    <row r="273" spans="1:25" ht="22.5" customHeight="1" x14ac:dyDescent="0.2">
      <c r="A273" s="14" t="s">
        <v>411</v>
      </c>
      <c r="B273" s="3" t="s">
        <v>34</v>
      </c>
      <c r="C273" s="3" t="s">
        <v>35</v>
      </c>
      <c r="D273" s="11" t="s">
        <v>2339</v>
      </c>
      <c r="E273" s="6" t="s">
        <v>412</v>
      </c>
      <c r="F273" s="9">
        <v>45811</v>
      </c>
      <c r="G273" s="3" t="s">
        <v>2095</v>
      </c>
      <c r="H273" s="7" t="s">
        <v>413</v>
      </c>
      <c r="I273" s="3" t="s">
        <v>2309</v>
      </c>
      <c r="J273" s="8">
        <v>45958</v>
      </c>
      <c r="K273" s="3"/>
      <c r="L273" s="3"/>
      <c r="M273" s="1"/>
      <c r="N273" s="1"/>
      <c r="O273" s="1"/>
      <c r="P273" s="1"/>
      <c r="Q273" s="1"/>
      <c r="R273" s="1"/>
      <c r="S273" s="1"/>
      <c r="T273" s="1"/>
      <c r="U273" s="1"/>
      <c r="V273" s="1"/>
      <c r="W273" s="1"/>
      <c r="X273" s="1"/>
      <c r="Y273" s="1"/>
    </row>
    <row r="274" spans="1:25" ht="22.5" customHeight="1" x14ac:dyDescent="0.2">
      <c r="A274" s="14" t="s">
        <v>458</v>
      </c>
      <c r="B274" s="3" t="s">
        <v>34</v>
      </c>
      <c r="C274" s="3" t="s">
        <v>35</v>
      </c>
      <c r="D274" s="11" t="s">
        <v>2340</v>
      </c>
      <c r="E274" s="6" t="s">
        <v>69</v>
      </c>
      <c r="F274" s="9">
        <v>45811</v>
      </c>
      <c r="G274" s="3" t="s">
        <v>2095</v>
      </c>
      <c r="H274" s="7" t="s">
        <v>459</v>
      </c>
      <c r="I274" s="3" t="s">
        <v>2309</v>
      </c>
      <c r="J274" s="8">
        <v>45958</v>
      </c>
      <c r="K274" s="3"/>
      <c r="L274" s="3"/>
      <c r="M274" s="1"/>
      <c r="N274" s="1"/>
      <c r="O274" s="1"/>
      <c r="P274" s="1"/>
      <c r="Q274" s="1"/>
      <c r="R274" s="1"/>
      <c r="S274" s="1"/>
      <c r="T274" s="1"/>
      <c r="U274" s="1"/>
      <c r="V274" s="1"/>
      <c r="W274" s="1"/>
      <c r="X274" s="1"/>
      <c r="Y274" s="1"/>
    </row>
    <row r="275" spans="1:25" ht="22.5" customHeight="1" x14ac:dyDescent="0.2">
      <c r="A275" s="14" t="s">
        <v>444</v>
      </c>
      <c r="B275" s="3" t="s">
        <v>34</v>
      </c>
      <c r="C275" s="3" t="s">
        <v>35</v>
      </c>
      <c r="D275" s="11" t="s">
        <v>2271</v>
      </c>
      <c r="E275" s="6" t="s">
        <v>190</v>
      </c>
      <c r="F275" s="9">
        <v>45811</v>
      </c>
      <c r="G275" s="3" t="s">
        <v>2095</v>
      </c>
      <c r="H275" s="7" t="s">
        <v>445</v>
      </c>
      <c r="I275" s="17" t="s">
        <v>2260</v>
      </c>
      <c r="J275" s="8">
        <v>45958</v>
      </c>
      <c r="K275" s="3"/>
      <c r="L275" s="3"/>
      <c r="M275" s="1"/>
      <c r="N275" s="1"/>
      <c r="O275" s="1"/>
      <c r="P275" s="1"/>
      <c r="Q275" s="1"/>
      <c r="R275" s="1"/>
      <c r="S275" s="1"/>
      <c r="T275" s="1"/>
      <c r="U275" s="1"/>
      <c r="V275" s="1"/>
      <c r="W275" s="1"/>
      <c r="X275" s="1"/>
      <c r="Y275" s="1"/>
    </row>
    <row r="276" spans="1:25" ht="22.5" customHeight="1" x14ac:dyDescent="0.2">
      <c r="A276" s="14" t="s">
        <v>414</v>
      </c>
      <c r="B276" s="3" t="s">
        <v>34</v>
      </c>
      <c r="C276" s="3" t="s">
        <v>35</v>
      </c>
      <c r="D276" s="11" t="s">
        <v>2341</v>
      </c>
      <c r="E276" s="6" t="s">
        <v>415</v>
      </c>
      <c r="F276" s="9">
        <v>45811</v>
      </c>
      <c r="G276" s="3" t="s">
        <v>2095</v>
      </c>
      <c r="H276" s="7" t="s">
        <v>416</v>
      </c>
      <c r="I276" s="3" t="s">
        <v>2309</v>
      </c>
      <c r="J276" s="8">
        <v>45958</v>
      </c>
      <c r="K276" s="3"/>
      <c r="L276" s="3"/>
      <c r="M276" s="1"/>
      <c r="N276" s="1"/>
      <c r="O276" s="1"/>
      <c r="P276" s="1"/>
      <c r="Q276" s="1"/>
      <c r="R276" s="1"/>
      <c r="S276" s="1"/>
      <c r="T276" s="1"/>
      <c r="U276" s="1"/>
      <c r="V276" s="1"/>
      <c r="W276" s="1"/>
      <c r="X276" s="1"/>
      <c r="Y276" s="1"/>
    </row>
    <row r="277" spans="1:25" ht="22.5" customHeight="1" x14ac:dyDescent="0.2">
      <c r="A277" s="14" t="s">
        <v>454</v>
      </c>
      <c r="B277" s="3" t="s">
        <v>34</v>
      </c>
      <c r="C277" s="3" t="s">
        <v>35</v>
      </c>
      <c r="D277" s="11" t="s">
        <v>2342</v>
      </c>
      <c r="E277" s="6" t="s">
        <v>127</v>
      </c>
      <c r="F277" s="9">
        <v>45811</v>
      </c>
      <c r="G277" s="3" t="s">
        <v>2095</v>
      </c>
      <c r="H277" s="7" t="s">
        <v>455</v>
      </c>
      <c r="I277" s="3" t="s">
        <v>2309</v>
      </c>
      <c r="J277" s="8">
        <v>45958</v>
      </c>
      <c r="K277" s="3"/>
      <c r="L277" s="3"/>
      <c r="M277" s="1"/>
      <c r="N277" s="1"/>
      <c r="O277" s="1"/>
      <c r="P277" s="1"/>
      <c r="Q277" s="1"/>
      <c r="R277" s="1"/>
      <c r="S277" s="1"/>
      <c r="T277" s="1"/>
      <c r="U277" s="1"/>
      <c r="V277" s="1"/>
      <c r="W277" s="1"/>
      <c r="X277" s="1"/>
      <c r="Y277" s="1"/>
    </row>
    <row r="278" spans="1:25" ht="22.5" customHeight="1" x14ac:dyDescent="0.2">
      <c r="A278" s="14" t="s">
        <v>488</v>
      </c>
      <c r="B278" s="3" t="s">
        <v>34</v>
      </c>
      <c r="C278" s="3" t="s">
        <v>35</v>
      </c>
      <c r="D278" s="11" t="s">
        <v>2343</v>
      </c>
      <c r="E278" s="6" t="s">
        <v>127</v>
      </c>
      <c r="F278" s="9">
        <v>45811</v>
      </c>
      <c r="G278" s="3" t="s">
        <v>2095</v>
      </c>
      <c r="H278" s="7" t="s">
        <v>489</v>
      </c>
      <c r="I278" s="3" t="s">
        <v>2309</v>
      </c>
      <c r="J278" s="8">
        <v>45958</v>
      </c>
      <c r="K278" s="3"/>
      <c r="L278" s="3"/>
      <c r="M278" s="1"/>
      <c r="N278" s="1"/>
      <c r="O278" s="1"/>
      <c r="P278" s="1"/>
      <c r="Q278" s="1"/>
      <c r="R278" s="1"/>
      <c r="S278" s="1"/>
      <c r="T278" s="1"/>
      <c r="U278" s="1"/>
      <c r="V278" s="1"/>
      <c r="W278" s="1"/>
      <c r="X278" s="1"/>
      <c r="Y278" s="1"/>
    </row>
    <row r="279" spans="1:25" ht="22.5" customHeight="1" x14ac:dyDescent="0.2">
      <c r="A279" s="14" t="s">
        <v>439</v>
      </c>
      <c r="B279" s="3" t="s">
        <v>34</v>
      </c>
      <c r="C279" s="3" t="s">
        <v>35</v>
      </c>
      <c r="D279" s="11" t="s">
        <v>2344</v>
      </c>
      <c r="E279" s="6" t="s">
        <v>440</v>
      </c>
      <c r="F279" s="9">
        <v>45806</v>
      </c>
      <c r="G279" s="3" t="s">
        <v>2095</v>
      </c>
      <c r="H279" s="7" t="s">
        <v>441</v>
      </c>
      <c r="I279" s="3" t="s">
        <v>2309</v>
      </c>
      <c r="J279" s="8">
        <v>45959</v>
      </c>
      <c r="K279" s="3"/>
      <c r="L279" s="3"/>
      <c r="M279" s="1"/>
      <c r="N279" s="1"/>
      <c r="O279" s="1"/>
      <c r="P279" s="1"/>
      <c r="Q279" s="1"/>
      <c r="R279" s="1"/>
      <c r="S279" s="1"/>
      <c r="T279" s="1"/>
      <c r="U279" s="1"/>
      <c r="V279" s="1"/>
      <c r="W279" s="1"/>
      <c r="X279" s="1"/>
      <c r="Y279" s="1"/>
    </row>
    <row r="280" spans="1:25" ht="22.5" customHeight="1" x14ac:dyDescent="0.2">
      <c r="A280" s="14" t="s">
        <v>446</v>
      </c>
      <c r="B280" s="3" t="s">
        <v>34</v>
      </c>
      <c r="C280" s="3" t="s">
        <v>35</v>
      </c>
      <c r="D280" s="11" t="s">
        <v>2345</v>
      </c>
      <c r="E280" s="6" t="s">
        <v>447</v>
      </c>
      <c r="F280" s="9">
        <v>45805</v>
      </c>
      <c r="G280" s="3" t="s">
        <v>2095</v>
      </c>
      <c r="H280" s="7" t="s">
        <v>449</v>
      </c>
      <c r="I280" s="3" t="s">
        <v>2096</v>
      </c>
      <c r="J280" s="8">
        <v>45959</v>
      </c>
      <c r="K280" s="3" t="s">
        <v>2346</v>
      </c>
      <c r="L280" s="3" t="s">
        <v>2347</v>
      </c>
      <c r="M280" s="1"/>
      <c r="N280" s="1"/>
      <c r="O280" s="1"/>
      <c r="P280" s="1"/>
      <c r="Q280" s="1"/>
      <c r="R280" s="1"/>
      <c r="S280" s="1"/>
      <c r="T280" s="1"/>
      <c r="U280" s="1"/>
      <c r="V280" s="1"/>
      <c r="W280" s="1"/>
      <c r="X280" s="1"/>
      <c r="Y280" s="1"/>
    </row>
    <row r="281" spans="1:25" ht="22.5" customHeight="1" x14ac:dyDescent="0.2">
      <c r="A281" s="14" t="s">
        <v>450</v>
      </c>
      <c r="B281" s="3" t="s">
        <v>34</v>
      </c>
      <c r="C281" s="3" t="s">
        <v>35</v>
      </c>
      <c r="D281" s="11" t="s">
        <v>2348</v>
      </c>
      <c r="E281" s="6" t="s">
        <v>451</v>
      </c>
      <c r="F281" s="9">
        <v>45803</v>
      </c>
      <c r="G281" s="3" t="s">
        <v>2095</v>
      </c>
      <c r="H281" s="7" t="s">
        <v>452</v>
      </c>
      <c r="I281" s="3" t="s">
        <v>2096</v>
      </c>
      <c r="J281" s="8">
        <v>45959</v>
      </c>
      <c r="K281" s="3" t="s">
        <v>2346</v>
      </c>
      <c r="L281" s="3" t="s">
        <v>2349</v>
      </c>
      <c r="M281" s="1"/>
      <c r="N281" s="1"/>
      <c r="O281" s="1"/>
      <c r="P281" s="1"/>
      <c r="Q281" s="1"/>
      <c r="R281" s="1"/>
      <c r="S281" s="1"/>
      <c r="T281" s="1"/>
      <c r="U281" s="1"/>
      <c r="V281" s="1"/>
      <c r="W281" s="1"/>
      <c r="X281" s="1"/>
      <c r="Y281" s="1"/>
    </row>
    <row r="282" spans="1:25" ht="22.5" customHeight="1" x14ac:dyDescent="0.2">
      <c r="A282" s="14" t="s">
        <v>417</v>
      </c>
      <c r="B282" s="3" t="s">
        <v>34</v>
      </c>
      <c r="C282" s="3" t="s">
        <v>35</v>
      </c>
      <c r="D282" s="11" t="s">
        <v>2341</v>
      </c>
      <c r="E282" s="6" t="s">
        <v>415</v>
      </c>
      <c r="F282" s="9">
        <v>45798</v>
      </c>
      <c r="G282" s="3" t="s">
        <v>2095</v>
      </c>
      <c r="H282" s="7" t="s">
        <v>418</v>
      </c>
      <c r="I282" s="3" t="s">
        <v>2309</v>
      </c>
      <c r="J282" s="8">
        <v>45959</v>
      </c>
      <c r="K282" s="3"/>
      <c r="L282" s="3"/>
      <c r="M282" s="1"/>
      <c r="N282" s="1"/>
      <c r="O282" s="1"/>
      <c r="P282" s="1"/>
      <c r="Q282" s="1"/>
      <c r="R282" s="1"/>
      <c r="S282" s="1"/>
      <c r="T282" s="1"/>
      <c r="U282" s="1"/>
      <c r="V282" s="1"/>
      <c r="W282" s="1"/>
      <c r="X282" s="1"/>
      <c r="Y282" s="1"/>
    </row>
    <row r="283" spans="1:25" ht="22.5" customHeight="1" x14ac:dyDescent="0.2">
      <c r="A283" s="14" t="s">
        <v>490</v>
      </c>
      <c r="B283" s="3" t="s">
        <v>34</v>
      </c>
      <c r="C283" s="3" t="s">
        <v>35</v>
      </c>
      <c r="D283" s="11" t="s">
        <v>2350</v>
      </c>
      <c r="E283" s="6" t="s">
        <v>491</v>
      </c>
      <c r="F283" s="9">
        <v>45796</v>
      </c>
      <c r="G283" s="3" t="s">
        <v>2095</v>
      </c>
      <c r="H283" s="7" t="s">
        <v>492</v>
      </c>
      <c r="I283" s="3" t="s">
        <v>2096</v>
      </c>
      <c r="J283" s="8">
        <v>45959</v>
      </c>
      <c r="K283" s="3"/>
      <c r="L283" s="3"/>
      <c r="M283" s="1"/>
      <c r="N283" s="1"/>
      <c r="O283" s="1"/>
      <c r="P283" s="1"/>
      <c r="Q283" s="1"/>
      <c r="R283" s="1"/>
      <c r="S283" s="1"/>
      <c r="T283" s="1"/>
      <c r="U283" s="1"/>
      <c r="V283" s="1"/>
      <c r="W283" s="1"/>
      <c r="X283" s="1"/>
      <c r="Y283" s="1"/>
    </row>
    <row r="284" spans="1:25" ht="22.5" customHeight="1" x14ac:dyDescent="0.2">
      <c r="A284" s="14" t="s">
        <v>424</v>
      </c>
      <c r="B284" s="3" t="s">
        <v>34</v>
      </c>
      <c r="C284" s="3" t="s">
        <v>35</v>
      </c>
      <c r="D284" s="11" t="s">
        <v>2341</v>
      </c>
      <c r="E284" s="6" t="s">
        <v>415</v>
      </c>
      <c r="F284" s="9">
        <v>45796</v>
      </c>
      <c r="G284" s="3" t="s">
        <v>2095</v>
      </c>
      <c r="H284" s="7" t="s">
        <v>425</v>
      </c>
      <c r="I284" s="3" t="s">
        <v>2096</v>
      </c>
      <c r="J284" s="8">
        <v>45959</v>
      </c>
      <c r="K284" s="3"/>
      <c r="L284" s="3"/>
      <c r="M284" s="1"/>
      <c r="N284" s="1"/>
      <c r="O284" s="1"/>
      <c r="P284" s="1"/>
      <c r="Q284" s="1"/>
      <c r="R284" s="1"/>
      <c r="S284" s="1"/>
      <c r="T284" s="1"/>
      <c r="U284" s="1"/>
      <c r="V284" s="1"/>
      <c r="W284" s="1"/>
      <c r="X284" s="1"/>
      <c r="Y284" s="1"/>
    </row>
    <row r="285" spans="1:25" ht="22.5" customHeight="1" x14ac:dyDescent="0.2">
      <c r="A285" s="14" t="s">
        <v>577</v>
      </c>
      <c r="B285" s="3" t="s">
        <v>34</v>
      </c>
      <c r="C285" s="3" t="s">
        <v>35</v>
      </c>
      <c r="D285" s="11" t="s">
        <v>2351</v>
      </c>
      <c r="E285" s="6" t="s">
        <v>567</v>
      </c>
      <c r="F285" s="9">
        <v>45796</v>
      </c>
      <c r="G285" s="3" t="s">
        <v>2095</v>
      </c>
      <c r="H285" s="7" t="s">
        <v>578</v>
      </c>
      <c r="I285" s="3" t="s">
        <v>2096</v>
      </c>
      <c r="J285" s="8">
        <v>45959</v>
      </c>
      <c r="K285" s="3"/>
      <c r="L285" s="3"/>
      <c r="M285" s="1"/>
      <c r="N285" s="1"/>
      <c r="O285" s="1"/>
      <c r="P285" s="1"/>
      <c r="Q285" s="1"/>
      <c r="R285" s="1"/>
      <c r="S285" s="1"/>
      <c r="T285" s="1"/>
      <c r="U285" s="1"/>
      <c r="V285" s="1"/>
      <c r="W285" s="1"/>
      <c r="X285" s="1"/>
      <c r="Y285" s="1"/>
    </row>
    <row r="286" spans="1:25" ht="22.5" customHeight="1" x14ac:dyDescent="0.2">
      <c r="A286" s="14" t="s">
        <v>555</v>
      </c>
      <c r="B286" s="3" t="s">
        <v>34</v>
      </c>
      <c r="C286" s="3" t="s">
        <v>35</v>
      </c>
      <c r="D286" s="11" t="s">
        <v>2352</v>
      </c>
      <c r="E286" s="6" t="s">
        <v>556</v>
      </c>
      <c r="F286" s="9">
        <v>45792</v>
      </c>
      <c r="G286" s="3" t="s">
        <v>2095</v>
      </c>
      <c r="H286" s="7" t="s">
        <v>557</v>
      </c>
      <c r="I286" s="3" t="s">
        <v>2309</v>
      </c>
      <c r="J286" s="8">
        <v>45959</v>
      </c>
      <c r="K286" s="3"/>
      <c r="L286" s="3"/>
      <c r="M286" s="1"/>
      <c r="N286" s="1"/>
      <c r="O286" s="1"/>
      <c r="P286" s="1"/>
      <c r="Q286" s="1"/>
      <c r="R286" s="1"/>
      <c r="S286" s="1"/>
      <c r="T286" s="1"/>
      <c r="U286" s="1"/>
      <c r="V286" s="1"/>
      <c r="W286" s="1"/>
      <c r="X286" s="1"/>
      <c r="Y286" s="1"/>
    </row>
    <row r="287" spans="1:25" ht="22.5" customHeight="1" x14ac:dyDescent="0.2">
      <c r="A287" s="14" t="s">
        <v>575</v>
      </c>
      <c r="B287" s="3" t="s">
        <v>34</v>
      </c>
      <c r="C287" s="3" t="s">
        <v>35</v>
      </c>
      <c r="D287" s="11" t="s">
        <v>2353</v>
      </c>
      <c r="E287" s="6" t="s">
        <v>556</v>
      </c>
      <c r="F287" s="9">
        <v>45792</v>
      </c>
      <c r="G287" s="3" t="s">
        <v>2095</v>
      </c>
      <c r="H287" s="7" t="s">
        <v>576</v>
      </c>
      <c r="I287" s="3" t="s">
        <v>2309</v>
      </c>
      <c r="J287" s="8">
        <v>45959</v>
      </c>
      <c r="K287" s="3"/>
      <c r="L287" s="3"/>
      <c r="M287" s="1"/>
      <c r="N287" s="1"/>
      <c r="O287" s="1"/>
      <c r="P287" s="1"/>
      <c r="Q287" s="1"/>
      <c r="R287" s="1"/>
      <c r="S287" s="1"/>
      <c r="T287" s="1"/>
      <c r="U287" s="1"/>
      <c r="V287" s="1"/>
      <c r="W287" s="1"/>
      <c r="X287" s="1"/>
      <c r="Y287" s="1"/>
    </row>
    <row r="288" spans="1:25" ht="22.5" customHeight="1" x14ac:dyDescent="0.2">
      <c r="A288" s="13" t="s">
        <v>561</v>
      </c>
      <c r="B288" s="3" t="s">
        <v>34</v>
      </c>
      <c r="C288" s="3" t="s">
        <v>35</v>
      </c>
      <c r="D288" s="3" t="s">
        <v>2306</v>
      </c>
      <c r="E288" s="6" t="s">
        <v>286</v>
      </c>
      <c r="F288" s="9">
        <v>45791</v>
      </c>
      <c r="G288" s="3" t="s">
        <v>2110</v>
      </c>
      <c r="H288" s="7" t="s">
        <v>562</v>
      </c>
      <c r="I288" s="3" t="s">
        <v>2096</v>
      </c>
      <c r="J288" s="8">
        <v>45959</v>
      </c>
      <c r="K288" s="3" t="s">
        <v>2346</v>
      </c>
      <c r="L288" s="3" t="s">
        <v>2347</v>
      </c>
      <c r="M288" s="1"/>
      <c r="N288" s="1"/>
      <c r="O288" s="1"/>
      <c r="P288" s="1"/>
      <c r="Q288" s="1"/>
      <c r="R288" s="1"/>
      <c r="S288" s="1"/>
      <c r="T288" s="1"/>
      <c r="U288" s="1"/>
      <c r="V288" s="1"/>
      <c r="W288" s="1"/>
      <c r="X288" s="1"/>
      <c r="Y288" s="1"/>
    </row>
    <row r="289" spans="1:25" ht="22.5" customHeight="1" x14ac:dyDescent="0.2">
      <c r="A289" s="14" t="s">
        <v>589</v>
      </c>
      <c r="B289" s="3" t="s">
        <v>34</v>
      </c>
      <c r="C289" s="3" t="s">
        <v>35</v>
      </c>
      <c r="D289" s="11" t="s">
        <v>2354</v>
      </c>
      <c r="E289" s="6" t="s">
        <v>148</v>
      </c>
      <c r="F289" s="9">
        <v>45789</v>
      </c>
      <c r="G289" s="3" t="s">
        <v>2095</v>
      </c>
      <c r="H289" s="7" t="s">
        <v>590</v>
      </c>
      <c r="I289" s="3" t="s">
        <v>2096</v>
      </c>
      <c r="J289" s="8">
        <v>45959</v>
      </c>
      <c r="K289" s="3"/>
      <c r="L289" s="3"/>
      <c r="M289" s="1"/>
      <c r="N289" s="1"/>
      <c r="O289" s="1"/>
      <c r="P289" s="1"/>
      <c r="Q289" s="1"/>
      <c r="R289" s="1"/>
      <c r="S289" s="1"/>
      <c r="T289" s="1"/>
      <c r="U289" s="1"/>
      <c r="V289" s="1"/>
      <c r="W289" s="1"/>
      <c r="X289" s="1"/>
      <c r="Y289" s="1"/>
    </row>
    <row r="290" spans="1:25" ht="22.5" customHeight="1" x14ac:dyDescent="0.2">
      <c r="A290" s="14" t="s">
        <v>579</v>
      </c>
      <c r="B290" s="3" t="s">
        <v>34</v>
      </c>
      <c r="C290" s="3" t="s">
        <v>35</v>
      </c>
      <c r="D290" s="11" t="s">
        <v>2355</v>
      </c>
      <c r="E290" s="6" t="s">
        <v>232</v>
      </c>
      <c r="F290" s="9">
        <v>45789</v>
      </c>
      <c r="G290" s="3" t="s">
        <v>2095</v>
      </c>
      <c r="H290" s="7" t="s">
        <v>580</v>
      </c>
      <c r="I290" s="3" t="s">
        <v>2309</v>
      </c>
      <c r="J290" s="8">
        <v>45959</v>
      </c>
      <c r="K290" s="3"/>
      <c r="L290" s="3"/>
      <c r="M290" s="1"/>
      <c r="N290" s="1"/>
      <c r="O290" s="1"/>
      <c r="P290" s="1"/>
      <c r="Q290" s="1"/>
      <c r="R290" s="1"/>
      <c r="S290" s="1"/>
      <c r="T290" s="1"/>
      <c r="U290" s="1"/>
      <c r="V290" s="1"/>
      <c r="W290" s="1"/>
      <c r="X290" s="1"/>
      <c r="Y290" s="1"/>
    </row>
    <row r="291" spans="1:25" ht="22.5" customHeight="1" x14ac:dyDescent="0.2">
      <c r="A291" s="14" t="s">
        <v>598</v>
      </c>
      <c r="B291" s="3" t="s">
        <v>34</v>
      </c>
      <c r="C291" s="3" t="s">
        <v>35</v>
      </c>
      <c r="D291" s="11" t="s">
        <v>2356</v>
      </c>
      <c r="E291" s="6" t="s">
        <v>583</v>
      </c>
      <c r="F291" s="9">
        <v>45786</v>
      </c>
      <c r="G291" s="3" t="s">
        <v>2095</v>
      </c>
      <c r="H291" s="7" t="s">
        <v>599</v>
      </c>
      <c r="I291" s="3" t="s">
        <v>2096</v>
      </c>
      <c r="J291" s="8">
        <v>45959</v>
      </c>
      <c r="K291" s="3"/>
      <c r="L291" s="3"/>
      <c r="M291" s="1"/>
      <c r="N291" s="1"/>
      <c r="O291" s="1"/>
      <c r="P291" s="1"/>
      <c r="Q291" s="1"/>
      <c r="R291" s="1"/>
      <c r="S291" s="1"/>
      <c r="T291" s="1"/>
      <c r="U291" s="1"/>
      <c r="V291" s="1"/>
      <c r="W291" s="1"/>
      <c r="X291" s="1"/>
      <c r="Y291" s="1"/>
    </row>
    <row r="292" spans="1:25" ht="22.5" customHeight="1" x14ac:dyDescent="0.2">
      <c r="A292" s="14" t="s">
        <v>569</v>
      </c>
      <c r="B292" s="3" t="s">
        <v>34</v>
      </c>
      <c r="C292" s="3" t="s">
        <v>35</v>
      </c>
      <c r="D292" s="11" t="s">
        <v>2357</v>
      </c>
      <c r="E292" s="6" t="s">
        <v>570</v>
      </c>
      <c r="F292" s="9">
        <v>45785</v>
      </c>
      <c r="G292" s="3" t="s">
        <v>2095</v>
      </c>
      <c r="H292" s="7" t="s">
        <v>571</v>
      </c>
      <c r="I292" s="3" t="s">
        <v>2309</v>
      </c>
      <c r="J292" s="8">
        <v>45959</v>
      </c>
      <c r="K292" s="3"/>
      <c r="L292" s="3"/>
      <c r="M292" s="1"/>
      <c r="N292" s="1"/>
      <c r="O292" s="1"/>
      <c r="P292" s="1"/>
      <c r="Q292" s="1"/>
      <c r="R292" s="1"/>
      <c r="S292" s="1"/>
      <c r="T292" s="1"/>
      <c r="U292" s="1"/>
      <c r="V292" s="1"/>
      <c r="W292" s="1"/>
      <c r="X292" s="1"/>
      <c r="Y292" s="1"/>
    </row>
    <row r="293" spans="1:25" ht="22.5" customHeight="1" x14ac:dyDescent="0.2">
      <c r="A293" s="14" t="s">
        <v>529</v>
      </c>
      <c r="B293" s="3" t="s">
        <v>34</v>
      </c>
      <c r="C293" s="3" t="s">
        <v>35</v>
      </c>
      <c r="D293" s="11" t="s">
        <v>2358</v>
      </c>
      <c r="E293" s="6" t="s">
        <v>517</v>
      </c>
      <c r="F293" s="9">
        <v>45782</v>
      </c>
      <c r="G293" s="3" t="s">
        <v>2095</v>
      </c>
      <c r="H293" s="7" t="s">
        <v>530</v>
      </c>
      <c r="I293" s="3" t="s">
        <v>2096</v>
      </c>
      <c r="J293" s="8">
        <v>45959</v>
      </c>
      <c r="K293" s="3"/>
      <c r="L293" s="3"/>
      <c r="M293" s="1"/>
      <c r="N293" s="1"/>
      <c r="O293" s="1"/>
      <c r="P293" s="1"/>
      <c r="Q293" s="1"/>
      <c r="R293" s="1"/>
      <c r="S293" s="1"/>
      <c r="T293" s="1"/>
      <c r="U293" s="1"/>
      <c r="V293" s="1"/>
      <c r="W293" s="1"/>
      <c r="X293" s="1"/>
      <c r="Y293" s="1"/>
    </row>
    <row r="294" spans="1:25" ht="22.5" customHeight="1" x14ac:dyDescent="0.2">
      <c r="A294" s="14" t="s">
        <v>498</v>
      </c>
      <c r="B294" s="3" t="s">
        <v>34</v>
      </c>
      <c r="C294" s="3" t="s">
        <v>35</v>
      </c>
      <c r="D294" s="11" t="s">
        <v>2359</v>
      </c>
      <c r="E294" s="6" t="s">
        <v>499</v>
      </c>
      <c r="F294" s="9">
        <v>45777</v>
      </c>
      <c r="G294" s="3" t="s">
        <v>2095</v>
      </c>
      <c r="H294" s="7" t="s">
        <v>500</v>
      </c>
      <c r="I294" s="3" t="s">
        <v>2096</v>
      </c>
      <c r="J294" s="8">
        <v>45959</v>
      </c>
      <c r="K294" s="3" t="s">
        <v>2346</v>
      </c>
      <c r="L294" s="3" t="s">
        <v>2347</v>
      </c>
      <c r="M294" s="1"/>
      <c r="N294" s="1"/>
      <c r="O294" s="1"/>
      <c r="P294" s="1"/>
      <c r="Q294" s="1"/>
      <c r="R294" s="1"/>
      <c r="S294" s="1"/>
      <c r="T294" s="1"/>
      <c r="U294" s="1"/>
      <c r="V294" s="1"/>
      <c r="W294" s="1"/>
      <c r="X294" s="1"/>
      <c r="Y294" s="1"/>
    </row>
    <row r="295" spans="1:25" ht="22.5" customHeight="1" x14ac:dyDescent="0.2">
      <c r="A295" s="14" t="s">
        <v>546</v>
      </c>
      <c r="B295" s="3" t="s">
        <v>34</v>
      </c>
      <c r="C295" s="3" t="s">
        <v>35</v>
      </c>
      <c r="D295" s="11" t="s">
        <v>2360</v>
      </c>
      <c r="E295" s="6" t="s">
        <v>547</v>
      </c>
      <c r="F295" s="9">
        <v>45776</v>
      </c>
      <c r="G295" s="3" t="s">
        <v>2095</v>
      </c>
      <c r="H295" s="7" t="s">
        <v>548</v>
      </c>
      <c r="I295" s="3" t="s">
        <v>2309</v>
      </c>
      <c r="J295" s="8">
        <v>45959</v>
      </c>
      <c r="K295" s="3"/>
      <c r="L295" s="3"/>
      <c r="M295" s="1"/>
      <c r="N295" s="1"/>
      <c r="O295" s="1"/>
      <c r="P295" s="1"/>
      <c r="Q295" s="1"/>
      <c r="R295" s="1"/>
      <c r="S295" s="1"/>
      <c r="T295" s="1"/>
      <c r="U295" s="1"/>
      <c r="V295" s="1"/>
      <c r="W295" s="1"/>
      <c r="X295" s="1"/>
      <c r="Y295" s="1"/>
    </row>
    <row r="296" spans="1:25" ht="22.5" customHeight="1" x14ac:dyDescent="0.2">
      <c r="A296" s="14" t="s">
        <v>558</v>
      </c>
      <c r="B296" s="3" t="s">
        <v>34</v>
      </c>
      <c r="C296" s="3" t="s">
        <v>35</v>
      </c>
      <c r="D296" s="11" t="s">
        <v>2361</v>
      </c>
      <c r="E296" s="6" t="s">
        <v>559</v>
      </c>
      <c r="F296" s="9">
        <v>45771</v>
      </c>
      <c r="G296" s="3" t="s">
        <v>2095</v>
      </c>
      <c r="H296" s="7" t="s">
        <v>560</v>
      </c>
      <c r="I296" s="3" t="s">
        <v>2309</v>
      </c>
      <c r="J296" s="8">
        <v>45959</v>
      </c>
      <c r="K296" s="3"/>
      <c r="L296" s="3"/>
      <c r="M296" s="1"/>
      <c r="N296" s="1"/>
      <c r="O296" s="1"/>
      <c r="P296" s="1"/>
      <c r="Q296" s="1"/>
      <c r="R296" s="1"/>
      <c r="S296" s="1"/>
      <c r="T296" s="1"/>
      <c r="U296" s="1"/>
      <c r="V296" s="1"/>
      <c r="W296" s="1"/>
      <c r="X296" s="1"/>
      <c r="Y296" s="1"/>
    </row>
    <row r="297" spans="1:25" ht="22.5" customHeight="1" x14ac:dyDescent="0.2">
      <c r="A297" s="14" t="s">
        <v>594</v>
      </c>
      <c r="B297" s="3" t="s">
        <v>34</v>
      </c>
      <c r="C297" s="3" t="s">
        <v>35</v>
      </c>
      <c r="D297" s="11" t="s">
        <v>2362</v>
      </c>
      <c r="E297" s="6" t="s">
        <v>127</v>
      </c>
      <c r="F297" s="9">
        <v>45771</v>
      </c>
      <c r="G297" s="3" t="s">
        <v>2095</v>
      </c>
      <c r="H297" s="7" t="s">
        <v>595</v>
      </c>
      <c r="I297" s="3" t="s">
        <v>2309</v>
      </c>
      <c r="J297" s="8">
        <v>45959</v>
      </c>
      <c r="K297" s="3"/>
      <c r="L297" s="3"/>
      <c r="M297" s="1"/>
      <c r="N297" s="1"/>
      <c r="O297" s="1"/>
      <c r="P297" s="1"/>
      <c r="Q297" s="1"/>
      <c r="R297" s="1"/>
      <c r="S297" s="1"/>
      <c r="T297" s="1"/>
      <c r="U297" s="1"/>
      <c r="V297" s="1"/>
      <c r="W297" s="1"/>
      <c r="X297" s="1"/>
      <c r="Y297" s="1"/>
    </row>
    <row r="298" spans="1:25" ht="22.5" customHeight="1" x14ac:dyDescent="0.2">
      <c r="A298" s="14" t="s">
        <v>516</v>
      </c>
      <c r="B298" s="3" t="s">
        <v>34</v>
      </c>
      <c r="C298" s="3" t="s">
        <v>35</v>
      </c>
      <c r="D298" s="11" t="s">
        <v>2363</v>
      </c>
      <c r="E298" s="6" t="s">
        <v>517</v>
      </c>
      <c r="F298" s="9">
        <v>45771</v>
      </c>
      <c r="G298" s="3" t="s">
        <v>2095</v>
      </c>
      <c r="H298" s="7" t="s">
        <v>518</v>
      </c>
      <c r="I298" s="3" t="s">
        <v>2309</v>
      </c>
      <c r="J298" s="8">
        <v>45959</v>
      </c>
      <c r="K298" s="3"/>
      <c r="L298" s="3"/>
      <c r="M298" s="1"/>
      <c r="N298" s="1"/>
      <c r="O298" s="1"/>
      <c r="P298" s="1"/>
      <c r="Q298" s="1"/>
      <c r="R298" s="1"/>
      <c r="S298" s="1"/>
      <c r="T298" s="1"/>
      <c r="U298" s="1"/>
      <c r="V298" s="1"/>
      <c r="W298" s="1"/>
      <c r="X298" s="1"/>
      <c r="Y298" s="1"/>
    </row>
    <row r="299" spans="1:25" ht="22.5" customHeight="1" x14ac:dyDescent="0.2">
      <c r="A299" s="14" t="s">
        <v>586</v>
      </c>
      <c r="B299" s="3" t="s">
        <v>34</v>
      </c>
      <c r="C299" s="3" t="s">
        <v>35</v>
      </c>
      <c r="D299" s="11" t="s">
        <v>2364</v>
      </c>
      <c r="E299" s="6" t="s">
        <v>587</v>
      </c>
      <c r="F299" s="9">
        <v>45769</v>
      </c>
      <c r="G299" s="3" t="s">
        <v>2095</v>
      </c>
      <c r="H299" s="7" t="s">
        <v>588</v>
      </c>
      <c r="I299" s="3" t="s">
        <v>2096</v>
      </c>
      <c r="J299" s="8">
        <v>45959</v>
      </c>
      <c r="K299" s="3"/>
      <c r="L299" s="3"/>
      <c r="M299" s="1"/>
      <c r="N299" s="1"/>
      <c r="O299" s="1"/>
      <c r="P299" s="1"/>
      <c r="Q299" s="1"/>
      <c r="R299" s="1"/>
      <c r="S299" s="1"/>
      <c r="T299" s="1"/>
      <c r="U299" s="1"/>
      <c r="V299" s="1"/>
      <c r="W299" s="1"/>
      <c r="X299" s="1"/>
      <c r="Y299" s="1"/>
    </row>
    <row r="300" spans="1:25" ht="22.5" customHeight="1" x14ac:dyDescent="0.2">
      <c r="A300" s="14" t="s">
        <v>572</v>
      </c>
      <c r="B300" s="3" t="s">
        <v>34</v>
      </c>
      <c r="C300" s="3" t="s">
        <v>35</v>
      </c>
      <c r="D300" s="11" t="s">
        <v>2365</v>
      </c>
      <c r="E300" s="6" t="s">
        <v>127</v>
      </c>
      <c r="F300" s="9">
        <v>45762</v>
      </c>
      <c r="G300" s="3" t="s">
        <v>2095</v>
      </c>
      <c r="H300" s="7" t="s">
        <v>573</v>
      </c>
      <c r="I300" s="3" t="s">
        <v>2309</v>
      </c>
      <c r="J300" s="8">
        <v>45959</v>
      </c>
      <c r="K300" s="3"/>
      <c r="L300" s="3"/>
      <c r="M300" s="1"/>
      <c r="N300" s="1"/>
      <c r="O300" s="1"/>
      <c r="P300" s="1"/>
      <c r="Q300" s="1"/>
      <c r="R300" s="1"/>
      <c r="S300" s="1"/>
      <c r="T300" s="1"/>
      <c r="U300" s="1"/>
      <c r="V300" s="1"/>
      <c r="W300" s="1"/>
      <c r="X300" s="1"/>
      <c r="Y300" s="1"/>
    </row>
    <row r="301" spans="1:25" ht="22.5" customHeight="1" x14ac:dyDescent="0.2">
      <c r="A301" s="14" t="s">
        <v>566</v>
      </c>
      <c r="B301" s="3" t="s">
        <v>34</v>
      </c>
      <c r="C301" s="3" t="s">
        <v>35</v>
      </c>
      <c r="D301" s="11" t="s">
        <v>2366</v>
      </c>
      <c r="E301" s="6" t="s">
        <v>567</v>
      </c>
      <c r="F301" s="9">
        <v>45761</v>
      </c>
      <c r="G301" s="3" t="s">
        <v>2095</v>
      </c>
      <c r="H301" s="7" t="s">
        <v>568</v>
      </c>
      <c r="I301" s="3" t="s">
        <v>2096</v>
      </c>
      <c r="J301" s="8">
        <v>45959</v>
      </c>
      <c r="K301" s="3"/>
      <c r="L301" s="3"/>
      <c r="M301" s="1"/>
      <c r="N301" s="1"/>
      <c r="O301" s="1"/>
      <c r="P301" s="1"/>
      <c r="Q301" s="1"/>
      <c r="R301" s="1"/>
      <c r="S301" s="1"/>
      <c r="T301" s="1"/>
      <c r="U301" s="1"/>
      <c r="V301" s="1"/>
      <c r="W301" s="1"/>
      <c r="X301" s="1"/>
      <c r="Y301" s="1"/>
    </row>
    <row r="302" spans="1:25" ht="22.5" customHeight="1" x14ac:dyDescent="0.2">
      <c r="A302" s="14" t="s">
        <v>534</v>
      </c>
      <c r="B302" s="3" t="s">
        <v>34</v>
      </c>
      <c r="C302" s="3" t="s">
        <v>35</v>
      </c>
      <c r="D302" s="11" t="s">
        <v>2367</v>
      </c>
      <c r="E302" s="6" t="s">
        <v>535</v>
      </c>
      <c r="F302" s="9">
        <v>45758</v>
      </c>
      <c r="G302" s="3" t="s">
        <v>2095</v>
      </c>
      <c r="H302" s="7" t="s">
        <v>536</v>
      </c>
      <c r="I302" s="3" t="s">
        <v>2309</v>
      </c>
      <c r="J302" s="8">
        <v>45959</v>
      </c>
      <c r="K302" s="3"/>
      <c r="L302" s="3"/>
      <c r="M302" s="1"/>
      <c r="N302" s="1"/>
      <c r="O302" s="1"/>
      <c r="P302" s="1"/>
      <c r="Q302" s="1"/>
      <c r="R302" s="1"/>
      <c r="S302" s="1"/>
      <c r="T302" s="1"/>
      <c r="U302" s="1"/>
      <c r="V302" s="1"/>
      <c r="W302" s="1"/>
      <c r="X302" s="1"/>
      <c r="Y302" s="1"/>
    </row>
    <row r="303" spans="1:25" ht="22.5" customHeight="1" x14ac:dyDescent="0.2">
      <c r="A303" s="14" t="s">
        <v>584</v>
      </c>
      <c r="B303" s="3" t="s">
        <v>34</v>
      </c>
      <c r="C303" s="3" t="s">
        <v>35</v>
      </c>
      <c r="D303" s="11" t="s">
        <v>2368</v>
      </c>
      <c r="E303" s="6" t="s">
        <v>79</v>
      </c>
      <c r="F303" s="9">
        <v>45758</v>
      </c>
      <c r="G303" s="3" t="s">
        <v>2095</v>
      </c>
      <c r="H303" s="7" t="s">
        <v>585</v>
      </c>
      <c r="I303" s="3" t="s">
        <v>2309</v>
      </c>
      <c r="J303" s="8">
        <v>45959</v>
      </c>
      <c r="K303" s="3"/>
      <c r="L303" s="3"/>
      <c r="M303" s="1"/>
      <c r="N303" s="1"/>
      <c r="O303" s="1"/>
      <c r="P303" s="1"/>
      <c r="Q303" s="1"/>
      <c r="R303" s="1"/>
      <c r="S303" s="1"/>
      <c r="T303" s="1"/>
      <c r="U303" s="1"/>
      <c r="V303" s="1"/>
      <c r="W303" s="1"/>
      <c r="X303" s="1"/>
      <c r="Y303" s="1"/>
    </row>
    <row r="304" spans="1:25" ht="22.5" customHeight="1" x14ac:dyDescent="0.2">
      <c r="A304" s="14" t="s">
        <v>552</v>
      </c>
      <c r="B304" s="3" t="s">
        <v>34</v>
      </c>
      <c r="C304" s="3" t="s">
        <v>35</v>
      </c>
      <c r="D304" s="11" t="s">
        <v>2369</v>
      </c>
      <c r="E304" s="6" t="s">
        <v>550</v>
      </c>
      <c r="F304" s="9">
        <v>45757</v>
      </c>
      <c r="G304" s="3" t="s">
        <v>2095</v>
      </c>
      <c r="H304" s="7" t="s">
        <v>553</v>
      </c>
      <c r="I304" s="3" t="s">
        <v>2309</v>
      </c>
      <c r="J304" s="8">
        <v>45959</v>
      </c>
      <c r="K304" s="3"/>
      <c r="L304" s="3"/>
      <c r="M304" s="1"/>
      <c r="N304" s="1"/>
      <c r="O304" s="1"/>
      <c r="P304" s="1"/>
      <c r="Q304" s="1"/>
      <c r="R304" s="1"/>
      <c r="S304" s="1"/>
      <c r="T304" s="1"/>
      <c r="U304" s="1"/>
      <c r="V304" s="1"/>
      <c r="W304" s="1"/>
      <c r="X304" s="1"/>
      <c r="Y304" s="1"/>
    </row>
    <row r="305" spans="1:25" ht="22.5" customHeight="1" x14ac:dyDescent="0.2">
      <c r="A305" s="14" t="s">
        <v>526</v>
      </c>
      <c r="B305" s="3" t="s">
        <v>34</v>
      </c>
      <c r="C305" s="3" t="s">
        <v>35</v>
      </c>
      <c r="D305" s="11" t="s">
        <v>2370</v>
      </c>
      <c r="E305" s="6" t="s">
        <v>527</v>
      </c>
      <c r="F305" s="9">
        <v>45757</v>
      </c>
      <c r="G305" s="3" t="s">
        <v>2095</v>
      </c>
      <c r="H305" s="7" t="s">
        <v>528</v>
      </c>
      <c r="I305" s="3" t="s">
        <v>2096</v>
      </c>
      <c r="J305" s="8">
        <v>45959</v>
      </c>
      <c r="K305" s="3" t="s">
        <v>2346</v>
      </c>
      <c r="L305" s="3" t="s">
        <v>2347</v>
      </c>
      <c r="M305" s="1"/>
      <c r="N305" s="1"/>
      <c r="O305" s="1"/>
      <c r="P305" s="1"/>
      <c r="Q305" s="1"/>
      <c r="R305" s="1"/>
      <c r="S305" s="1"/>
      <c r="T305" s="1"/>
      <c r="U305" s="1"/>
      <c r="V305" s="1"/>
      <c r="W305" s="1"/>
      <c r="X305" s="1"/>
      <c r="Y305" s="1"/>
    </row>
    <row r="306" spans="1:25" ht="22.5" customHeight="1" x14ac:dyDescent="0.2">
      <c r="A306" s="14" t="s">
        <v>541</v>
      </c>
      <c r="B306" s="3" t="s">
        <v>34</v>
      </c>
      <c r="C306" s="3" t="s">
        <v>35</v>
      </c>
      <c r="D306" s="11" t="s">
        <v>2341</v>
      </c>
      <c r="E306" s="6" t="s">
        <v>415</v>
      </c>
      <c r="F306" s="9">
        <v>45756</v>
      </c>
      <c r="G306" s="3" t="s">
        <v>2095</v>
      </c>
      <c r="H306" s="7" t="s">
        <v>542</v>
      </c>
      <c r="I306" s="3" t="s">
        <v>2309</v>
      </c>
      <c r="J306" s="8">
        <v>45959</v>
      </c>
      <c r="K306" s="3"/>
      <c r="L306" s="3"/>
      <c r="M306" s="1"/>
      <c r="N306" s="1"/>
      <c r="O306" s="1"/>
      <c r="P306" s="1"/>
      <c r="Q306" s="1"/>
      <c r="R306" s="1"/>
      <c r="S306" s="1"/>
      <c r="T306" s="1"/>
      <c r="U306" s="1"/>
      <c r="V306" s="1"/>
      <c r="W306" s="1"/>
      <c r="X306" s="1"/>
      <c r="Y306" s="1"/>
    </row>
    <row r="307" spans="1:25" ht="22.5" customHeight="1" x14ac:dyDescent="0.2">
      <c r="A307" s="14" t="s">
        <v>537</v>
      </c>
      <c r="B307" s="3" t="s">
        <v>34</v>
      </c>
      <c r="C307" s="3" t="s">
        <v>35</v>
      </c>
      <c r="D307" s="11" t="s">
        <v>2371</v>
      </c>
      <c r="E307" s="6" t="s">
        <v>79</v>
      </c>
      <c r="F307" s="9">
        <v>45750</v>
      </c>
      <c r="G307" s="3" t="s">
        <v>2095</v>
      </c>
      <c r="H307" s="7" t="s">
        <v>538</v>
      </c>
      <c r="I307" s="3" t="s">
        <v>2309</v>
      </c>
      <c r="J307" s="8">
        <v>45959</v>
      </c>
      <c r="K307" s="3"/>
      <c r="L307" s="3"/>
      <c r="M307" s="1"/>
      <c r="N307" s="1"/>
      <c r="O307" s="1"/>
      <c r="P307" s="1"/>
      <c r="Q307" s="1"/>
      <c r="R307" s="1"/>
      <c r="S307" s="1"/>
      <c r="T307" s="1"/>
      <c r="U307" s="1"/>
      <c r="V307" s="1"/>
      <c r="W307" s="1"/>
      <c r="X307" s="1"/>
      <c r="Y307" s="1"/>
    </row>
    <row r="308" spans="1:25" ht="22.5" customHeight="1" x14ac:dyDescent="0.2">
      <c r="A308" s="14" t="s">
        <v>591</v>
      </c>
      <c r="B308" s="3" t="s">
        <v>34</v>
      </c>
      <c r="C308" s="3" t="s">
        <v>35</v>
      </c>
      <c r="D308" s="11" t="s">
        <v>2372</v>
      </c>
      <c r="E308" s="6" t="s">
        <v>592</v>
      </c>
      <c r="F308" s="9">
        <v>45750</v>
      </c>
      <c r="G308" s="3" t="s">
        <v>2095</v>
      </c>
      <c r="H308" s="7" t="s">
        <v>593</v>
      </c>
      <c r="I308" s="3" t="s">
        <v>2309</v>
      </c>
      <c r="J308" s="8">
        <v>45959</v>
      </c>
      <c r="K308" s="3"/>
      <c r="L308" s="3"/>
      <c r="M308" s="1"/>
      <c r="N308" s="1"/>
      <c r="O308" s="1"/>
      <c r="P308" s="1"/>
      <c r="Q308" s="1"/>
      <c r="R308" s="1"/>
      <c r="S308" s="1"/>
      <c r="T308" s="1"/>
      <c r="U308" s="1"/>
      <c r="V308" s="1"/>
      <c r="W308" s="1"/>
      <c r="X308" s="1"/>
      <c r="Y308" s="1"/>
    </row>
    <row r="309" spans="1:25" ht="22.5" customHeight="1" x14ac:dyDescent="0.2">
      <c r="A309" s="14" t="s">
        <v>493</v>
      </c>
      <c r="B309" s="3" t="s">
        <v>34</v>
      </c>
      <c r="C309" s="3" t="s">
        <v>35</v>
      </c>
      <c r="D309" s="11" t="s">
        <v>2373</v>
      </c>
      <c r="E309" s="6" t="s">
        <v>494</v>
      </c>
      <c r="F309" s="9">
        <v>45749</v>
      </c>
      <c r="G309" s="3" t="s">
        <v>2095</v>
      </c>
      <c r="H309" s="7" t="s">
        <v>495</v>
      </c>
      <c r="I309" s="3" t="s">
        <v>2309</v>
      </c>
      <c r="J309" s="8">
        <v>45959</v>
      </c>
      <c r="K309" s="3"/>
      <c r="L309" s="3"/>
      <c r="M309" s="1"/>
      <c r="N309" s="1"/>
      <c r="O309" s="1"/>
      <c r="P309" s="1"/>
      <c r="Q309" s="1"/>
      <c r="R309" s="1"/>
      <c r="S309" s="1"/>
      <c r="T309" s="1"/>
      <c r="U309" s="1"/>
      <c r="V309" s="1"/>
      <c r="W309" s="1"/>
      <c r="X309" s="1"/>
      <c r="Y309" s="1"/>
    </row>
    <row r="310" spans="1:25" ht="22.5" customHeight="1" x14ac:dyDescent="0.2">
      <c r="A310" s="14" t="s">
        <v>521</v>
      </c>
      <c r="B310" s="3" t="s">
        <v>34</v>
      </c>
      <c r="C310" s="3" t="s">
        <v>35</v>
      </c>
      <c r="D310" s="11" t="s">
        <v>2374</v>
      </c>
      <c r="E310" s="6" t="s">
        <v>522</v>
      </c>
      <c r="F310" s="9">
        <v>45748</v>
      </c>
      <c r="G310" s="3" t="s">
        <v>2095</v>
      </c>
      <c r="H310" s="7" t="s">
        <v>523</v>
      </c>
      <c r="I310" s="3" t="s">
        <v>2309</v>
      </c>
      <c r="J310" s="8">
        <v>45959</v>
      </c>
      <c r="K310" s="3"/>
      <c r="L310" s="3"/>
      <c r="M310" s="1"/>
      <c r="N310" s="1"/>
      <c r="O310" s="1"/>
      <c r="P310" s="1"/>
      <c r="Q310" s="1"/>
      <c r="R310" s="1"/>
      <c r="S310" s="1"/>
      <c r="T310" s="1"/>
      <c r="U310" s="1"/>
      <c r="V310" s="1"/>
      <c r="W310" s="1"/>
      <c r="X310" s="1"/>
      <c r="Y310" s="1"/>
    </row>
    <row r="311" spans="1:25" ht="22.5" customHeight="1" x14ac:dyDescent="0.2">
      <c r="A311" s="14" t="s">
        <v>510</v>
      </c>
      <c r="B311" s="3" t="s">
        <v>34</v>
      </c>
      <c r="C311" s="3" t="s">
        <v>35</v>
      </c>
      <c r="D311" s="11" t="s">
        <v>2375</v>
      </c>
      <c r="E311" s="6" t="s">
        <v>511</v>
      </c>
      <c r="F311" s="9">
        <v>45748</v>
      </c>
      <c r="G311" s="3" t="s">
        <v>2095</v>
      </c>
      <c r="H311" s="7" t="s">
        <v>512</v>
      </c>
      <c r="I311" s="3" t="s">
        <v>2309</v>
      </c>
      <c r="J311" s="8">
        <v>45959</v>
      </c>
      <c r="K311" s="3"/>
      <c r="L311" s="3"/>
      <c r="M311" s="1"/>
      <c r="N311" s="1"/>
      <c r="O311" s="1"/>
      <c r="P311" s="1"/>
      <c r="Q311" s="1"/>
      <c r="R311" s="1"/>
      <c r="S311" s="1"/>
      <c r="T311" s="1"/>
      <c r="U311" s="1"/>
      <c r="V311" s="1"/>
      <c r="W311" s="1"/>
      <c r="X311" s="1"/>
      <c r="Y311" s="1"/>
    </row>
    <row r="312" spans="1:25" ht="22.5" customHeight="1" x14ac:dyDescent="0.2">
      <c r="A312" s="14" t="s">
        <v>539</v>
      </c>
      <c r="B312" s="3" t="s">
        <v>34</v>
      </c>
      <c r="C312" s="3" t="s">
        <v>35</v>
      </c>
      <c r="D312" s="11" t="s">
        <v>2376</v>
      </c>
      <c r="E312" s="6" t="s">
        <v>127</v>
      </c>
      <c r="F312" s="9">
        <v>45744</v>
      </c>
      <c r="G312" s="3" t="s">
        <v>2095</v>
      </c>
      <c r="H312" s="7" t="s">
        <v>540</v>
      </c>
      <c r="I312" s="3" t="s">
        <v>2309</v>
      </c>
      <c r="J312" s="8">
        <v>45959</v>
      </c>
      <c r="K312" s="3"/>
      <c r="L312" s="3"/>
      <c r="M312" s="1"/>
      <c r="N312" s="1"/>
      <c r="O312" s="1"/>
      <c r="P312" s="1"/>
      <c r="Q312" s="1"/>
      <c r="R312" s="1"/>
      <c r="S312" s="1"/>
      <c r="T312" s="1"/>
      <c r="U312" s="1"/>
      <c r="V312" s="1"/>
      <c r="W312" s="1"/>
      <c r="X312" s="1"/>
      <c r="Y312" s="1"/>
    </row>
    <row r="313" spans="1:25" ht="22.5" customHeight="1" x14ac:dyDescent="0.2">
      <c r="A313" s="14" t="s">
        <v>531</v>
      </c>
      <c r="B313" s="3" t="s">
        <v>34</v>
      </c>
      <c r="C313" s="3" t="s">
        <v>35</v>
      </c>
      <c r="D313" s="11" t="s">
        <v>2377</v>
      </c>
      <c r="E313" s="6" t="s">
        <v>127</v>
      </c>
      <c r="F313" s="9">
        <v>45743</v>
      </c>
      <c r="G313" s="3" t="s">
        <v>2095</v>
      </c>
      <c r="H313" s="7" t="s">
        <v>532</v>
      </c>
      <c r="I313" s="3" t="s">
        <v>2309</v>
      </c>
      <c r="J313" s="8">
        <v>45959</v>
      </c>
      <c r="K313" s="3"/>
      <c r="L313" s="3"/>
      <c r="M313" s="1"/>
      <c r="N313" s="1"/>
      <c r="O313" s="1"/>
      <c r="P313" s="1"/>
      <c r="Q313" s="1"/>
      <c r="R313" s="1"/>
      <c r="S313" s="1"/>
      <c r="T313" s="1"/>
      <c r="U313" s="1"/>
      <c r="V313" s="1"/>
      <c r="W313" s="1"/>
      <c r="X313" s="1"/>
      <c r="Y313" s="1"/>
    </row>
    <row r="314" spans="1:25" ht="22.5" customHeight="1" x14ac:dyDescent="0.2">
      <c r="A314" s="14" t="s">
        <v>563</v>
      </c>
      <c r="B314" s="3" t="s">
        <v>34</v>
      </c>
      <c r="C314" s="3" t="s">
        <v>35</v>
      </c>
      <c r="D314" s="11" t="s">
        <v>2378</v>
      </c>
      <c r="E314" s="6" t="s">
        <v>564</v>
      </c>
      <c r="F314" s="9">
        <v>45742</v>
      </c>
      <c r="G314" s="3" t="s">
        <v>2110</v>
      </c>
      <c r="H314" s="7" t="s">
        <v>565</v>
      </c>
      <c r="I314" s="3" t="s">
        <v>2309</v>
      </c>
      <c r="J314" s="8">
        <v>45959</v>
      </c>
      <c r="K314" s="3"/>
      <c r="L314" s="3"/>
      <c r="M314" s="1"/>
      <c r="N314" s="1"/>
      <c r="O314" s="1"/>
      <c r="P314" s="1"/>
      <c r="Q314" s="1"/>
      <c r="R314" s="1"/>
      <c r="S314" s="1"/>
      <c r="T314" s="1"/>
      <c r="U314" s="1"/>
      <c r="V314" s="1"/>
      <c r="W314" s="1"/>
      <c r="X314" s="1"/>
      <c r="Y314" s="1"/>
    </row>
    <row r="315" spans="1:25" ht="22.5" customHeight="1" x14ac:dyDescent="0.2">
      <c r="A315" s="14" t="s">
        <v>507</v>
      </c>
      <c r="B315" s="3" t="s">
        <v>34</v>
      </c>
      <c r="C315" s="3" t="s">
        <v>35</v>
      </c>
      <c r="D315" s="11" t="s">
        <v>2379</v>
      </c>
      <c r="E315" s="6" t="s">
        <v>351</v>
      </c>
      <c r="F315" s="9">
        <v>45740</v>
      </c>
      <c r="G315" s="3" t="s">
        <v>2095</v>
      </c>
      <c r="H315" s="7" t="s">
        <v>508</v>
      </c>
      <c r="I315" s="3" t="s">
        <v>2309</v>
      </c>
      <c r="J315" s="8">
        <v>45959</v>
      </c>
      <c r="K315" s="3"/>
      <c r="L315" s="3"/>
      <c r="M315" s="1"/>
      <c r="N315" s="1"/>
      <c r="O315" s="1"/>
      <c r="P315" s="1"/>
      <c r="Q315" s="1"/>
      <c r="R315" s="1"/>
      <c r="S315" s="1"/>
      <c r="T315" s="1"/>
      <c r="U315" s="1"/>
      <c r="V315" s="1"/>
      <c r="W315" s="1"/>
      <c r="X315" s="1"/>
      <c r="Y315" s="1"/>
    </row>
    <row r="316" spans="1:25" ht="22.5" customHeight="1" x14ac:dyDescent="0.2">
      <c r="A316" s="14" t="s">
        <v>596</v>
      </c>
      <c r="B316" s="3" t="s">
        <v>34</v>
      </c>
      <c r="C316" s="3" t="s">
        <v>35</v>
      </c>
      <c r="D316" s="11" t="s">
        <v>2380</v>
      </c>
      <c r="E316" s="6" t="s">
        <v>583</v>
      </c>
      <c r="F316" s="9">
        <v>45740</v>
      </c>
      <c r="G316" s="3" t="s">
        <v>2095</v>
      </c>
      <c r="H316" s="7" t="s">
        <v>597</v>
      </c>
      <c r="I316" s="3" t="s">
        <v>2309</v>
      </c>
      <c r="J316" s="8">
        <v>45959</v>
      </c>
      <c r="K316" s="3"/>
      <c r="L316" s="3"/>
      <c r="M316" s="1"/>
      <c r="N316" s="1"/>
      <c r="O316" s="1"/>
      <c r="P316" s="1"/>
      <c r="Q316" s="1"/>
      <c r="R316" s="1"/>
      <c r="S316" s="1"/>
      <c r="T316" s="1"/>
      <c r="U316" s="1"/>
      <c r="V316" s="1"/>
      <c r="W316" s="1"/>
      <c r="X316" s="1"/>
      <c r="Y316" s="1"/>
    </row>
    <row r="317" spans="1:25" ht="22.5" customHeight="1" x14ac:dyDescent="0.2">
      <c r="A317" s="14" t="s">
        <v>543</v>
      </c>
      <c r="B317" s="3" t="s">
        <v>34</v>
      </c>
      <c r="C317" s="3" t="s">
        <v>35</v>
      </c>
      <c r="D317" s="11" t="s">
        <v>2381</v>
      </c>
      <c r="E317" s="6" t="s">
        <v>544</v>
      </c>
      <c r="F317" s="9">
        <v>45740</v>
      </c>
      <c r="G317" s="3" t="s">
        <v>2095</v>
      </c>
      <c r="H317" s="7" t="s">
        <v>545</v>
      </c>
      <c r="I317" s="3" t="s">
        <v>2309</v>
      </c>
      <c r="J317" s="8">
        <v>45959</v>
      </c>
      <c r="K317" s="3"/>
      <c r="L317" s="3"/>
      <c r="M317" s="1"/>
      <c r="N317" s="1"/>
      <c r="O317" s="1"/>
      <c r="P317" s="1"/>
      <c r="Q317" s="1"/>
      <c r="R317" s="1"/>
      <c r="S317" s="1"/>
      <c r="T317" s="1"/>
      <c r="U317" s="1"/>
      <c r="V317" s="1"/>
      <c r="W317" s="1"/>
      <c r="X317" s="1"/>
      <c r="Y317" s="1"/>
    </row>
    <row r="318" spans="1:25" ht="22.5" customHeight="1" x14ac:dyDescent="0.2">
      <c r="A318" s="14" t="s">
        <v>549</v>
      </c>
      <c r="B318" s="3" t="s">
        <v>34</v>
      </c>
      <c r="C318" s="3" t="s">
        <v>35</v>
      </c>
      <c r="D318" s="11" t="s">
        <v>2382</v>
      </c>
      <c r="E318" s="6" t="s">
        <v>550</v>
      </c>
      <c r="F318" s="9">
        <v>45740</v>
      </c>
      <c r="G318" s="3" t="s">
        <v>2095</v>
      </c>
      <c r="H318" s="7" t="s">
        <v>551</v>
      </c>
      <c r="I318" s="3" t="s">
        <v>2309</v>
      </c>
      <c r="J318" s="8">
        <v>45959</v>
      </c>
      <c r="K318" s="3"/>
      <c r="L318" s="3"/>
      <c r="M318" s="1"/>
      <c r="N318" s="1"/>
      <c r="O318" s="1"/>
      <c r="P318" s="1"/>
      <c r="Q318" s="1"/>
      <c r="R318" s="1"/>
      <c r="S318" s="1"/>
      <c r="T318" s="1"/>
      <c r="U318" s="1"/>
      <c r="V318" s="1"/>
      <c r="W318" s="1"/>
      <c r="X318" s="1"/>
      <c r="Y318" s="1"/>
    </row>
    <row r="319" spans="1:25" ht="22.5" customHeight="1" x14ac:dyDescent="0.2">
      <c r="A319" s="14" t="s">
        <v>503</v>
      </c>
      <c r="B319" s="3" t="s">
        <v>34</v>
      </c>
      <c r="C319" s="3" t="s">
        <v>35</v>
      </c>
      <c r="D319" s="11" t="s">
        <v>2383</v>
      </c>
      <c r="E319" s="6" t="s">
        <v>504</v>
      </c>
      <c r="F319" s="9">
        <v>45736</v>
      </c>
      <c r="G319" s="3" t="s">
        <v>2095</v>
      </c>
      <c r="H319" s="7" t="s">
        <v>505</v>
      </c>
      <c r="I319" s="3" t="s">
        <v>2096</v>
      </c>
      <c r="J319" s="8">
        <v>45959</v>
      </c>
      <c r="K319" s="3" t="s">
        <v>2346</v>
      </c>
      <c r="L319" s="3" t="s">
        <v>2347</v>
      </c>
      <c r="M319" s="1"/>
      <c r="N319" s="1"/>
      <c r="O319" s="1"/>
      <c r="P319" s="1"/>
      <c r="Q319" s="1"/>
      <c r="R319" s="1"/>
      <c r="S319" s="1"/>
      <c r="T319" s="1"/>
      <c r="U319" s="1"/>
      <c r="V319" s="1"/>
      <c r="W319" s="1"/>
      <c r="X319" s="1"/>
      <c r="Y319" s="1"/>
    </row>
    <row r="320" spans="1:25" ht="22.5" customHeight="1" x14ac:dyDescent="0.2">
      <c r="A320" s="14" t="s">
        <v>496</v>
      </c>
      <c r="B320" s="3" t="s">
        <v>34</v>
      </c>
      <c r="C320" s="3" t="s">
        <v>35</v>
      </c>
      <c r="D320" s="11" t="s">
        <v>2310</v>
      </c>
      <c r="E320" s="6" t="s">
        <v>289</v>
      </c>
      <c r="F320" s="9">
        <v>45735</v>
      </c>
      <c r="G320" s="3" t="s">
        <v>2095</v>
      </c>
      <c r="H320" s="7" t="s">
        <v>497</v>
      </c>
      <c r="I320" s="3" t="s">
        <v>2309</v>
      </c>
      <c r="J320" s="8">
        <v>45959</v>
      </c>
      <c r="K320" s="3"/>
      <c r="L320" s="3"/>
      <c r="M320" s="1"/>
      <c r="N320" s="1"/>
      <c r="O320" s="1"/>
      <c r="P320" s="1"/>
      <c r="Q320" s="1"/>
      <c r="R320" s="1"/>
      <c r="S320" s="1"/>
      <c r="T320" s="1"/>
      <c r="U320" s="1"/>
      <c r="V320" s="1"/>
      <c r="W320" s="1"/>
      <c r="X320" s="1"/>
      <c r="Y320" s="1"/>
    </row>
    <row r="321" spans="1:25" ht="22.5" customHeight="1" x14ac:dyDescent="0.2">
      <c r="A321" s="14" t="s">
        <v>706</v>
      </c>
      <c r="B321" s="3" t="s">
        <v>34</v>
      </c>
      <c r="C321" s="3" t="s">
        <v>35</v>
      </c>
      <c r="D321" s="11" t="s">
        <v>2384</v>
      </c>
      <c r="E321" s="6" t="s">
        <v>481</v>
      </c>
      <c r="F321" s="9">
        <v>45733</v>
      </c>
      <c r="G321" s="3" t="s">
        <v>2095</v>
      </c>
      <c r="H321" s="7" t="s">
        <v>707</v>
      </c>
      <c r="I321" s="3" t="s">
        <v>2309</v>
      </c>
      <c r="J321" s="8">
        <v>45959</v>
      </c>
      <c r="K321" s="3"/>
      <c r="L321" s="3"/>
      <c r="M321" s="1"/>
      <c r="N321" s="1"/>
      <c r="O321" s="1"/>
      <c r="P321" s="1"/>
      <c r="Q321" s="1"/>
      <c r="R321" s="1"/>
      <c r="S321" s="1"/>
      <c r="T321" s="1"/>
      <c r="U321" s="1"/>
      <c r="V321" s="1"/>
      <c r="W321" s="1"/>
      <c r="X321" s="1"/>
      <c r="Y321" s="1"/>
    </row>
    <row r="322" spans="1:25" ht="22.5" customHeight="1" x14ac:dyDescent="0.2">
      <c r="A322" s="14" t="s">
        <v>700</v>
      </c>
      <c r="B322" s="3" t="s">
        <v>34</v>
      </c>
      <c r="C322" s="3" t="s">
        <v>35</v>
      </c>
      <c r="D322" s="11" t="s">
        <v>2385</v>
      </c>
      <c r="E322" s="6" t="s">
        <v>701</v>
      </c>
      <c r="F322" s="9">
        <v>45730</v>
      </c>
      <c r="G322" s="3" t="s">
        <v>2110</v>
      </c>
      <c r="H322" s="7" t="s">
        <v>702</v>
      </c>
      <c r="I322" s="3" t="s">
        <v>2096</v>
      </c>
      <c r="J322" s="8">
        <v>45959</v>
      </c>
      <c r="K322" s="3" t="s">
        <v>2346</v>
      </c>
      <c r="L322" s="3" t="s">
        <v>2347</v>
      </c>
      <c r="M322" s="1"/>
      <c r="N322" s="1"/>
      <c r="O322" s="1"/>
      <c r="P322" s="1"/>
      <c r="Q322" s="1"/>
      <c r="R322" s="1"/>
      <c r="S322" s="1"/>
      <c r="T322" s="1"/>
      <c r="U322" s="1"/>
      <c r="V322" s="1"/>
      <c r="W322" s="1"/>
      <c r="X322" s="1"/>
      <c r="Y322" s="1"/>
    </row>
    <row r="323" spans="1:25" ht="22.5" customHeight="1" x14ac:dyDescent="0.2">
      <c r="A323" s="14" t="s">
        <v>647</v>
      </c>
      <c r="B323" s="3" t="s">
        <v>34</v>
      </c>
      <c r="C323" s="3" t="s">
        <v>35</v>
      </c>
      <c r="D323" s="11" t="s">
        <v>2386</v>
      </c>
      <c r="E323" s="6" t="s">
        <v>648</v>
      </c>
      <c r="F323" s="9">
        <v>45730</v>
      </c>
      <c r="G323" s="3" t="s">
        <v>2095</v>
      </c>
      <c r="H323" s="7" t="s">
        <v>649</v>
      </c>
      <c r="I323" s="3" t="s">
        <v>2309</v>
      </c>
      <c r="J323" s="8">
        <v>45959</v>
      </c>
      <c r="K323" s="3"/>
      <c r="L323" s="3"/>
      <c r="M323" s="1"/>
      <c r="N323" s="1"/>
      <c r="O323" s="1"/>
      <c r="P323" s="1"/>
      <c r="Q323" s="1"/>
      <c r="R323" s="1"/>
      <c r="S323" s="1"/>
      <c r="T323" s="1"/>
      <c r="U323" s="1"/>
      <c r="V323" s="1"/>
      <c r="W323" s="1"/>
      <c r="X323" s="1"/>
      <c r="Y323" s="1"/>
    </row>
    <row r="324" spans="1:25" ht="22.5" customHeight="1" x14ac:dyDescent="0.2">
      <c r="A324" s="14" t="s">
        <v>637</v>
      </c>
      <c r="B324" s="3" t="s">
        <v>34</v>
      </c>
      <c r="C324" s="3" t="s">
        <v>35</v>
      </c>
      <c r="D324" s="11" t="s">
        <v>2387</v>
      </c>
      <c r="E324" s="6" t="s">
        <v>631</v>
      </c>
      <c r="F324" s="9">
        <v>45726</v>
      </c>
      <c r="G324" s="3" t="s">
        <v>2110</v>
      </c>
      <c r="H324" s="7" t="s">
        <v>638</v>
      </c>
      <c r="I324" s="3" t="s">
        <v>2309</v>
      </c>
      <c r="J324" s="8">
        <v>45959</v>
      </c>
      <c r="K324" s="3"/>
      <c r="L324" s="3"/>
      <c r="M324" s="1"/>
      <c r="N324" s="1"/>
      <c r="O324" s="1"/>
      <c r="P324" s="1"/>
      <c r="Q324" s="1"/>
      <c r="R324" s="1"/>
      <c r="S324" s="1"/>
      <c r="T324" s="1"/>
      <c r="U324" s="1"/>
      <c r="V324" s="1"/>
      <c r="W324" s="1"/>
      <c r="X324" s="1"/>
      <c r="Y324" s="1"/>
    </row>
    <row r="325" spans="1:25" ht="22.5" customHeight="1" x14ac:dyDescent="0.2">
      <c r="A325" s="14" t="s">
        <v>656</v>
      </c>
      <c r="B325" s="3" t="s">
        <v>34</v>
      </c>
      <c r="C325" s="3" t="s">
        <v>35</v>
      </c>
      <c r="D325" s="11" t="s">
        <v>2388</v>
      </c>
      <c r="E325" s="6" t="s">
        <v>657</v>
      </c>
      <c r="F325" s="9">
        <v>45716</v>
      </c>
      <c r="G325" s="3" t="s">
        <v>2095</v>
      </c>
      <c r="H325" s="7" t="s">
        <v>658</v>
      </c>
      <c r="I325" s="3" t="s">
        <v>2309</v>
      </c>
      <c r="J325" s="8">
        <v>45959</v>
      </c>
      <c r="K325" s="3"/>
      <c r="L325" s="3"/>
      <c r="M325" s="1"/>
      <c r="N325" s="1"/>
      <c r="O325" s="1"/>
      <c r="P325" s="1"/>
      <c r="Q325" s="1"/>
      <c r="R325" s="1"/>
      <c r="S325" s="1"/>
      <c r="T325" s="1"/>
      <c r="U325" s="1"/>
      <c r="V325" s="1"/>
      <c r="W325" s="1"/>
      <c r="X325" s="1"/>
      <c r="Y325" s="1"/>
    </row>
    <row r="326" spans="1:25" ht="22.5" customHeight="1" x14ac:dyDescent="0.2">
      <c r="A326" s="14" t="s">
        <v>678</v>
      </c>
      <c r="B326" s="3" t="s">
        <v>34</v>
      </c>
      <c r="C326" s="3" t="s">
        <v>35</v>
      </c>
      <c r="D326" s="11" t="s">
        <v>2389</v>
      </c>
      <c r="E326" s="6" t="s">
        <v>679</v>
      </c>
      <c r="F326" s="9">
        <v>45716</v>
      </c>
      <c r="G326" s="3" t="s">
        <v>2095</v>
      </c>
      <c r="H326" s="7" t="s">
        <v>680</v>
      </c>
      <c r="I326" s="3" t="s">
        <v>2309</v>
      </c>
      <c r="J326" s="8">
        <v>45959</v>
      </c>
      <c r="K326" s="3"/>
      <c r="L326" s="3"/>
      <c r="M326" s="1"/>
      <c r="N326" s="1"/>
      <c r="O326" s="1"/>
      <c r="P326" s="1"/>
      <c r="Q326" s="1"/>
      <c r="R326" s="1"/>
      <c r="S326" s="1"/>
      <c r="T326" s="1"/>
      <c r="U326" s="1"/>
      <c r="V326" s="1"/>
      <c r="W326" s="1"/>
      <c r="X326" s="1"/>
      <c r="Y326" s="1"/>
    </row>
    <row r="327" spans="1:25" ht="22.5" customHeight="1" x14ac:dyDescent="0.2">
      <c r="A327" s="14" t="s">
        <v>633</v>
      </c>
      <c r="B327" s="3" t="s">
        <v>34</v>
      </c>
      <c r="C327" s="3" t="s">
        <v>35</v>
      </c>
      <c r="D327" s="11" t="s">
        <v>2295</v>
      </c>
      <c r="E327" s="6" t="s">
        <v>127</v>
      </c>
      <c r="F327" s="9">
        <v>45715</v>
      </c>
      <c r="G327" s="3" t="s">
        <v>2095</v>
      </c>
      <c r="H327" s="7" t="s">
        <v>634</v>
      </c>
      <c r="I327" s="3" t="s">
        <v>2309</v>
      </c>
      <c r="J327" s="8">
        <v>45959</v>
      </c>
      <c r="K327" s="3"/>
      <c r="L327" s="3"/>
      <c r="M327" s="1"/>
      <c r="N327" s="1"/>
      <c r="O327" s="1"/>
      <c r="P327" s="1"/>
      <c r="Q327" s="1"/>
      <c r="R327" s="1"/>
      <c r="S327" s="1"/>
      <c r="T327" s="1"/>
      <c r="U327" s="1"/>
      <c r="V327" s="1"/>
      <c r="W327" s="1"/>
      <c r="X327" s="1"/>
      <c r="Y327" s="1"/>
    </row>
    <row r="328" spans="1:25" ht="22.5" customHeight="1" x14ac:dyDescent="0.2">
      <c r="A328" s="14" t="s">
        <v>640</v>
      </c>
      <c r="B328" s="3" t="s">
        <v>34</v>
      </c>
      <c r="C328" s="3" t="s">
        <v>35</v>
      </c>
      <c r="D328" s="11" t="s">
        <v>2390</v>
      </c>
      <c r="E328" s="6" t="s">
        <v>641</v>
      </c>
      <c r="F328" s="9">
        <v>45714</v>
      </c>
      <c r="G328" s="3" t="s">
        <v>2095</v>
      </c>
      <c r="H328" s="7" t="s">
        <v>642</v>
      </c>
      <c r="I328" s="3" t="s">
        <v>2309</v>
      </c>
      <c r="J328" s="8">
        <v>45959</v>
      </c>
      <c r="K328" s="3"/>
      <c r="L328" s="3"/>
      <c r="M328" s="1"/>
      <c r="N328" s="1"/>
      <c r="O328" s="1"/>
      <c r="P328" s="1"/>
      <c r="Q328" s="1"/>
      <c r="R328" s="1"/>
      <c r="S328" s="1"/>
      <c r="T328" s="1"/>
      <c r="U328" s="1"/>
      <c r="V328" s="1"/>
      <c r="W328" s="1"/>
      <c r="X328" s="1"/>
      <c r="Y328" s="1"/>
    </row>
    <row r="329" spans="1:25" ht="22.5" customHeight="1" x14ac:dyDescent="0.2">
      <c r="A329" s="14" t="s">
        <v>654</v>
      </c>
      <c r="B329" s="3" t="s">
        <v>34</v>
      </c>
      <c r="C329" s="3" t="s">
        <v>35</v>
      </c>
      <c r="D329" s="11" t="s">
        <v>2391</v>
      </c>
      <c r="E329" s="6" t="s">
        <v>351</v>
      </c>
      <c r="F329" s="9">
        <v>45714</v>
      </c>
      <c r="G329" s="3" t="s">
        <v>2095</v>
      </c>
      <c r="H329" s="7" t="s">
        <v>655</v>
      </c>
      <c r="I329" s="3" t="s">
        <v>2309</v>
      </c>
      <c r="J329" s="8">
        <v>45959</v>
      </c>
      <c r="K329" s="3"/>
      <c r="L329" s="3"/>
      <c r="M329" s="1"/>
      <c r="N329" s="1"/>
      <c r="O329" s="1"/>
      <c r="P329" s="1"/>
      <c r="Q329" s="1"/>
      <c r="R329" s="1"/>
      <c r="S329" s="1"/>
      <c r="T329" s="1"/>
      <c r="U329" s="1"/>
      <c r="V329" s="1"/>
      <c r="W329" s="1"/>
      <c r="X329" s="1"/>
      <c r="Y329" s="1"/>
    </row>
    <row r="330" spans="1:25" ht="22.5" customHeight="1" x14ac:dyDescent="0.2">
      <c r="A330" s="14" t="s">
        <v>681</v>
      </c>
      <c r="B330" s="3" t="s">
        <v>34</v>
      </c>
      <c r="C330" s="3" t="s">
        <v>35</v>
      </c>
      <c r="D330" s="11" t="s">
        <v>2392</v>
      </c>
      <c r="E330" s="6" t="s">
        <v>682</v>
      </c>
      <c r="F330" s="9">
        <v>45714</v>
      </c>
      <c r="G330" s="3" t="s">
        <v>2095</v>
      </c>
      <c r="H330" s="7" t="s">
        <v>615</v>
      </c>
      <c r="I330" s="3" t="s">
        <v>2309</v>
      </c>
      <c r="J330" s="8">
        <v>45959</v>
      </c>
      <c r="K330" s="3"/>
      <c r="L330" s="3"/>
      <c r="M330" s="1"/>
      <c r="N330" s="1"/>
      <c r="O330" s="1"/>
      <c r="P330" s="1"/>
      <c r="Q330" s="1"/>
      <c r="R330" s="1"/>
      <c r="S330" s="1"/>
      <c r="T330" s="1"/>
      <c r="U330" s="1"/>
      <c r="V330" s="1"/>
      <c r="W330" s="1"/>
      <c r="X330" s="1"/>
      <c r="Y330" s="1"/>
    </row>
    <row r="331" spans="1:25" ht="22.5" customHeight="1" x14ac:dyDescent="0.2">
      <c r="A331" s="14" t="s">
        <v>611</v>
      </c>
      <c r="B331" s="3" t="s">
        <v>34</v>
      </c>
      <c r="C331" s="3" t="s">
        <v>35</v>
      </c>
      <c r="D331" s="11" t="s">
        <v>2393</v>
      </c>
      <c r="E331" s="6" t="s">
        <v>127</v>
      </c>
      <c r="F331" s="9">
        <v>45714</v>
      </c>
      <c r="G331" s="3" t="s">
        <v>2095</v>
      </c>
      <c r="H331" s="7" t="s">
        <v>612</v>
      </c>
      <c r="I331" s="3" t="s">
        <v>2309</v>
      </c>
      <c r="J331" s="8">
        <v>45959</v>
      </c>
      <c r="K331" s="3"/>
      <c r="L331" s="3"/>
      <c r="M331" s="1"/>
      <c r="N331" s="1"/>
      <c r="O331" s="1"/>
      <c r="P331" s="1"/>
      <c r="Q331" s="1"/>
      <c r="R331" s="1"/>
      <c r="S331" s="1"/>
      <c r="T331" s="1"/>
      <c r="U331" s="1"/>
      <c r="V331" s="1"/>
      <c r="W331" s="1"/>
      <c r="X331" s="1"/>
      <c r="Y331" s="1"/>
    </row>
    <row r="332" spans="1:25" ht="22.5" customHeight="1" x14ac:dyDescent="0.2">
      <c r="A332" s="14" t="s">
        <v>698</v>
      </c>
      <c r="B332" s="3" t="s">
        <v>34</v>
      </c>
      <c r="C332" s="3" t="s">
        <v>35</v>
      </c>
      <c r="D332" s="11" t="s">
        <v>2276</v>
      </c>
      <c r="E332" s="6" t="s">
        <v>239</v>
      </c>
      <c r="F332" s="9">
        <v>45712</v>
      </c>
      <c r="G332" s="3" t="s">
        <v>2095</v>
      </c>
      <c r="H332" s="7" t="s">
        <v>699</v>
      </c>
      <c r="I332" s="3" t="s">
        <v>2309</v>
      </c>
      <c r="J332" s="8">
        <v>45959</v>
      </c>
      <c r="K332" s="3"/>
      <c r="L332" s="3"/>
      <c r="M332" s="1"/>
      <c r="N332" s="1"/>
      <c r="O332" s="1"/>
      <c r="P332" s="1"/>
      <c r="Q332" s="1"/>
      <c r="R332" s="1"/>
      <c r="S332" s="1"/>
      <c r="T332" s="1"/>
      <c r="U332" s="1"/>
      <c r="V332" s="1"/>
      <c r="W332" s="1"/>
      <c r="X332" s="1"/>
      <c r="Y332" s="1"/>
    </row>
    <row r="333" spans="1:25" ht="22.5" customHeight="1" x14ac:dyDescent="0.2">
      <c r="A333" s="13" t="s">
        <v>619</v>
      </c>
      <c r="B333" s="3" t="s">
        <v>34</v>
      </c>
      <c r="C333" s="3" t="s">
        <v>35</v>
      </c>
      <c r="D333" s="3" t="s">
        <v>2394</v>
      </c>
      <c r="E333" s="6" t="s">
        <v>617</v>
      </c>
      <c r="F333" s="9">
        <v>45712</v>
      </c>
      <c r="G333" s="3" t="s">
        <v>2110</v>
      </c>
      <c r="H333" s="7" t="s">
        <v>620</v>
      </c>
      <c r="I333" s="3" t="s">
        <v>2309</v>
      </c>
      <c r="J333" s="8">
        <v>45959</v>
      </c>
      <c r="K333" s="3"/>
      <c r="L333" s="3"/>
      <c r="M333" s="1"/>
      <c r="N333" s="1"/>
      <c r="O333" s="1"/>
      <c r="P333" s="1"/>
      <c r="Q333" s="1"/>
      <c r="R333" s="1"/>
      <c r="S333" s="1"/>
      <c r="T333" s="1"/>
      <c r="U333" s="1"/>
      <c r="V333" s="1"/>
      <c r="W333" s="1"/>
      <c r="X333" s="1"/>
      <c r="Y333" s="1"/>
    </row>
    <row r="334" spans="1:25" ht="22.5" customHeight="1" x14ac:dyDescent="0.2">
      <c r="A334" s="14" t="s">
        <v>683</v>
      </c>
      <c r="B334" s="3" t="s">
        <v>34</v>
      </c>
      <c r="C334" s="3" t="s">
        <v>35</v>
      </c>
      <c r="D334" s="11" t="s">
        <v>2395</v>
      </c>
      <c r="E334" s="6" t="s">
        <v>351</v>
      </c>
      <c r="F334" s="9">
        <v>45712</v>
      </c>
      <c r="G334" s="3" t="s">
        <v>2095</v>
      </c>
      <c r="H334" s="7" t="s">
        <v>684</v>
      </c>
      <c r="I334" s="3" t="s">
        <v>2309</v>
      </c>
      <c r="J334" s="8">
        <v>45959</v>
      </c>
      <c r="K334" s="3"/>
      <c r="L334" s="3"/>
      <c r="M334" s="1"/>
      <c r="N334" s="1"/>
      <c r="O334" s="1"/>
      <c r="P334" s="1"/>
      <c r="Q334" s="1"/>
      <c r="R334" s="1"/>
      <c r="S334" s="1"/>
      <c r="T334" s="1"/>
      <c r="U334" s="1"/>
      <c r="V334" s="1"/>
      <c r="W334" s="1"/>
      <c r="X334" s="1"/>
      <c r="Y334" s="1"/>
    </row>
    <row r="335" spans="1:25" ht="22.5" customHeight="1" x14ac:dyDescent="0.2">
      <c r="A335" s="14" t="s">
        <v>704</v>
      </c>
      <c r="B335" s="3" t="s">
        <v>34</v>
      </c>
      <c r="C335" s="3" t="s">
        <v>35</v>
      </c>
      <c r="D335" s="11" t="s">
        <v>2396</v>
      </c>
      <c r="E335" s="6" t="s">
        <v>696</v>
      </c>
      <c r="F335" s="9">
        <v>45708</v>
      </c>
      <c r="G335" s="3" t="s">
        <v>2095</v>
      </c>
      <c r="H335" s="7" t="s">
        <v>705</v>
      </c>
      <c r="I335" s="3" t="s">
        <v>2309</v>
      </c>
      <c r="J335" s="8">
        <v>45959</v>
      </c>
      <c r="K335" s="3"/>
      <c r="L335" s="3"/>
      <c r="M335" s="1"/>
      <c r="N335" s="1"/>
      <c r="O335" s="1"/>
      <c r="P335" s="1"/>
      <c r="Q335" s="1"/>
      <c r="R335" s="1"/>
      <c r="S335" s="1"/>
      <c r="T335" s="1"/>
      <c r="U335" s="1"/>
      <c r="V335" s="1"/>
      <c r="W335" s="1"/>
      <c r="X335" s="1"/>
      <c r="Y335" s="1"/>
    </row>
    <row r="336" spans="1:25" ht="22.5" customHeight="1" x14ac:dyDescent="0.2">
      <c r="A336" s="14" t="s">
        <v>685</v>
      </c>
      <c r="B336" s="3" t="s">
        <v>34</v>
      </c>
      <c r="C336" s="3" t="s">
        <v>35</v>
      </c>
      <c r="D336" s="11" t="s">
        <v>2397</v>
      </c>
      <c r="E336" s="6" t="s">
        <v>351</v>
      </c>
      <c r="F336" s="9">
        <v>45707</v>
      </c>
      <c r="G336" s="3" t="s">
        <v>2095</v>
      </c>
      <c r="H336" s="7" t="s">
        <v>686</v>
      </c>
      <c r="I336" s="3" t="s">
        <v>2309</v>
      </c>
      <c r="J336" s="8">
        <v>45959</v>
      </c>
      <c r="K336" s="3"/>
      <c r="L336" s="3"/>
      <c r="M336" s="1"/>
      <c r="N336" s="1"/>
      <c r="O336" s="1"/>
      <c r="P336" s="1"/>
      <c r="Q336" s="1"/>
      <c r="R336" s="1"/>
      <c r="S336" s="1"/>
      <c r="T336" s="1"/>
      <c r="U336" s="1"/>
      <c r="V336" s="1"/>
      <c r="W336" s="1"/>
      <c r="X336" s="1"/>
      <c r="Y336" s="1"/>
    </row>
    <row r="337" spans="1:25" ht="22.5" customHeight="1" x14ac:dyDescent="0.2">
      <c r="A337" s="14" t="s">
        <v>613</v>
      </c>
      <c r="B337" s="3" t="s">
        <v>34</v>
      </c>
      <c r="C337" s="3" t="s">
        <v>35</v>
      </c>
      <c r="D337" s="11" t="s">
        <v>2398</v>
      </c>
      <c r="E337" s="6" t="s">
        <v>614</v>
      </c>
      <c r="F337" s="9">
        <v>45707</v>
      </c>
      <c r="G337" s="3" t="s">
        <v>2110</v>
      </c>
      <c r="H337" s="7" t="s">
        <v>615</v>
      </c>
      <c r="I337" s="3" t="s">
        <v>2309</v>
      </c>
      <c r="J337" s="8">
        <v>45959</v>
      </c>
      <c r="K337" s="3"/>
      <c r="L337" s="3"/>
      <c r="M337" s="1"/>
      <c r="N337" s="1"/>
      <c r="O337" s="1"/>
      <c r="P337" s="1"/>
      <c r="Q337" s="1"/>
      <c r="R337" s="1"/>
      <c r="S337" s="1"/>
      <c r="T337" s="1"/>
      <c r="U337" s="1"/>
      <c r="V337" s="1"/>
      <c r="W337" s="1"/>
      <c r="X337" s="1"/>
      <c r="Y337" s="1"/>
    </row>
    <row r="338" spans="1:25" ht="22.5" customHeight="1" x14ac:dyDescent="0.2">
      <c r="A338" s="14" t="s">
        <v>600</v>
      </c>
      <c r="B338" s="3" t="s">
        <v>34</v>
      </c>
      <c r="C338" s="3" t="s">
        <v>35</v>
      </c>
      <c r="D338" s="11" t="s">
        <v>2399</v>
      </c>
      <c r="E338" s="6" t="s">
        <v>494</v>
      </c>
      <c r="F338" s="9">
        <v>45706</v>
      </c>
      <c r="G338" s="3" t="s">
        <v>2095</v>
      </c>
      <c r="H338" s="7" t="s">
        <v>601</v>
      </c>
      <c r="I338" s="3" t="s">
        <v>2309</v>
      </c>
      <c r="J338" s="8">
        <v>45959</v>
      </c>
      <c r="K338" s="3"/>
      <c r="L338" s="3"/>
      <c r="M338" s="1"/>
      <c r="N338" s="1"/>
      <c r="O338" s="1"/>
      <c r="P338" s="1"/>
      <c r="Q338" s="1"/>
      <c r="R338" s="1"/>
      <c r="S338" s="1"/>
      <c r="T338" s="1"/>
      <c r="U338" s="1"/>
      <c r="V338" s="1"/>
      <c r="W338" s="1"/>
      <c r="X338" s="1"/>
      <c r="Y338" s="1"/>
    </row>
    <row r="339" spans="1:25" ht="22.5" customHeight="1" x14ac:dyDescent="0.2">
      <c r="A339" s="14" t="s">
        <v>650</v>
      </c>
      <c r="B339" s="3" t="s">
        <v>34</v>
      </c>
      <c r="C339" s="3" t="s">
        <v>35</v>
      </c>
      <c r="D339" s="11" t="s">
        <v>2400</v>
      </c>
      <c r="E339" s="6" t="s">
        <v>651</v>
      </c>
      <c r="F339" s="9">
        <v>45705</v>
      </c>
      <c r="G339" s="3" t="s">
        <v>2095</v>
      </c>
      <c r="H339" s="7" t="s">
        <v>652</v>
      </c>
      <c r="I339" s="3" t="s">
        <v>2309</v>
      </c>
      <c r="J339" s="8">
        <v>45959</v>
      </c>
      <c r="K339" s="3"/>
      <c r="L339" s="3"/>
      <c r="M339" s="1"/>
      <c r="N339" s="1"/>
      <c r="O339" s="1"/>
      <c r="P339" s="1"/>
      <c r="Q339" s="1"/>
      <c r="R339" s="1"/>
      <c r="S339" s="1"/>
      <c r="T339" s="1"/>
      <c r="U339" s="1"/>
      <c r="V339" s="1"/>
      <c r="W339" s="1"/>
      <c r="X339" s="1"/>
      <c r="Y339" s="1"/>
    </row>
    <row r="340" spans="1:25" ht="22.5" customHeight="1" x14ac:dyDescent="0.2">
      <c r="A340" s="14" t="s">
        <v>695</v>
      </c>
      <c r="B340" s="3" t="s">
        <v>34</v>
      </c>
      <c r="C340" s="3" t="s">
        <v>35</v>
      </c>
      <c r="D340" s="11" t="s">
        <v>2401</v>
      </c>
      <c r="E340" s="6" t="s">
        <v>696</v>
      </c>
      <c r="F340" s="9">
        <v>45702</v>
      </c>
      <c r="G340" s="3" t="s">
        <v>2095</v>
      </c>
      <c r="H340" s="7" t="s">
        <v>652</v>
      </c>
      <c r="I340" s="3" t="s">
        <v>2309</v>
      </c>
      <c r="J340" s="8">
        <v>45959</v>
      </c>
      <c r="K340" s="3"/>
      <c r="L340" s="3"/>
      <c r="M340" s="1"/>
      <c r="N340" s="1"/>
      <c r="O340" s="1"/>
      <c r="P340" s="1"/>
      <c r="Q340" s="1"/>
      <c r="R340" s="1"/>
      <c r="S340" s="1"/>
      <c r="T340" s="1"/>
      <c r="U340" s="1"/>
      <c r="V340" s="1"/>
      <c r="W340" s="1"/>
      <c r="X340" s="1"/>
      <c r="Y340" s="1"/>
    </row>
    <row r="341" spans="1:25" ht="22.5" customHeight="1" x14ac:dyDescent="0.2">
      <c r="A341" s="14" t="s">
        <v>621</v>
      </c>
      <c r="B341" s="3" t="s">
        <v>34</v>
      </c>
      <c r="C341" s="3" t="s">
        <v>35</v>
      </c>
      <c r="D341" s="11" t="s">
        <v>2402</v>
      </c>
      <c r="E341" s="6" t="s">
        <v>622</v>
      </c>
      <c r="F341" s="9">
        <v>45700</v>
      </c>
      <c r="G341" s="3" t="s">
        <v>2095</v>
      </c>
      <c r="H341" s="7" t="s">
        <v>623</v>
      </c>
      <c r="I341" s="3" t="s">
        <v>2309</v>
      </c>
      <c r="J341" s="8">
        <v>45959</v>
      </c>
      <c r="K341" s="3"/>
      <c r="L341" s="3"/>
      <c r="M341" s="1"/>
      <c r="N341" s="1"/>
      <c r="O341" s="1"/>
      <c r="P341" s="1"/>
      <c r="Q341" s="1"/>
      <c r="R341" s="1"/>
      <c r="S341" s="1"/>
      <c r="T341" s="1"/>
      <c r="U341" s="1"/>
      <c r="V341" s="1"/>
      <c r="W341" s="1"/>
      <c r="X341" s="1"/>
      <c r="Y341" s="1"/>
    </row>
    <row r="342" spans="1:25" ht="22.5" customHeight="1" x14ac:dyDescent="0.2">
      <c r="A342" s="14" t="s">
        <v>687</v>
      </c>
      <c r="B342" s="3" t="s">
        <v>34</v>
      </c>
      <c r="C342" s="3" t="s">
        <v>35</v>
      </c>
      <c r="D342" s="11" t="s">
        <v>2403</v>
      </c>
      <c r="E342" s="6" t="s">
        <v>688</v>
      </c>
      <c r="F342" s="9">
        <v>45698</v>
      </c>
      <c r="G342" s="3" t="s">
        <v>2095</v>
      </c>
      <c r="H342" s="7" t="s">
        <v>689</v>
      </c>
      <c r="I342" s="3" t="s">
        <v>2309</v>
      </c>
      <c r="J342" s="8">
        <v>45959</v>
      </c>
      <c r="K342" s="3"/>
      <c r="L342" s="3"/>
      <c r="M342" s="1"/>
      <c r="N342" s="1"/>
      <c r="O342" s="1"/>
      <c r="P342" s="1"/>
      <c r="Q342" s="1"/>
      <c r="R342" s="1"/>
      <c r="S342" s="1"/>
      <c r="T342" s="1"/>
      <c r="U342" s="1"/>
      <c r="V342" s="1"/>
      <c r="W342" s="1"/>
      <c r="X342" s="1"/>
      <c r="Y342" s="1"/>
    </row>
    <row r="343" spans="1:25" ht="22.5" customHeight="1" x14ac:dyDescent="0.2">
      <c r="A343" s="14" t="s">
        <v>675</v>
      </c>
      <c r="B343" s="3" t="s">
        <v>34</v>
      </c>
      <c r="C343" s="3" t="s">
        <v>35</v>
      </c>
      <c r="D343" s="11" t="s">
        <v>2404</v>
      </c>
      <c r="E343" s="6" t="s">
        <v>676</v>
      </c>
      <c r="F343" s="9">
        <v>45695</v>
      </c>
      <c r="G343" s="3" t="s">
        <v>2095</v>
      </c>
      <c r="H343" s="7" t="s">
        <v>677</v>
      </c>
      <c r="I343" s="3" t="s">
        <v>2309</v>
      </c>
      <c r="J343" s="8">
        <v>45959</v>
      </c>
      <c r="K343" s="3"/>
      <c r="L343" s="3"/>
      <c r="M343" s="1"/>
      <c r="N343" s="1"/>
      <c r="O343" s="1"/>
      <c r="P343" s="1"/>
      <c r="Q343" s="1"/>
      <c r="R343" s="1"/>
      <c r="S343" s="1"/>
      <c r="T343" s="1"/>
      <c r="U343" s="1"/>
      <c r="V343" s="1"/>
      <c r="W343" s="1"/>
      <c r="X343" s="1"/>
      <c r="Y343" s="1"/>
    </row>
    <row r="344" spans="1:25" ht="22.5" customHeight="1" x14ac:dyDescent="0.2">
      <c r="A344" s="13"/>
      <c r="B344" s="3"/>
      <c r="C344" s="3" t="s">
        <v>2058</v>
      </c>
      <c r="D344" s="3"/>
      <c r="E344" s="7" t="s">
        <v>2405</v>
      </c>
      <c r="F344" s="3"/>
      <c r="G344" s="3" t="s">
        <v>2095</v>
      </c>
      <c r="H344" s="3" t="s">
        <v>2068</v>
      </c>
      <c r="I344" s="3"/>
      <c r="J344" s="3"/>
      <c r="K344" s="3"/>
      <c r="L344" s="3"/>
      <c r="M344" s="1"/>
      <c r="N344" s="1"/>
      <c r="O344" s="1"/>
      <c r="P344" s="1"/>
      <c r="Q344" s="1"/>
      <c r="R344" s="1"/>
      <c r="S344" s="1"/>
      <c r="T344" s="1"/>
      <c r="U344" s="1"/>
      <c r="V344" s="1"/>
      <c r="W344" s="1"/>
      <c r="X344" s="1"/>
      <c r="Y344" s="1"/>
    </row>
    <row r="345" spans="1:25" ht="22.5" customHeight="1" x14ac:dyDescent="0.2">
      <c r="A345" s="18" t="s">
        <v>104</v>
      </c>
      <c r="B345" s="3"/>
      <c r="C345" s="3" t="s">
        <v>35</v>
      </c>
      <c r="D345" s="3"/>
      <c r="E345" s="6" t="s">
        <v>2406</v>
      </c>
      <c r="F345" s="9">
        <v>45916</v>
      </c>
      <c r="G345" s="3" t="s">
        <v>2095</v>
      </c>
      <c r="H345" s="3" t="s">
        <v>106</v>
      </c>
      <c r="I345" s="3" t="s">
        <v>2407</v>
      </c>
      <c r="J345" s="8">
        <v>45960</v>
      </c>
      <c r="K345" s="3"/>
      <c r="L345" s="3"/>
      <c r="M345" s="1"/>
      <c r="N345" s="1"/>
      <c r="O345" s="1"/>
      <c r="P345" s="1"/>
      <c r="Q345" s="1"/>
      <c r="R345" s="1"/>
      <c r="S345" s="1"/>
      <c r="T345" s="1"/>
      <c r="U345" s="1"/>
      <c r="V345" s="1"/>
      <c r="W345" s="1"/>
      <c r="X345" s="1"/>
      <c r="Y345" s="1"/>
    </row>
    <row r="346" spans="1:25" ht="22.5" customHeight="1" x14ac:dyDescent="0.2">
      <c r="A346" s="13"/>
      <c r="B346" s="3"/>
      <c r="C346" s="3"/>
      <c r="D346" s="3"/>
      <c r="E346" s="6"/>
      <c r="F346" s="3"/>
      <c r="G346" s="3"/>
      <c r="H346" s="3"/>
      <c r="I346" s="3"/>
      <c r="J346" s="3"/>
      <c r="K346" s="3"/>
      <c r="L346" s="3"/>
      <c r="M346" s="1"/>
      <c r="N346" s="1"/>
      <c r="O346" s="1"/>
      <c r="P346" s="1"/>
      <c r="Q346" s="1"/>
      <c r="R346" s="1"/>
      <c r="S346" s="1"/>
      <c r="T346" s="1"/>
      <c r="U346" s="1"/>
      <c r="V346" s="1"/>
      <c r="W346" s="1"/>
      <c r="X346" s="1"/>
      <c r="Y346" s="1"/>
    </row>
    <row r="347" spans="1:25" ht="22.5" customHeight="1" x14ac:dyDescent="0.2">
      <c r="A347" s="13"/>
      <c r="B347" s="3"/>
      <c r="C347" s="3"/>
      <c r="D347" s="3"/>
      <c r="E347" s="6"/>
      <c r="F347" s="3"/>
      <c r="G347" s="3"/>
      <c r="H347" s="3"/>
      <c r="I347" s="3"/>
      <c r="J347" s="3"/>
      <c r="K347" s="3"/>
      <c r="L347" s="3"/>
      <c r="M347" s="1"/>
      <c r="N347" s="1"/>
      <c r="O347" s="1"/>
      <c r="P347" s="1"/>
      <c r="Q347" s="1"/>
      <c r="R347" s="1"/>
      <c r="S347" s="1"/>
      <c r="T347" s="1"/>
      <c r="U347" s="1"/>
      <c r="V347" s="1"/>
      <c r="W347" s="1"/>
      <c r="X347" s="1"/>
      <c r="Y347" s="1"/>
    </row>
    <row r="348" spans="1:25" ht="22.5" customHeight="1" x14ac:dyDescent="0.2">
      <c r="A348" s="13"/>
      <c r="B348" s="3"/>
      <c r="C348" s="3"/>
      <c r="D348" s="3"/>
      <c r="E348" s="6"/>
      <c r="F348" s="3"/>
      <c r="G348" s="3"/>
      <c r="H348" s="3"/>
      <c r="I348" s="3"/>
      <c r="J348" s="3"/>
      <c r="K348" s="3"/>
      <c r="L348" s="3"/>
      <c r="M348" s="1"/>
      <c r="N348" s="1"/>
      <c r="O348" s="1"/>
      <c r="P348" s="1"/>
      <c r="Q348" s="1"/>
      <c r="R348" s="1"/>
      <c r="S348" s="1"/>
      <c r="T348" s="1"/>
      <c r="U348" s="1"/>
      <c r="V348" s="1"/>
      <c r="W348" s="1"/>
      <c r="X348" s="1"/>
      <c r="Y348" s="1"/>
    </row>
    <row r="349" spans="1:25" ht="22.5" customHeight="1" x14ac:dyDescent="0.2">
      <c r="A349" s="13"/>
      <c r="B349" s="3"/>
      <c r="C349" s="3"/>
      <c r="D349" s="3"/>
      <c r="E349" s="6"/>
      <c r="F349" s="3"/>
      <c r="G349" s="3"/>
      <c r="H349" s="3"/>
      <c r="I349" s="3"/>
      <c r="J349" s="3"/>
      <c r="K349" s="3"/>
      <c r="L349" s="3"/>
      <c r="M349" s="1"/>
      <c r="N349" s="1"/>
      <c r="O349" s="1"/>
      <c r="P349" s="1"/>
      <c r="Q349" s="1"/>
      <c r="R349" s="1"/>
      <c r="S349" s="1"/>
      <c r="T349" s="1"/>
      <c r="U349" s="1"/>
      <c r="V349" s="1"/>
      <c r="W349" s="1"/>
      <c r="X349" s="1"/>
      <c r="Y349" s="1"/>
    </row>
    <row r="350" spans="1:25" ht="22.5" customHeight="1" x14ac:dyDescent="0.2">
      <c r="A350" s="13"/>
      <c r="B350" s="3"/>
      <c r="C350" s="3"/>
      <c r="D350" s="3"/>
      <c r="E350" s="6"/>
      <c r="F350" s="3"/>
      <c r="G350" s="3"/>
      <c r="H350" s="3"/>
      <c r="I350" s="3"/>
      <c r="J350" s="3"/>
      <c r="K350" s="3"/>
      <c r="L350" s="3"/>
      <c r="M350" s="1"/>
      <c r="N350" s="1"/>
      <c r="O350" s="1"/>
      <c r="P350" s="1"/>
      <c r="Q350" s="1"/>
      <c r="R350" s="1"/>
      <c r="S350" s="1"/>
      <c r="T350" s="1"/>
      <c r="U350" s="1"/>
      <c r="V350" s="1"/>
      <c r="W350" s="1"/>
      <c r="X350" s="1"/>
      <c r="Y350" s="1"/>
    </row>
    <row r="351" spans="1:25" ht="22.5" customHeight="1" x14ac:dyDescent="0.2">
      <c r="A351" s="13"/>
      <c r="B351" s="3"/>
      <c r="C351" s="3"/>
      <c r="D351" s="3"/>
      <c r="E351" s="6"/>
      <c r="F351" s="3"/>
      <c r="G351" s="3"/>
      <c r="H351" s="3"/>
      <c r="I351" s="3"/>
      <c r="J351" s="3"/>
      <c r="K351" s="3"/>
      <c r="L351" s="3"/>
      <c r="M351" s="1"/>
      <c r="N351" s="1"/>
      <c r="O351" s="1"/>
      <c r="P351" s="1"/>
      <c r="Q351" s="1"/>
      <c r="R351" s="1"/>
      <c r="S351" s="1"/>
      <c r="T351" s="1"/>
      <c r="U351" s="1"/>
      <c r="V351" s="1"/>
      <c r="W351" s="1"/>
      <c r="X351" s="1"/>
      <c r="Y351" s="1"/>
    </row>
    <row r="352" spans="1:25" ht="22.5" customHeight="1" x14ac:dyDescent="0.2">
      <c r="A352" s="13"/>
      <c r="B352" s="3"/>
      <c r="C352" s="3"/>
      <c r="D352" s="3"/>
      <c r="E352" s="6"/>
      <c r="F352" s="3"/>
      <c r="G352" s="3"/>
      <c r="H352" s="3"/>
      <c r="I352" s="3"/>
      <c r="J352" s="3"/>
      <c r="K352" s="3"/>
      <c r="L352" s="3"/>
      <c r="M352" s="1"/>
      <c r="N352" s="1"/>
      <c r="O352" s="1"/>
      <c r="P352" s="1"/>
      <c r="Q352" s="1"/>
      <c r="R352" s="1"/>
      <c r="S352" s="1"/>
      <c r="T352" s="1"/>
      <c r="U352" s="1"/>
      <c r="V352" s="1"/>
      <c r="W352" s="1"/>
      <c r="X352" s="1"/>
      <c r="Y352" s="1"/>
    </row>
    <row r="353" spans="1:25" ht="22.5" customHeight="1" x14ac:dyDescent="0.2">
      <c r="A353" s="13"/>
      <c r="B353" s="3"/>
      <c r="C353" s="3"/>
      <c r="D353" s="3"/>
      <c r="E353" s="6"/>
      <c r="F353" s="3"/>
      <c r="G353" s="3"/>
      <c r="H353" s="3"/>
      <c r="I353" s="3"/>
      <c r="J353" s="3"/>
      <c r="K353" s="3"/>
      <c r="L353" s="3"/>
      <c r="M353" s="1"/>
      <c r="N353" s="1"/>
      <c r="O353" s="1"/>
      <c r="P353" s="1"/>
      <c r="Q353" s="1"/>
      <c r="R353" s="1"/>
      <c r="S353" s="1"/>
      <c r="T353" s="1"/>
      <c r="U353" s="1"/>
      <c r="V353" s="1"/>
      <c r="W353" s="1"/>
      <c r="X353" s="1"/>
      <c r="Y353" s="1"/>
    </row>
    <row r="354" spans="1:25" ht="22.5" customHeight="1" x14ac:dyDescent="0.2">
      <c r="A354" s="13"/>
      <c r="B354" s="3"/>
      <c r="C354" s="3"/>
      <c r="D354" s="3"/>
      <c r="E354" s="6"/>
      <c r="F354" s="3"/>
      <c r="G354" s="3"/>
      <c r="H354" s="3"/>
      <c r="I354" s="3"/>
      <c r="J354" s="3"/>
      <c r="K354" s="3"/>
      <c r="L354" s="3"/>
      <c r="M354" s="1"/>
      <c r="N354" s="1"/>
      <c r="O354" s="1"/>
      <c r="P354" s="1"/>
      <c r="Q354" s="1"/>
      <c r="R354" s="1"/>
      <c r="S354" s="1"/>
      <c r="T354" s="1"/>
      <c r="U354" s="1"/>
      <c r="V354" s="1"/>
      <c r="W354" s="1"/>
      <c r="X354" s="1"/>
      <c r="Y354" s="1"/>
    </row>
    <row r="355" spans="1:25" ht="22.5" customHeight="1" x14ac:dyDescent="0.2">
      <c r="A355" s="13"/>
      <c r="B355" s="3"/>
      <c r="C355" s="3"/>
      <c r="D355" s="3"/>
      <c r="E355" s="6"/>
      <c r="F355" s="3"/>
      <c r="G355" s="3"/>
      <c r="H355" s="3"/>
      <c r="I355" s="3"/>
      <c r="J355" s="3"/>
      <c r="K355" s="3"/>
      <c r="L355" s="3"/>
      <c r="M355" s="1"/>
      <c r="N355" s="1"/>
      <c r="O355" s="1"/>
      <c r="P355" s="1"/>
      <c r="Q355" s="1"/>
      <c r="R355" s="1"/>
      <c r="S355" s="1"/>
      <c r="T355" s="1"/>
      <c r="U355" s="1"/>
      <c r="V355" s="1"/>
      <c r="W355" s="1"/>
      <c r="X355" s="1"/>
      <c r="Y355" s="1"/>
    </row>
    <row r="356" spans="1:25" ht="22.5" customHeight="1" x14ac:dyDescent="0.2">
      <c r="A356" s="13"/>
      <c r="B356" s="3"/>
      <c r="C356" s="3"/>
      <c r="D356" s="3"/>
      <c r="E356" s="6"/>
      <c r="F356" s="3"/>
      <c r="G356" s="3"/>
      <c r="H356" s="3"/>
      <c r="I356" s="3"/>
      <c r="J356" s="3"/>
      <c r="K356" s="3"/>
      <c r="L356" s="3"/>
      <c r="M356" s="1"/>
      <c r="N356" s="1"/>
      <c r="O356" s="1"/>
      <c r="P356" s="1"/>
      <c r="Q356" s="1"/>
      <c r="R356" s="1"/>
      <c r="S356" s="1"/>
      <c r="T356" s="1"/>
      <c r="U356" s="1"/>
      <c r="V356" s="1"/>
      <c r="W356" s="1"/>
      <c r="X356" s="1"/>
      <c r="Y356" s="1"/>
    </row>
    <row r="357" spans="1:25" ht="22.5" customHeight="1" x14ac:dyDescent="0.2">
      <c r="A357" s="13"/>
      <c r="B357" s="3"/>
      <c r="C357" s="3"/>
      <c r="D357" s="3"/>
      <c r="E357" s="6"/>
      <c r="F357" s="3"/>
      <c r="G357" s="3"/>
      <c r="H357" s="3"/>
      <c r="I357" s="3"/>
      <c r="J357" s="3"/>
      <c r="K357" s="3"/>
      <c r="L357" s="3"/>
      <c r="M357" s="1"/>
      <c r="N357" s="1"/>
      <c r="O357" s="1"/>
      <c r="P357" s="1"/>
      <c r="Q357" s="1"/>
      <c r="R357" s="1"/>
      <c r="S357" s="1"/>
      <c r="T357" s="1"/>
      <c r="U357" s="1"/>
      <c r="V357" s="1"/>
      <c r="W357" s="1"/>
      <c r="X357" s="1"/>
      <c r="Y357" s="1"/>
    </row>
    <row r="358" spans="1:25" ht="22.5" customHeight="1" x14ac:dyDescent="0.2">
      <c r="A358" s="13"/>
      <c r="B358" s="3"/>
      <c r="C358" s="3"/>
      <c r="D358" s="3"/>
      <c r="E358" s="6"/>
      <c r="F358" s="3"/>
      <c r="G358" s="3"/>
      <c r="H358" s="3"/>
      <c r="I358" s="3"/>
      <c r="J358" s="3"/>
      <c r="K358" s="3"/>
      <c r="L358" s="3"/>
      <c r="M358" s="1"/>
      <c r="N358" s="1"/>
      <c r="O358" s="1"/>
      <c r="P358" s="1"/>
      <c r="Q358" s="1"/>
      <c r="R358" s="1"/>
      <c r="S358" s="1"/>
      <c r="T358" s="1"/>
      <c r="U358" s="1"/>
      <c r="V358" s="1"/>
      <c r="W358" s="1"/>
      <c r="X358" s="1"/>
      <c r="Y358" s="1"/>
    </row>
    <row r="359" spans="1:25" ht="22.5" customHeight="1" x14ac:dyDescent="0.2">
      <c r="A359" s="13"/>
      <c r="B359" s="3"/>
      <c r="C359" s="3"/>
      <c r="D359" s="3"/>
      <c r="E359" s="6"/>
      <c r="F359" s="3"/>
      <c r="G359" s="3"/>
      <c r="H359" s="3"/>
      <c r="I359" s="3"/>
      <c r="J359" s="3"/>
      <c r="K359" s="3"/>
      <c r="L359" s="3"/>
      <c r="M359" s="1"/>
      <c r="N359" s="1"/>
      <c r="O359" s="1"/>
      <c r="P359" s="1"/>
      <c r="Q359" s="1"/>
      <c r="R359" s="1"/>
      <c r="S359" s="1"/>
      <c r="T359" s="1"/>
      <c r="U359" s="1"/>
      <c r="V359" s="1"/>
      <c r="W359" s="1"/>
      <c r="X359" s="1"/>
      <c r="Y359" s="1"/>
    </row>
    <row r="360" spans="1:25" ht="22.5" customHeight="1" x14ac:dyDescent="0.2">
      <c r="A360" s="13"/>
      <c r="B360" s="3"/>
      <c r="C360" s="3"/>
      <c r="D360" s="3"/>
      <c r="E360" s="6"/>
      <c r="F360" s="3"/>
      <c r="G360" s="3"/>
      <c r="H360" s="3"/>
      <c r="I360" s="3"/>
      <c r="J360" s="3"/>
      <c r="K360" s="3"/>
      <c r="L360" s="3"/>
      <c r="M360" s="1"/>
      <c r="N360" s="1"/>
      <c r="O360" s="1"/>
      <c r="P360" s="1"/>
      <c r="Q360" s="1"/>
      <c r="R360" s="1"/>
      <c r="S360" s="1"/>
      <c r="T360" s="1"/>
      <c r="U360" s="1"/>
      <c r="V360" s="1"/>
      <c r="W360" s="1"/>
      <c r="X360" s="1"/>
      <c r="Y360" s="1"/>
    </row>
    <row r="361" spans="1:25" ht="22.5" customHeight="1" x14ac:dyDescent="0.2">
      <c r="A361" s="13"/>
      <c r="B361" s="3"/>
      <c r="C361" s="3"/>
      <c r="D361" s="3"/>
      <c r="E361" s="6"/>
      <c r="F361" s="3"/>
      <c r="G361" s="3"/>
      <c r="H361" s="3"/>
      <c r="I361" s="3"/>
      <c r="J361" s="3"/>
      <c r="K361" s="3"/>
      <c r="L361" s="3"/>
      <c r="M361" s="1"/>
      <c r="N361" s="1"/>
      <c r="O361" s="1"/>
      <c r="P361" s="1"/>
      <c r="Q361" s="1"/>
      <c r="R361" s="1"/>
      <c r="S361" s="1"/>
      <c r="T361" s="1"/>
      <c r="U361" s="1"/>
      <c r="V361" s="1"/>
      <c r="W361" s="1"/>
      <c r="X361" s="1"/>
      <c r="Y361" s="1"/>
    </row>
    <row r="362" spans="1:25" ht="22.5" customHeight="1" x14ac:dyDescent="0.2">
      <c r="A362" s="13"/>
      <c r="B362" s="3"/>
      <c r="C362" s="3"/>
      <c r="D362" s="3"/>
      <c r="E362" s="6"/>
      <c r="F362" s="3"/>
      <c r="G362" s="3"/>
      <c r="H362" s="3"/>
      <c r="I362" s="3"/>
      <c r="J362" s="3"/>
      <c r="K362" s="3"/>
      <c r="L362" s="3"/>
      <c r="M362" s="1"/>
      <c r="N362" s="1"/>
      <c r="O362" s="1"/>
      <c r="P362" s="1"/>
      <c r="Q362" s="1"/>
      <c r="R362" s="1"/>
      <c r="S362" s="1"/>
      <c r="T362" s="1"/>
      <c r="U362" s="1"/>
      <c r="V362" s="1"/>
      <c r="W362" s="1"/>
      <c r="X362" s="1"/>
      <c r="Y362" s="1"/>
    </row>
    <row r="363" spans="1:25" ht="22.5" customHeight="1" x14ac:dyDescent="0.2">
      <c r="A363" s="13"/>
      <c r="B363" s="3"/>
      <c r="C363" s="3"/>
      <c r="D363" s="3"/>
      <c r="E363" s="6"/>
      <c r="F363" s="3"/>
      <c r="G363" s="3"/>
      <c r="H363" s="3"/>
      <c r="I363" s="3"/>
      <c r="J363" s="3"/>
      <c r="K363" s="3"/>
      <c r="L363" s="3"/>
      <c r="M363" s="1"/>
      <c r="N363" s="1"/>
      <c r="O363" s="1"/>
      <c r="P363" s="1"/>
      <c r="Q363" s="1"/>
      <c r="R363" s="1"/>
      <c r="S363" s="1"/>
      <c r="T363" s="1"/>
      <c r="U363" s="1"/>
      <c r="V363" s="1"/>
      <c r="W363" s="1"/>
      <c r="X363" s="1"/>
      <c r="Y363" s="1"/>
    </row>
    <row r="364" spans="1:25" ht="22.5" customHeight="1" x14ac:dyDescent="0.2">
      <c r="A364" s="13"/>
      <c r="B364" s="3"/>
      <c r="C364" s="3"/>
      <c r="D364" s="3"/>
      <c r="E364" s="6"/>
      <c r="F364" s="3"/>
      <c r="G364" s="3"/>
      <c r="H364" s="3"/>
      <c r="I364" s="3"/>
      <c r="J364" s="3"/>
      <c r="K364" s="3"/>
      <c r="L364" s="3"/>
      <c r="M364" s="1"/>
      <c r="N364" s="1"/>
      <c r="O364" s="1"/>
      <c r="P364" s="1"/>
      <c r="Q364" s="1"/>
      <c r="R364" s="1"/>
      <c r="S364" s="1"/>
      <c r="T364" s="1"/>
      <c r="U364" s="1"/>
      <c r="V364" s="1"/>
      <c r="W364" s="1"/>
      <c r="X364" s="1"/>
      <c r="Y364" s="1"/>
    </row>
    <row r="365" spans="1:25" ht="22.5" customHeight="1" x14ac:dyDescent="0.2">
      <c r="A365" s="13"/>
      <c r="B365" s="3"/>
      <c r="C365" s="3"/>
      <c r="D365" s="3"/>
      <c r="E365" s="6"/>
      <c r="F365" s="3"/>
      <c r="G365" s="3"/>
      <c r="H365" s="3"/>
      <c r="I365" s="3"/>
      <c r="J365" s="3"/>
      <c r="K365" s="3"/>
      <c r="L365" s="3"/>
      <c r="M365" s="1"/>
      <c r="N365" s="1"/>
      <c r="O365" s="1"/>
      <c r="P365" s="1"/>
      <c r="Q365" s="1"/>
      <c r="R365" s="1"/>
      <c r="S365" s="1"/>
      <c r="T365" s="1"/>
      <c r="U365" s="1"/>
      <c r="V365" s="1"/>
      <c r="W365" s="1"/>
      <c r="X365" s="1"/>
      <c r="Y365" s="1"/>
    </row>
    <row r="366" spans="1:25" ht="22.5" customHeight="1" x14ac:dyDescent="0.2">
      <c r="A366" s="13"/>
      <c r="B366" s="3"/>
      <c r="C366" s="3"/>
      <c r="D366" s="3"/>
      <c r="E366" s="6"/>
      <c r="F366" s="3"/>
      <c r="G366" s="3"/>
      <c r="H366" s="3"/>
      <c r="I366" s="3"/>
      <c r="J366" s="3"/>
      <c r="K366" s="3"/>
      <c r="L366" s="3"/>
      <c r="M366" s="1"/>
      <c r="N366" s="1"/>
      <c r="O366" s="1"/>
      <c r="P366" s="1"/>
      <c r="Q366" s="1"/>
      <c r="R366" s="1"/>
      <c r="S366" s="1"/>
      <c r="T366" s="1"/>
      <c r="U366" s="1"/>
      <c r="V366" s="1"/>
      <c r="W366" s="1"/>
      <c r="X366" s="1"/>
      <c r="Y366" s="1"/>
    </row>
    <row r="367" spans="1:25" ht="22.5" customHeight="1" x14ac:dyDescent="0.2">
      <c r="A367" s="13"/>
      <c r="B367" s="3"/>
      <c r="C367" s="3"/>
      <c r="D367" s="3"/>
      <c r="E367" s="6"/>
      <c r="F367" s="3"/>
      <c r="G367" s="3"/>
      <c r="H367" s="3"/>
      <c r="I367" s="3"/>
      <c r="J367" s="3"/>
      <c r="K367" s="3"/>
      <c r="L367" s="3"/>
      <c r="M367" s="1"/>
      <c r="N367" s="1"/>
      <c r="O367" s="1"/>
      <c r="P367" s="1"/>
      <c r="Q367" s="1"/>
      <c r="R367" s="1"/>
      <c r="S367" s="1"/>
      <c r="T367" s="1"/>
      <c r="U367" s="1"/>
      <c r="V367" s="1"/>
      <c r="W367" s="1"/>
      <c r="X367" s="1"/>
      <c r="Y367" s="1"/>
    </row>
    <row r="368" spans="1:25" ht="22.5" customHeight="1" x14ac:dyDescent="0.2">
      <c r="A368" s="13"/>
      <c r="B368" s="3"/>
      <c r="C368" s="3"/>
      <c r="D368" s="3"/>
      <c r="E368" s="6"/>
      <c r="F368" s="3"/>
      <c r="G368" s="3"/>
      <c r="H368" s="3"/>
      <c r="I368" s="3"/>
      <c r="J368" s="3"/>
      <c r="K368" s="3"/>
      <c r="L368" s="3"/>
      <c r="M368" s="1"/>
      <c r="N368" s="1"/>
      <c r="O368" s="1"/>
      <c r="P368" s="1"/>
      <c r="Q368" s="1"/>
      <c r="R368" s="1"/>
      <c r="S368" s="1"/>
      <c r="T368" s="1"/>
      <c r="U368" s="1"/>
      <c r="V368" s="1"/>
      <c r="W368" s="1"/>
      <c r="X368" s="1"/>
      <c r="Y368" s="1"/>
    </row>
    <row r="369" spans="1:25" ht="22.5" customHeight="1" x14ac:dyDescent="0.2">
      <c r="A369" s="13"/>
      <c r="B369" s="3"/>
      <c r="C369" s="3"/>
      <c r="D369" s="3"/>
      <c r="E369" s="6"/>
      <c r="F369" s="3"/>
      <c r="G369" s="3"/>
      <c r="H369" s="3"/>
      <c r="I369" s="3"/>
      <c r="J369" s="3"/>
      <c r="K369" s="3"/>
      <c r="L369" s="3"/>
      <c r="M369" s="1"/>
      <c r="N369" s="1"/>
      <c r="O369" s="1"/>
      <c r="P369" s="1"/>
      <c r="Q369" s="1"/>
      <c r="R369" s="1"/>
      <c r="S369" s="1"/>
      <c r="T369" s="1"/>
      <c r="U369" s="1"/>
      <c r="V369" s="1"/>
      <c r="W369" s="1"/>
      <c r="X369" s="1"/>
      <c r="Y369" s="1"/>
    </row>
    <row r="370" spans="1:25" ht="22.5" customHeight="1" x14ac:dyDescent="0.2">
      <c r="A370" s="13"/>
      <c r="B370" s="3"/>
      <c r="C370" s="3"/>
      <c r="D370" s="3"/>
      <c r="E370" s="6"/>
      <c r="F370" s="3"/>
      <c r="G370" s="3"/>
      <c r="H370" s="3"/>
      <c r="I370" s="3"/>
      <c r="J370" s="3"/>
      <c r="K370" s="3"/>
      <c r="L370" s="3"/>
      <c r="M370" s="1"/>
      <c r="N370" s="1"/>
      <c r="O370" s="1"/>
      <c r="P370" s="1"/>
      <c r="Q370" s="1"/>
      <c r="R370" s="1"/>
      <c r="S370" s="1"/>
      <c r="T370" s="1"/>
      <c r="U370" s="1"/>
      <c r="V370" s="1"/>
      <c r="W370" s="1"/>
      <c r="X370" s="1"/>
      <c r="Y370" s="1"/>
    </row>
    <row r="371" spans="1:25" ht="22.5" customHeight="1" x14ac:dyDescent="0.2">
      <c r="A371" s="13"/>
      <c r="B371" s="3"/>
      <c r="C371" s="3"/>
      <c r="D371" s="3"/>
      <c r="E371" s="6"/>
      <c r="F371" s="3"/>
      <c r="G371" s="3"/>
      <c r="H371" s="3"/>
      <c r="I371" s="3"/>
      <c r="J371" s="3"/>
      <c r="K371" s="3"/>
      <c r="L371" s="3"/>
      <c r="M371" s="1"/>
      <c r="N371" s="1"/>
      <c r="O371" s="1"/>
      <c r="P371" s="1"/>
      <c r="Q371" s="1"/>
      <c r="R371" s="1"/>
      <c r="S371" s="1"/>
      <c r="T371" s="1"/>
      <c r="U371" s="1"/>
      <c r="V371" s="1"/>
      <c r="W371" s="1"/>
      <c r="X371" s="1"/>
      <c r="Y371" s="1"/>
    </row>
    <row r="372" spans="1:25" ht="22.5" customHeight="1" x14ac:dyDescent="0.2">
      <c r="A372" s="13"/>
      <c r="B372" s="3"/>
      <c r="C372" s="3"/>
      <c r="D372" s="3"/>
      <c r="E372" s="6"/>
      <c r="F372" s="3"/>
      <c r="G372" s="3"/>
      <c r="H372" s="3"/>
      <c r="I372" s="3"/>
      <c r="J372" s="3"/>
      <c r="K372" s="3"/>
      <c r="L372" s="3"/>
      <c r="M372" s="1"/>
      <c r="N372" s="1"/>
      <c r="O372" s="1"/>
      <c r="P372" s="1"/>
      <c r="Q372" s="1"/>
      <c r="R372" s="1"/>
      <c r="S372" s="1"/>
      <c r="T372" s="1"/>
      <c r="U372" s="1"/>
      <c r="V372" s="1"/>
      <c r="W372" s="1"/>
      <c r="X372" s="1"/>
      <c r="Y372" s="1"/>
    </row>
    <row r="373" spans="1:25" ht="22.5" customHeight="1" x14ac:dyDescent="0.2">
      <c r="A373" s="13"/>
      <c r="B373" s="3"/>
      <c r="C373" s="3"/>
      <c r="D373" s="3"/>
      <c r="E373" s="6"/>
      <c r="F373" s="3"/>
      <c r="G373" s="3"/>
      <c r="H373" s="3"/>
      <c r="I373" s="3"/>
      <c r="J373" s="3"/>
      <c r="K373" s="3"/>
      <c r="L373" s="3"/>
      <c r="M373" s="1"/>
      <c r="N373" s="1"/>
      <c r="O373" s="1"/>
      <c r="P373" s="1"/>
      <c r="Q373" s="1"/>
      <c r="R373" s="1"/>
      <c r="S373" s="1"/>
      <c r="T373" s="1"/>
      <c r="U373" s="1"/>
      <c r="V373" s="1"/>
      <c r="W373" s="1"/>
      <c r="X373" s="1"/>
      <c r="Y373" s="1"/>
    </row>
    <row r="374" spans="1:25" ht="22.5" customHeight="1" x14ac:dyDescent="0.2">
      <c r="A374" s="13"/>
      <c r="B374" s="3"/>
      <c r="C374" s="3"/>
      <c r="D374" s="3"/>
      <c r="E374" s="6"/>
      <c r="F374" s="3"/>
      <c r="G374" s="3"/>
      <c r="H374" s="3"/>
      <c r="I374" s="3"/>
      <c r="J374" s="3"/>
      <c r="K374" s="3"/>
      <c r="L374" s="3"/>
      <c r="M374" s="1"/>
      <c r="N374" s="1"/>
      <c r="O374" s="1"/>
      <c r="P374" s="1"/>
      <c r="Q374" s="1"/>
      <c r="R374" s="1"/>
      <c r="S374" s="1"/>
      <c r="T374" s="1"/>
      <c r="U374" s="1"/>
      <c r="V374" s="1"/>
      <c r="W374" s="1"/>
      <c r="X374" s="1"/>
      <c r="Y374" s="1"/>
    </row>
    <row r="375" spans="1:25" ht="22.5" customHeight="1" x14ac:dyDescent="0.2">
      <c r="A375" s="13"/>
      <c r="B375" s="3"/>
      <c r="C375" s="3"/>
      <c r="D375" s="3"/>
      <c r="E375" s="6"/>
      <c r="F375" s="3"/>
      <c r="G375" s="3"/>
      <c r="H375" s="3"/>
      <c r="I375" s="3"/>
      <c r="J375" s="3"/>
      <c r="K375" s="3"/>
      <c r="L375" s="3"/>
      <c r="M375" s="1"/>
      <c r="N375" s="1"/>
      <c r="O375" s="1"/>
      <c r="P375" s="1"/>
      <c r="Q375" s="1"/>
      <c r="R375" s="1"/>
      <c r="S375" s="1"/>
      <c r="T375" s="1"/>
      <c r="U375" s="1"/>
      <c r="V375" s="1"/>
      <c r="W375" s="1"/>
      <c r="X375" s="1"/>
      <c r="Y375" s="1"/>
    </row>
    <row r="376" spans="1:25" ht="22.5" customHeight="1" x14ac:dyDescent="0.2">
      <c r="A376" s="13"/>
      <c r="B376" s="3"/>
      <c r="C376" s="3"/>
      <c r="D376" s="3"/>
      <c r="E376" s="6"/>
      <c r="F376" s="3"/>
      <c r="G376" s="3"/>
      <c r="H376" s="3"/>
      <c r="I376" s="3"/>
      <c r="J376" s="3"/>
      <c r="K376" s="3"/>
      <c r="L376" s="3"/>
      <c r="M376" s="1"/>
      <c r="N376" s="1"/>
      <c r="O376" s="1"/>
      <c r="P376" s="1"/>
      <c r="Q376" s="1"/>
      <c r="R376" s="1"/>
      <c r="S376" s="1"/>
      <c r="T376" s="1"/>
      <c r="U376" s="1"/>
      <c r="V376" s="1"/>
      <c r="W376" s="1"/>
      <c r="X376" s="1"/>
      <c r="Y376" s="1"/>
    </row>
    <row r="377" spans="1:25" ht="22.5" customHeight="1" x14ac:dyDescent="0.2">
      <c r="A377" s="13"/>
      <c r="B377" s="3"/>
      <c r="C377" s="3"/>
      <c r="D377" s="3"/>
      <c r="E377" s="6"/>
      <c r="F377" s="3"/>
      <c r="G377" s="3"/>
      <c r="H377" s="3"/>
      <c r="I377" s="3"/>
      <c r="J377" s="3"/>
      <c r="K377" s="3"/>
      <c r="L377" s="3"/>
      <c r="M377" s="1"/>
      <c r="N377" s="1"/>
      <c r="O377" s="1"/>
      <c r="P377" s="1"/>
      <c r="Q377" s="1"/>
      <c r="R377" s="1"/>
      <c r="S377" s="1"/>
      <c r="T377" s="1"/>
      <c r="U377" s="1"/>
      <c r="V377" s="1"/>
      <c r="W377" s="1"/>
      <c r="X377" s="1"/>
      <c r="Y377" s="1"/>
    </row>
    <row r="378" spans="1:25" ht="22.5" customHeight="1" x14ac:dyDescent="0.2">
      <c r="A378" s="13"/>
      <c r="B378" s="3"/>
      <c r="C378" s="3"/>
      <c r="D378" s="3"/>
      <c r="E378" s="6"/>
      <c r="F378" s="3"/>
      <c r="G378" s="3"/>
      <c r="H378" s="3"/>
      <c r="I378" s="3"/>
      <c r="J378" s="3"/>
      <c r="K378" s="3"/>
      <c r="L378" s="3"/>
      <c r="M378" s="1"/>
      <c r="N378" s="1"/>
      <c r="O378" s="1"/>
      <c r="P378" s="1"/>
      <c r="Q378" s="1"/>
      <c r="R378" s="1"/>
      <c r="S378" s="1"/>
      <c r="T378" s="1"/>
      <c r="U378" s="1"/>
      <c r="V378" s="1"/>
      <c r="W378" s="1"/>
      <c r="X378" s="1"/>
      <c r="Y378" s="1"/>
    </row>
    <row r="379" spans="1:25" ht="22.5" customHeight="1" x14ac:dyDescent="0.2">
      <c r="A379" s="13"/>
      <c r="B379" s="3"/>
      <c r="C379" s="3"/>
      <c r="D379" s="3"/>
      <c r="E379" s="6"/>
      <c r="F379" s="3"/>
      <c r="G379" s="3"/>
      <c r="H379" s="3"/>
      <c r="I379" s="3"/>
      <c r="J379" s="3"/>
      <c r="K379" s="3"/>
      <c r="L379" s="3"/>
      <c r="M379" s="1"/>
      <c r="N379" s="1"/>
      <c r="O379" s="1"/>
      <c r="P379" s="1"/>
      <c r="Q379" s="1"/>
      <c r="R379" s="1"/>
      <c r="S379" s="1"/>
      <c r="T379" s="1"/>
      <c r="U379" s="1"/>
      <c r="V379" s="1"/>
      <c r="W379" s="1"/>
      <c r="X379" s="1"/>
      <c r="Y379" s="1"/>
    </row>
    <row r="380" spans="1:25" ht="22.5" customHeight="1" x14ac:dyDescent="0.2">
      <c r="A380" s="13"/>
      <c r="B380" s="3"/>
      <c r="C380" s="3"/>
      <c r="D380" s="3"/>
      <c r="E380" s="6"/>
      <c r="F380" s="3"/>
      <c r="G380" s="3"/>
      <c r="H380" s="3"/>
      <c r="I380" s="3"/>
      <c r="J380" s="3"/>
      <c r="K380" s="3"/>
      <c r="L380" s="3"/>
      <c r="M380" s="1"/>
      <c r="N380" s="1"/>
      <c r="O380" s="1"/>
      <c r="P380" s="1"/>
      <c r="Q380" s="1"/>
      <c r="R380" s="1"/>
      <c r="S380" s="1"/>
      <c r="T380" s="1"/>
      <c r="U380" s="1"/>
      <c r="V380" s="1"/>
      <c r="W380" s="1"/>
      <c r="X380" s="1"/>
      <c r="Y380" s="1"/>
    </row>
    <row r="381" spans="1:25" ht="22.5" customHeight="1" x14ac:dyDescent="0.2">
      <c r="A381" s="13"/>
      <c r="B381" s="3"/>
      <c r="C381" s="3"/>
      <c r="D381" s="3"/>
      <c r="E381" s="6"/>
      <c r="F381" s="3"/>
      <c r="G381" s="3"/>
      <c r="H381" s="3"/>
      <c r="I381" s="3"/>
      <c r="J381" s="3"/>
      <c r="K381" s="3"/>
      <c r="L381" s="3"/>
      <c r="M381" s="1"/>
      <c r="N381" s="1"/>
      <c r="O381" s="1"/>
      <c r="P381" s="1"/>
      <c r="Q381" s="1"/>
      <c r="R381" s="1"/>
      <c r="S381" s="1"/>
      <c r="T381" s="1"/>
      <c r="U381" s="1"/>
      <c r="V381" s="1"/>
      <c r="W381" s="1"/>
      <c r="X381" s="1"/>
      <c r="Y381" s="1"/>
    </row>
    <row r="382" spans="1:25" ht="22.5" customHeight="1" x14ac:dyDescent="0.2">
      <c r="A382" s="13"/>
      <c r="B382" s="3"/>
      <c r="C382" s="3"/>
      <c r="D382" s="3"/>
      <c r="E382" s="6"/>
      <c r="F382" s="3"/>
      <c r="G382" s="3"/>
      <c r="H382" s="3"/>
      <c r="I382" s="3"/>
      <c r="J382" s="3"/>
      <c r="K382" s="3"/>
      <c r="L382" s="3"/>
      <c r="M382" s="1"/>
      <c r="N382" s="1"/>
      <c r="O382" s="1"/>
      <c r="P382" s="1"/>
      <c r="Q382" s="1"/>
      <c r="R382" s="1"/>
      <c r="S382" s="1"/>
      <c r="T382" s="1"/>
      <c r="U382" s="1"/>
      <c r="V382" s="1"/>
      <c r="W382" s="1"/>
      <c r="X382" s="1"/>
      <c r="Y382" s="1"/>
    </row>
    <row r="383" spans="1:25" ht="22.5" customHeight="1" x14ac:dyDescent="0.2">
      <c r="A383" s="13"/>
      <c r="B383" s="3"/>
      <c r="C383" s="3"/>
      <c r="D383" s="3"/>
      <c r="E383" s="6"/>
      <c r="F383" s="3"/>
      <c r="G383" s="3"/>
      <c r="H383" s="3"/>
      <c r="I383" s="3"/>
      <c r="J383" s="3"/>
      <c r="K383" s="3"/>
      <c r="L383" s="3"/>
      <c r="M383" s="1"/>
      <c r="N383" s="1"/>
      <c r="O383" s="1"/>
      <c r="P383" s="1"/>
      <c r="Q383" s="1"/>
      <c r="R383" s="1"/>
      <c r="S383" s="1"/>
      <c r="T383" s="1"/>
      <c r="U383" s="1"/>
      <c r="V383" s="1"/>
      <c r="W383" s="1"/>
      <c r="X383" s="1"/>
      <c r="Y383" s="1"/>
    </row>
    <row r="384" spans="1:25" ht="22.5" customHeight="1" x14ac:dyDescent="0.2">
      <c r="A384" s="13"/>
      <c r="B384" s="3"/>
      <c r="C384" s="3"/>
      <c r="D384" s="3"/>
      <c r="E384" s="6"/>
      <c r="F384" s="3"/>
      <c r="G384" s="3"/>
      <c r="H384" s="3"/>
      <c r="I384" s="3"/>
      <c r="J384" s="3"/>
      <c r="K384" s="3"/>
      <c r="L384" s="3"/>
      <c r="M384" s="1"/>
      <c r="N384" s="1"/>
      <c r="O384" s="1"/>
      <c r="P384" s="1"/>
      <c r="Q384" s="1"/>
      <c r="R384" s="1"/>
      <c r="S384" s="1"/>
      <c r="T384" s="1"/>
      <c r="U384" s="1"/>
      <c r="V384" s="1"/>
      <c r="W384" s="1"/>
      <c r="X384" s="1"/>
      <c r="Y384" s="1"/>
    </row>
    <row r="385" spans="1:25" ht="22.5" customHeight="1" x14ac:dyDescent="0.2">
      <c r="A385" s="13"/>
      <c r="B385" s="3"/>
      <c r="C385" s="3"/>
      <c r="D385" s="3"/>
      <c r="E385" s="6"/>
      <c r="F385" s="3"/>
      <c r="G385" s="3"/>
      <c r="H385" s="3"/>
      <c r="I385" s="3"/>
      <c r="J385" s="3"/>
      <c r="K385" s="3"/>
      <c r="L385" s="3"/>
      <c r="M385" s="1"/>
      <c r="N385" s="1"/>
      <c r="O385" s="1"/>
      <c r="P385" s="1"/>
      <c r="Q385" s="1"/>
      <c r="R385" s="1"/>
      <c r="S385" s="1"/>
      <c r="T385" s="1"/>
      <c r="U385" s="1"/>
      <c r="V385" s="1"/>
      <c r="W385" s="1"/>
      <c r="X385" s="1"/>
      <c r="Y385" s="1"/>
    </row>
    <row r="386" spans="1:25" ht="22.5" customHeight="1" x14ac:dyDescent="0.2">
      <c r="A386" s="3"/>
      <c r="B386" s="3"/>
      <c r="C386" s="3"/>
      <c r="D386" s="3"/>
      <c r="E386" s="6"/>
      <c r="F386" s="3"/>
      <c r="G386" s="3"/>
      <c r="H386" s="3"/>
      <c r="I386" s="3"/>
      <c r="J386" s="3"/>
      <c r="K386" s="3"/>
      <c r="L386" s="3"/>
      <c r="M386" s="1"/>
      <c r="N386" s="1"/>
      <c r="O386" s="1"/>
      <c r="P386" s="1"/>
      <c r="Q386" s="1"/>
      <c r="R386" s="1"/>
      <c r="S386" s="1"/>
      <c r="T386" s="1"/>
      <c r="U386" s="1"/>
      <c r="V386" s="1"/>
      <c r="W386" s="1"/>
      <c r="X386" s="1"/>
      <c r="Y386" s="1"/>
    </row>
    <row r="387" spans="1:25" ht="22.5" customHeight="1" x14ac:dyDescent="0.2">
      <c r="A387" s="3"/>
      <c r="B387" s="3"/>
      <c r="C387" s="3"/>
      <c r="D387" s="3"/>
      <c r="E387" s="6"/>
      <c r="F387" s="3"/>
      <c r="G387" s="3"/>
      <c r="H387" s="3"/>
      <c r="I387" s="3"/>
      <c r="J387" s="3"/>
      <c r="K387" s="3"/>
      <c r="L387" s="3"/>
      <c r="M387" s="1"/>
      <c r="N387" s="1"/>
      <c r="O387" s="1"/>
      <c r="P387" s="1"/>
      <c r="Q387" s="1"/>
      <c r="R387" s="1"/>
      <c r="S387" s="1"/>
      <c r="T387" s="1"/>
      <c r="U387" s="1"/>
      <c r="V387" s="1"/>
      <c r="W387" s="1"/>
      <c r="X387" s="1"/>
      <c r="Y387" s="1"/>
    </row>
    <row r="388" spans="1:25" ht="22.5" customHeight="1" x14ac:dyDescent="0.2">
      <c r="A388" s="3"/>
      <c r="B388" s="3"/>
      <c r="C388" s="3"/>
      <c r="D388" s="3"/>
      <c r="E388" s="6"/>
      <c r="F388" s="3"/>
      <c r="G388" s="3"/>
      <c r="H388" s="3"/>
      <c r="I388" s="3"/>
      <c r="J388" s="3"/>
      <c r="K388" s="3"/>
      <c r="L388" s="3"/>
      <c r="M388" s="1"/>
      <c r="N388" s="1"/>
      <c r="O388" s="1"/>
      <c r="P388" s="1"/>
      <c r="Q388" s="1"/>
      <c r="R388" s="1"/>
      <c r="S388" s="1"/>
      <c r="T388" s="1"/>
      <c r="U388" s="1"/>
      <c r="V388" s="1"/>
      <c r="W388" s="1"/>
      <c r="X388" s="1"/>
      <c r="Y388" s="1"/>
    </row>
    <row r="389" spans="1:25" ht="22.5" customHeight="1" x14ac:dyDescent="0.2">
      <c r="A389" s="3"/>
      <c r="B389" s="3"/>
      <c r="C389" s="3"/>
      <c r="D389" s="3"/>
      <c r="E389" s="6"/>
      <c r="F389" s="3"/>
      <c r="G389" s="3"/>
      <c r="H389" s="3"/>
      <c r="I389" s="3"/>
      <c r="J389" s="3"/>
      <c r="K389" s="3"/>
      <c r="L389" s="3"/>
      <c r="M389" s="1"/>
      <c r="N389" s="1"/>
      <c r="O389" s="1"/>
      <c r="P389" s="1"/>
      <c r="Q389" s="1"/>
      <c r="R389" s="1"/>
      <c r="S389" s="1"/>
      <c r="T389" s="1"/>
      <c r="U389" s="1"/>
      <c r="V389" s="1"/>
      <c r="W389" s="1"/>
      <c r="X389" s="1"/>
      <c r="Y389" s="1"/>
    </row>
    <row r="390" spans="1:25" ht="22.5" customHeight="1" x14ac:dyDescent="0.2">
      <c r="A390" s="3"/>
      <c r="B390" s="3"/>
      <c r="C390" s="3"/>
      <c r="D390" s="3"/>
      <c r="E390" s="6"/>
      <c r="F390" s="3"/>
      <c r="G390" s="3"/>
      <c r="H390" s="3"/>
      <c r="I390" s="3"/>
      <c r="J390" s="3"/>
      <c r="K390" s="3"/>
      <c r="L390" s="3"/>
      <c r="M390" s="1"/>
      <c r="N390" s="1"/>
      <c r="O390" s="1"/>
      <c r="P390" s="1"/>
      <c r="Q390" s="1"/>
      <c r="R390" s="1"/>
      <c r="S390" s="1"/>
      <c r="T390" s="1"/>
      <c r="U390" s="1"/>
      <c r="V390" s="1"/>
      <c r="W390" s="1"/>
      <c r="X390" s="1"/>
      <c r="Y390" s="1"/>
    </row>
    <row r="391" spans="1:25" ht="22.5" customHeight="1" x14ac:dyDescent="0.2">
      <c r="A391" s="3"/>
      <c r="B391" s="3"/>
      <c r="C391" s="3"/>
      <c r="D391" s="3"/>
      <c r="E391" s="6"/>
      <c r="F391" s="3"/>
      <c r="G391" s="3"/>
      <c r="H391" s="3"/>
      <c r="I391" s="3"/>
      <c r="J391" s="3"/>
      <c r="K391" s="3"/>
      <c r="L391" s="3"/>
      <c r="M391" s="1"/>
      <c r="N391" s="1"/>
      <c r="O391" s="1"/>
      <c r="P391" s="1"/>
      <c r="Q391" s="1"/>
      <c r="R391" s="1"/>
      <c r="S391" s="1"/>
      <c r="T391" s="1"/>
      <c r="U391" s="1"/>
      <c r="V391" s="1"/>
      <c r="W391" s="1"/>
      <c r="X391" s="1"/>
      <c r="Y391" s="1"/>
    </row>
    <row r="392" spans="1:25" ht="22.5" customHeight="1" x14ac:dyDescent="0.2">
      <c r="A392" s="3"/>
      <c r="B392" s="3"/>
      <c r="C392" s="3"/>
      <c r="D392" s="3"/>
      <c r="E392" s="6"/>
      <c r="F392" s="3"/>
      <c r="G392" s="3"/>
      <c r="H392" s="3"/>
      <c r="I392" s="3"/>
      <c r="J392" s="3"/>
      <c r="K392" s="3"/>
      <c r="L392" s="3"/>
      <c r="M392" s="1"/>
      <c r="N392" s="1"/>
      <c r="O392" s="1"/>
      <c r="P392" s="1"/>
      <c r="Q392" s="1"/>
      <c r="R392" s="1"/>
      <c r="S392" s="1"/>
      <c r="T392" s="1"/>
      <c r="U392" s="1"/>
      <c r="V392" s="1"/>
      <c r="W392" s="1"/>
      <c r="X392" s="1"/>
      <c r="Y392" s="1"/>
    </row>
    <row r="393" spans="1:25" ht="22.5" customHeight="1" x14ac:dyDescent="0.2">
      <c r="A393" s="3"/>
      <c r="B393" s="3"/>
      <c r="C393" s="3"/>
      <c r="D393" s="3"/>
      <c r="E393" s="6"/>
      <c r="F393" s="3"/>
      <c r="G393" s="3"/>
      <c r="H393" s="3"/>
      <c r="I393" s="3"/>
      <c r="J393" s="3"/>
      <c r="K393" s="3"/>
      <c r="L393" s="3"/>
      <c r="M393" s="1"/>
      <c r="N393" s="1"/>
      <c r="O393" s="1"/>
      <c r="P393" s="1"/>
      <c r="Q393" s="1"/>
      <c r="R393" s="1"/>
      <c r="S393" s="1"/>
      <c r="T393" s="1"/>
      <c r="U393" s="1"/>
      <c r="V393" s="1"/>
      <c r="W393" s="1"/>
      <c r="X393" s="1"/>
      <c r="Y393" s="1"/>
    </row>
    <row r="394" spans="1:25" ht="22.5" customHeight="1" x14ac:dyDescent="0.2">
      <c r="A394" s="3"/>
      <c r="B394" s="3"/>
      <c r="C394" s="3"/>
      <c r="D394" s="3"/>
      <c r="E394" s="6"/>
      <c r="F394" s="3"/>
      <c r="G394" s="3"/>
      <c r="H394" s="3"/>
      <c r="I394" s="3"/>
      <c r="J394" s="3"/>
      <c r="K394" s="3"/>
      <c r="L394" s="3"/>
      <c r="M394" s="1"/>
      <c r="N394" s="1"/>
      <c r="O394" s="1"/>
      <c r="P394" s="1"/>
      <c r="Q394" s="1"/>
      <c r="R394" s="1"/>
      <c r="S394" s="1"/>
      <c r="T394" s="1"/>
      <c r="U394" s="1"/>
      <c r="V394" s="1"/>
      <c r="W394" s="1"/>
      <c r="X394" s="1"/>
      <c r="Y394" s="1"/>
    </row>
    <row r="395" spans="1:25" ht="22.5" customHeight="1" x14ac:dyDescent="0.2">
      <c r="A395" s="3"/>
      <c r="B395" s="3"/>
      <c r="C395" s="3"/>
      <c r="D395" s="3"/>
      <c r="E395" s="6"/>
      <c r="F395" s="3"/>
      <c r="G395" s="3"/>
      <c r="H395" s="3"/>
      <c r="I395" s="3"/>
      <c r="J395" s="3"/>
      <c r="K395" s="3"/>
      <c r="L395" s="3"/>
      <c r="M395" s="1"/>
      <c r="N395" s="1"/>
      <c r="O395" s="1"/>
      <c r="P395" s="1"/>
      <c r="Q395" s="1"/>
      <c r="R395" s="1"/>
      <c r="S395" s="1"/>
      <c r="T395" s="1"/>
      <c r="U395" s="1"/>
      <c r="V395" s="1"/>
      <c r="W395" s="1"/>
      <c r="X395" s="1"/>
      <c r="Y395" s="1"/>
    </row>
    <row r="396" spans="1:25" ht="22.5" customHeight="1" x14ac:dyDescent="0.2">
      <c r="A396" s="3"/>
      <c r="B396" s="3"/>
      <c r="C396" s="3"/>
      <c r="D396" s="3"/>
      <c r="E396" s="6"/>
      <c r="F396" s="3"/>
      <c r="G396" s="3"/>
      <c r="H396" s="3"/>
      <c r="I396" s="3"/>
      <c r="J396" s="3"/>
      <c r="K396" s="3"/>
      <c r="L396" s="3"/>
      <c r="M396" s="1"/>
      <c r="N396" s="1"/>
      <c r="O396" s="1"/>
      <c r="P396" s="1"/>
      <c r="Q396" s="1"/>
      <c r="R396" s="1"/>
      <c r="S396" s="1"/>
      <c r="T396" s="1"/>
      <c r="U396" s="1"/>
      <c r="V396" s="1"/>
      <c r="W396" s="1"/>
      <c r="X396" s="1"/>
      <c r="Y396" s="1"/>
    </row>
    <row r="397" spans="1:25" ht="22.5" customHeight="1" x14ac:dyDescent="0.2">
      <c r="A397" s="3"/>
      <c r="B397" s="3"/>
      <c r="C397" s="3"/>
      <c r="D397" s="3"/>
      <c r="E397" s="6"/>
      <c r="F397" s="3"/>
      <c r="G397" s="3"/>
      <c r="H397" s="3"/>
      <c r="I397" s="3"/>
      <c r="J397" s="3"/>
      <c r="K397" s="3"/>
      <c r="L397" s="3"/>
      <c r="M397" s="1"/>
      <c r="N397" s="1"/>
      <c r="O397" s="1"/>
      <c r="P397" s="1"/>
      <c r="Q397" s="1"/>
      <c r="R397" s="1"/>
      <c r="S397" s="1"/>
      <c r="T397" s="1"/>
      <c r="U397" s="1"/>
      <c r="V397" s="1"/>
      <c r="W397" s="1"/>
      <c r="X397" s="1"/>
      <c r="Y397" s="1"/>
    </row>
    <row r="398" spans="1:25" ht="22.5" customHeight="1" x14ac:dyDescent="0.2">
      <c r="A398" s="3"/>
      <c r="B398" s="3"/>
      <c r="C398" s="3"/>
      <c r="D398" s="3"/>
      <c r="E398" s="6"/>
      <c r="F398" s="3"/>
      <c r="G398" s="3"/>
      <c r="H398" s="3"/>
      <c r="I398" s="3"/>
      <c r="J398" s="3"/>
      <c r="K398" s="3"/>
      <c r="L398" s="3"/>
      <c r="M398" s="1"/>
      <c r="N398" s="1"/>
      <c r="O398" s="1"/>
      <c r="P398" s="1"/>
      <c r="Q398" s="1"/>
      <c r="R398" s="1"/>
      <c r="S398" s="1"/>
      <c r="T398" s="1"/>
      <c r="U398" s="1"/>
      <c r="V398" s="1"/>
      <c r="W398" s="1"/>
      <c r="X398" s="1"/>
      <c r="Y398" s="1"/>
    </row>
    <row r="399" spans="1:25" ht="22.5" customHeight="1" x14ac:dyDescent="0.2">
      <c r="A399" s="3"/>
      <c r="B399" s="3"/>
      <c r="C399" s="3"/>
      <c r="D399" s="3"/>
      <c r="E399" s="6"/>
      <c r="F399" s="3"/>
      <c r="G399" s="3"/>
      <c r="H399" s="3"/>
      <c r="I399" s="3"/>
      <c r="J399" s="3"/>
      <c r="K399" s="3"/>
      <c r="L399" s="3"/>
      <c r="M399" s="1"/>
      <c r="N399" s="1"/>
      <c r="O399" s="1"/>
      <c r="P399" s="1"/>
      <c r="Q399" s="1"/>
      <c r="R399" s="1"/>
      <c r="S399" s="1"/>
      <c r="T399" s="1"/>
      <c r="U399" s="1"/>
      <c r="V399" s="1"/>
      <c r="W399" s="1"/>
      <c r="X399" s="1"/>
      <c r="Y399" s="1"/>
    </row>
    <row r="400" spans="1:25" ht="22.5" customHeight="1" x14ac:dyDescent="0.2">
      <c r="A400" s="3"/>
      <c r="B400" s="3"/>
      <c r="C400" s="3"/>
      <c r="D400" s="3"/>
      <c r="E400" s="6"/>
      <c r="F400" s="3"/>
      <c r="G400" s="3"/>
      <c r="H400" s="3"/>
      <c r="I400" s="3"/>
      <c r="J400" s="3"/>
      <c r="K400" s="3"/>
      <c r="L400" s="3"/>
      <c r="M400" s="1"/>
      <c r="N400" s="1"/>
      <c r="O400" s="1"/>
      <c r="P400" s="1"/>
      <c r="Q400" s="1"/>
      <c r="R400" s="1"/>
      <c r="S400" s="1"/>
      <c r="T400" s="1"/>
      <c r="U400" s="1"/>
      <c r="V400" s="1"/>
      <c r="W400" s="1"/>
      <c r="X400" s="1"/>
      <c r="Y400" s="1"/>
    </row>
    <row r="401" spans="1:25" ht="22.5" customHeight="1" x14ac:dyDescent="0.2">
      <c r="A401" s="3"/>
      <c r="B401" s="3"/>
      <c r="C401" s="3"/>
      <c r="D401" s="3"/>
      <c r="E401" s="6"/>
      <c r="F401" s="3"/>
      <c r="G401" s="3"/>
      <c r="H401" s="3"/>
      <c r="I401" s="3"/>
      <c r="J401" s="3"/>
      <c r="K401" s="3"/>
      <c r="L401" s="3"/>
      <c r="M401" s="1"/>
      <c r="N401" s="1"/>
      <c r="O401" s="1"/>
      <c r="P401" s="1"/>
      <c r="Q401" s="1"/>
      <c r="R401" s="1"/>
      <c r="S401" s="1"/>
      <c r="T401" s="1"/>
      <c r="U401" s="1"/>
      <c r="V401" s="1"/>
      <c r="W401" s="1"/>
      <c r="X401" s="1"/>
      <c r="Y401" s="1"/>
    </row>
    <row r="402" spans="1:25" ht="22.5" customHeight="1" x14ac:dyDescent="0.2">
      <c r="A402" s="3"/>
      <c r="B402" s="3"/>
      <c r="C402" s="3"/>
      <c r="D402" s="3"/>
      <c r="E402" s="6"/>
      <c r="F402" s="3"/>
      <c r="G402" s="3"/>
      <c r="H402" s="3"/>
      <c r="I402" s="3"/>
      <c r="J402" s="3"/>
      <c r="K402" s="3"/>
      <c r="L402" s="3"/>
      <c r="M402" s="1"/>
      <c r="N402" s="1"/>
      <c r="O402" s="1"/>
      <c r="P402" s="1"/>
      <c r="Q402" s="1"/>
      <c r="R402" s="1"/>
      <c r="S402" s="1"/>
      <c r="T402" s="1"/>
      <c r="U402" s="1"/>
      <c r="V402" s="1"/>
      <c r="W402" s="1"/>
      <c r="X402" s="1"/>
      <c r="Y402" s="1"/>
    </row>
    <row r="403" spans="1:25" ht="22.5" customHeight="1" x14ac:dyDescent="0.2">
      <c r="A403" s="3"/>
      <c r="B403" s="3"/>
      <c r="C403" s="3"/>
      <c r="D403" s="3"/>
      <c r="E403" s="6"/>
      <c r="F403" s="3"/>
      <c r="G403" s="3"/>
      <c r="H403" s="3"/>
      <c r="I403" s="3"/>
      <c r="J403" s="3"/>
      <c r="K403" s="3"/>
      <c r="L403" s="3"/>
      <c r="M403" s="1"/>
      <c r="N403" s="1"/>
      <c r="O403" s="1"/>
      <c r="P403" s="1"/>
      <c r="Q403" s="1"/>
      <c r="R403" s="1"/>
      <c r="S403" s="1"/>
      <c r="T403" s="1"/>
      <c r="U403" s="1"/>
      <c r="V403" s="1"/>
      <c r="W403" s="1"/>
      <c r="X403" s="1"/>
      <c r="Y403" s="1"/>
    </row>
    <row r="404" spans="1:25" ht="22.5" customHeight="1" x14ac:dyDescent="0.2">
      <c r="A404" s="3"/>
      <c r="B404" s="3"/>
      <c r="C404" s="3"/>
      <c r="D404" s="3"/>
      <c r="E404" s="6"/>
      <c r="F404" s="3"/>
      <c r="G404" s="3"/>
      <c r="H404" s="3"/>
      <c r="I404" s="3"/>
      <c r="J404" s="3"/>
      <c r="K404" s="3"/>
      <c r="L404" s="3"/>
      <c r="M404" s="1"/>
      <c r="N404" s="1"/>
      <c r="O404" s="1"/>
      <c r="P404" s="1"/>
      <c r="Q404" s="1"/>
      <c r="R404" s="1"/>
      <c r="S404" s="1"/>
      <c r="T404" s="1"/>
      <c r="U404" s="1"/>
      <c r="V404" s="1"/>
      <c r="W404" s="1"/>
      <c r="X404" s="1"/>
      <c r="Y404" s="1"/>
    </row>
    <row r="405" spans="1:25" ht="22.5" customHeight="1" x14ac:dyDescent="0.2">
      <c r="A405" s="3"/>
      <c r="B405" s="3"/>
      <c r="C405" s="3"/>
      <c r="D405" s="3"/>
      <c r="E405" s="6"/>
      <c r="F405" s="3"/>
      <c r="G405" s="3"/>
      <c r="H405" s="3"/>
      <c r="I405" s="3"/>
      <c r="J405" s="3"/>
      <c r="K405" s="3"/>
      <c r="L405" s="3"/>
      <c r="M405" s="1"/>
      <c r="N405" s="1"/>
      <c r="O405" s="1"/>
      <c r="P405" s="1"/>
      <c r="Q405" s="1"/>
      <c r="R405" s="1"/>
      <c r="S405" s="1"/>
      <c r="T405" s="1"/>
      <c r="U405" s="1"/>
      <c r="V405" s="1"/>
      <c r="W405" s="1"/>
      <c r="X405" s="1"/>
      <c r="Y405" s="1"/>
    </row>
    <row r="406" spans="1:25" ht="22.5" customHeight="1" x14ac:dyDescent="0.2">
      <c r="A406" s="3"/>
      <c r="B406" s="3"/>
      <c r="C406" s="3"/>
      <c r="D406" s="3"/>
      <c r="E406" s="6"/>
      <c r="F406" s="3"/>
      <c r="G406" s="3"/>
      <c r="H406" s="3"/>
      <c r="I406" s="3"/>
      <c r="J406" s="3"/>
      <c r="K406" s="3"/>
      <c r="L406" s="3"/>
      <c r="M406" s="1"/>
      <c r="N406" s="1"/>
      <c r="O406" s="1"/>
      <c r="P406" s="1"/>
      <c r="Q406" s="1"/>
      <c r="R406" s="1"/>
      <c r="S406" s="1"/>
      <c r="T406" s="1"/>
      <c r="U406" s="1"/>
      <c r="V406" s="1"/>
      <c r="W406" s="1"/>
      <c r="X406" s="1"/>
      <c r="Y406" s="1"/>
    </row>
    <row r="407" spans="1:25" ht="22.5" customHeight="1" x14ac:dyDescent="0.2">
      <c r="A407" s="3"/>
      <c r="B407" s="3"/>
      <c r="C407" s="3"/>
      <c r="D407" s="3"/>
      <c r="E407" s="6"/>
      <c r="F407" s="3"/>
      <c r="G407" s="3"/>
      <c r="H407" s="3"/>
      <c r="I407" s="3"/>
      <c r="J407" s="3"/>
      <c r="K407" s="3"/>
      <c r="L407" s="3"/>
      <c r="M407" s="1"/>
      <c r="N407" s="1"/>
      <c r="O407" s="1"/>
      <c r="P407" s="1"/>
      <c r="Q407" s="1"/>
      <c r="R407" s="1"/>
      <c r="S407" s="1"/>
      <c r="T407" s="1"/>
      <c r="U407" s="1"/>
      <c r="V407" s="1"/>
      <c r="W407" s="1"/>
      <c r="X407" s="1"/>
      <c r="Y407" s="1"/>
    </row>
    <row r="408" spans="1:25" ht="22.5" customHeight="1" x14ac:dyDescent="0.2">
      <c r="A408" s="3"/>
      <c r="B408" s="3"/>
      <c r="C408" s="3"/>
      <c r="D408" s="3"/>
      <c r="E408" s="6"/>
      <c r="F408" s="3"/>
      <c r="G408" s="3"/>
      <c r="H408" s="3"/>
      <c r="I408" s="3"/>
      <c r="J408" s="3"/>
      <c r="K408" s="3"/>
      <c r="L408" s="3"/>
      <c r="M408" s="1"/>
      <c r="N408" s="1"/>
      <c r="O408" s="1"/>
      <c r="P408" s="1"/>
      <c r="Q408" s="1"/>
      <c r="R408" s="1"/>
      <c r="S408" s="1"/>
      <c r="T408" s="1"/>
      <c r="U408" s="1"/>
      <c r="V408" s="1"/>
      <c r="W408" s="1"/>
      <c r="X408" s="1"/>
      <c r="Y408" s="1"/>
    </row>
    <row r="409" spans="1:25" ht="22.5" customHeight="1" x14ac:dyDescent="0.2">
      <c r="A409" s="3"/>
      <c r="B409" s="3"/>
      <c r="C409" s="3"/>
      <c r="D409" s="3"/>
      <c r="E409" s="6"/>
      <c r="F409" s="3"/>
      <c r="G409" s="3"/>
      <c r="H409" s="3"/>
      <c r="I409" s="3"/>
      <c r="J409" s="3"/>
      <c r="K409" s="3"/>
      <c r="L409" s="3"/>
      <c r="M409" s="1"/>
      <c r="N409" s="1"/>
      <c r="O409" s="1"/>
      <c r="P409" s="1"/>
      <c r="Q409" s="1"/>
      <c r="R409" s="1"/>
      <c r="S409" s="1"/>
      <c r="T409" s="1"/>
      <c r="U409" s="1"/>
      <c r="V409" s="1"/>
      <c r="W409" s="1"/>
      <c r="X409" s="1"/>
      <c r="Y409" s="1"/>
    </row>
    <row r="410" spans="1:25" ht="22.5" customHeight="1" x14ac:dyDescent="0.2">
      <c r="A410" s="3"/>
      <c r="B410" s="3"/>
      <c r="C410" s="3"/>
      <c r="D410" s="3"/>
      <c r="E410" s="6"/>
      <c r="F410" s="3"/>
      <c r="G410" s="3"/>
      <c r="H410" s="3"/>
      <c r="I410" s="3"/>
      <c r="J410" s="3"/>
      <c r="K410" s="3"/>
      <c r="L410" s="3"/>
      <c r="M410" s="1"/>
      <c r="N410" s="1"/>
      <c r="O410" s="1"/>
      <c r="P410" s="1"/>
      <c r="Q410" s="1"/>
      <c r="R410" s="1"/>
      <c r="S410" s="1"/>
      <c r="T410" s="1"/>
      <c r="U410" s="1"/>
      <c r="V410" s="1"/>
      <c r="W410" s="1"/>
      <c r="X410" s="1"/>
      <c r="Y410" s="1"/>
    </row>
    <row r="411" spans="1:25" ht="22.5" customHeight="1" x14ac:dyDescent="0.2">
      <c r="A411" s="3"/>
      <c r="B411" s="3"/>
      <c r="C411" s="3"/>
      <c r="D411" s="3"/>
      <c r="E411" s="6"/>
      <c r="F411" s="3"/>
      <c r="G411" s="3"/>
      <c r="H411" s="3"/>
      <c r="I411" s="3"/>
      <c r="J411" s="3"/>
      <c r="K411" s="3"/>
      <c r="L411" s="3"/>
      <c r="M411" s="1"/>
      <c r="N411" s="1"/>
      <c r="O411" s="1"/>
      <c r="P411" s="1"/>
      <c r="Q411" s="1"/>
      <c r="R411" s="1"/>
      <c r="S411" s="1"/>
      <c r="T411" s="1"/>
      <c r="U411" s="1"/>
      <c r="V411" s="1"/>
      <c r="W411" s="1"/>
      <c r="X411" s="1"/>
      <c r="Y411" s="1"/>
    </row>
    <row r="412" spans="1:25" ht="22.5" customHeight="1" x14ac:dyDescent="0.2">
      <c r="A412" s="3"/>
      <c r="B412" s="3"/>
      <c r="C412" s="3"/>
      <c r="D412" s="3"/>
      <c r="E412" s="6"/>
      <c r="F412" s="3"/>
      <c r="G412" s="3"/>
      <c r="H412" s="3"/>
      <c r="I412" s="3"/>
      <c r="J412" s="3"/>
      <c r="K412" s="3"/>
      <c r="L412" s="3"/>
      <c r="M412" s="1"/>
      <c r="N412" s="1"/>
      <c r="O412" s="1"/>
      <c r="P412" s="1"/>
      <c r="Q412" s="1"/>
      <c r="R412" s="1"/>
      <c r="S412" s="1"/>
      <c r="T412" s="1"/>
      <c r="U412" s="1"/>
      <c r="V412" s="1"/>
      <c r="W412" s="1"/>
      <c r="X412" s="1"/>
      <c r="Y412" s="1"/>
    </row>
    <row r="413" spans="1:25" ht="22.5" customHeight="1" x14ac:dyDescent="0.2">
      <c r="A413" s="3"/>
      <c r="B413" s="3"/>
      <c r="C413" s="3"/>
      <c r="D413" s="3"/>
      <c r="E413" s="6"/>
      <c r="F413" s="3"/>
      <c r="G413" s="3"/>
      <c r="H413" s="3"/>
      <c r="I413" s="3"/>
      <c r="J413" s="3"/>
      <c r="K413" s="3"/>
      <c r="L413" s="3"/>
      <c r="M413" s="1"/>
      <c r="N413" s="1"/>
      <c r="O413" s="1"/>
      <c r="P413" s="1"/>
      <c r="Q413" s="1"/>
      <c r="R413" s="1"/>
      <c r="S413" s="1"/>
      <c r="T413" s="1"/>
      <c r="U413" s="1"/>
      <c r="V413" s="1"/>
      <c r="W413" s="1"/>
      <c r="X413" s="1"/>
      <c r="Y413" s="1"/>
    </row>
    <row r="414" spans="1:25" ht="22.5" customHeight="1" x14ac:dyDescent="0.2">
      <c r="A414" s="3"/>
      <c r="B414" s="3"/>
      <c r="C414" s="3"/>
      <c r="D414" s="3"/>
      <c r="E414" s="6"/>
      <c r="F414" s="3"/>
      <c r="G414" s="3"/>
      <c r="H414" s="3"/>
      <c r="I414" s="3"/>
      <c r="J414" s="3"/>
      <c r="K414" s="3"/>
      <c r="L414" s="3"/>
      <c r="M414" s="1"/>
      <c r="N414" s="1"/>
      <c r="O414" s="1"/>
      <c r="P414" s="1"/>
      <c r="Q414" s="1"/>
      <c r="R414" s="1"/>
      <c r="S414" s="1"/>
      <c r="T414" s="1"/>
      <c r="U414" s="1"/>
      <c r="V414" s="1"/>
      <c r="W414" s="1"/>
      <c r="X414" s="1"/>
      <c r="Y414" s="1"/>
    </row>
    <row r="415" spans="1:25" ht="22.5" customHeight="1" x14ac:dyDescent="0.2">
      <c r="A415" s="3"/>
      <c r="B415" s="3"/>
      <c r="C415" s="3"/>
      <c r="D415" s="3"/>
      <c r="E415" s="6"/>
      <c r="F415" s="3"/>
      <c r="G415" s="3"/>
      <c r="H415" s="3"/>
      <c r="I415" s="3"/>
      <c r="J415" s="3"/>
      <c r="K415" s="3"/>
      <c r="L415" s="3"/>
      <c r="M415" s="1"/>
      <c r="N415" s="1"/>
      <c r="O415" s="1"/>
      <c r="P415" s="1"/>
      <c r="Q415" s="1"/>
      <c r="R415" s="1"/>
      <c r="S415" s="1"/>
      <c r="T415" s="1"/>
      <c r="U415" s="1"/>
      <c r="V415" s="1"/>
      <c r="W415" s="1"/>
      <c r="X415" s="1"/>
      <c r="Y415" s="1"/>
    </row>
    <row r="416" spans="1:25" ht="22.5" customHeight="1" x14ac:dyDescent="0.2">
      <c r="A416" s="3"/>
      <c r="B416" s="3"/>
      <c r="C416" s="3"/>
      <c r="D416" s="3"/>
      <c r="E416" s="6"/>
      <c r="F416" s="3"/>
      <c r="G416" s="3"/>
      <c r="H416" s="3"/>
      <c r="I416" s="3"/>
      <c r="J416" s="3"/>
      <c r="K416" s="3"/>
      <c r="L416" s="3"/>
      <c r="M416" s="1"/>
      <c r="N416" s="1"/>
      <c r="O416" s="1"/>
      <c r="P416" s="1"/>
      <c r="Q416" s="1"/>
      <c r="R416" s="1"/>
      <c r="S416" s="1"/>
      <c r="T416" s="1"/>
      <c r="U416" s="1"/>
      <c r="V416" s="1"/>
      <c r="W416" s="1"/>
      <c r="X416" s="1"/>
      <c r="Y416" s="1"/>
    </row>
    <row r="417" spans="1:25" ht="22.5" customHeight="1" x14ac:dyDescent="0.2">
      <c r="A417" s="3"/>
      <c r="B417" s="3"/>
      <c r="C417" s="3"/>
      <c r="D417" s="3"/>
      <c r="E417" s="6"/>
      <c r="F417" s="3"/>
      <c r="G417" s="3"/>
      <c r="H417" s="3"/>
      <c r="I417" s="3"/>
      <c r="J417" s="3"/>
      <c r="K417" s="3"/>
      <c r="L417" s="3"/>
      <c r="M417" s="1"/>
      <c r="N417" s="1"/>
      <c r="O417" s="1"/>
      <c r="P417" s="1"/>
      <c r="Q417" s="1"/>
      <c r="R417" s="1"/>
      <c r="S417" s="1"/>
      <c r="T417" s="1"/>
      <c r="U417" s="1"/>
      <c r="V417" s="1"/>
      <c r="W417" s="1"/>
      <c r="X417" s="1"/>
      <c r="Y417" s="1"/>
    </row>
    <row r="418" spans="1:25" ht="22.5" customHeight="1" x14ac:dyDescent="0.2">
      <c r="A418" s="3"/>
      <c r="B418" s="3"/>
      <c r="C418" s="3"/>
      <c r="D418" s="3"/>
      <c r="E418" s="6"/>
      <c r="F418" s="3"/>
      <c r="G418" s="3"/>
      <c r="H418" s="3"/>
      <c r="I418" s="3"/>
      <c r="J418" s="3"/>
      <c r="K418" s="3"/>
      <c r="L418" s="3"/>
      <c r="M418" s="1"/>
      <c r="N418" s="1"/>
      <c r="O418" s="1"/>
      <c r="P418" s="1"/>
      <c r="Q418" s="1"/>
      <c r="R418" s="1"/>
      <c r="S418" s="1"/>
      <c r="T418" s="1"/>
      <c r="U418" s="1"/>
      <c r="V418" s="1"/>
      <c r="W418" s="1"/>
      <c r="X418" s="1"/>
      <c r="Y418" s="1"/>
    </row>
    <row r="419" spans="1:25" ht="22.5" customHeight="1" x14ac:dyDescent="0.2">
      <c r="A419" s="3"/>
      <c r="B419" s="3"/>
      <c r="C419" s="3"/>
      <c r="D419" s="3"/>
      <c r="E419" s="6"/>
      <c r="F419" s="3"/>
      <c r="G419" s="3"/>
      <c r="H419" s="3"/>
      <c r="I419" s="3"/>
      <c r="J419" s="3"/>
      <c r="K419" s="3"/>
      <c r="L419" s="3"/>
      <c r="M419" s="1"/>
      <c r="N419" s="1"/>
      <c r="O419" s="1"/>
      <c r="P419" s="1"/>
      <c r="Q419" s="1"/>
      <c r="R419" s="1"/>
      <c r="S419" s="1"/>
      <c r="T419" s="1"/>
      <c r="U419" s="1"/>
      <c r="V419" s="1"/>
      <c r="W419" s="1"/>
      <c r="X419" s="1"/>
      <c r="Y419" s="1"/>
    </row>
    <row r="420" spans="1:25" ht="22.5" customHeight="1" x14ac:dyDescent="0.2">
      <c r="A420" s="3"/>
      <c r="B420" s="3"/>
      <c r="C420" s="3"/>
      <c r="D420" s="3"/>
      <c r="E420" s="6"/>
      <c r="F420" s="3"/>
      <c r="G420" s="3"/>
      <c r="H420" s="3"/>
      <c r="I420" s="3"/>
      <c r="J420" s="3"/>
      <c r="K420" s="3"/>
      <c r="L420" s="3"/>
      <c r="M420" s="1"/>
      <c r="N420" s="1"/>
      <c r="O420" s="1"/>
      <c r="P420" s="1"/>
      <c r="Q420" s="1"/>
      <c r="R420" s="1"/>
      <c r="S420" s="1"/>
      <c r="T420" s="1"/>
      <c r="U420" s="1"/>
      <c r="V420" s="1"/>
      <c r="W420" s="1"/>
      <c r="X420" s="1"/>
      <c r="Y420" s="1"/>
    </row>
    <row r="421" spans="1:25" ht="22.5" customHeight="1" x14ac:dyDescent="0.2">
      <c r="A421" s="3"/>
      <c r="B421" s="3"/>
      <c r="C421" s="3"/>
      <c r="D421" s="3"/>
      <c r="E421" s="6"/>
      <c r="F421" s="3"/>
      <c r="G421" s="3"/>
      <c r="H421" s="3"/>
      <c r="I421" s="3"/>
      <c r="J421" s="3"/>
      <c r="K421" s="3"/>
      <c r="L421" s="3"/>
      <c r="M421" s="1"/>
      <c r="N421" s="1"/>
      <c r="O421" s="1"/>
      <c r="P421" s="1"/>
      <c r="Q421" s="1"/>
      <c r="R421" s="1"/>
      <c r="S421" s="1"/>
      <c r="T421" s="1"/>
      <c r="U421" s="1"/>
      <c r="V421" s="1"/>
      <c r="W421" s="1"/>
      <c r="X421" s="1"/>
      <c r="Y421" s="1"/>
    </row>
    <row r="422" spans="1:25" ht="22.5" customHeight="1" x14ac:dyDescent="0.2">
      <c r="A422" s="3"/>
      <c r="B422" s="3"/>
      <c r="C422" s="3"/>
      <c r="D422" s="3"/>
      <c r="E422" s="6"/>
      <c r="F422" s="3"/>
      <c r="G422" s="3"/>
      <c r="H422" s="3"/>
      <c r="I422" s="3"/>
      <c r="J422" s="3"/>
      <c r="K422" s="3"/>
      <c r="L422" s="3"/>
      <c r="M422" s="1"/>
      <c r="N422" s="1"/>
      <c r="O422" s="1"/>
      <c r="P422" s="1"/>
      <c r="Q422" s="1"/>
      <c r="R422" s="1"/>
      <c r="S422" s="1"/>
      <c r="T422" s="1"/>
      <c r="U422" s="1"/>
      <c r="V422" s="1"/>
      <c r="W422" s="1"/>
      <c r="X422" s="1"/>
      <c r="Y422" s="1"/>
    </row>
    <row r="423" spans="1:25" ht="22.5" customHeight="1" x14ac:dyDescent="0.2">
      <c r="A423" s="3"/>
      <c r="B423" s="3"/>
      <c r="C423" s="3"/>
      <c r="D423" s="3"/>
      <c r="E423" s="6"/>
      <c r="F423" s="3"/>
      <c r="G423" s="3"/>
      <c r="H423" s="3"/>
      <c r="I423" s="3"/>
      <c r="J423" s="3"/>
      <c r="K423" s="3"/>
      <c r="L423" s="3"/>
      <c r="M423" s="1"/>
      <c r="N423" s="1"/>
      <c r="O423" s="1"/>
      <c r="P423" s="1"/>
      <c r="Q423" s="1"/>
      <c r="R423" s="1"/>
      <c r="S423" s="1"/>
      <c r="T423" s="1"/>
      <c r="U423" s="1"/>
      <c r="V423" s="1"/>
      <c r="W423" s="1"/>
      <c r="X423" s="1"/>
      <c r="Y423" s="1"/>
    </row>
    <row r="424" spans="1:25" ht="22.5" customHeight="1" x14ac:dyDescent="0.2">
      <c r="A424" s="3"/>
      <c r="B424" s="3"/>
      <c r="C424" s="3"/>
      <c r="D424" s="3"/>
      <c r="E424" s="6"/>
      <c r="F424" s="3"/>
      <c r="G424" s="3"/>
      <c r="H424" s="3"/>
      <c r="I424" s="3"/>
      <c r="J424" s="3"/>
      <c r="K424" s="3"/>
      <c r="L424" s="3"/>
      <c r="M424" s="1"/>
      <c r="N424" s="1"/>
      <c r="O424" s="1"/>
      <c r="P424" s="1"/>
      <c r="Q424" s="1"/>
      <c r="R424" s="1"/>
      <c r="S424" s="1"/>
      <c r="T424" s="1"/>
      <c r="U424" s="1"/>
      <c r="V424" s="1"/>
      <c r="W424" s="1"/>
      <c r="X424" s="1"/>
      <c r="Y424" s="1"/>
    </row>
    <row r="425" spans="1:25" ht="22.5" customHeight="1" x14ac:dyDescent="0.2">
      <c r="A425" s="3"/>
      <c r="B425" s="3"/>
      <c r="C425" s="3"/>
      <c r="D425" s="3"/>
      <c r="E425" s="6"/>
      <c r="F425" s="3"/>
      <c r="G425" s="3"/>
      <c r="H425" s="3"/>
      <c r="I425" s="3"/>
      <c r="J425" s="3"/>
      <c r="K425" s="3"/>
      <c r="L425" s="3"/>
      <c r="M425" s="1"/>
      <c r="N425" s="1"/>
      <c r="O425" s="1"/>
      <c r="P425" s="1"/>
      <c r="Q425" s="1"/>
      <c r="R425" s="1"/>
      <c r="S425" s="1"/>
      <c r="T425" s="1"/>
      <c r="U425" s="1"/>
      <c r="V425" s="1"/>
      <c r="W425" s="1"/>
      <c r="X425" s="1"/>
      <c r="Y425" s="1"/>
    </row>
    <row r="426" spans="1:25" ht="22.5" customHeight="1" x14ac:dyDescent="0.2">
      <c r="A426" s="3"/>
      <c r="B426" s="3"/>
      <c r="C426" s="3"/>
      <c r="D426" s="3"/>
      <c r="E426" s="6"/>
      <c r="F426" s="3"/>
      <c r="G426" s="3"/>
      <c r="H426" s="3"/>
      <c r="I426" s="3"/>
      <c r="J426" s="3"/>
      <c r="K426" s="3"/>
      <c r="L426" s="3"/>
      <c r="M426" s="1"/>
      <c r="N426" s="1"/>
      <c r="O426" s="1"/>
      <c r="P426" s="1"/>
      <c r="Q426" s="1"/>
      <c r="R426" s="1"/>
      <c r="S426" s="1"/>
      <c r="T426" s="1"/>
      <c r="U426" s="1"/>
      <c r="V426" s="1"/>
      <c r="W426" s="1"/>
      <c r="X426" s="1"/>
      <c r="Y426" s="1"/>
    </row>
    <row r="427" spans="1:25" ht="22.5" customHeight="1" x14ac:dyDescent="0.2">
      <c r="A427" s="3"/>
      <c r="B427" s="3"/>
      <c r="C427" s="3"/>
      <c r="D427" s="3"/>
      <c r="E427" s="6"/>
      <c r="F427" s="3"/>
      <c r="G427" s="3"/>
      <c r="H427" s="3"/>
      <c r="I427" s="3"/>
      <c r="J427" s="3"/>
      <c r="K427" s="3"/>
      <c r="L427" s="3"/>
      <c r="M427" s="1"/>
      <c r="N427" s="1"/>
      <c r="O427" s="1"/>
      <c r="P427" s="1"/>
      <c r="Q427" s="1"/>
      <c r="R427" s="1"/>
      <c r="S427" s="1"/>
      <c r="T427" s="1"/>
      <c r="U427" s="1"/>
      <c r="V427" s="1"/>
      <c r="W427" s="1"/>
      <c r="X427" s="1"/>
      <c r="Y427" s="1"/>
    </row>
    <row r="428" spans="1:25" ht="22.5" customHeight="1" x14ac:dyDescent="0.2">
      <c r="A428" s="3"/>
      <c r="B428" s="3"/>
      <c r="C428" s="3"/>
      <c r="D428" s="3"/>
      <c r="E428" s="6"/>
      <c r="F428" s="3"/>
      <c r="G428" s="3"/>
      <c r="H428" s="3"/>
      <c r="I428" s="3"/>
      <c r="J428" s="3"/>
      <c r="K428" s="3"/>
      <c r="L428" s="3"/>
      <c r="M428" s="1"/>
      <c r="N428" s="1"/>
      <c r="O428" s="1"/>
      <c r="P428" s="1"/>
      <c r="Q428" s="1"/>
      <c r="R428" s="1"/>
      <c r="S428" s="1"/>
      <c r="T428" s="1"/>
      <c r="U428" s="1"/>
      <c r="V428" s="1"/>
      <c r="W428" s="1"/>
      <c r="X428" s="1"/>
      <c r="Y428" s="1"/>
    </row>
    <row r="429" spans="1:25" ht="22.5" customHeight="1" x14ac:dyDescent="0.2">
      <c r="A429" s="3"/>
      <c r="B429" s="3"/>
      <c r="C429" s="3"/>
      <c r="D429" s="3"/>
      <c r="E429" s="6"/>
      <c r="F429" s="3"/>
      <c r="G429" s="3"/>
      <c r="H429" s="3"/>
      <c r="I429" s="3"/>
      <c r="J429" s="3"/>
      <c r="K429" s="3"/>
      <c r="L429" s="3"/>
      <c r="M429" s="1"/>
      <c r="N429" s="1"/>
      <c r="O429" s="1"/>
      <c r="P429" s="1"/>
      <c r="Q429" s="1"/>
      <c r="R429" s="1"/>
      <c r="S429" s="1"/>
      <c r="T429" s="1"/>
      <c r="U429" s="1"/>
      <c r="V429" s="1"/>
      <c r="W429" s="1"/>
      <c r="X429" s="1"/>
      <c r="Y429" s="1"/>
    </row>
    <row r="430" spans="1:25" ht="22.5" customHeight="1" x14ac:dyDescent="0.2">
      <c r="A430" s="3"/>
      <c r="B430" s="3"/>
      <c r="C430" s="3"/>
      <c r="D430" s="3"/>
      <c r="E430" s="6"/>
      <c r="F430" s="3"/>
      <c r="G430" s="3"/>
      <c r="H430" s="3"/>
      <c r="I430" s="3"/>
      <c r="J430" s="3"/>
      <c r="K430" s="3"/>
      <c r="L430" s="3"/>
      <c r="M430" s="1"/>
      <c r="N430" s="1"/>
      <c r="O430" s="1"/>
      <c r="P430" s="1"/>
      <c r="Q430" s="1"/>
      <c r="R430" s="1"/>
      <c r="S430" s="1"/>
      <c r="T430" s="1"/>
      <c r="U430" s="1"/>
      <c r="V430" s="1"/>
      <c r="W430" s="1"/>
      <c r="X430" s="1"/>
      <c r="Y430" s="1"/>
    </row>
    <row r="431" spans="1:25" ht="22.5" customHeight="1" x14ac:dyDescent="0.2">
      <c r="A431" s="3"/>
      <c r="B431" s="3"/>
      <c r="C431" s="3"/>
      <c r="D431" s="3"/>
      <c r="E431" s="6"/>
      <c r="F431" s="3"/>
      <c r="G431" s="3"/>
      <c r="H431" s="3"/>
      <c r="I431" s="3"/>
      <c r="J431" s="3"/>
      <c r="K431" s="3"/>
      <c r="L431" s="3"/>
      <c r="M431" s="1"/>
      <c r="N431" s="1"/>
      <c r="O431" s="1"/>
      <c r="P431" s="1"/>
      <c r="Q431" s="1"/>
      <c r="R431" s="1"/>
      <c r="S431" s="1"/>
      <c r="T431" s="1"/>
      <c r="U431" s="1"/>
      <c r="V431" s="1"/>
      <c r="W431" s="1"/>
      <c r="X431" s="1"/>
      <c r="Y431" s="1"/>
    </row>
    <row r="432" spans="1:25" ht="22.5" customHeight="1" x14ac:dyDescent="0.2">
      <c r="A432" s="3"/>
      <c r="B432" s="3"/>
      <c r="C432" s="3"/>
      <c r="D432" s="3"/>
      <c r="E432" s="6"/>
      <c r="F432" s="3"/>
      <c r="G432" s="3"/>
      <c r="H432" s="3"/>
      <c r="I432" s="3"/>
      <c r="J432" s="3"/>
      <c r="K432" s="3"/>
      <c r="L432" s="3"/>
      <c r="M432" s="1"/>
      <c r="N432" s="1"/>
      <c r="O432" s="1"/>
      <c r="P432" s="1"/>
      <c r="Q432" s="1"/>
      <c r="R432" s="1"/>
      <c r="S432" s="1"/>
      <c r="T432" s="1"/>
      <c r="U432" s="1"/>
      <c r="V432" s="1"/>
      <c r="W432" s="1"/>
      <c r="X432" s="1"/>
      <c r="Y432" s="1"/>
    </row>
    <row r="433" spans="1:25" ht="22.5" customHeight="1" x14ac:dyDescent="0.2">
      <c r="A433" s="3"/>
      <c r="B433" s="3"/>
      <c r="C433" s="3"/>
      <c r="D433" s="3"/>
      <c r="E433" s="6"/>
      <c r="F433" s="3"/>
      <c r="G433" s="3"/>
      <c r="H433" s="3"/>
      <c r="I433" s="3"/>
      <c r="J433" s="3"/>
      <c r="K433" s="3"/>
      <c r="L433" s="3"/>
      <c r="M433" s="1"/>
      <c r="N433" s="1"/>
      <c r="O433" s="1"/>
      <c r="P433" s="1"/>
      <c r="Q433" s="1"/>
      <c r="R433" s="1"/>
      <c r="S433" s="1"/>
      <c r="T433" s="1"/>
      <c r="U433" s="1"/>
      <c r="V433" s="1"/>
      <c r="W433" s="1"/>
      <c r="X433" s="1"/>
      <c r="Y433" s="1"/>
    </row>
    <row r="434" spans="1:25" ht="22.5" customHeight="1" x14ac:dyDescent="0.2">
      <c r="A434" s="3"/>
      <c r="B434" s="3"/>
      <c r="C434" s="3"/>
      <c r="D434" s="3"/>
      <c r="E434" s="6"/>
      <c r="F434" s="3"/>
      <c r="G434" s="3"/>
      <c r="H434" s="3"/>
      <c r="I434" s="3"/>
      <c r="J434" s="3"/>
      <c r="K434" s="3"/>
      <c r="L434" s="3"/>
      <c r="M434" s="1"/>
      <c r="N434" s="1"/>
      <c r="O434" s="1"/>
      <c r="P434" s="1"/>
      <c r="Q434" s="1"/>
      <c r="R434" s="1"/>
      <c r="S434" s="1"/>
      <c r="T434" s="1"/>
      <c r="U434" s="1"/>
      <c r="V434" s="1"/>
      <c r="W434" s="1"/>
      <c r="X434" s="1"/>
      <c r="Y434" s="1"/>
    </row>
    <row r="435" spans="1:25" ht="22.5" customHeight="1" x14ac:dyDescent="0.2">
      <c r="A435" s="3"/>
      <c r="B435" s="3"/>
      <c r="C435" s="3"/>
      <c r="D435" s="3"/>
      <c r="E435" s="6"/>
      <c r="F435" s="3"/>
      <c r="G435" s="3"/>
      <c r="H435" s="3"/>
      <c r="I435" s="3"/>
      <c r="J435" s="3"/>
      <c r="K435" s="3"/>
      <c r="L435" s="3"/>
      <c r="M435" s="1"/>
      <c r="N435" s="1"/>
      <c r="O435" s="1"/>
      <c r="P435" s="1"/>
      <c r="Q435" s="1"/>
      <c r="R435" s="1"/>
      <c r="S435" s="1"/>
      <c r="T435" s="1"/>
      <c r="U435" s="1"/>
      <c r="V435" s="1"/>
      <c r="W435" s="1"/>
      <c r="X435" s="1"/>
      <c r="Y435" s="1"/>
    </row>
    <row r="436" spans="1:25" ht="22.5" customHeight="1" x14ac:dyDescent="0.2">
      <c r="A436" s="3"/>
      <c r="B436" s="3"/>
      <c r="C436" s="3"/>
      <c r="D436" s="3"/>
      <c r="E436" s="6"/>
      <c r="F436" s="3"/>
      <c r="G436" s="3"/>
      <c r="H436" s="3"/>
      <c r="I436" s="3"/>
      <c r="J436" s="3"/>
      <c r="K436" s="3"/>
      <c r="L436" s="3"/>
      <c r="M436" s="1"/>
      <c r="N436" s="1"/>
      <c r="O436" s="1"/>
      <c r="P436" s="1"/>
      <c r="Q436" s="1"/>
      <c r="R436" s="1"/>
      <c r="S436" s="1"/>
      <c r="T436" s="1"/>
      <c r="U436" s="1"/>
      <c r="V436" s="1"/>
      <c r="W436" s="1"/>
      <c r="X436" s="1"/>
      <c r="Y436" s="1"/>
    </row>
    <row r="437" spans="1:25" ht="22.5" customHeight="1" x14ac:dyDescent="0.2">
      <c r="A437" s="3"/>
      <c r="B437" s="3"/>
      <c r="C437" s="3"/>
      <c r="D437" s="3"/>
      <c r="E437" s="6"/>
      <c r="F437" s="3"/>
      <c r="G437" s="3"/>
      <c r="H437" s="3"/>
      <c r="I437" s="3"/>
      <c r="J437" s="3"/>
      <c r="K437" s="3"/>
      <c r="L437" s="3"/>
      <c r="M437" s="1"/>
      <c r="N437" s="1"/>
      <c r="O437" s="1"/>
      <c r="P437" s="1"/>
      <c r="Q437" s="1"/>
      <c r="R437" s="1"/>
      <c r="S437" s="1"/>
      <c r="T437" s="1"/>
      <c r="U437" s="1"/>
      <c r="V437" s="1"/>
      <c r="W437" s="1"/>
      <c r="X437" s="1"/>
      <c r="Y437" s="1"/>
    </row>
    <row r="438" spans="1:25" ht="22.5" customHeight="1" x14ac:dyDescent="0.2">
      <c r="A438" s="3"/>
      <c r="B438" s="3"/>
      <c r="C438" s="3"/>
      <c r="D438" s="3"/>
      <c r="E438" s="6"/>
      <c r="F438" s="3"/>
      <c r="G438" s="3"/>
      <c r="H438" s="3"/>
      <c r="I438" s="3"/>
      <c r="J438" s="3"/>
      <c r="K438" s="3"/>
      <c r="L438" s="3"/>
      <c r="M438" s="1"/>
      <c r="N438" s="1"/>
      <c r="O438" s="1"/>
      <c r="P438" s="1"/>
      <c r="Q438" s="1"/>
      <c r="R438" s="1"/>
      <c r="S438" s="1"/>
      <c r="T438" s="1"/>
      <c r="U438" s="1"/>
      <c r="V438" s="1"/>
      <c r="W438" s="1"/>
      <c r="X438" s="1"/>
      <c r="Y438" s="1"/>
    </row>
    <row r="439" spans="1:25" ht="22.5" customHeight="1" x14ac:dyDescent="0.2">
      <c r="A439" s="3"/>
      <c r="B439" s="3"/>
      <c r="C439" s="3"/>
      <c r="D439" s="3"/>
      <c r="E439" s="6"/>
      <c r="F439" s="3"/>
      <c r="G439" s="3"/>
      <c r="H439" s="3"/>
      <c r="I439" s="3"/>
      <c r="J439" s="3"/>
      <c r="K439" s="3"/>
      <c r="L439" s="3"/>
      <c r="M439" s="1"/>
      <c r="N439" s="1"/>
      <c r="O439" s="1"/>
      <c r="P439" s="1"/>
      <c r="Q439" s="1"/>
      <c r="R439" s="1"/>
      <c r="S439" s="1"/>
      <c r="T439" s="1"/>
      <c r="U439" s="1"/>
      <c r="V439" s="1"/>
      <c r="W439" s="1"/>
      <c r="X439" s="1"/>
      <c r="Y439" s="1"/>
    </row>
    <row r="440" spans="1:25" ht="22.5" customHeight="1" x14ac:dyDescent="0.2">
      <c r="A440" s="3"/>
      <c r="B440" s="3"/>
      <c r="C440" s="3"/>
      <c r="D440" s="3"/>
      <c r="E440" s="6"/>
      <c r="F440" s="3"/>
      <c r="G440" s="3"/>
      <c r="H440" s="3"/>
      <c r="I440" s="3"/>
      <c r="J440" s="3"/>
      <c r="K440" s="3"/>
      <c r="L440" s="3"/>
      <c r="M440" s="1"/>
      <c r="N440" s="1"/>
      <c r="O440" s="1"/>
      <c r="P440" s="1"/>
      <c r="Q440" s="1"/>
      <c r="R440" s="1"/>
      <c r="S440" s="1"/>
      <c r="T440" s="1"/>
      <c r="U440" s="1"/>
      <c r="V440" s="1"/>
      <c r="W440" s="1"/>
      <c r="X440" s="1"/>
      <c r="Y440" s="1"/>
    </row>
    <row r="441" spans="1:25" ht="22.5" customHeight="1" x14ac:dyDescent="0.2">
      <c r="A441" s="3"/>
      <c r="B441" s="3"/>
      <c r="C441" s="3"/>
      <c r="D441" s="3"/>
      <c r="E441" s="6"/>
      <c r="F441" s="3"/>
      <c r="G441" s="3"/>
      <c r="H441" s="3"/>
      <c r="I441" s="3"/>
      <c r="J441" s="3"/>
      <c r="K441" s="3"/>
      <c r="L441" s="3"/>
      <c r="M441" s="1"/>
      <c r="N441" s="1"/>
      <c r="O441" s="1"/>
      <c r="P441" s="1"/>
      <c r="Q441" s="1"/>
      <c r="R441" s="1"/>
      <c r="S441" s="1"/>
      <c r="T441" s="1"/>
      <c r="U441" s="1"/>
      <c r="V441" s="1"/>
      <c r="W441" s="1"/>
      <c r="X441" s="1"/>
      <c r="Y441" s="1"/>
    </row>
    <row r="442" spans="1:25" ht="22.5" customHeight="1" x14ac:dyDescent="0.2">
      <c r="A442" s="3"/>
      <c r="B442" s="3"/>
      <c r="C442" s="3"/>
      <c r="D442" s="3"/>
      <c r="E442" s="6"/>
      <c r="F442" s="3"/>
      <c r="G442" s="3"/>
      <c r="H442" s="3"/>
      <c r="I442" s="3"/>
      <c r="J442" s="3"/>
      <c r="K442" s="3"/>
      <c r="L442" s="3"/>
      <c r="M442" s="1"/>
      <c r="N442" s="1"/>
      <c r="O442" s="1"/>
      <c r="P442" s="1"/>
      <c r="Q442" s="1"/>
      <c r="R442" s="1"/>
      <c r="S442" s="1"/>
      <c r="T442" s="1"/>
      <c r="U442" s="1"/>
      <c r="V442" s="1"/>
      <c r="W442" s="1"/>
      <c r="X442" s="1"/>
      <c r="Y442" s="1"/>
    </row>
    <row r="443" spans="1:25" ht="22.5" customHeight="1" x14ac:dyDescent="0.2">
      <c r="A443" s="3"/>
      <c r="B443" s="3"/>
      <c r="C443" s="3"/>
      <c r="D443" s="3"/>
      <c r="E443" s="6"/>
      <c r="F443" s="3"/>
      <c r="G443" s="3"/>
      <c r="H443" s="3"/>
      <c r="I443" s="3"/>
      <c r="J443" s="3"/>
      <c r="K443" s="3"/>
      <c r="L443" s="3"/>
      <c r="M443" s="1"/>
      <c r="N443" s="1"/>
      <c r="O443" s="1"/>
      <c r="P443" s="1"/>
      <c r="Q443" s="1"/>
      <c r="R443" s="1"/>
      <c r="S443" s="1"/>
      <c r="T443" s="1"/>
      <c r="U443" s="1"/>
      <c r="V443" s="1"/>
      <c r="W443" s="1"/>
      <c r="X443" s="1"/>
      <c r="Y443" s="1"/>
    </row>
    <row r="444" spans="1:25" ht="22.5" customHeight="1" x14ac:dyDescent="0.2">
      <c r="A444" s="3"/>
      <c r="B444" s="3"/>
      <c r="C444" s="3"/>
      <c r="D444" s="3"/>
      <c r="E444" s="6"/>
      <c r="F444" s="3"/>
      <c r="G444" s="3"/>
      <c r="H444" s="3"/>
      <c r="I444" s="3"/>
      <c r="J444" s="3"/>
      <c r="K444" s="3"/>
      <c r="L444" s="3"/>
      <c r="M444" s="1"/>
      <c r="N444" s="1"/>
      <c r="O444" s="1"/>
      <c r="P444" s="1"/>
      <c r="Q444" s="1"/>
      <c r="R444" s="1"/>
      <c r="S444" s="1"/>
      <c r="T444" s="1"/>
      <c r="U444" s="1"/>
      <c r="V444" s="1"/>
      <c r="W444" s="1"/>
      <c r="X444" s="1"/>
      <c r="Y444" s="1"/>
    </row>
    <row r="445" spans="1:25" ht="22.5" customHeight="1" x14ac:dyDescent="0.2">
      <c r="A445" s="3"/>
      <c r="B445" s="3"/>
      <c r="C445" s="3"/>
      <c r="D445" s="3"/>
      <c r="E445" s="6"/>
      <c r="F445" s="3"/>
      <c r="G445" s="3"/>
      <c r="H445" s="3"/>
      <c r="I445" s="3"/>
      <c r="J445" s="3"/>
      <c r="K445" s="3"/>
      <c r="L445" s="3"/>
      <c r="M445" s="1"/>
      <c r="N445" s="1"/>
      <c r="O445" s="1"/>
      <c r="P445" s="1"/>
      <c r="Q445" s="1"/>
      <c r="R445" s="1"/>
      <c r="S445" s="1"/>
      <c r="T445" s="1"/>
      <c r="U445" s="1"/>
      <c r="V445" s="1"/>
      <c r="W445" s="1"/>
      <c r="X445" s="1"/>
      <c r="Y445" s="1"/>
    </row>
    <row r="446" spans="1:25" ht="22.5" customHeight="1" x14ac:dyDescent="0.2">
      <c r="A446" s="3"/>
      <c r="B446" s="3"/>
      <c r="C446" s="3"/>
      <c r="D446" s="3"/>
      <c r="E446" s="6"/>
      <c r="F446" s="3"/>
      <c r="G446" s="3"/>
      <c r="H446" s="3"/>
      <c r="I446" s="3"/>
      <c r="J446" s="3"/>
      <c r="K446" s="3"/>
      <c r="L446" s="3"/>
      <c r="M446" s="1"/>
      <c r="N446" s="1"/>
      <c r="O446" s="1"/>
      <c r="P446" s="1"/>
      <c r="Q446" s="1"/>
      <c r="R446" s="1"/>
      <c r="S446" s="1"/>
      <c r="T446" s="1"/>
      <c r="U446" s="1"/>
      <c r="V446" s="1"/>
      <c r="W446" s="1"/>
      <c r="X446" s="1"/>
      <c r="Y446" s="1"/>
    </row>
    <row r="447" spans="1:25" ht="22.5" customHeight="1" x14ac:dyDescent="0.2">
      <c r="A447" s="3"/>
      <c r="B447" s="3"/>
      <c r="C447" s="3"/>
      <c r="D447" s="3"/>
      <c r="E447" s="6"/>
      <c r="F447" s="3"/>
      <c r="G447" s="3"/>
      <c r="H447" s="3"/>
      <c r="I447" s="3"/>
      <c r="J447" s="3"/>
      <c r="K447" s="3"/>
      <c r="L447" s="3"/>
      <c r="M447" s="1"/>
      <c r="N447" s="1"/>
      <c r="O447" s="1"/>
      <c r="P447" s="1"/>
      <c r="Q447" s="1"/>
      <c r="R447" s="1"/>
      <c r="S447" s="1"/>
      <c r="T447" s="1"/>
      <c r="U447" s="1"/>
      <c r="V447" s="1"/>
      <c r="W447" s="1"/>
      <c r="X447" s="1"/>
      <c r="Y447" s="1"/>
    </row>
    <row r="448" spans="1:25" ht="22.5" customHeight="1" x14ac:dyDescent="0.2">
      <c r="A448" s="3"/>
      <c r="B448" s="3"/>
      <c r="C448" s="3"/>
      <c r="D448" s="3"/>
      <c r="E448" s="6"/>
      <c r="F448" s="3"/>
      <c r="G448" s="3"/>
      <c r="H448" s="3"/>
      <c r="I448" s="3"/>
      <c r="J448" s="3"/>
      <c r="K448" s="3"/>
      <c r="L448" s="3"/>
      <c r="M448" s="1"/>
      <c r="N448" s="1"/>
      <c r="O448" s="1"/>
      <c r="P448" s="1"/>
      <c r="Q448" s="1"/>
      <c r="R448" s="1"/>
      <c r="S448" s="1"/>
      <c r="T448" s="1"/>
      <c r="U448" s="1"/>
      <c r="V448" s="1"/>
      <c r="W448" s="1"/>
      <c r="X448" s="1"/>
      <c r="Y448" s="1"/>
    </row>
    <row r="449" spans="1:25" ht="22.5" customHeight="1" x14ac:dyDescent="0.2">
      <c r="A449" s="3"/>
      <c r="B449" s="3"/>
      <c r="C449" s="3"/>
      <c r="D449" s="3"/>
      <c r="E449" s="6"/>
      <c r="F449" s="3"/>
      <c r="G449" s="3"/>
      <c r="H449" s="3"/>
      <c r="I449" s="3"/>
      <c r="J449" s="3"/>
      <c r="K449" s="3"/>
      <c r="L449" s="3"/>
      <c r="M449" s="1"/>
      <c r="N449" s="1"/>
      <c r="O449" s="1"/>
      <c r="P449" s="1"/>
      <c r="Q449" s="1"/>
      <c r="R449" s="1"/>
      <c r="S449" s="1"/>
      <c r="T449" s="1"/>
      <c r="U449" s="1"/>
      <c r="V449" s="1"/>
      <c r="W449" s="1"/>
      <c r="X449" s="1"/>
      <c r="Y449" s="1"/>
    </row>
    <row r="450" spans="1:25" ht="22.5" customHeight="1" x14ac:dyDescent="0.2">
      <c r="A450" s="3"/>
      <c r="B450" s="3"/>
      <c r="C450" s="3"/>
      <c r="D450" s="3"/>
      <c r="E450" s="6"/>
      <c r="F450" s="3"/>
      <c r="G450" s="3"/>
      <c r="H450" s="3"/>
      <c r="I450" s="3"/>
      <c r="J450" s="3"/>
      <c r="K450" s="3"/>
      <c r="L450" s="3"/>
      <c r="M450" s="1"/>
      <c r="N450" s="1"/>
      <c r="O450" s="1"/>
      <c r="P450" s="1"/>
      <c r="Q450" s="1"/>
      <c r="R450" s="1"/>
      <c r="S450" s="1"/>
      <c r="T450" s="1"/>
      <c r="U450" s="1"/>
      <c r="V450" s="1"/>
      <c r="W450" s="1"/>
      <c r="X450" s="1"/>
      <c r="Y450" s="1"/>
    </row>
    <row r="451" spans="1:25" ht="22.5" customHeight="1" x14ac:dyDescent="0.2">
      <c r="A451" s="3"/>
      <c r="B451" s="3"/>
      <c r="C451" s="3"/>
      <c r="D451" s="3"/>
      <c r="E451" s="6"/>
      <c r="F451" s="3"/>
      <c r="G451" s="3"/>
      <c r="H451" s="3"/>
      <c r="I451" s="3"/>
      <c r="J451" s="3"/>
      <c r="K451" s="3"/>
      <c r="L451" s="3"/>
      <c r="M451" s="1"/>
      <c r="N451" s="1"/>
      <c r="O451" s="1"/>
      <c r="P451" s="1"/>
      <c r="Q451" s="1"/>
      <c r="R451" s="1"/>
      <c r="S451" s="1"/>
      <c r="T451" s="1"/>
      <c r="U451" s="1"/>
      <c r="V451" s="1"/>
      <c r="W451" s="1"/>
      <c r="X451" s="1"/>
      <c r="Y451" s="1"/>
    </row>
    <row r="452" spans="1:25" ht="22.5" customHeight="1" x14ac:dyDescent="0.2">
      <c r="A452" s="3"/>
      <c r="B452" s="3"/>
      <c r="C452" s="3"/>
      <c r="D452" s="3"/>
      <c r="E452" s="6"/>
      <c r="F452" s="3"/>
      <c r="G452" s="3"/>
      <c r="H452" s="3"/>
      <c r="I452" s="3"/>
      <c r="J452" s="3"/>
      <c r="K452" s="3"/>
      <c r="L452" s="3"/>
      <c r="M452" s="1"/>
      <c r="N452" s="1"/>
      <c r="O452" s="1"/>
      <c r="P452" s="1"/>
      <c r="Q452" s="1"/>
      <c r="R452" s="1"/>
      <c r="S452" s="1"/>
      <c r="T452" s="1"/>
      <c r="U452" s="1"/>
      <c r="V452" s="1"/>
      <c r="W452" s="1"/>
      <c r="X452" s="1"/>
      <c r="Y452" s="1"/>
    </row>
    <row r="453" spans="1:25" ht="22.5" customHeight="1" x14ac:dyDescent="0.2">
      <c r="A453" s="3"/>
      <c r="B453" s="3"/>
      <c r="C453" s="3"/>
      <c r="D453" s="3"/>
      <c r="E453" s="6"/>
      <c r="F453" s="3"/>
      <c r="G453" s="3"/>
      <c r="H453" s="3"/>
      <c r="I453" s="3"/>
      <c r="J453" s="3"/>
      <c r="K453" s="3"/>
      <c r="L453" s="3"/>
      <c r="M453" s="1"/>
      <c r="N453" s="1"/>
      <c r="O453" s="1"/>
      <c r="P453" s="1"/>
      <c r="Q453" s="1"/>
      <c r="R453" s="1"/>
      <c r="S453" s="1"/>
      <c r="T453" s="1"/>
      <c r="U453" s="1"/>
      <c r="V453" s="1"/>
      <c r="W453" s="1"/>
      <c r="X453" s="1"/>
      <c r="Y453" s="1"/>
    </row>
    <row r="454" spans="1:25" ht="22.5" customHeight="1" x14ac:dyDescent="0.2">
      <c r="A454" s="3"/>
      <c r="B454" s="3"/>
      <c r="C454" s="3"/>
      <c r="D454" s="3"/>
      <c r="E454" s="6"/>
      <c r="F454" s="3"/>
      <c r="G454" s="3"/>
      <c r="H454" s="3"/>
      <c r="I454" s="3"/>
      <c r="J454" s="3"/>
      <c r="K454" s="3"/>
      <c r="L454" s="3"/>
      <c r="M454" s="1"/>
      <c r="N454" s="1"/>
      <c r="O454" s="1"/>
      <c r="P454" s="1"/>
      <c r="Q454" s="1"/>
      <c r="R454" s="1"/>
      <c r="S454" s="1"/>
      <c r="T454" s="1"/>
      <c r="U454" s="1"/>
      <c r="V454" s="1"/>
      <c r="W454" s="1"/>
      <c r="X454" s="1"/>
      <c r="Y454" s="1"/>
    </row>
    <row r="455" spans="1:25" ht="22.5" customHeight="1" x14ac:dyDescent="0.2">
      <c r="A455" s="3"/>
      <c r="B455" s="3"/>
      <c r="C455" s="3"/>
      <c r="D455" s="3"/>
      <c r="E455" s="6"/>
      <c r="F455" s="3"/>
      <c r="G455" s="3"/>
      <c r="H455" s="3"/>
      <c r="I455" s="3"/>
      <c r="J455" s="3"/>
      <c r="K455" s="3"/>
      <c r="L455" s="3"/>
      <c r="M455" s="1"/>
      <c r="N455" s="1"/>
      <c r="O455" s="1"/>
      <c r="P455" s="1"/>
      <c r="Q455" s="1"/>
      <c r="R455" s="1"/>
      <c r="S455" s="1"/>
      <c r="T455" s="1"/>
      <c r="U455" s="1"/>
      <c r="V455" s="1"/>
      <c r="W455" s="1"/>
      <c r="X455" s="1"/>
      <c r="Y455" s="1"/>
    </row>
    <row r="456" spans="1:25" ht="22.5" customHeight="1" x14ac:dyDescent="0.2">
      <c r="A456" s="3"/>
      <c r="B456" s="3"/>
      <c r="C456" s="3"/>
      <c r="D456" s="3"/>
      <c r="E456" s="6"/>
      <c r="F456" s="3"/>
      <c r="G456" s="3"/>
      <c r="H456" s="3"/>
      <c r="I456" s="3"/>
      <c r="J456" s="3"/>
      <c r="K456" s="3"/>
      <c r="L456" s="3"/>
      <c r="M456" s="1"/>
      <c r="N456" s="1"/>
      <c r="O456" s="1"/>
      <c r="P456" s="1"/>
      <c r="Q456" s="1"/>
      <c r="R456" s="1"/>
      <c r="S456" s="1"/>
      <c r="T456" s="1"/>
      <c r="U456" s="1"/>
      <c r="V456" s="1"/>
      <c r="W456" s="1"/>
      <c r="X456" s="1"/>
      <c r="Y456" s="1"/>
    </row>
    <row r="457" spans="1:25" ht="22.5" customHeight="1" x14ac:dyDescent="0.2">
      <c r="A457" s="3"/>
      <c r="B457" s="3"/>
      <c r="C457" s="3"/>
      <c r="D457" s="3"/>
      <c r="E457" s="6"/>
      <c r="F457" s="3"/>
      <c r="G457" s="3"/>
      <c r="H457" s="3"/>
      <c r="I457" s="3"/>
      <c r="J457" s="3"/>
      <c r="K457" s="3"/>
      <c r="L457" s="3"/>
      <c r="M457" s="1"/>
      <c r="N457" s="1"/>
      <c r="O457" s="1"/>
      <c r="P457" s="1"/>
      <c r="Q457" s="1"/>
      <c r="R457" s="1"/>
      <c r="S457" s="1"/>
      <c r="T457" s="1"/>
      <c r="U457" s="1"/>
      <c r="V457" s="1"/>
      <c r="W457" s="1"/>
      <c r="X457" s="1"/>
      <c r="Y457" s="1"/>
    </row>
    <row r="458" spans="1:25" ht="22.5" customHeight="1" x14ac:dyDescent="0.2">
      <c r="A458" s="3"/>
      <c r="B458" s="3"/>
      <c r="C458" s="3"/>
      <c r="D458" s="3"/>
      <c r="E458" s="6"/>
      <c r="F458" s="3"/>
      <c r="G458" s="3"/>
      <c r="H458" s="3"/>
      <c r="I458" s="3"/>
      <c r="J458" s="3"/>
      <c r="K458" s="3"/>
      <c r="L458" s="3"/>
      <c r="M458" s="1"/>
      <c r="N458" s="1"/>
      <c r="O458" s="1"/>
      <c r="P458" s="1"/>
      <c r="Q458" s="1"/>
      <c r="R458" s="1"/>
      <c r="S458" s="1"/>
      <c r="T458" s="1"/>
      <c r="U458" s="1"/>
      <c r="V458" s="1"/>
      <c r="W458" s="1"/>
      <c r="X458" s="1"/>
      <c r="Y458" s="1"/>
    </row>
    <row r="459" spans="1:25" ht="22.5" customHeight="1" x14ac:dyDescent="0.2">
      <c r="A459" s="3"/>
      <c r="B459" s="3"/>
      <c r="C459" s="3"/>
      <c r="D459" s="3"/>
      <c r="E459" s="6"/>
      <c r="F459" s="3"/>
      <c r="G459" s="3"/>
      <c r="H459" s="3"/>
      <c r="I459" s="3"/>
      <c r="J459" s="3"/>
      <c r="K459" s="3"/>
      <c r="L459" s="3"/>
      <c r="M459" s="1"/>
      <c r="N459" s="1"/>
      <c r="O459" s="1"/>
      <c r="P459" s="1"/>
      <c r="Q459" s="1"/>
      <c r="R459" s="1"/>
      <c r="S459" s="1"/>
      <c r="T459" s="1"/>
      <c r="U459" s="1"/>
      <c r="V459" s="1"/>
      <c r="W459" s="1"/>
      <c r="X459" s="1"/>
      <c r="Y459" s="1"/>
    </row>
    <row r="460" spans="1:25" ht="22.5" customHeight="1" x14ac:dyDescent="0.2">
      <c r="A460" s="3"/>
      <c r="B460" s="3"/>
      <c r="C460" s="3"/>
      <c r="D460" s="3"/>
      <c r="E460" s="6"/>
      <c r="F460" s="3"/>
      <c r="G460" s="3"/>
      <c r="H460" s="3"/>
      <c r="I460" s="3"/>
      <c r="J460" s="3"/>
      <c r="K460" s="3"/>
      <c r="L460" s="3"/>
      <c r="M460" s="1"/>
      <c r="N460" s="1"/>
      <c r="O460" s="1"/>
      <c r="P460" s="1"/>
      <c r="Q460" s="1"/>
      <c r="R460" s="1"/>
      <c r="S460" s="1"/>
      <c r="T460" s="1"/>
      <c r="U460" s="1"/>
      <c r="V460" s="1"/>
      <c r="W460" s="1"/>
      <c r="X460" s="1"/>
      <c r="Y460" s="1"/>
    </row>
    <row r="461" spans="1:25" ht="22.5" customHeight="1" x14ac:dyDescent="0.2">
      <c r="A461" s="3"/>
      <c r="B461" s="3"/>
      <c r="C461" s="3"/>
      <c r="D461" s="3"/>
      <c r="E461" s="6"/>
      <c r="F461" s="3"/>
      <c r="G461" s="3"/>
      <c r="H461" s="3"/>
      <c r="I461" s="3"/>
      <c r="J461" s="3"/>
      <c r="K461" s="3"/>
      <c r="L461" s="3"/>
      <c r="M461" s="1"/>
      <c r="N461" s="1"/>
      <c r="O461" s="1"/>
      <c r="P461" s="1"/>
      <c r="Q461" s="1"/>
      <c r="R461" s="1"/>
      <c r="S461" s="1"/>
      <c r="T461" s="1"/>
      <c r="U461" s="1"/>
      <c r="V461" s="1"/>
      <c r="W461" s="1"/>
      <c r="X461" s="1"/>
      <c r="Y461" s="1"/>
    </row>
    <row r="462" spans="1:25" ht="22.5" customHeight="1" x14ac:dyDescent="0.2">
      <c r="A462" s="3"/>
      <c r="B462" s="3"/>
      <c r="C462" s="3"/>
      <c r="D462" s="3"/>
      <c r="E462" s="6"/>
      <c r="F462" s="3"/>
      <c r="G462" s="3"/>
      <c r="H462" s="3"/>
      <c r="I462" s="3"/>
      <c r="J462" s="3"/>
      <c r="K462" s="3"/>
      <c r="L462" s="3"/>
      <c r="M462" s="1"/>
      <c r="N462" s="1"/>
      <c r="O462" s="1"/>
      <c r="P462" s="1"/>
      <c r="Q462" s="1"/>
      <c r="R462" s="1"/>
      <c r="S462" s="1"/>
      <c r="T462" s="1"/>
      <c r="U462" s="1"/>
      <c r="V462" s="1"/>
      <c r="W462" s="1"/>
      <c r="X462" s="1"/>
      <c r="Y462" s="1"/>
    </row>
    <row r="463" spans="1:25" ht="22.5" customHeight="1" x14ac:dyDescent="0.2">
      <c r="A463" s="3"/>
      <c r="B463" s="3"/>
      <c r="C463" s="3"/>
      <c r="D463" s="3"/>
      <c r="E463" s="6"/>
      <c r="F463" s="3"/>
      <c r="G463" s="3"/>
      <c r="H463" s="3"/>
      <c r="I463" s="3"/>
      <c r="J463" s="3"/>
      <c r="K463" s="3"/>
      <c r="L463" s="3"/>
      <c r="M463" s="1"/>
      <c r="N463" s="1"/>
      <c r="O463" s="1"/>
      <c r="P463" s="1"/>
      <c r="Q463" s="1"/>
      <c r="R463" s="1"/>
      <c r="S463" s="1"/>
      <c r="T463" s="1"/>
      <c r="U463" s="1"/>
      <c r="V463" s="1"/>
      <c r="W463" s="1"/>
      <c r="X463" s="1"/>
      <c r="Y463" s="1"/>
    </row>
    <row r="464" spans="1:25" ht="22.5" customHeight="1" x14ac:dyDescent="0.2">
      <c r="A464" s="3"/>
      <c r="B464" s="3"/>
      <c r="C464" s="3"/>
      <c r="D464" s="3"/>
      <c r="E464" s="6"/>
      <c r="F464" s="3"/>
      <c r="G464" s="3"/>
      <c r="H464" s="3"/>
      <c r="I464" s="3"/>
      <c r="J464" s="3"/>
      <c r="K464" s="3"/>
      <c r="L464" s="3"/>
      <c r="M464" s="1"/>
      <c r="N464" s="1"/>
      <c r="O464" s="1"/>
      <c r="P464" s="1"/>
      <c r="Q464" s="1"/>
      <c r="R464" s="1"/>
      <c r="S464" s="1"/>
      <c r="T464" s="1"/>
      <c r="U464" s="1"/>
      <c r="V464" s="1"/>
      <c r="W464" s="1"/>
      <c r="X464" s="1"/>
      <c r="Y464" s="1"/>
    </row>
    <row r="465" spans="1:25" ht="22.5" customHeight="1" x14ac:dyDescent="0.2">
      <c r="A465" s="3"/>
      <c r="B465" s="3"/>
      <c r="C465" s="3"/>
      <c r="D465" s="3"/>
      <c r="E465" s="6"/>
      <c r="F465" s="3"/>
      <c r="G465" s="3"/>
      <c r="H465" s="3"/>
      <c r="I465" s="3"/>
      <c r="J465" s="3"/>
      <c r="K465" s="3"/>
      <c r="L465" s="3"/>
      <c r="M465" s="1"/>
      <c r="N465" s="1"/>
      <c r="O465" s="1"/>
      <c r="P465" s="1"/>
      <c r="Q465" s="1"/>
      <c r="R465" s="1"/>
      <c r="S465" s="1"/>
      <c r="T465" s="1"/>
      <c r="U465" s="1"/>
      <c r="V465" s="1"/>
      <c r="W465" s="1"/>
      <c r="X465" s="1"/>
      <c r="Y465" s="1"/>
    </row>
    <row r="466" spans="1:25" ht="22.5" customHeight="1" x14ac:dyDescent="0.2">
      <c r="A466" s="3"/>
      <c r="B466" s="3"/>
      <c r="C466" s="3"/>
      <c r="D466" s="3"/>
      <c r="E466" s="6"/>
      <c r="F466" s="3"/>
      <c r="G466" s="3"/>
      <c r="H466" s="3"/>
      <c r="I466" s="3"/>
      <c r="J466" s="3"/>
      <c r="K466" s="3"/>
      <c r="L466" s="3"/>
      <c r="M466" s="1"/>
      <c r="N466" s="1"/>
      <c r="O466" s="1"/>
      <c r="P466" s="1"/>
      <c r="Q466" s="1"/>
      <c r="R466" s="1"/>
      <c r="S466" s="1"/>
      <c r="T466" s="1"/>
      <c r="U466" s="1"/>
      <c r="V466" s="1"/>
      <c r="W466" s="1"/>
      <c r="X466" s="1"/>
      <c r="Y466" s="1"/>
    </row>
    <row r="467" spans="1:25" ht="22.5" customHeight="1" x14ac:dyDescent="0.2">
      <c r="A467" s="3"/>
      <c r="B467" s="3"/>
      <c r="C467" s="3"/>
      <c r="D467" s="3"/>
      <c r="E467" s="6"/>
      <c r="F467" s="3"/>
      <c r="G467" s="3"/>
      <c r="H467" s="3"/>
      <c r="I467" s="3"/>
      <c r="J467" s="3"/>
      <c r="K467" s="3"/>
      <c r="L467" s="3"/>
      <c r="M467" s="1"/>
      <c r="N467" s="1"/>
      <c r="O467" s="1"/>
      <c r="P467" s="1"/>
      <c r="Q467" s="1"/>
      <c r="R467" s="1"/>
      <c r="S467" s="1"/>
      <c r="T467" s="1"/>
      <c r="U467" s="1"/>
      <c r="V467" s="1"/>
      <c r="W467" s="1"/>
      <c r="X467" s="1"/>
      <c r="Y467" s="1"/>
    </row>
    <row r="468" spans="1:25" ht="22.5" customHeight="1" x14ac:dyDescent="0.2">
      <c r="A468" s="3"/>
      <c r="B468" s="3"/>
      <c r="C468" s="3"/>
      <c r="D468" s="3"/>
      <c r="E468" s="6"/>
      <c r="F468" s="3"/>
      <c r="G468" s="3"/>
      <c r="H468" s="3"/>
      <c r="I468" s="3"/>
      <c r="J468" s="3"/>
      <c r="K468" s="3"/>
      <c r="L468" s="3"/>
      <c r="M468" s="1"/>
      <c r="N468" s="1"/>
      <c r="O468" s="1"/>
      <c r="P468" s="1"/>
      <c r="Q468" s="1"/>
      <c r="R468" s="1"/>
      <c r="S468" s="1"/>
      <c r="T468" s="1"/>
      <c r="U468" s="1"/>
      <c r="V468" s="1"/>
      <c r="W468" s="1"/>
      <c r="X468" s="1"/>
      <c r="Y468" s="1"/>
    </row>
    <row r="469" spans="1:25" ht="22.5" customHeight="1" x14ac:dyDescent="0.2">
      <c r="A469" s="3"/>
      <c r="B469" s="3"/>
      <c r="C469" s="3"/>
      <c r="D469" s="3"/>
      <c r="E469" s="6"/>
      <c r="F469" s="3"/>
      <c r="G469" s="3"/>
      <c r="H469" s="3"/>
      <c r="I469" s="3"/>
      <c r="J469" s="3"/>
      <c r="K469" s="3"/>
      <c r="L469" s="3"/>
      <c r="M469" s="1"/>
      <c r="N469" s="1"/>
      <c r="O469" s="1"/>
      <c r="P469" s="1"/>
      <c r="Q469" s="1"/>
      <c r="R469" s="1"/>
      <c r="S469" s="1"/>
      <c r="T469" s="1"/>
      <c r="U469" s="1"/>
      <c r="V469" s="1"/>
      <c r="W469" s="1"/>
      <c r="X469" s="1"/>
      <c r="Y469" s="1"/>
    </row>
    <row r="470" spans="1:25" ht="22.5" customHeight="1" x14ac:dyDescent="0.2">
      <c r="A470" s="3"/>
      <c r="B470" s="3"/>
      <c r="C470" s="3"/>
      <c r="D470" s="3"/>
      <c r="E470" s="6"/>
      <c r="F470" s="3"/>
      <c r="G470" s="3"/>
      <c r="H470" s="3"/>
      <c r="I470" s="3"/>
      <c r="J470" s="3"/>
      <c r="K470" s="3"/>
      <c r="L470" s="3"/>
      <c r="M470" s="1"/>
      <c r="N470" s="1"/>
      <c r="O470" s="1"/>
      <c r="P470" s="1"/>
      <c r="Q470" s="1"/>
      <c r="R470" s="1"/>
      <c r="S470" s="1"/>
      <c r="T470" s="1"/>
      <c r="U470" s="1"/>
      <c r="V470" s="1"/>
      <c r="W470" s="1"/>
      <c r="X470" s="1"/>
      <c r="Y470" s="1"/>
    </row>
    <row r="471" spans="1:25" ht="22.5" customHeight="1" x14ac:dyDescent="0.2">
      <c r="A471" s="3"/>
      <c r="B471" s="3"/>
      <c r="C471" s="3"/>
      <c r="D471" s="3"/>
      <c r="E471" s="6"/>
      <c r="F471" s="3"/>
      <c r="G471" s="3"/>
      <c r="H471" s="3"/>
      <c r="I471" s="3"/>
      <c r="J471" s="3"/>
      <c r="K471" s="3"/>
      <c r="L471" s="3"/>
      <c r="M471" s="1"/>
      <c r="N471" s="1"/>
      <c r="O471" s="1"/>
      <c r="P471" s="1"/>
      <c r="Q471" s="1"/>
      <c r="R471" s="1"/>
      <c r="S471" s="1"/>
      <c r="T471" s="1"/>
      <c r="U471" s="1"/>
      <c r="V471" s="1"/>
      <c r="W471" s="1"/>
      <c r="X471" s="1"/>
      <c r="Y471" s="1"/>
    </row>
    <row r="472" spans="1:25" ht="22.5" customHeight="1" x14ac:dyDescent="0.2">
      <c r="A472" s="3"/>
      <c r="B472" s="3"/>
      <c r="C472" s="3"/>
      <c r="D472" s="3"/>
      <c r="E472" s="6"/>
      <c r="F472" s="3"/>
      <c r="G472" s="3"/>
      <c r="H472" s="3"/>
      <c r="I472" s="3"/>
      <c r="J472" s="3"/>
      <c r="K472" s="3"/>
      <c r="L472" s="3"/>
      <c r="M472" s="1"/>
      <c r="N472" s="1"/>
      <c r="O472" s="1"/>
      <c r="P472" s="1"/>
      <c r="Q472" s="1"/>
      <c r="R472" s="1"/>
      <c r="S472" s="1"/>
      <c r="T472" s="1"/>
      <c r="U472" s="1"/>
      <c r="V472" s="1"/>
      <c r="W472" s="1"/>
      <c r="X472" s="1"/>
      <c r="Y472" s="1"/>
    </row>
    <row r="473" spans="1:25" ht="22.5" customHeight="1" x14ac:dyDescent="0.2">
      <c r="A473" s="3"/>
      <c r="B473" s="3"/>
      <c r="C473" s="3"/>
      <c r="D473" s="3"/>
      <c r="E473" s="6"/>
      <c r="F473" s="3"/>
      <c r="G473" s="3"/>
      <c r="H473" s="3"/>
      <c r="I473" s="3"/>
      <c r="J473" s="3"/>
      <c r="K473" s="3"/>
      <c r="L473" s="3"/>
      <c r="M473" s="1"/>
      <c r="N473" s="1"/>
      <c r="O473" s="1"/>
      <c r="P473" s="1"/>
      <c r="Q473" s="1"/>
      <c r="R473" s="1"/>
      <c r="S473" s="1"/>
      <c r="T473" s="1"/>
      <c r="U473" s="1"/>
      <c r="V473" s="1"/>
      <c r="W473" s="1"/>
      <c r="X473" s="1"/>
      <c r="Y473" s="1"/>
    </row>
    <row r="474" spans="1:25" ht="22.5" customHeight="1" x14ac:dyDescent="0.2">
      <c r="A474" s="3"/>
      <c r="B474" s="3"/>
      <c r="C474" s="3"/>
      <c r="D474" s="3"/>
      <c r="E474" s="6"/>
      <c r="F474" s="3"/>
      <c r="G474" s="3"/>
      <c r="H474" s="3"/>
      <c r="I474" s="3"/>
      <c r="J474" s="3"/>
      <c r="K474" s="3"/>
      <c r="L474" s="3"/>
      <c r="M474" s="1"/>
      <c r="N474" s="1"/>
      <c r="O474" s="1"/>
      <c r="P474" s="1"/>
      <c r="Q474" s="1"/>
      <c r="R474" s="1"/>
      <c r="S474" s="1"/>
      <c r="T474" s="1"/>
      <c r="U474" s="1"/>
      <c r="V474" s="1"/>
      <c r="W474" s="1"/>
      <c r="X474" s="1"/>
      <c r="Y474" s="1"/>
    </row>
    <row r="475" spans="1:25" ht="22.5" customHeight="1" x14ac:dyDescent="0.2">
      <c r="A475" s="3"/>
      <c r="B475" s="3"/>
      <c r="C475" s="3"/>
      <c r="D475" s="3"/>
      <c r="E475" s="6"/>
      <c r="F475" s="3"/>
      <c r="G475" s="3"/>
      <c r="H475" s="3"/>
      <c r="I475" s="3"/>
      <c r="J475" s="3"/>
      <c r="K475" s="3"/>
      <c r="L475" s="3"/>
      <c r="M475" s="1"/>
      <c r="N475" s="1"/>
      <c r="O475" s="1"/>
      <c r="P475" s="1"/>
      <c r="Q475" s="1"/>
      <c r="R475" s="1"/>
      <c r="S475" s="1"/>
      <c r="T475" s="1"/>
      <c r="U475" s="1"/>
      <c r="V475" s="1"/>
      <c r="W475" s="1"/>
      <c r="X475" s="1"/>
      <c r="Y475" s="1"/>
    </row>
    <row r="476" spans="1:25" ht="22.5" customHeight="1" x14ac:dyDescent="0.2">
      <c r="A476" s="3"/>
      <c r="B476" s="3"/>
      <c r="C476" s="3"/>
      <c r="D476" s="3"/>
      <c r="E476" s="6"/>
      <c r="F476" s="3"/>
      <c r="G476" s="3"/>
      <c r="H476" s="3"/>
      <c r="I476" s="3"/>
      <c r="J476" s="3"/>
      <c r="K476" s="3"/>
      <c r="L476" s="3"/>
      <c r="M476" s="1"/>
      <c r="N476" s="1"/>
      <c r="O476" s="1"/>
      <c r="P476" s="1"/>
      <c r="Q476" s="1"/>
      <c r="R476" s="1"/>
      <c r="S476" s="1"/>
      <c r="T476" s="1"/>
      <c r="U476" s="1"/>
      <c r="V476" s="1"/>
      <c r="W476" s="1"/>
      <c r="X476" s="1"/>
      <c r="Y476" s="1"/>
    </row>
    <row r="477" spans="1:25" ht="22.5" customHeight="1" x14ac:dyDescent="0.2">
      <c r="A477" s="3"/>
      <c r="B477" s="3"/>
      <c r="C477" s="3"/>
      <c r="D477" s="3"/>
      <c r="E477" s="6"/>
      <c r="F477" s="3"/>
      <c r="G477" s="3"/>
      <c r="H477" s="3"/>
      <c r="I477" s="3"/>
      <c r="J477" s="3"/>
      <c r="K477" s="3"/>
      <c r="L477" s="3"/>
      <c r="M477" s="1"/>
      <c r="N477" s="1"/>
      <c r="O477" s="1"/>
      <c r="P477" s="1"/>
      <c r="Q477" s="1"/>
      <c r="R477" s="1"/>
      <c r="S477" s="1"/>
      <c r="T477" s="1"/>
      <c r="U477" s="1"/>
      <c r="V477" s="1"/>
      <c r="W477" s="1"/>
      <c r="X477" s="1"/>
      <c r="Y477" s="1"/>
    </row>
    <row r="478" spans="1:25" ht="22.5" customHeight="1" x14ac:dyDescent="0.2">
      <c r="A478" s="3"/>
      <c r="B478" s="3"/>
      <c r="C478" s="3"/>
      <c r="D478" s="3"/>
      <c r="E478" s="6"/>
      <c r="F478" s="3"/>
      <c r="G478" s="3"/>
      <c r="H478" s="3"/>
      <c r="I478" s="3"/>
      <c r="J478" s="3"/>
      <c r="K478" s="3"/>
      <c r="L478" s="3"/>
      <c r="M478" s="1"/>
      <c r="N478" s="1"/>
      <c r="O478" s="1"/>
      <c r="P478" s="1"/>
      <c r="Q478" s="1"/>
      <c r="R478" s="1"/>
      <c r="S478" s="1"/>
      <c r="T478" s="1"/>
      <c r="U478" s="1"/>
      <c r="V478" s="1"/>
      <c r="W478" s="1"/>
      <c r="X478" s="1"/>
      <c r="Y478" s="1"/>
    </row>
    <row r="479" spans="1:25" ht="22.5" customHeight="1" x14ac:dyDescent="0.2">
      <c r="A479" s="3"/>
      <c r="B479" s="3"/>
      <c r="C479" s="3"/>
      <c r="D479" s="3"/>
      <c r="E479" s="6"/>
      <c r="F479" s="3"/>
      <c r="G479" s="3"/>
      <c r="H479" s="3"/>
      <c r="I479" s="3"/>
      <c r="J479" s="3"/>
      <c r="K479" s="3"/>
      <c r="L479" s="3"/>
      <c r="M479" s="1"/>
      <c r="N479" s="1"/>
      <c r="O479" s="1"/>
      <c r="P479" s="1"/>
      <c r="Q479" s="1"/>
      <c r="R479" s="1"/>
      <c r="S479" s="1"/>
      <c r="T479" s="1"/>
      <c r="U479" s="1"/>
      <c r="V479" s="1"/>
      <c r="W479" s="1"/>
      <c r="X479" s="1"/>
      <c r="Y479" s="1"/>
    </row>
    <row r="480" spans="1:25" ht="22.5" customHeight="1" x14ac:dyDescent="0.2">
      <c r="A480" s="3"/>
      <c r="B480" s="3"/>
      <c r="C480" s="3"/>
      <c r="D480" s="3"/>
      <c r="E480" s="6"/>
      <c r="F480" s="3"/>
      <c r="G480" s="3"/>
      <c r="H480" s="3"/>
      <c r="I480" s="3"/>
      <c r="J480" s="3"/>
      <c r="K480" s="3"/>
      <c r="L480" s="3"/>
      <c r="M480" s="1"/>
      <c r="N480" s="1"/>
      <c r="O480" s="1"/>
      <c r="P480" s="1"/>
      <c r="Q480" s="1"/>
      <c r="R480" s="1"/>
      <c r="S480" s="1"/>
      <c r="T480" s="1"/>
      <c r="U480" s="1"/>
      <c r="V480" s="1"/>
      <c r="W480" s="1"/>
      <c r="X480" s="1"/>
      <c r="Y480" s="1"/>
    </row>
    <row r="481" spans="1:25" ht="22.5" customHeight="1" x14ac:dyDescent="0.2">
      <c r="A481" s="3"/>
      <c r="B481" s="3"/>
      <c r="C481" s="3"/>
      <c r="D481" s="3"/>
      <c r="E481" s="6"/>
      <c r="F481" s="3"/>
      <c r="G481" s="3"/>
      <c r="H481" s="3"/>
      <c r="I481" s="3"/>
      <c r="J481" s="3"/>
      <c r="K481" s="3"/>
      <c r="L481" s="3"/>
      <c r="M481" s="1"/>
      <c r="N481" s="1"/>
      <c r="O481" s="1"/>
      <c r="P481" s="1"/>
      <c r="Q481" s="1"/>
      <c r="R481" s="1"/>
      <c r="S481" s="1"/>
      <c r="T481" s="1"/>
      <c r="U481" s="1"/>
      <c r="V481" s="1"/>
      <c r="W481" s="1"/>
      <c r="X481" s="1"/>
      <c r="Y481" s="1"/>
    </row>
    <row r="482" spans="1:25" ht="22.5" customHeight="1" x14ac:dyDescent="0.2">
      <c r="A482" s="3"/>
      <c r="B482" s="3"/>
      <c r="C482" s="3"/>
      <c r="D482" s="3"/>
      <c r="E482" s="6"/>
      <c r="F482" s="3"/>
      <c r="G482" s="3"/>
      <c r="H482" s="3"/>
      <c r="I482" s="3"/>
      <c r="J482" s="3"/>
      <c r="K482" s="3"/>
      <c r="L482" s="3"/>
      <c r="M482" s="1"/>
      <c r="N482" s="1"/>
      <c r="O482" s="1"/>
      <c r="P482" s="1"/>
      <c r="Q482" s="1"/>
      <c r="R482" s="1"/>
      <c r="S482" s="1"/>
      <c r="T482" s="1"/>
      <c r="U482" s="1"/>
      <c r="V482" s="1"/>
      <c r="W482" s="1"/>
      <c r="X482" s="1"/>
      <c r="Y482" s="1"/>
    </row>
    <row r="483" spans="1:25" ht="22.5" customHeight="1" x14ac:dyDescent="0.2">
      <c r="A483" s="3"/>
      <c r="B483" s="3"/>
      <c r="C483" s="3"/>
      <c r="D483" s="3"/>
      <c r="E483" s="6"/>
      <c r="F483" s="3"/>
      <c r="G483" s="3"/>
      <c r="H483" s="3"/>
      <c r="I483" s="3"/>
      <c r="J483" s="3"/>
      <c r="K483" s="3"/>
      <c r="L483" s="3"/>
      <c r="M483" s="1"/>
      <c r="N483" s="1"/>
      <c r="O483" s="1"/>
      <c r="P483" s="1"/>
      <c r="Q483" s="1"/>
      <c r="R483" s="1"/>
      <c r="S483" s="1"/>
      <c r="T483" s="1"/>
      <c r="U483" s="1"/>
      <c r="V483" s="1"/>
      <c r="W483" s="1"/>
      <c r="X483" s="1"/>
      <c r="Y483" s="1"/>
    </row>
    <row r="484" spans="1:25" ht="22.5" customHeight="1" x14ac:dyDescent="0.2">
      <c r="A484" s="3"/>
      <c r="B484" s="3"/>
      <c r="C484" s="3"/>
      <c r="D484" s="3"/>
      <c r="E484" s="6"/>
      <c r="F484" s="3"/>
      <c r="G484" s="3"/>
      <c r="H484" s="3"/>
      <c r="I484" s="3"/>
      <c r="J484" s="3"/>
      <c r="K484" s="3"/>
      <c r="L484" s="3"/>
      <c r="M484" s="1"/>
      <c r="N484" s="1"/>
      <c r="O484" s="1"/>
      <c r="P484" s="1"/>
      <c r="Q484" s="1"/>
      <c r="R484" s="1"/>
      <c r="S484" s="1"/>
      <c r="T484" s="1"/>
      <c r="U484" s="1"/>
      <c r="V484" s="1"/>
      <c r="W484" s="1"/>
      <c r="X484" s="1"/>
      <c r="Y484" s="1"/>
    </row>
    <row r="485" spans="1:25" ht="22.5" customHeight="1" x14ac:dyDescent="0.2">
      <c r="A485" s="3"/>
      <c r="B485" s="3"/>
      <c r="C485" s="3"/>
      <c r="D485" s="3"/>
      <c r="E485" s="6"/>
      <c r="F485" s="3"/>
      <c r="G485" s="3"/>
      <c r="H485" s="3"/>
      <c r="I485" s="3"/>
      <c r="J485" s="3"/>
      <c r="K485" s="3"/>
      <c r="L485" s="3"/>
      <c r="M485" s="1"/>
      <c r="N485" s="1"/>
      <c r="O485" s="1"/>
      <c r="P485" s="1"/>
      <c r="Q485" s="1"/>
      <c r="R485" s="1"/>
      <c r="S485" s="1"/>
      <c r="T485" s="1"/>
      <c r="U485" s="1"/>
      <c r="V485" s="1"/>
      <c r="W485" s="1"/>
      <c r="X485" s="1"/>
      <c r="Y485" s="1"/>
    </row>
    <row r="486" spans="1:25" ht="22.5" customHeight="1" x14ac:dyDescent="0.2">
      <c r="A486" s="3"/>
      <c r="B486" s="3"/>
      <c r="C486" s="3"/>
      <c r="D486" s="3"/>
      <c r="E486" s="6"/>
      <c r="F486" s="3"/>
      <c r="G486" s="3"/>
      <c r="H486" s="3"/>
      <c r="I486" s="3"/>
      <c r="J486" s="3"/>
      <c r="K486" s="3"/>
      <c r="L486" s="3"/>
      <c r="M486" s="1"/>
      <c r="N486" s="1"/>
      <c r="O486" s="1"/>
      <c r="P486" s="1"/>
      <c r="Q486" s="1"/>
      <c r="R486" s="1"/>
      <c r="S486" s="1"/>
      <c r="T486" s="1"/>
      <c r="U486" s="1"/>
      <c r="V486" s="1"/>
      <c r="W486" s="1"/>
      <c r="X486" s="1"/>
      <c r="Y486" s="1"/>
    </row>
    <row r="487" spans="1:25" ht="22.5" customHeight="1" x14ac:dyDescent="0.2">
      <c r="A487" s="3"/>
      <c r="B487" s="3"/>
      <c r="C487" s="3"/>
      <c r="D487" s="3"/>
      <c r="E487" s="6"/>
      <c r="F487" s="3"/>
      <c r="G487" s="3"/>
      <c r="H487" s="3"/>
      <c r="I487" s="3"/>
      <c r="J487" s="3"/>
      <c r="K487" s="3"/>
      <c r="L487" s="3"/>
      <c r="M487" s="1"/>
      <c r="N487" s="1"/>
      <c r="O487" s="1"/>
      <c r="P487" s="1"/>
      <c r="Q487" s="1"/>
      <c r="R487" s="1"/>
      <c r="S487" s="1"/>
      <c r="T487" s="1"/>
      <c r="U487" s="1"/>
      <c r="V487" s="1"/>
      <c r="W487" s="1"/>
      <c r="X487" s="1"/>
      <c r="Y487" s="1"/>
    </row>
    <row r="488" spans="1:25" ht="22.5" customHeight="1" x14ac:dyDescent="0.2">
      <c r="A488" s="3"/>
      <c r="B488" s="3"/>
      <c r="C488" s="3"/>
      <c r="D488" s="3"/>
      <c r="E488" s="6"/>
      <c r="F488" s="3"/>
      <c r="G488" s="3"/>
      <c r="H488" s="3"/>
      <c r="I488" s="3"/>
      <c r="J488" s="3"/>
      <c r="K488" s="3"/>
      <c r="L488" s="3"/>
      <c r="M488" s="1"/>
      <c r="N488" s="1"/>
      <c r="O488" s="1"/>
      <c r="P488" s="1"/>
      <c r="Q488" s="1"/>
      <c r="R488" s="1"/>
      <c r="S488" s="1"/>
      <c r="T488" s="1"/>
      <c r="U488" s="1"/>
      <c r="V488" s="1"/>
      <c r="W488" s="1"/>
      <c r="X488" s="1"/>
      <c r="Y488" s="1"/>
    </row>
    <row r="489" spans="1:25" ht="22.5" customHeight="1" x14ac:dyDescent="0.2">
      <c r="A489" s="3"/>
      <c r="B489" s="3"/>
      <c r="C489" s="3"/>
      <c r="D489" s="3"/>
      <c r="E489" s="6"/>
      <c r="F489" s="3"/>
      <c r="G489" s="3"/>
      <c r="H489" s="3"/>
      <c r="I489" s="3"/>
      <c r="J489" s="3"/>
      <c r="K489" s="3"/>
      <c r="L489" s="3"/>
      <c r="M489" s="1"/>
      <c r="N489" s="1"/>
      <c r="O489" s="1"/>
      <c r="P489" s="1"/>
      <c r="Q489" s="1"/>
      <c r="R489" s="1"/>
      <c r="S489" s="1"/>
      <c r="T489" s="1"/>
      <c r="U489" s="1"/>
      <c r="V489" s="1"/>
      <c r="W489" s="1"/>
      <c r="X489" s="1"/>
      <c r="Y489" s="1"/>
    </row>
    <row r="490" spans="1:25" ht="22.5" customHeight="1" x14ac:dyDescent="0.2">
      <c r="A490" s="3"/>
      <c r="B490" s="3"/>
      <c r="C490" s="3"/>
      <c r="D490" s="3"/>
      <c r="E490" s="6"/>
      <c r="F490" s="3"/>
      <c r="G490" s="3"/>
      <c r="H490" s="3"/>
      <c r="I490" s="3"/>
      <c r="J490" s="3"/>
      <c r="K490" s="3"/>
      <c r="L490" s="3"/>
      <c r="M490" s="1"/>
      <c r="N490" s="1"/>
      <c r="O490" s="1"/>
      <c r="P490" s="1"/>
      <c r="Q490" s="1"/>
      <c r="R490" s="1"/>
      <c r="S490" s="1"/>
      <c r="T490" s="1"/>
      <c r="U490" s="1"/>
      <c r="V490" s="1"/>
      <c r="W490" s="1"/>
      <c r="X490" s="1"/>
      <c r="Y490" s="1"/>
    </row>
    <row r="491" spans="1:25" ht="22.5" customHeight="1" x14ac:dyDescent="0.2">
      <c r="A491" s="3"/>
      <c r="B491" s="3"/>
      <c r="C491" s="3"/>
      <c r="D491" s="3"/>
      <c r="E491" s="6"/>
      <c r="F491" s="3"/>
      <c r="G491" s="3"/>
      <c r="H491" s="3"/>
      <c r="I491" s="3"/>
      <c r="J491" s="3"/>
      <c r="K491" s="3"/>
      <c r="L491" s="3"/>
      <c r="M491" s="1"/>
      <c r="N491" s="1"/>
      <c r="O491" s="1"/>
      <c r="P491" s="1"/>
      <c r="Q491" s="1"/>
      <c r="R491" s="1"/>
      <c r="S491" s="1"/>
      <c r="T491" s="1"/>
      <c r="U491" s="1"/>
      <c r="V491" s="1"/>
      <c r="W491" s="1"/>
      <c r="X491" s="1"/>
      <c r="Y491" s="1"/>
    </row>
    <row r="492" spans="1:25" ht="22.5" customHeight="1" x14ac:dyDescent="0.2">
      <c r="A492" s="3"/>
      <c r="B492" s="3"/>
      <c r="C492" s="3"/>
      <c r="D492" s="3"/>
      <c r="E492" s="6"/>
      <c r="F492" s="3"/>
      <c r="G492" s="3"/>
      <c r="H492" s="3"/>
      <c r="I492" s="3"/>
      <c r="J492" s="3"/>
      <c r="K492" s="3"/>
      <c r="L492" s="3"/>
      <c r="M492" s="1"/>
      <c r="N492" s="1"/>
      <c r="O492" s="1"/>
      <c r="P492" s="1"/>
      <c r="Q492" s="1"/>
      <c r="R492" s="1"/>
      <c r="S492" s="1"/>
      <c r="T492" s="1"/>
      <c r="U492" s="1"/>
      <c r="V492" s="1"/>
      <c r="W492" s="1"/>
      <c r="X492" s="1"/>
      <c r="Y492" s="1"/>
    </row>
    <row r="493" spans="1:25" ht="22.5" customHeight="1" x14ac:dyDescent="0.2">
      <c r="A493" s="3"/>
      <c r="B493" s="3"/>
      <c r="C493" s="3"/>
      <c r="D493" s="3"/>
      <c r="E493" s="6"/>
      <c r="F493" s="3"/>
      <c r="G493" s="3"/>
      <c r="H493" s="3"/>
      <c r="I493" s="3"/>
      <c r="J493" s="3"/>
      <c r="K493" s="3"/>
      <c r="L493" s="3"/>
      <c r="M493" s="1"/>
      <c r="N493" s="1"/>
      <c r="O493" s="1"/>
      <c r="P493" s="1"/>
      <c r="Q493" s="1"/>
      <c r="R493" s="1"/>
      <c r="S493" s="1"/>
      <c r="T493" s="1"/>
      <c r="U493" s="1"/>
      <c r="V493" s="1"/>
      <c r="W493" s="1"/>
      <c r="X493" s="1"/>
      <c r="Y493" s="1"/>
    </row>
    <row r="494" spans="1:25" ht="22.5" customHeight="1" x14ac:dyDescent="0.2">
      <c r="A494" s="3"/>
      <c r="B494" s="3"/>
      <c r="C494" s="3"/>
      <c r="D494" s="3"/>
      <c r="E494" s="6"/>
      <c r="F494" s="3"/>
      <c r="G494" s="3"/>
      <c r="H494" s="3"/>
      <c r="I494" s="3"/>
      <c r="J494" s="3"/>
      <c r="K494" s="3"/>
      <c r="L494" s="3"/>
      <c r="M494" s="1"/>
      <c r="N494" s="1"/>
      <c r="O494" s="1"/>
      <c r="P494" s="1"/>
      <c r="Q494" s="1"/>
      <c r="R494" s="1"/>
      <c r="S494" s="1"/>
      <c r="T494" s="1"/>
      <c r="U494" s="1"/>
      <c r="V494" s="1"/>
      <c r="W494" s="1"/>
      <c r="X494" s="1"/>
      <c r="Y494" s="1"/>
    </row>
    <row r="495" spans="1:25" ht="22.5" customHeight="1" x14ac:dyDescent="0.2">
      <c r="A495" s="3"/>
      <c r="B495" s="3"/>
      <c r="C495" s="3"/>
      <c r="D495" s="3"/>
      <c r="E495" s="6"/>
      <c r="F495" s="3"/>
      <c r="G495" s="3"/>
      <c r="H495" s="3"/>
      <c r="I495" s="3"/>
      <c r="J495" s="3"/>
      <c r="K495" s="3"/>
      <c r="L495" s="3"/>
      <c r="M495" s="1"/>
      <c r="N495" s="1"/>
      <c r="O495" s="1"/>
      <c r="P495" s="1"/>
      <c r="Q495" s="1"/>
      <c r="R495" s="1"/>
      <c r="S495" s="1"/>
      <c r="T495" s="1"/>
      <c r="U495" s="1"/>
      <c r="V495" s="1"/>
      <c r="W495" s="1"/>
      <c r="X495" s="1"/>
      <c r="Y495" s="1"/>
    </row>
    <row r="496" spans="1:25" ht="22.5" customHeight="1" x14ac:dyDescent="0.2">
      <c r="A496" s="3"/>
      <c r="B496" s="3"/>
      <c r="C496" s="3"/>
      <c r="D496" s="3"/>
      <c r="E496" s="6"/>
      <c r="F496" s="3"/>
      <c r="G496" s="3"/>
      <c r="H496" s="3"/>
      <c r="I496" s="3"/>
      <c r="J496" s="3"/>
      <c r="K496" s="3"/>
      <c r="L496" s="3"/>
      <c r="M496" s="1"/>
      <c r="N496" s="1"/>
      <c r="O496" s="1"/>
      <c r="P496" s="1"/>
      <c r="Q496" s="1"/>
      <c r="R496" s="1"/>
      <c r="S496" s="1"/>
      <c r="T496" s="1"/>
      <c r="U496" s="1"/>
      <c r="V496" s="1"/>
      <c r="W496" s="1"/>
      <c r="X496" s="1"/>
      <c r="Y496" s="1"/>
    </row>
    <row r="497" spans="1:25" ht="22.5" customHeight="1" x14ac:dyDescent="0.2">
      <c r="A497" s="3"/>
      <c r="B497" s="3"/>
      <c r="C497" s="3"/>
      <c r="D497" s="3"/>
      <c r="E497" s="6"/>
      <c r="F497" s="3"/>
      <c r="G497" s="3"/>
      <c r="H497" s="3"/>
      <c r="I497" s="3"/>
      <c r="J497" s="3"/>
      <c r="K497" s="3"/>
      <c r="L497" s="3"/>
      <c r="M497" s="1"/>
      <c r="N497" s="1"/>
      <c r="O497" s="1"/>
      <c r="P497" s="1"/>
      <c r="Q497" s="1"/>
      <c r="R497" s="1"/>
      <c r="S497" s="1"/>
      <c r="T497" s="1"/>
      <c r="U497" s="1"/>
      <c r="V497" s="1"/>
      <c r="W497" s="1"/>
      <c r="X497" s="1"/>
      <c r="Y497" s="1"/>
    </row>
    <row r="498" spans="1:25" ht="22.5" customHeight="1" x14ac:dyDescent="0.2">
      <c r="A498" s="3"/>
      <c r="B498" s="3"/>
      <c r="C498" s="3"/>
      <c r="D498" s="3"/>
      <c r="E498" s="6"/>
      <c r="F498" s="3"/>
      <c r="G498" s="3"/>
      <c r="H498" s="3"/>
      <c r="I498" s="3"/>
      <c r="J498" s="3"/>
      <c r="K498" s="3"/>
      <c r="L498" s="3"/>
      <c r="M498" s="1"/>
      <c r="N498" s="1"/>
      <c r="O498" s="1"/>
      <c r="P498" s="1"/>
      <c r="Q498" s="1"/>
      <c r="R498" s="1"/>
      <c r="S498" s="1"/>
      <c r="T498" s="1"/>
      <c r="U498" s="1"/>
      <c r="V498" s="1"/>
      <c r="W498" s="1"/>
      <c r="X498" s="1"/>
      <c r="Y498" s="1"/>
    </row>
    <row r="499" spans="1:25" ht="22.5" customHeight="1" x14ac:dyDescent="0.2">
      <c r="A499" s="3"/>
      <c r="B499" s="3"/>
      <c r="C499" s="3"/>
      <c r="D499" s="3"/>
      <c r="E499" s="6"/>
      <c r="F499" s="3"/>
      <c r="G499" s="3"/>
      <c r="H499" s="3"/>
      <c r="I499" s="3"/>
      <c r="J499" s="3"/>
      <c r="K499" s="3"/>
      <c r="L499" s="3"/>
      <c r="M499" s="1"/>
      <c r="N499" s="1"/>
      <c r="O499" s="1"/>
      <c r="P499" s="1"/>
      <c r="Q499" s="1"/>
      <c r="R499" s="1"/>
      <c r="S499" s="1"/>
      <c r="T499" s="1"/>
      <c r="U499" s="1"/>
      <c r="V499" s="1"/>
      <c r="W499" s="1"/>
      <c r="X499" s="1"/>
      <c r="Y499" s="1"/>
    </row>
    <row r="500" spans="1:25" ht="22.5" customHeight="1" x14ac:dyDescent="0.2">
      <c r="A500" s="3"/>
      <c r="B500" s="3"/>
      <c r="C500" s="3"/>
      <c r="D500" s="3"/>
      <c r="E500" s="6"/>
      <c r="F500" s="3"/>
      <c r="G500" s="3"/>
      <c r="H500" s="3"/>
      <c r="I500" s="3"/>
      <c r="J500" s="3"/>
      <c r="K500" s="3"/>
      <c r="L500" s="3"/>
      <c r="M500" s="1"/>
      <c r="N500" s="1"/>
      <c r="O500" s="1"/>
      <c r="P500" s="1"/>
      <c r="Q500" s="1"/>
      <c r="R500" s="1"/>
      <c r="S500" s="1"/>
      <c r="T500" s="1"/>
      <c r="U500" s="1"/>
      <c r="V500" s="1"/>
      <c r="W500" s="1"/>
      <c r="X500" s="1"/>
      <c r="Y500" s="1"/>
    </row>
    <row r="501" spans="1:25" ht="22.5" customHeight="1" x14ac:dyDescent="0.2">
      <c r="A501" s="3"/>
      <c r="B501" s="3"/>
      <c r="C501" s="3"/>
      <c r="D501" s="3"/>
      <c r="E501" s="6"/>
      <c r="F501" s="3"/>
      <c r="G501" s="3"/>
      <c r="H501" s="3"/>
      <c r="I501" s="3"/>
      <c r="J501" s="3"/>
      <c r="K501" s="3"/>
      <c r="L501" s="3"/>
      <c r="M501" s="1"/>
      <c r="N501" s="1"/>
      <c r="O501" s="1"/>
      <c r="P501" s="1"/>
      <c r="Q501" s="1"/>
      <c r="R501" s="1"/>
      <c r="S501" s="1"/>
      <c r="T501" s="1"/>
      <c r="U501" s="1"/>
      <c r="V501" s="1"/>
      <c r="W501" s="1"/>
      <c r="X501" s="1"/>
      <c r="Y501" s="1"/>
    </row>
    <row r="502" spans="1:25" ht="22.5" customHeight="1" x14ac:dyDescent="0.2">
      <c r="A502" s="3"/>
      <c r="B502" s="3"/>
      <c r="C502" s="3"/>
      <c r="D502" s="3"/>
      <c r="E502" s="6"/>
      <c r="F502" s="3"/>
      <c r="G502" s="3"/>
      <c r="H502" s="3"/>
      <c r="I502" s="3"/>
      <c r="J502" s="3"/>
      <c r="K502" s="3"/>
      <c r="L502" s="3"/>
      <c r="M502" s="1"/>
      <c r="N502" s="1"/>
      <c r="O502" s="1"/>
      <c r="P502" s="1"/>
      <c r="Q502" s="1"/>
      <c r="R502" s="1"/>
      <c r="S502" s="1"/>
      <c r="T502" s="1"/>
      <c r="U502" s="1"/>
      <c r="V502" s="1"/>
      <c r="W502" s="1"/>
      <c r="X502" s="1"/>
      <c r="Y502" s="1"/>
    </row>
    <row r="503" spans="1:25" ht="22.5" customHeight="1" x14ac:dyDescent="0.2">
      <c r="A503" s="3"/>
      <c r="B503" s="3"/>
      <c r="C503" s="3"/>
      <c r="D503" s="3"/>
      <c r="E503" s="6"/>
      <c r="F503" s="3"/>
      <c r="G503" s="3"/>
      <c r="H503" s="3"/>
      <c r="I503" s="3"/>
      <c r="J503" s="3"/>
      <c r="K503" s="3"/>
      <c r="L503" s="3"/>
      <c r="M503" s="1"/>
      <c r="N503" s="1"/>
      <c r="O503" s="1"/>
      <c r="P503" s="1"/>
      <c r="Q503" s="1"/>
      <c r="R503" s="1"/>
      <c r="S503" s="1"/>
      <c r="T503" s="1"/>
      <c r="U503" s="1"/>
      <c r="V503" s="1"/>
      <c r="W503" s="1"/>
      <c r="X503" s="1"/>
      <c r="Y503" s="1"/>
    </row>
    <row r="504" spans="1:25" ht="22.5" customHeight="1" x14ac:dyDescent="0.2">
      <c r="A504" s="3"/>
      <c r="B504" s="3"/>
      <c r="C504" s="3"/>
      <c r="D504" s="3"/>
      <c r="E504" s="6"/>
      <c r="F504" s="3"/>
      <c r="G504" s="3"/>
      <c r="H504" s="3"/>
      <c r="I504" s="3"/>
      <c r="J504" s="3"/>
      <c r="K504" s="3"/>
      <c r="L504" s="3"/>
      <c r="M504" s="1"/>
      <c r="N504" s="1"/>
      <c r="O504" s="1"/>
      <c r="P504" s="1"/>
      <c r="Q504" s="1"/>
      <c r="R504" s="1"/>
      <c r="S504" s="1"/>
      <c r="T504" s="1"/>
      <c r="U504" s="1"/>
      <c r="V504" s="1"/>
      <c r="W504" s="1"/>
      <c r="X504" s="1"/>
      <c r="Y504" s="1"/>
    </row>
    <row r="505" spans="1:25" ht="22.5" customHeight="1" x14ac:dyDescent="0.2">
      <c r="A505" s="3"/>
      <c r="B505" s="3"/>
      <c r="C505" s="3"/>
      <c r="D505" s="3"/>
      <c r="E505" s="6"/>
      <c r="F505" s="3"/>
      <c r="G505" s="3"/>
      <c r="H505" s="3"/>
      <c r="I505" s="3"/>
      <c r="J505" s="3"/>
      <c r="K505" s="3"/>
      <c r="L505" s="3"/>
      <c r="M505" s="1"/>
      <c r="N505" s="1"/>
      <c r="O505" s="1"/>
      <c r="P505" s="1"/>
      <c r="Q505" s="1"/>
      <c r="R505" s="1"/>
      <c r="S505" s="1"/>
      <c r="T505" s="1"/>
      <c r="U505" s="1"/>
      <c r="V505" s="1"/>
      <c r="W505" s="1"/>
      <c r="X505" s="1"/>
      <c r="Y505" s="1"/>
    </row>
    <row r="506" spans="1:25" ht="22.5" customHeight="1" x14ac:dyDescent="0.2">
      <c r="A506" s="3"/>
      <c r="B506" s="3"/>
      <c r="C506" s="3"/>
      <c r="D506" s="3"/>
      <c r="E506" s="6"/>
      <c r="F506" s="3"/>
      <c r="G506" s="3"/>
      <c r="H506" s="3"/>
      <c r="I506" s="3"/>
      <c r="J506" s="3"/>
      <c r="K506" s="3"/>
      <c r="L506" s="3"/>
      <c r="M506" s="1"/>
      <c r="N506" s="1"/>
      <c r="O506" s="1"/>
      <c r="P506" s="1"/>
      <c r="Q506" s="1"/>
      <c r="R506" s="1"/>
      <c r="S506" s="1"/>
      <c r="T506" s="1"/>
      <c r="U506" s="1"/>
      <c r="V506" s="1"/>
      <c r="W506" s="1"/>
      <c r="X506" s="1"/>
      <c r="Y506" s="1"/>
    </row>
    <row r="507" spans="1:25" ht="22.5" customHeight="1" x14ac:dyDescent="0.2">
      <c r="A507" s="3"/>
      <c r="B507" s="3"/>
      <c r="C507" s="3"/>
      <c r="D507" s="3"/>
      <c r="E507" s="6"/>
      <c r="F507" s="3"/>
      <c r="G507" s="3"/>
      <c r="H507" s="3"/>
      <c r="I507" s="3"/>
      <c r="J507" s="3"/>
      <c r="K507" s="3"/>
      <c r="L507" s="3"/>
      <c r="M507" s="1"/>
      <c r="N507" s="1"/>
      <c r="O507" s="1"/>
      <c r="P507" s="1"/>
      <c r="Q507" s="1"/>
      <c r="R507" s="1"/>
      <c r="S507" s="1"/>
      <c r="T507" s="1"/>
      <c r="U507" s="1"/>
      <c r="V507" s="1"/>
      <c r="W507" s="1"/>
      <c r="X507" s="1"/>
      <c r="Y507" s="1"/>
    </row>
    <row r="508" spans="1:25" ht="22.5" customHeight="1" x14ac:dyDescent="0.2">
      <c r="A508" s="3"/>
      <c r="B508" s="3"/>
      <c r="C508" s="3"/>
      <c r="D508" s="3"/>
      <c r="E508" s="6"/>
      <c r="F508" s="3"/>
      <c r="G508" s="3"/>
      <c r="H508" s="3"/>
      <c r="I508" s="3"/>
      <c r="J508" s="3"/>
      <c r="K508" s="3"/>
      <c r="L508" s="3"/>
      <c r="M508" s="1"/>
      <c r="N508" s="1"/>
      <c r="O508" s="1"/>
      <c r="P508" s="1"/>
      <c r="Q508" s="1"/>
      <c r="R508" s="1"/>
      <c r="S508" s="1"/>
      <c r="T508" s="1"/>
      <c r="U508" s="1"/>
      <c r="V508" s="1"/>
      <c r="W508" s="1"/>
      <c r="X508" s="1"/>
      <c r="Y508" s="1"/>
    </row>
    <row r="509" spans="1:25" ht="22.5" customHeight="1" x14ac:dyDescent="0.2">
      <c r="A509" s="3"/>
      <c r="B509" s="3"/>
      <c r="C509" s="3"/>
      <c r="D509" s="3"/>
      <c r="E509" s="6"/>
      <c r="F509" s="3"/>
      <c r="G509" s="3"/>
      <c r="H509" s="3"/>
      <c r="I509" s="3"/>
      <c r="J509" s="3"/>
      <c r="K509" s="3"/>
      <c r="L509" s="3"/>
      <c r="M509" s="1"/>
      <c r="N509" s="1"/>
      <c r="O509" s="1"/>
      <c r="P509" s="1"/>
      <c r="Q509" s="1"/>
      <c r="R509" s="1"/>
      <c r="S509" s="1"/>
      <c r="T509" s="1"/>
      <c r="U509" s="1"/>
      <c r="V509" s="1"/>
      <c r="W509" s="1"/>
      <c r="X509" s="1"/>
      <c r="Y509" s="1"/>
    </row>
  </sheetData>
  <hyperlinks>
    <hyperlink ref="A2" r:id="rId1" xr:uid="{00000000-0004-0000-0400-000000000000}"/>
    <hyperlink ref="D2" r:id="rId2" xr:uid="{00000000-0004-0000-0400-000001000000}"/>
    <hyperlink ref="A3" r:id="rId3" xr:uid="{00000000-0004-0000-0400-000002000000}"/>
    <hyperlink ref="D3" r:id="rId4" xr:uid="{00000000-0004-0000-0400-000003000000}"/>
    <hyperlink ref="A4" r:id="rId5" xr:uid="{00000000-0004-0000-0400-000004000000}"/>
    <hyperlink ref="D4" r:id="rId6" xr:uid="{00000000-0004-0000-0400-000005000000}"/>
    <hyperlink ref="A5" r:id="rId7" xr:uid="{00000000-0004-0000-0400-000006000000}"/>
    <hyperlink ref="D5" r:id="rId8" xr:uid="{00000000-0004-0000-0400-000007000000}"/>
    <hyperlink ref="D6" r:id="rId9" xr:uid="{00000000-0004-0000-0400-000008000000}"/>
    <hyperlink ref="D7" r:id="rId10" xr:uid="{00000000-0004-0000-0400-000009000000}"/>
    <hyperlink ref="D8" r:id="rId11" xr:uid="{00000000-0004-0000-0400-00000A000000}"/>
    <hyperlink ref="A9" r:id="rId12" xr:uid="{00000000-0004-0000-0400-00000B000000}"/>
    <hyperlink ref="D9" r:id="rId13" xr:uid="{00000000-0004-0000-0400-00000C000000}"/>
    <hyperlink ref="A10" r:id="rId14" xr:uid="{00000000-0004-0000-0400-00000D000000}"/>
    <hyperlink ref="D10" r:id="rId15" xr:uid="{00000000-0004-0000-0400-00000E000000}"/>
    <hyperlink ref="A11" r:id="rId16" xr:uid="{00000000-0004-0000-0400-00000F000000}"/>
    <hyperlink ref="D11" r:id="rId17" xr:uid="{00000000-0004-0000-0400-000010000000}"/>
    <hyperlink ref="A12" r:id="rId18" xr:uid="{00000000-0004-0000-0400-000011000000}"/>
    <hyperlink ref="D12" r:id="rId19" xr:uid="{00000000-0004-0000-0400-000012000000}"/>
    <hyperlink ref="A13" r:id="rId20" xr:uid="{00000000-0004-0000-0400-000013000000}"/>
    <hyperlink ref="D13" r:id="rId21" xr:uid="{00000000-0004-0000-0400-000014000000}"/>
    <hyperlink ref="A14" r:id="rId22" xr:uid="{00000000-0004-0000-0400-000015000000}"/>
    <hyperlink ref="D14" r:id="rId23" xr:uid="{00000000-0004-0000-0400-000016000000}"/>
    <hyperlink ref="A15" r:id="rId24" xr:uid="{00000000-0004-0000-0400-000017000000}"/>
    <hyperlink ref="D15" r:id="rId25" xr:uid="{00000000-0004-0000-0400-000018000000}"/>
    <hyperlink ref="A16" r:id="rId26" xr:uid="{00000000-0004-0000-0400-000019000000}"/>
    <hyperlink ref="D16" r:id="rId27" xr:uid="{00000000-0004-0000-0400-00001A000000}"/>
    <hyperlink ref="A17" r:id="rId28" xr:uid="{00000000-0004-0000-0400-00001B000000}"/>
    <hyperlink ref="D17" r:id="rId29" xr:uid="{00000000-0004-0000-0400-00001C000000}"/>
    <hyperlink ref="A18" r:id="rId30" xr:uid="{00000000-0004-0000-0400-00001D000000}"/>
    <hyperlink ref="D18" r:id="rId31" xr:uid="{00000000-0004-0000-0400-00001E000000}"/>
    <hyperlink ref="A19" r:id="rId32" xr:uid="{00000000-0004-0000-0400-00001F000000}"/>
    <hyperlink ref="D19" r:id="rId33" xr:uid="{00000000-0004-0000-0400-000020000000}"/>
    <hyperlink ref="A20" r:id="rId34" xr:uid="{00000000-0004-0000-0400-000021000000}"/>
    <hyperlink ref="D20" r:id="rId35" xr:uid="{00000000-0004-0000-0400-000022000000}"/>
    <hyperlink ref="A21" r:id="rId36" xr:uid="{00000000-0004-0000-0400-000023000000}"/>
    <hyperlink ref="D21" r:id="rId37" xr:uid="{00000000-0004-0000-0400-000024000000}"/>
    <hyperlink ref="A22" r:id="rId38" xr:uid="{00000000-0004-0000-0400-000025000000}"/>
    <hyperlink ref="D22" r:id="rId39" xr:uid="{00000000-0004-0000-0400-000026000000}"/>
    <hyperlink ref="A23" r:id="rId40" xr:uid="{00000000-0004-0000-0400-000027000000}"/>
    <hyperlink ref="D23" r:id="rId41" xr:uid="{00000000-0004-0000-0400-000028000000}"/>
    <hyperlink ref="A24" r:id="rId42" xr:uid="{00000000-0004-0000-0400-000029000000}"/>
    <hyperlink ref="D24" r:id="rId43" xr:uid="{00000000-0004-0000-0400-00002A000000}"/>
    <hyperlink ref="A25" r:id="rId44" xr:uid="{00000000-0004-0000-0400-00002B000000}"/>
    <hyperlink ref="D25" r:id="rId45" xr:uid="{00000000-0004-0000-0400-00002C000000}"/>
    <hyperlink ref="A26" r:id="rId46" xr:uid="{00000000-0004-0000-0400-00002D000000}"/>
    <hyperlink ref="D26" r:id="rId47" xr:uid="{00000000-0004-0000-0400-00002E000000}"/>
    <hyperlink ref="A27" r:id="rId48" xr:uid="{00000000-0004-0000-0400-00002F000000}"/>
    <hyperlink ref="D27" r:id="rId49" xr:uid="{00000000-0004-0000-0400-000030000000}"/>
    <hyperlink ref="A28" r:id="rId50" xr:uid="{00000000-0004-0000-0400-000031000000}"/>
    <hyperlink ref="D28" r:id="rId51" xr:uid="{00000000-0004-0000-0400-000032000000}"/>
    <hyperlink ref="A29" r:id="rId52" xr:uid="{00000000-0004-0000-0400-000033000000}"/>
    <hyperlink ref="D29" r:id="rId53" xr:uid="{00000000-0004-0000-0400-000034000000}"/>
    <hyperlink ref="A30" r:id="rId54" xr:uid="{00000000-0004-0000-0400-000035000000}"/>
    <hyperlink ref="D30" r:id="rId55" xr:uid="{00000000-0004-0000-0400-000036000000}"/>
    <hyperlink ref="A31" r:id="rId56" xr:uid="{00000000-0004-0000-0400-000037000000}"/>
    <hyperlink ref="D31" r:id="rId57" xr:uid="{00000000-0004-0000-0400-000038000000}"/>
    <hyperlink ref="A32" r:id="rId58" xr:uid="{00000000-0004-0000-0400-000039000000}"/>
    <hyperlink ref="D32" r:id="rId59" xr:uid="{00000000-0004-0000-0400-00003A000000}"/>
    <hyperlink ref="A33" r:id="rId60" xr:uid="{00000000-0004-0000-0400-00003B000000}"/>
    <hyperlink ref="D33" r:id="rId61" xr:uid="{00000000-0004-0000-0400-00003C000000}"/>
    <hyperlink ref="A34" r:id="rId62" xr:uid="{00000000-0004-0000-0400-00003D000000}"/>
    <hyperlink ref="D34" r:id="rId63" xr:uid="{00000000-0004-0000-0400-00003E000000}"/>
    <hyperlink ref="A35" r:id="rId64" xr:uid="{00000000-0004-0000-0400-00003F000000}"/>
    <hyperlink ref="D35" r:id="rId65" xr:uid="{00000000-0004-0000-0400-000040000000}"/>
    <hyperlink ref="A36" r:id="rId66" xr:uid="{00000000-0004-0000-0400-000041000000}"/>
    <hyperlink ref="D36" r:id="rId67" xr:uid="{00000000-0004-0000-0400-000042000000}"/>
    <hyperlink ref="A37" r:id="rId68" xr:uid="{00000000-0004-0000-0400-000043000000}"/>
    <hyperlink ref="D37" r:id="rId69" xr:uid="{00000000-0004-0000-0400-000044000000}"/>
    <hyperlink ref="A38" r:id="rId70" xr:uid="{00000000-0004-0000-0400-000045000000}"/>
    <hyperlink ref="D38" r:id="rId71" xr:uid="{00000000-0004-0000-0400-000046000000}"/>
    <hyperlink ref="A39" r:id="rId72" xr:uid="{00000000-0004-0000-0400-000047000000}"/>
    <hyperlink ref="D39" r:id="rId73" xr:uid="{00000000-0004-0000-0400-000048000000}"/>
    <hyperlink ref="A40" r:id="rId74" xr:uid="{00000000-0004-0000-0400-000049000000}"/>
    <hyperlink ref="D40" r:id="rId75" xr:uid="{00000000-0004-0000-0400-00004A000000}"/>
    <hyperlink ref="A41" r:id="rId76" xr:uid="{00000000-0004-0000-0400-00004B000000}"/>
    <hyperlink ref="D41" r:id="rId77" xr:uid="{00000000-0004-0000-0400-00004C000000}"/>
    <hyperlink ref="A42" r:id="rId78" xr:uid="{00000000-0004-0000-0400-00004D000000}"/>
    <hyperlink ref="D42" r:id="rId79" xr:uid="{00000000-0004-0000-0400-00004E000000}"/>
    <hyperlink ref="A43" r:id="rId80" xr:uid="{00000000-0004-0000-0400-00004F000000}"/>
    <hyperlink ref="D43" r:id="rId81" xr:uid="{00000000-0004-0000-0400-000050000000}"/>
    <hyperlink ref="A44" r:id="rId82" xr:uid="{00000000-0004-0000-0400-000051000000}"/>
    <hyperlink ref="D44" r:id="rId83" xr:uid="{00000000-0004-0000-0400-000052000000}"/>
    <hyperlink ref="A45" r:id="rId84" xr:uid="{00000000-0004-0000-0400-000053000000}"/>
    <hyperlink ref="D45" r:id="rId85" xr:uid="{00000000-0004-0000-0400-000054000000}"/>
    <hyperlink ref="A46" r:id="rId86" xr:uid="{00000000-0004-0000-0400-000055000000}"/>
    <hyperlink ref="D46" r:id="rId87" xr:uid="{00000000-0004-0000-0400-000056000000}"/>
    <hyperlink ref="A47" r:id="rId88" xr:uid="{00000000-0004-0000-0400-000057000000}"/>
    <hyperlink ref="D47" r:id="rId89" xr:uid="{00000000-0004-0000-0400-000058000000}"/>
    <hyperlink ref="D48" r:id="rId90" xr:uid="{00000000-0004-0000-0400-000059000000}"/>
    <hyperlink ref="A49" r:id="rId91" xr:uid="{00000000-0004-0000-0400-00005A000000}"/>
    <hyperlink ref="D49" r:id="rId92" xr:uid="{00000000-0004-0000-0400-00005B000000}"/>
    <hyperlink ref="A50" r:id="rId93" xr:uid="{00000000-0004-0000-0400-00005C000000}"/>
    <hyperlink ref="D50" r:id="rId94" xr:uid="{00000000-0004-0000-0400-00005D000000}"/>
    <hyperlink ref="A51" r:id="rId95" xr:uid="{00000000-0004-0000-0400-00005E000000}"/>
    <hyperlink ref="D51" r:id="rId96" xr:uid="{00000000-0004-0000-0400-00005F000000}"/>
    <hyperlink ref="A52" r:id="rId97" xr:uid="{00000000-0004-0000-0400-000060000000}"/>
    <hyperlink ref="D52" r:id="rId98" xr:uid="{00000000-0004-0000-0400-000061000000}"/>
    <hyperlink ref="A53" r:id="rId99" xr:uid="{00000000-0004-0000-0400-000062000000}"/>
    <hyperlink ref="D53" r:id="rId100" xr:uid="{00000000-0004-0000-0400-000063000000}"/>
    <hyperlink ref="A54" r:id="rId101" xr:uid="{00000000-0004-0000-0400-000064000000}"/>
    <hyperlink ref="D54" r:id="rId102" xr:uid="{00000000-0004-0000-0400-000065000000}"/>
    <hyperlink ref="A55" r:id="rId103" xr:uid="{00000000-0004-0000-0400-000066000000}"/>
    <hyperlink ref="D55" r:id="rId104" xr:uid="{00000000-0004-0000-0400-000067000000}"/>
    <hyperlink ref="A56" r:id="rId105" xr:uid="{00000000-0004-0000-0400-000068000000}"/>
    <hyperlink ref="D56" r:id="rId106" xr:uid="{00000000-0004-0000-0400-000069000000}"/>
    <hyperlink ref="A57" r:id="rId107" xr:uid="{00000000-0004-0000-0400-00006A000000}"/>
    <hyperlink ref="D57" r:id="rId108" xr:uid="{00000000-0004-0000-0400-00006B000000}"/>
    <hyperlink ref="A58" r:id="rId109" xr:uid="{00000000-0004-0000-0400-00006C000000}"/>
    <hyperlink ref="D58" r:id="rId110" xr:uid="{00000000-0004-0000-0400-00006D000000}"/>
    <hyperlink ref="A59" r:id="rId111" xr:uid="{00000000-0004-0000-0400-00006E000000}"/>
    <hyperlink ref="D59" r:id="rId112" xr:uid="{00000000-0004-0000-0400-00006F000000}"/>
    <hyperlink ref="A60" r:id="rId113" xr:uid="{00000000-0004-0000-0400-000070000000}"/>
    <hyperlink ref="D60" r:id="rId114" xr:uid="{00000000-0004-0000-0400-000071000000}"/>
    <hyperlink ref="A61" r:id="rId115" xr:uid="{00000000-0004-0000-0400-000072000000}"/>
    <hyperlink ref="D61" r:id="rId116" xr:uid="{00000000-0004-0000-0400-000073000000}"/>
    <hyperlink ref="A62" r:id="rId117" xr:uid="{00000000-0004-0000-0400-000074000000}"/>
    <hyperlink ref="D62" r:id="rId118" xr:uid="{00000000-0004-0000-0400-000075000000}"/>
    <hyperlink ref="A63" r:id="rId119" xr:uid="{00000000-0004-0000-0400-000076000000}"/>
    <hyperlink ref="D63" r:id="rId120" xr:uid="{00000000-0004-0000-0400-000077000000}"/>
    <hyperlink ref="A64" r:id="rId121" xr:uid="{00000000-0004-0000-0400-000078000000}"/>
    <hyperlink ref="D64" r:id="rId122" xr:uid="{00000000-0004-0000-0400-000079000000}"/>
    <hyperlink ref="A65" r:id="rId123" xr:uid="{00000000-0004-0000-0400-00007A000000}"/>
    <hyperlink ref="D65" r:id="rId124" xr:uid="{00000000-0004-0000-0400-00007B000000}"/>
    <hyperlink ref="A66" r:id="rId125" xr:uid="{00000000-0004-0000-0400-00007C000000}"/>
    <hyperlink ref="D66" r:id="rId126" xr:uid="{00000000-0004-0000-0400-00007D000000}"/>
    <hyperlink ref="A67" r:id="rId127" xr:uid="{00000000-0004-0000-0400-00007E000000}"/>
    <hyperlink ref="D67" r:id="rId128" xr:uid="{00000000-0004-0000-0400-00007F000000}"/>
    <hyperlink ref="A68" r:id="rId129" xr:uid="{00000000-0004-0000-0400-000080000000}"/>
    <hyperlink ref="D68" r:id="rId130" xr:uid="{00000000-0004-0000-0400-000081000000}"/>
    <hyperlink ref="A69" r:id="rId131" xr:uid="{00000000-0004-0000-0400-000082000000}"/>
    <hyperlink ref="D69" r:id="rId132" xr:uid="{00000000-0004-0000-0400-000083000000}"/>
    <hyperlink ref="A70" r:id="rId133" xr:uid="{00000000-0004-0000-0400-000084000000}"/>
    <hyperlink ref="D70" r:id="rId134" xr:uid="{00000000-0004-0000-0400-000085000000}"/>
    <hyperlink ref="A71" r:id="rId135" xr:uid="{00000000-0004-0000-0400-000086000000}"/>
    <hyperlink ref="D71" r:id="rId136" xr:uid="{00000000-0004-0000-0400-000087000000}"/>
    <hyperlink ref="A72" r:id="rId137" xr:uid="{00000000-0004-0000-0400-000088000000}"/>
    <hyperlink ref="D72" r:id="rId138" xr:uid="{00000000-0004-0000-0400-000089000000}"/>
    <hyperlink ref="A73" r:id="rId139" xr:uid="{00000000-0004-0000-0400-00008A000000}"/>
    <hyperlink ref="D73" r:id="rId140" xr:uid="{00000000-0004-0000-0400-00008B000000}"/>
    <hyperlink ref="A74" r:id="rId141" xr:uid="{00000000-0004-0000-0400-00008C000000}"/>
    <hyperlink ref="D74" r:id="rId142" xr:uid="{00000000-0004-0000-0400-00008D000000}"/>
    <hyperlink ref="A75" r:id="rId143" xr:uid="{00000000-0004-0000-0400-00008E000000}"/>
    <hyperlink ref="D75" r:id="rId144" xr:uid="{00000000-0004-0000-0400-00008F000000}"/>
    <hyperlink ref="A76" r:id="rId145" xr:uid="{00000000-0004-0000-0400-000090000000}"/>
    <hyperlink ref="D76" r:id="rId146" xr:uid="{00000000-0004-0000-0400-000091000000}"/>
    <hyperlink ref="A77" r:id="rId147" xr:uid="{00000000-0004-0000-0400-000092000000}"/>
    <hyperlink ref="D77" r:id="rId148" xr:uid="{00000000-0004-0000-0400-000093000000}"/>
    <hyperlink ref="A78" r:id="rId149" xr:uid="{00000000-0004-0000-0400-000094000000}"/>
    <hyperlink ref="D78" r:id="rId150" xr:uid="{00000000-0004-0000-0400-000095000000}"/>
    <hyperlink ref="A79" r:id="rId151" xr:uid="{00000000-0004-0000-0400-000096000000}"/>
    <hyperlink ref="D79" r:id="rId152" xr:uid="{00000000-0004-0000-0400-000097000000}"/>
    <hyperlink ref="A80" r:id="rId153" xr:uid="{00000000-0004-0000-0400-000098000000}"/>
    <hyperlink ref="D80" r:id="rId154" xr:uid="{00000000-0004-0000-0400-000099000000}"/>
    <hyperlink ref="A81" r:id="rId155" xr:uid="{00000000-0004-0000-0400-00009A000000}"/>
    <hyperlink ref="D81" r:id="rId156" xr:uid="{00000000-0004-0000-0400-00009B000000}"/>
    <hyperlink ref="A82" r:id="rId157" xr:uid="{00000000-0004-0000-0400-00009C000000}"/>
    <hyperlink ref="D82" r:id="rId158" xr:uid="{00000000-0004-0000-0400-00009D000000}"/>
    <hyperlink ref="A83" r:id="rId159" xr:uid="{00000000-0004-0000-0400-00009E000000}"/>
    <hyperlink ref="D83" r:id="rId160" xr:uid="{00000000-0004-0000-0400-00009F000000}"/>
    <hyperlink ref="A84" r:id="rId161" xr:uid="{00000000-0004-0000-0400-0000A0000000}"/>
    <hyperlink ref="D84" r:id="rId162" xr:uid="{00000000-0004-0000-0400-0000A1000000}"/>
    <hyperlink ref="A85" r:id="rId163" xr:uid="{00000000-0004-0000-0400-0000A2000000}"/>
    <hyperlink ref="D85" r:id="rId164" xr:uid="{00000000-0004-0000-0400-0000A3000000}"/>
    <hyperlink ref="A86" r:id="rId165" xr:uid="{00000000-0004-0000-0400-0000A4000000}"/>
    <hyperlink ref="D86" r:id="rId166" xr:uid="{00000000-0004-0000-0400-0000A5000000}"/>
    <hyperlink ref="A87" r:id="rId167" xr:uid="{00000000-0004-0000-0400-0000A6000000}"/>
    <hyperlink ref="D87" r:id="rId168" xr:uid="{00000000-0004-0000-0400-0000A7000000}"/>
    <hyperlink ref="A88" r:id="rId169" xr:uid="{00000000-0004-0000-0400-0000A8000000}"/>
    <hyperlink ref="D88" r:id="rId170" xr:uid="{00000000-0004-0000-0400-0000A9000000}"/>
    <hyperlink ref="A89" r:id="rId171" xr:uid="{00000000-0004-0000-0400-0000AA000000}"/>
    <hyperlink ref="D89" r:id="rId172" xr:uid="{00000000-0004-0000-0400-0000AB000000}"/>
    <hyperlink ref="A90" r:id="rId173" xr:uid="{00000000-0004-0000-0400-0000AC000000}"/>
    <hyperlink ref="D90" r:id="rId174" xr:uid="{00000000-0004-0000-0400-0000AD000000}"/>
    <hyperlink ref="A91" r:id="rId175" xr:uid="{00000000-0004-0000-0400-0000AE000000}"/>
    <hyperlink ref="D91" r:id="rId176" xr:uid="{00000000-0004-0000-0400-0000AF000000}"/>
    <hyperlink ref="A92" r:id="rId177" xr:uid="{00000000-0004-0000-0400-0000B0000000}"/>
    <hyperlink ref="D92" r:id="rId178" xr:uid="{00000000-0004-0000-0400-0000B1000000}"/>
    <hyperlink ref="A93" r:id="rId179" xr:uid="{00000000-0004-0000-0400-0000B2000000}"/>
    <hyperlink ref="D93" r:id="rId180" xr:uid="{00000000-0004-0000-0400-0000B3000000}"/>
    <hyperlink ref="A94" r:id="rId181" xr:uid="{00000000-0004-0000-0400-0000B4000000}"/>
    <hyperlink ref="D94" r:id="rId182" xr:uid="{00000000-0004-0000-0400-0000B5000000}"/>
    <hyperlink ref="A95" r:id="rId183" xr:uid="{00000000-0004-0000-0400-0000B6000000}"/>
    <hyperlink ref="D95" r:id="rId184" xr:uid="{00000000-0004-0000-0400-0000B7000000}"/>
    <hyperlink ref="A96" r:id="rId185" xr:uid="{00000000-0004-0000-0400-0000B8000000}"/>
    <hyperlink ref="D96" r:id="rId186" xr:uid="{00000000-0004-0000-0400-0000B9000000}"/>
    <hyperlink ref="A97" r:id="rId187" xr:uid="{00000000-0004-0000-0400-0000BA000000}"/>
    <hyperlink ref="D97" r:id="rId188" xr:uid="{00000000-0004-0000-0400-0000BB000000}"/>
    <hyperlink ref="A98" r:id="rId189" xr:uid="{00000000-0004-0000-0400-0000BC000000}"/>
    <hyperlink ref="D98" r:id="rId190" xr:uid="{00000000-0004-0000-0400-0000BD000000}"/>
    <hyperlink ref="A99" r:id="rId191" xr:uid="{00000000-0004-0000-0400-0000BE000000}"/>
    <hyperlink ref="D99" r:id="rId192" xr:uid="{00000000-0004-0000-0400-0000BF000000}"/>
    <hyperlink ref="A100" r:id="rId193" xr:uid="{00000000-0004-0000-0400-0000C0000000}"/>
    <hyperlink ref="D100" r:id="rId194" xr:uid="{00000000-0004-0000-0400-0000C1000000}"/>
    <hyperlink ref="A101" r:id="rId195" xr:uid="{00000000-0004-0000-0400-0000C2000000}"/>
    <hyperlink ref="D101" r:id="rId196" xr:uid="{00000000-0004-0000-0400-0000C3000000}"/>
    <hyperlink ref="A102" r:id="rId197" xr:uid="{00000000-0004-0000-0400-0000C4000000}"/>
    <hyperlink ref="D102" r:id="rId198" xr:uid="{00000000-0004-0000-0400-0000C5000000}"/>
    <hyperlink ref="A103" r:id="rId199" xr:uid="{00000000-0004-0000-0400-0000C6000000}"/>
    <hyperlink ref="D103" r:id="rId200" xr:uid="{00000000-0004-0000-0400-0000C7000000}"/>
    <hyperlink ref="A104" r:id="rId201" xr:uid="{00000000-0004-0000-0400-0000C8000000}"/>
    <hyperlink ref="D104" r:id="rId202" xr:uid="{00000000-0004-0000-0400-0000C9000000}"/>
    <hyperlink ref="A105" r:id="rId203" xr:uid="{00000000-0004-0000-0400-0000CA000000}"/>
    <hyperlink ref="D105" r:id="rId204" xr:uid="{00000000-0004-0000-0400-0000CB000000}"/>
    <hyperlink ref="A106" r:id="rId205" xr:uid="{00000000-0004-0000-0400-0000CC000000}"/>
    <hyperlink ref="D106" r:id="rId206" xr:uid="{00000000-0004-0000-0400-0000CD000000}"/>
    <hyperlink ref="A107" r:id="rId207" xr:uid="{00000000-0004-0000-0400-0000CE000000}"/>
    <hyperlink ref="D107" r:id="rId208" xr:uid="{00000000-0004-0000-0400-0000CF000000}"/>
    <hyperlink ref="A108" r:id="rId209" xr:uid="{00000000-0004-0000-0400-0000D0000000}"/>
    <hyperlink ref="D108" r:id="rId210" xr:uid="{00000000-0004-0000-0400-0000D1000000}"/>
    <hyperlink ref="A109" r:id="rId211" xr:uid="{00000000-0004-0000-0400-0000D2000000}"/>
    <hyperlink ref="D109" r:id="rId212" xr:uid="{00000000-0004-0000-0400-0000D3000000}"/>
    <hyperlink ref="A110" r:id="rId213" xr:uid="{00000000-0004-0000-0400-0000D4000000}"/>
    <hyperlink ref="D110" r:id="rId214" xr:uid="{00000000-0004-0000-0400-0000D5000000}"/>
    <hyperlink ref="A111" r:id="rId215" xr:uid="{00000000-0004-0000-0400-0000D6000000}"/>
    <hyperlink ref="D111" r:id="rId216" xr:uid="{00000000-0004-0000-0400-0000D7000000}"/>
    <hyperlink ref="A112" r:id="rId217" xr:uid="{00000000-0004-0000-0400-0000D8000000}"/>
    <hyperlink ref="D112" r:id="rId218" xr:uid="{00000000-0004-0000-0400-0000D9000000}"/>
    <hyperlink ref="A113" r:id="rId219" xr:uid="{00000000-0004-0000-0400-0000DA000000}"/>
    <hyperlink ref="D113" r:id="rId220" xr:uid="{00000000-0004-0000-0400-0000DB000000}"/>
    <hyperlink ref="A114" r:id="rId221" xr:uid="{00000000-0004-0000-0400-0000DC000000}"/>
    <hyperlink ref="D114" r:id="rId222" xr:uid="{00000000-0004-0000-0400-0000DD000000}"/>
    <hyperlink ref="A115" r:id="rId223" xr:uid="{00000000-0004-0000-0400-0000DE000000}"/>
    <hyperlink ref="D115" r:id="rId224" xr:uid="{00000000-0004-0000-0400-0000DF000000}"/>
    <hyperlink ref="A116" r:id="rId225" xr:uid="{00000000-0004-0000-0400-0000E0000000}"/>
    <hyperlink ref="D116" r:id="rId226" xr:uid="{00000000-0004-0000-0400-0000E1000000}"/>
    <hyperlink ref="A117" r:id="rId227" xr:uid="{00000000-0004-0000-0400-0000E2000000}"/>
    <hyperlink ref="D117" r:id="rId228" xr:uid="{00000000-0004-0000-0400-0000E3000000}"/>
    <hyperlink ref="A118" r:id="rId229" xr:uid="{00000000-0004-0000-0400-0000E4000000}"/>
    <hyperlink ref="D118" r:id="rId230" xr:uid="{00000000-0004-0000-0400-0000E5000000}"/>
    <hyperlink ref="A119" r:id="rId231" xr:uid="{00000000-0004-0000-0400-0000E6000000}"/>
    <hyperlink ref="D119" r:id="rId232" xr:uid="{00000000-0004-0000-0400-0000E7000000}"/>
    <hyperlink ref="A120" r:id="rId233" xr:uid="{00000000-0004-0000-0400-0000E8000000}"/>
    <hyperlink ref="D120" r:id="rId234" xr:uid="{00000000-0004-0000-0400-0000E9000000}"/>
    <hyperlink ref="A121" r:id="rId235" xr:uid="{00000000-0004-0000-0400-0000EA000000}"/>
    <hyperlink ref="D121" r:id="rId236" xr:uid="{00000000-0004-0000-0400-0000EB000000}"/>
    <hyperlink ref="A122" r:id="rId237" xr:uid="{00000000-0004-0000-0400-0000EC000000}"/>
    <hyperlink ref="D122" r:id="rId238" xr:uid="{00000000-0004-0000-0400-0000ED000000}"/>
    <hyperlink ref="A123" r:id="rId239" xr:uid="{00000000-0004-0000-0400-0000EE000000}"/>
    <hyperlink ref="D123" r:id="rId240" xr:uid="{00000000-0004-0000-0400-0000EF000000}"/>
    <hyperlink ref="A124" r:id="rId241" xr:uid="{00000000-0004-0000-0400-0000F0000000}"/>
    <hyperlink ref="D124" r:id="rId242" xr:uid="{00000000-0004-0000-0400-0000F1000000}"/>
    <hyperlink ref="A125" r:id="rId243" xr:uid="{00000000-0004-0000-0400-0000F2000000}"/>
    <hyperlink ref="D125" r:id="rId244" xr:uid="{00000000-0004-0000-0400-0000F3000000}"/>
    <hyperlink ref="A126" r:id="rId245" xr:uid="{00000000-0004-0000-0400-0000F4000000}"/>
    <hyperlink ref="D126" r:id="rId246" xr:uid="{00000000-0004-0000-0400-0000F5000000}"/>
    <hyperlink ref="D127" r:id="rId247" xr:uid="{00000000-0004-0000-0400-0000F6000000}"/>
    <hyperlink ref="A128" r:id="rId248" xr:uid="{00000000-0004-0000-0400-0000F7000000}"/>
    <hyperlink ref="D128" r:id="rId249" xr:uid="{00000000-0004-0000-0400-0000F8000000}"/>
    <hyperlink ref="A129" r:id="rId250" xr:uid="{00000000-0004-0000-0400-0000F9000000}"/>
    <hyperlink ref="D129" r:id="rId251" xr:uid="{00000000-0004-0000-0400-0000FA000000}"/>
    <hyperlink ref="A130" r:id="rId252" xr:uid="{00000000-0004-0000-0400-0000FB000000}"/>
    <hyperlink ref="D130" r:id="rId253" xr:uid="{00000000-0004-0000-0400-0000FC000000}"/>
    <hyperlink ref="A131" r:id="rId254" xr:uid="{00000000-0004-0000-0400-0000FD000000}"/>
    <hyperlink ref="D131" r:id="rId255" xr:uid="{00000000-0004-0000-0400-0000FE000000}"/>
    <hyperlink ref="A132" r:id="rId256" xr:uid="{00000000-0004-0000-0400-0000FF000000}"/>
    <hyperlink ref="D132" r:id="rId257" xr:uid="{00000000-0004-0000-0400-000000010000}"/>
    <hyperlink ref="A133" r:id="rId258" xr:uid="{00000000-0004-0000-0400-000001010000}"/>
    <hyperlink ref="D133" r:id="rId259" xr:uid="{00000000-0004-0000-0400-000002010000}"/>
    <hyperlink ref="A134" r:id="rId260" xr:uid="{00000000-0004-0000-0400-000003010000}"/>
    <hyperlink ref="D134" r:id="rId261" xr:uid="{00000000-0004-0000-0400-000004010000}"/>
    <hyperlink ref="A135" r:id="rId262" xr:uid="{00000000-0004-0000-0400-000005010000}"/>
    <hyperlink ref="D135" r:id="rId263" xr:uid="{00000000-0004-0000-0400-000006010000}"/>
    <hyperlink ref="A136" r:id="rId264" xr:uid="{00000000-0004-0000-0400-000007010000}"/>
    <hyperlink ref="D136" r:id="rId265" xr:uid="{00000000-0004-0000-0400-000008010000}"/>
    <hyperlink ref="A137" r:id="rId266" xr:uid="{00000000-0004-0000-0400-000009010000}"/>
    <hyperlink ref="D137" r:id="rId267" xr:uid="{00000000-0004-0000-0400-00000A010000}"/>
    <hyperlink ref="A138" r:id="rId268" xr:uid="{00000000-0004-0000-0400-00000B010000}"/>
    <hyperlink ref="D138" r:id="rId269" xr:uid="{00000000-0004-0000-0400-00000C010000}"/>
    <hyperlink ref="A139" r:id="rId270" xr:uid="{00000000-0004-0000-0400-00000D010000}"/>
    <hyperlink ref="D139" r:id="rId271" xr:uid="{00000000-0004-0000-0400-00000E010000}"/>
    <hyperlink ref="A140" r:id="rId272" xr:uid="{00000000-0004-0000-0400-00000F010000}"/>
    <hyperlink ref="D140" r:id="rId273" xr:uid="{00000000-0004-0000-0400-000010010000}"/>
    <hyperlink ref="A141" r:id="rId274" xr:uid="{00000000-0004-0000-0400-000011010000}"/>
    <hyperlink ref="D141" r:id="rId275" xr:uid="{00000000-0004-0000-0400-000012010000}"/>
    <hyperlink ref="A142" r:id="rId276" xr:uid="{00000000-0004-0000-0400-000013010000}"/>
    <hyperlink ref="D142" r:id="rId277" xr:uid="{00000000-0004-0000-0400-000014010000}"/>
    <hyperlink ref="A143" r:id="rId278" xr:uid="{00000000-0004-0000-0400-000015010000}"/>
    <hyperlink ref="D143" r:id="rId279" xr:uid="{00000000-0004-0000-0400-000016010000}"/>
    <hyperlink ref="A144" r:id="rId280" xr:uid="{00000000-0004-0000-0400-000017010000}"/>
    <hyperlink ref="D144" r:id="rId281" xr:uid="{00000000-0004-0000-0400-000018010000}"/>
    <hyperlink ref="A145" r:id="rId282" xr:uid="{00000000-0004-0000-0400-000019010000}"/>
    <hyperlink ref="D145" r:id="rId283" xr:uid="{00000000-0004-0000-0400-00001A010000}"/>
    <hyperlink ref="A146" r:id="rId284" xr:uid="{00000000-0004-0000-0400-00001B010000}"/>
    <hyperlink ref="D146" r:id="rId285" xr:uid="{00000000-0004-0000-0400-00001C010000}"/>
    <hyperlink ref="A147" r:id="rId286" xr:uid="{00000000-0004-0000-0400-00001D010000}"/>
    <hyperlink ref="D147" r:id="rId287" xr:uid="{00000000-0004-0000-0400-00001E010000}"/>
    <hyperlink ref="A148" r:id="rId288" xr:uid="{00000000-0004-0000-0400-00001F010000}"/>
    <hyperlink ref="D148" r:id="rId289" xr:uid="{00000000-0004-0000-0400-000020010000}"/>
    <hyperlink ref="A149" r:id="rId290" xr:uid="{00000000-0004-0000-0400-000021010000}"/>
    <hyperlink ref="D149" r:id="rId291" xr:uid="{00000000-0004-0000-0400-000022010000}"/>
    <hyperlink ref="A150" r:id="rId292" xr:uid="{00000000-0004-0000-0400-000023010000}"/>
    <hyperlink ref="D150" r:id="rId293" xr:uid="{00000000-0004-0000-0400-000024010000}"/>
    <hyperlink ref="A151" r:id="rId294" xr:uid="{00000000-0004-0000-0400-000025010000}"/>
    <hyperlink ref="D151" r:id="rId295" xr:uid="{00000000-0004-0000-0400-000026010000}"/>
    <hyperlink ref="A152" r:id="rId296" xr:uid="{00000000-0004-0000-0400-000027010000}"/>
    <hyperlink ref="D152" r:id="rId297" xr:uid="{00000000-0004-0000-0400-000028010000}"/>
    <hyperlink ref="A153" r:id="rId298" xr:uid="{00000000-0004-0000-0400-000029010000}"/>
    <hyperlink ref="D153" r:id="rId299" xr:uid="{00000000-0004-0000-0400-00002A010000}"/>
    <hyperlink ref="A154" r:id="rId300" xr:uid="{00000000-0004-0000-0400-00002B010000}"/>
    <hyperlink ref="D154" r:id="rId301" xr:uid="{00000000-0004-0000-0400-00002C010000}"/>
    <hyperlink ref="A155" r:id="rId302" xr:uid="{00000000-0004-0000-0400-00002D010000}"/>
    <hyperlink ref="D155" r:id="rId303" xr:uid="{00000000-0004-0000-0400-00002E010000}"/>
    <hyperlink ref="A156" r:id="rId304" xr:uid="{00000000-0004-0000-0400-00002F010000}"/>
    <hyperlink ref="D156" r:id="rId305" xr:uid="{00000000-0004-0000-0400-000030010000}"/>
    <hyperlink ref="A157" r:id="rId306" xr:uid="{00000000-0004-0000-0400-000031010000}"/>
    <hyperlink ref="D157" r:id="rId307" xr:uid="{00000000-0004-0000-0400-000032010000}"/>
    <hyperlink ref="A158" r:id="rId308" xr:uid="{00000000-0004-0000-0400-000033010000}"/>
    <hyperlink ref="D158" r:id="rId309" xr:uid="{00000000-0004-0000-0400-000034010000}"/>
    <hyperlink ref="A159" r:id="rId310" xr:uid="{00000000-0004-0000-0400-000035010000}"/>
    <hyperlink ref="D159" r:id="rId311" xr:uid="{00000000-0004-0000-0400-000036010000}"/>
    <hyperlink ref="A160" r:id="rId312" xr:uid="{00000000-0004-0000-0400-000037010000}"/>
    <hyperlink ref="D160" r:id="rId313" xr:uid="{00000000-0004-0000-0400-000038010000}"/>
    <hyperlink ref="A161" r:id="rId314" xr:uid="{00000000-0004-0000-0400-000039010000}"/>
    <hyperlink ref="D161" r:id="rId315" xr:uid="{00000000-0004-0000-0400-00003A010000}"/>
    <hyperlink ref="A162" r:id="rId316" xr:uid="{00000000-0004-0000-0400-00003B010000}"/>
    <hyperlink ref="D162" r:id="rId317" xr:uid="{00000000-0004-0000-0400-00003C010000}"/>
    <hyperlink ref="A163" r:id="rId318" xr:uid="{00000000-0004-0000-0400-00003D010000}"/>
    <hyperlink ref="D163" r:id="rId319" xr:uid="{00000000-0004-0000-0400-00003E010000}"/>
    <hyperlink ref="A164" r:id="rId320" xr:uid="{00000000-0004-0000-0400-00003F010000}"/>
    <hyperlink ref="D164" r:id="rId321" xr:uid="{00000000-0004-0000-0400-000040010000}"/>
    <hyperlink ref="A166" r:id="rId322" xr:uid="{00000000-0004-0000-0400-000041010000}"/>
    <hyperlink ref="D166" r:id="rId323" xr:uid="{00000000-0004-0000-0400-000042010000}"/>
    <hyperlink ref="A167" r:id="rId324" xr:uid="{00000000-0004-0000-0400-000043010000}"/>
    <hyperlink ref="D167" r:id="rId325" xr:uid="{00000000-0004-0000-0400-000044010000}"/>
    <hyperlink ref="A168" r:id="rId326" xr:uid="{00000000-0004-0000-0400-000045010000}"/>
    <hyperlink ref="D168" r:id="rId327" xr:uid="{00000000-0004-0000-0400-000046010000}"/>
    <hyperlink ref="A169" r:id="rId328" xr:uid="{00000000-0004-0000-0400-000047010000}"/>
    <hyperlink ref="D169" r:id="rId329" xr:uid="{00000000-0004-0000-0400-000048010000}"/>
    <hyperlink ref="A170" r:id="rId330" xr:uid="{00000000-0004-0000-0400-000049010000}"/>
    <hyperlink ref="D170" r:id="rId331" xr:uid="{00000000-0004-0000-0400-00004A010000}"/>
    <hyperlink ref="A171" r:id="rId332" xr:uid="{00000000-0004-0000-0400-00004B010000}"/>
    <hyperlink ref="D171" r:id="rId333" xr:uid="{00000000-0004-0000-0400-00004C010000}"/>
    <hyperlink ref="A172" r:id="rId334" xr:uid="{00000000-0004-0000-0400-00004D010000}"/>
    <hyperlink ref="D172" r:id="rId335" xr:uid="{00000000-0004-0000-0400-00004E010000}"/>
    <hyperlink ref="A173" r:id="rId336" xr:uid="{00000000-0004-0000-0400-00004F010000}"/>
    <hyperlink ref="D173" r:id="rId337" xr:uid="{00000000-0004-0000-0400-000050010000}"/>
    <hyperlink ref="A174" r:id="rId338" xr:uid="{00000000-0004-0000-0400-000051010000}"/>
    <hyperlink ref="D174" r:id="rId339" xr:uid="{00000000-0004-0000-0400-000052010000}"/>
    <hyperlink ref="A175" r:id="rId340" xr:uid="{00000000-0004-0000-0400-000053010000}"/>
    <hyperlink ref="D175" r:id="rId341" xr:uid="{00000000-0004-0000-0400-000054010000}"/>
    <hyperlink ref="A176" r:id="rId342" xr:uid="{00000000-0004-0000-0400-000055010000}"/>
    <hyperlink ref="D176" r:id="rId343" xr:uid="{00000000-0004-0000-0400-000056010000}"/>
    <hyperlink ref="A177" r:id="rId344" xr:uid="{00000000-0004-0000-0400-000057010000}"/>
    <hyperlink ref="D177" r:id="rId345" xr:uid="{00000000-0004-0000-0400-000058010000}"/>
    <hyperlink ref="A178" r:id="rId346" xr:uid="{00000000-0004-0000-0400-000059010000}"/>
    <hyperlink ref="D178" r:id="rId347" xr:uid="{00000000-0004-0000-0400-00005A010000}"/>
    <hyperlink ref="A179" r:id="rId348" xr:uid="{00000000-0004-0000-0400-00005B010000}"/>
    <hyperlink ref="D179" r:id="rId349" xr:uid="{00000000-0004-0000-0400-00005C010000}"/>
    <hyperlink ref="A180" r:id="rId350" xr:uid="{00000000-0004-0000-0400-00005D010000}"/>
    <hyperlink ref="D180" r:id="rId351" xr:uid="{00000000-0004-0000-0400-00005E010000}"/>
    <hyperlink ref="A181" r:id="rId352" xr:uid="{00000000-0004-0000-0400-00005F010000}"/>
    <hyperlink ref="D181" r:id="rId353" xr:uid="{00000000-0004-0000-0400-000060010000}"/>
    <hyperlink ref="A184" r:id="rId354" xr:uid="{00000000-0004-0000-0400-000061010000}"/>
    <hyperlink ref="D184" r:id="rId355" xr:uid="{00000000-0004-0000-0400-000062010000}"/>
    <hyperlink ref="A185" r:id="rId356" xr:uid="{00000000-0004-0000-0400-000063010000}"/>
    <hyperlink ref="D185" r:id="rId357" xr:uid="{00000000-0004-0000-0400-000064010000}"/>
    <hyperlink ref="A186" r:id="rId358" xr:uid="{00000000-0004-0000-0400-000065010000}"/>
    <hyperlink ref="D186" r:id="rId359" xr:uid="{00000000-0004-0000-0400-000066010000}"/>
    <hyperlink ref="A188" r:id="rId360" xr:uid="{00000000-0004-0000-0400-000067010000}"/>
    <hyperlink ref="D188" r:id="rId361" xr:uid="{00000000-0004-0000-0400-000068010000}"/>
    <hyperlink ref="A189" r:id="rId362" xr:uid="{00000000-0004-0000-0400-000069010000}"/>
    <hyperlink ref="D189" r:id="rId363" xr:uid="{00000000-0004-0000-0400-00006A010000}"/>
    <hyperlink ref="A190" r:id="rId364" xr:uid="{00000000-0004-0000-0400-00006B010000}"/>
    <hyperlink ref="D190" r:id="rId365" xr:uid="{00000000-0004-0000-0400-00006C010000}"/>
    <hyperlink ref="A191" r:id="rId366" xr:uid="{00000000-0004-0000-0400-00006D010000}"/>
    <hyperlink ref="D191" r:id="rId367" xr:uid="{00000000-0004-0000-0400-00006E010000}"/>
    <hyperlink ref="A192" r:id="rId368" xr:uid="{00000000-0004-0000-0400-00006F010000}"/>
    <hyperlink ref="D192" r:id="rId369" xr:uid="{00000000-0004-0000-0400-000070010000}"/>
    <hyperlink ref="A193" r:id="rId370" xr:uid="{00000000-0004-0000-0400-000071010000}"/>
    <hyperlink ref="D193" r:id="rId371" xr:uid="{00000000-0004-0000-0400-000072010000}"/>
    <hyperlink ref="A194" r:id="rId372" xr:uid="{00000000-0004-0000-0400-000073010000}"/>
    <hyperlink ref="D194" r:id="rId373" xr:uid="{00000000-0004-0000-0400-000074010000}"/>
    <hyperlink ref="A195" r:id="rId374" xr:uid="{00000000-0004-0000-0400-000075010000}"/>
    <hyperlink ref="D195" r:id="rId375" xr:uid="{00000000-0004-0000-0400-000076010000}"/>
    <hyperlink ref="A197" r:id="rId376" xr:uid="{00000000-0004-0000-0400-000077010000}"/>
    <hyperlink ref="D197" r:id="rId377" xr:uid="{00000000-0004-0000-0400-000078010000}"/>
    <hyperlink ref="A198" r:id="rId378" xr:uid="{00000000-0004-0000-0400-000079010000}"/>
    <hyperlink ref="D198" r:id="rId379" xr:uid="{00000000-0004-0000-0400-00007A010000}"/>
    <hyperlink ref="A199" r:id="rId380" xr:uid="{00000000-0004-0000-0400-00007B010000}"/>
    <hyperlink ref="D199" r:id="rId381" xr:uid="{00000000-0004-0000-0400-00007C010000}"/>
    <hyperlink ref="A200" r:id="rId382" xr:uid="{00000000-0004-0000-0400-00007D010000}"/>
    <hyperlink ref="D200" r:id="rId383" xr:uid="{00000000-0004-0000-0400-00007E010000}"/>
    <hyperlink ref="A201" r:id="rId384" xr:uid="{00000000-0004-0000-0400-00007F010000}"/>
    <hyperlink ref="D201" r:id="rId385" xr:uid="{00000000-0004-0000-0400-000080010000}"/>
    <hyperlink ref="A203" r:id="rId386" xr:uid="{00000000-0004-0000-0400-000081010000}"/>
    <hyperlink ref="D203" r:id="rId387" xr:uid="{00000000-0004-0000-0400-000082010000}"/>
    <hyperlink ref="A207" r:id="rId388" xr:uid="{00000000-0004-0000-0400-000083010000}"/>
    <hyperlink ref="D207" r:id="rId389" xr:uid="{00000000-0004-0000-0400-000084010000}"/>
    <hyperlink ref="A208" r:id="rId390" xr:uid="{00000000-0004-0000-0400-000085010000}"/>
    <hyperlink ref="D208" r:id="rId391" xr:uid="{00000000-0004-0000-0400-000086010000}"/>
    <hyperlink ref="A209" r:id="rId392" xr:uid="{00000000-0004-0000-0400-000087010000}"/>
    <hyperlink ref="D209" r:id="rId393" xr:uid="{00000000-0004-0000-0400-000088010000}"/>
    <hyperlink ref="A210" r:id="rId394" xr:uid="{00000000-0004-0000-0400-000089010000}"/>
    <hyperlink ref="D210" r:id="rId395" xr:uid="{00000000-0004-0000-0400-00008A010000}"/>
    <hyperlink ref="A211" r:id="rId396" xr:uid="{00000000-0004-0000-0400-00008B010000}"/>
    <hyperlink ref="D211" r:id="rId397" xr:uid="{00000000-0004-0000-0400-00008C010000}"/>
    <hyperlink ref="A212" r:id="rId398" xr:uid="{00000000-0004-0000-0400-00008D010000}"/>
    <hyperlink ref="D212" r:id="rId399" xr:uid="{00000000-0004-0000-0400-00008E010000}"/>
    <hyperlink ref="A213" r:id="rId400" xr:uid="{00000000-0004-0000-0400-00008F010000}"/>
    <hyperlink ref="D213" r:id="rId401" xr:uid="{00000000-0004-0000-0400-000090010000}"/>
    <hyperlink ref="A214" r:id="rId402" xr:uid="{00000000-0004-0000-0400-000091010000}"/>
    <hyperlink ref="D214" r:id="rId403" xr:uid="{00000000-0004-0000-0400-000092010000}"/>
    <hyperlink ref="A215" r:id="rId404" xr:uid="{00000000-0004-0000-0400-000093010000}"/>
    <hyperlink ref="D215" r:id="rId405" xr:uid="{00000000-0004-0000-0400-000094010000}"/>
    <hyperlink ref="A216" r:id="rId406" xr:uid="{00000000-0004-0000-0400-000095010000}"/>
    <hyperlink ref="D216" r:id="rId407" xr:uid="{00000000-0004-0000-0400-000096010000}"/>
    <hyperlink ref="A217" r:id="rId408" xr:uid="{00000000-0004-0000-0400-000097010000}"/>
    <hyperlink ref="D217" r:id="rId409" xr:uid="{00000000-0004-0000-0400-000098010000}"/>
    <hyperlink ref="A218" r:id="rId410" xr:uid="{00000000-0004-0000-0400-000099010000}"/>
    <hyperlink ref="D218" r:id="rId411" xr:uid="{00000000-0004-0000-0400-00009A010000}"/>
    <hyperlink ref="A219" r:id="rId412" xr:uid="{00000000-0004-0000-0400-00009B010000}"/>
    <hyperlink ref="D219" r:id="rId413" xr:uid="{00000000-0004-0000-0400-00009C010000}"/>
    <hyperlink ref="A221" r:id="rId414" xr:uid="{00000000-0004-0000-0400-00009D010000}"/>
    <hyperlink ref="D221" r:id="rId415" xr:uid="{00000000-0004-0000-0400-00009E010000}"/>
    <hyperlink ref="A224" r:id="rId416" xr:uid="{00000000-0004-0000-0400-00009F010000}"/>
    <hyperlink ref="D224" r:id="rId417" xr:uid="{00000000-0004-0000-0400-0000A0010000}"/>
    <hyperlink ref="A225" r:id="rId418" xr:uid="{00000000-0004-0000-0400-0000A1010000}"/>
    <hyperlink ref="D225" r:id="rId419" xr:uid="{00000000-0004-0000-0400-0000A2010000}"/>
    <hyperlink ref="A227" r:id="rId420" xr:uid="{00000000-0004-0000-0400-0000A3010000}"/>
    <hyperlink ref="D227" r:id="rId421" xr:uid="{00000000-0004-0000-0400-0000A4010000}"/>
    <hyperlink ref="A230" r:id="rId422" xr:uid="{00000000-0004-0000-0400-0000A5010000}"/>
    <hyperlink ref="D230" r:id="rId423" xr:uid="{00000000-0004-0000-0400-0000A6010000}"/>
    <hyperlink ref="A231" r:id="rId424" xr:uid="{00000000-0004-0000-0400-0000A7010000}"/>
    <hyperlink ref="D231" r:id="rId425" xr:uid="{00000000-0004-0000-0400-0000A8010000}"/>
    <hyperlink ref="A232" r:id="rId426" xr:uid="{00000000-0004-0000-0400-0000A9010000}"/>
    <hyperlink ref="D232" r:id="rId427" xr:uid="{00000000-0004-0000-0400-0000AA010000}"/>
    <hyperlink ref="A233" r:id="rId428" xr:uid="{00000000-0004-0000-0400-0000AB010000}"/>
    <hyperlink ref="D233" r:id="rId429" xr:uid="{00000000-0004-0000-0400-0000AC010000}"/>
    <hyperlink ref="A235" r:id="rId430" xr:uid="{00000000-0004-0000-0400-0000AD010000}"/>
    <hyperlink ref="D235" r:id="rId431" xr:uid="{00000000-0004-0000-0400-0000AE010000}"/>
    <hyperlink ref="A236" r:id="rId432" xr:uid="{00000000-0004-0000-0400-0000AF010000}"/>
    <hyperlink ref="D236" r:id="rId433" xr:uid="{00000000-0004-0000-0400-0000B0010000}"/>
    <hyperlink ref="A237" r:id="rId434" xr:uid="{00000000-0004-0000-0400-0000B1010000}"/>
    <hyperlink ref="D237" r:id="rId435" xr:uid="{00000000-0004-0000-0400-0000B2010000}"/>
    <hyperlink ref="A238" r:id="rId436" xr:uid="{00000000-0004-0000-0400-0000B3010000}"/>
    <hyperlink ref="D238" r:id="rId437" xr:uid="{00000000-0004-0000-0400-0000B4010000}"/>
    <hyperlink ref="A239" r:id="rId438" xr:uid="{00000000-0004-0000-0400-0000B5010000}"/>
    <hyperlink ref="D239" r:id="rId439" xr:uid="{00000000-0004-0000-0400-0000B6010000}"/>
    <hyperlink ref="A240" r:id="rId440" xr:uid="{00000000-0004-0000-0400-0000B7010000}"/>
    <hyperlink ref="D240" r:id="rId441" xr:uid="{00000000-0004-0000-0400-0000B8010000}"/>
    <hyperlink ref="A241" r:id="rId442" xr:uid="{00000000-0004-0000-0400-0000B9010000}"/>
    <hyperlink ref="D241" r:id="rId443" xr:uid="{00000000-0004-0000-0400-0000BA010000}"/>
    <hyperlink ref="A242" r:id="rId444" xr:uid="{00000000-0004-0000-0400-0000BB010000}"/>
    <hyperlink ref="D242" r:id="rId445" xr:uid="{00000000-0004-0000-0400-0000BC010000}"/>
    <hyperlink ref="A243" r:id="rId446" xr:uid="{00000000-0004-0000-0400-0000BD010000}"/>
    <hyperlink ref="D243" r:id="rId447" xr:uid="{00000000-0004-0000-0400-0000BE010000}"/>
    <hyperlink ref="A244" r:id="rId448" xr:uid="{00000000-0004-0000-0400-0000BF010000}"/>
    <hyperlink ref="D244" r:id="rId449" xr:uid="{00000000-0004-0000-0400-0000C0010000}"/>
    <hyperlink ref="A245" r:id="rId450" xr:uid="{00000000-0004-0000-0400-0000C1010000}"/>
    <hyperlink ref="D245" r:id="rId451" xr:uid="{00000000-0004-0000-0400-0000C2010000}"/>
    <hyperlink ref="A246" r:id="rId452" xr:uid="{00000000-0004-0000-0400-0000C3010000}"/>
    <hyperlink ref="D246" r:id="rId453" xr:uid="{00000000-0004-0000-0400-0000C4010000}"/>
    <hyperlink ref="A247" r:id="rId454" xr:uid="{00000000-0004-0000-0400-0000C5010000}"/>
    <hyperlink ref="D247" r:id="rId455" xr:uid="{00000000-0004-0000-0400-0000C6010000}"/>
    <hyperlink ref="A248" r:id="rId456" xr:uid="{00000000-0004-0000-0400-0000C7010000}"/>
    <hyperlink ref="D248" r:id="rId457" xr:uid="{00000000-0004-0000-0400-0000C8010000}"/>
    <hyperlink ref="A249" r:id="rId458" xr:uid="{00000000-0004-0000-0400-0000C9010000}"/>
    <hyperlink ref="D249" r:id="rId459" xr:uid="{00000000-0004-0000-0400-0000CA010000}"/>
    <hyperlink ref="A250" r:id="rId460" xr:uid="{00000000-0004-0000-0400-0000CB010000}"/>
    <hyperlink ref="D250" r:id="rId461" xr:uid="{00000000-0004-0000-0400-0000CC010000}"/>
    <hyperlink ref="A251" r:id="rId462" xr:uid="{00000000-0004-0000-0400-0000CD010000}"/>
    <hyperlink ref="D251" r:id="rId463" xr:uid="{00000000-0004-0000-0400-0000CE010000}"/>
    <hyperlink ref="A252" r:id="rId464" xr:uid="{00000000-0004-0000-0400-0000CF010000}"/>
    <hyperlink ref="D252" r:id="rId465" xr:uid="{00000000-0004-0000-0400-0000D0010000}"/>
    <hyperlink ref="A253" r:id="rId466" xr:uid="{00000000-0004-0000-0400-0000D1010000}"/>
    <hyperlink ref="D253" r:id="rId467" xr:uid="{00000000-0004-0000-0400-0000D2010000}"/>
    <hyperlink ref="A254" r:id="rId468" xr:uid="{00000000-0004-0000-0400-0000D3010000}"/>
    <hyperlink ref="D254" r:id="rId469" xr:uid="{00000000-0004-0000-0400-0000D4010000}"/>
    <hyperlink ref="A255" r:id="rId470" xr:uid="{00000000-0004-0000-0400-0000D5010000}"/>
    <hyperlink ref="D255" r:id="rId471" xr:uid="{00000000-0004-0000-0400-0000D6010000}"/>
    <hyperlink ref="A256" r:id="rId472" xr:uid="{00000000-0004-0000-0400-0000D7010000}"/>
    <hyperlink ref="D256" r:id="rId473" xr:uid="{00000000-0004-0000-0400-0000D8010000}"/>
    <hyperlink ref="A257" r:id="rId474" xr:uid="{00000000-0004-0000-0400-0000D9010000}"/>
    <hyperlink ref="D257" r:id="rId475" xr:uid="{00000000-0004-0000-0400-0000DA010000}"/>
    <hyperlink ref="A258" r:id="rId476" xr:uid="{00000000-0004-0000-0400-0000DB010000}"/>
    <hyperlink ref="D258" r:id="rId477" xr:uid="{00000000-0004-0000-0400-0000DC010000}"/>
    <hyperlink ref="A259" r:id="rId478" xr:uid="{00000000-0004-0000-0400-0000DD010000}"/>
    <hyperlink ref="D259" r:id="rId479" xr:uid="{00000000-0004-0000-0400-0000DE010000}"/>
    <hyperlink ref="A260" r:id="rId480" xr:uid="{00000000-0004-0000-0400-0000DF010000}"/>
    <hyperlink ref="D260" r:id="rId481" xr:uid="{00000000-0004-0000-0400-0000E0010000}"/>
    <hyperlink ref="A261" r:id="rId482" xr:uid="{00000000-0004-0000-0400-0000E1010000}"/>
    <hyperlink ref="D261" r:id="rId483" xr:uid="{00000000-0004-0000-0400-0000E2010000}"/>
    <hyperlink ref="A262" r:id="rId484" xr:uid="{00000000-0004-0000-0400-0000E3010000}"/>
    <hyperlink ref="D262" r:id="rId485" xr:uid="{00000000-0004-0000-0400-0000E4010000}"/>
    <hyperlink ref="A263" r:id="rId486" xr:uid="{00000000-0004-0000-0400-0000E5010000}"/>
    <hyperlink ref="D263" r:id="rId487" xr:uid="{00000000-0004-0000-0400-0000E6010000}"/>
    <hyperlink ref="A264" r:id="rId488" xr:uid="{00000000-0004-0000-0400-0000E7010000}"/>
    <hyperlink ref="D264" r:id="rId489" xr:uid="{00000000-0004-0000-0400-0000E8010000}"/>
    <hyperlink ref="A265" r:id="rId490" xr:uid="{00000000-0004-0000-0400-0000E9010000}"/>
    <hyperlink ref="D265" r:id="rId491" xr:uid="{00000000-0004-0000-0400-0000EA010000}"/>
    <hyperlink ref="A266" r:id="rId492" xr:uid="{00000000-0004-0000-0400-0000EB010000}"/>
    <hyperlink ref="D266" r:id="rId493" xr:uid="{00000000-0004-0000-0400-0000EC010000}"/>
    <hyperlink ref="A267" r:id="rId494" xr:uid="{00000000-0004-0000-0400-0000ED010000}"/>
    <hyperlink ref="D267" r:id="rId495" xr:uid="{00000000-0004-0000-0400-0000EE010000}"/>
    <hyperlink ref="A268" r:id="rId496" xr:uid="{00000000-0004-0000-0400-0000EF010000}"/>
    <hyperlink ref="D268" r:id="rId497" xr:uid="{00000000-0004-0000-0400-0000F0010000}"/>
    <hyperlink ref="A269" r:id="rId498" xr:uid="{00000000-0004-0000-0400-0000F1010000}"/>
    <hyperlink ref="D269" r:id="rId499" xr:uid="{00000000-0004-0000-0400-0000F2010000}"/>
    <hyperlink ref="A270" r:id="rId500" xr:uid="{00000000-0004-0000-0400-0000F3010000}"/>
    <hyperlink ref="D270" r:id="rId501" xr:uid="{00000000-0004-0000-0400-0000F4010000}"/>
    <hyperlink ref="A271" r:id="rId502" xr:uid="{00000000-0004-0000-0400-0000F5010000}"/>
    <hyperlink ref="D271" r:id="rId503" xr:uid="{00000000-0004-0000-0400-0000F6010000}"/>
    <hyperlink ref="A272" r:id="rId504" xr:uid="{00000000-0004-0000-0400-0000F7010000}"/>
    <hyperlink ref="D272" r:id="rId505" xr:uid="{00000000-0004-0000-0400-0000F8010000}"/>
    <hyperlink ref="A273" r:id="rId506" xr:uid="{00000000-0004-0000-0400-0000F9010000}"/>
    <hyperlink ref="D273" r:id="rId507" xr:uid="{00000000-0004-0000-0400-0000FA010000}"/>
    <hyperlink ref="A274" r:id="rId508" xr:uid="{00000000-0004-0000-0400-0000FB010000}"/>
    <hyperlink ref="D274" r:id="rId509" xr:uid="{00000000-0004-0000-0400-0000FC010000}"/>
    <hyperlink ref="A275" r:id="rId510" xr:uid="{00000000-0004-0000-0400-0000FD010000}"/>
    <hyperlink ref="D275" r:id="rId511" xr:uid="{00000000-0004-0000-0400-0000FE010000}"/>
    <hyperlink ref="A276" r:id="rId512" xr:uid="{00000000-0004-0000-0400-0000FF010000}"/>
    <hyperlink ref="D276" r:id="rId513" xr:uid="{00000000-0004-0000-0400-000000020000}"/>
    <hyperlink ref="A277" r:id="rId514" xr:uid="{00000000-0004-0000-0400-000001020000}"/>
    <hyperlink ref="D277" r:id="rId515" xr:uid="{00000000-0004-0000-0400-000002020000}"/>
    <hyperlink ref="A278" r:id="rId516" xr:uid="{00000000-0004-0000-0400-000003020000}"/>
    <hyperlink ref="D278" r:id="rId517" xr:uid="{00000000-0004-0000-0400-000004020000}"/>
    <hyperlink ref="A279" r:id="rId518" xr:uid="{00000000-0004-0000-0400-000005020000}"/>
    <hyperlink ref="D279" r:id="rId519" xr:uid="{00000000-0004-0000-0400-000006020000}"/>
    <hyperlink ref="A280" r:id="rId520" xr:uid="{00000000-0004-0000-0400-000007020000}"/>
    <hyperlink ref="D280" r:id="rId521" xr:uid="{00000000-0004-0000-0400-000008020000}"/>
    <hyperlink ref="A281" r:id="rId522" xr:uid="{00000000-0004-0000-0400-000009020000}"/>
    <hyperlink ref="D281" r:id="rId523" xr:uid="{00000000-0004-0000-0400-00000A020000}"/>
    <hyperlink ref="A282" r:id="rId524" xr:uid="{00000000-0004-0000-0400-00000B020000}"/>
    <hyperlink ref="D282" r:id="rId525" xr:uid="{00000000-0004-0000-0400-00000C020000}"/>
    <hyperlink ref="A283" r:id="rId526" xr:uid="{00000000-0004-0000-0400-00000D020000}"/>
    <hyperlink ref="D283" r:id="rId527" xr:uid="{00000000-0004-0000-0400-00000E020000}"/>
    <hyperlink ref="A284" r:id="rId528" xr:uid="{00000000-0004-0000-0400-00000F020000}"/>
    <hyperlink ref="D284" r:id="rId529" xr:uid="{00000000-0004-0000-0400-000010020000}"/>
    <hyperlink ref="A285" r:id="rId530" xr:uid="{00000000-0004-0000-0400-000011020000}"/>
    <hyperlink ref="D285" r:id="rId531" xr:uid="{00000000-0004-0000-0400-000012020000}"/>
    <hyperlink ref="A286" r:id="rId532" xr:uid="{00000000-0004-0000-0400-000013020000}"/>
    <hyperlink ref="D286" r:id="rId533" xr:uid="{00000000-0004-0000-0400-000014020000}"/>
    <hyperlink ref="A287" r:id="rId534" xr:uid="{00000000-0004-0000-0400-000015020000}"/>
    <hyperlink ref="D287" r:id="rId535" xr:uid="{00000000-0004-0000-0400-000016020000}"/>
    <hyperlink ref="A289" r:id="rId536" xr:uid="{00000000-0004-0000-0400-000017020000}"/>
    <hyperlink ref="D289" r:id="rId537" xr:uid="{00000000-0004-0000-0400-000018020000}"/>
    <hyperlink ref="A290" r:id="rId538" xr:uid="{00000000-0004-0000-0400-000019020000}"/>
    <hyperlink ref="D290" r:id="rId539" xr:uid="{00000000-0004-0000-0400-00001A020000}"/>
    <hyperlink ref="A291" r:id="rId540" xr:uid="{00000000-0004-0000-0400-00001B020000}"/>
    <hyperlink ref="D291" r:id="rId541" xr:uid="{00000000-0004-0000-0400-00001C020000}"/>
    <hyperlink ref="A292" r:id="rId542" xr:uid="{00000000-0004-0000-0400-00001D020000}"/>
    <hyperlink ref="D292" r:id="rId543" xr:uid="{00000000-0004-0000-0400-00001E020000}"/>
    <hyperlink ref="A293" r:id="rId544" xr:uid="{00000000-0004-0000-0400-00001F020000}"/>
    <hyperlink ref="D293" r:id="rId545" xr:uid="{00000000-0004-0000-0400-000020020000}"/>
    <hyperlink ref="A294" r:id="rId546" xr:uid="{00000000-0004-0000-0400-000021020000}"/>
    <hyperlink ref="D294" r:id="rId547" xr:uid="{00000000-0004-0000-0400-000022020000}"/>
    <hyperlink ref="A295" r:id="rId548" xr:uid="{00000000-0004-0000-0400-000023020000}"/>
    <hyperlink ref="D295" r:id="rId549" xr:uid="{00000000-0004-0000-0400-000024020000}"/>
    <hyperlink ref="A296" r:id="rId550" xr:uid="{00000000-0004-0000-0400-000025020000}"/>
    <hyperlink ref="D296" r:id="rId551" xr:uid="{00000000-0004-0000-0400-000026020000}"/>
    <hyperlink ref="A297" r:id="rId552" xr:uid="{00000000-0004-0000-0400-000027020000}"/>
    <hyperlink ref="D297" r:id="rId553" xr:uid="{00000000-0004-0000-0400-000028020000}"/>
    <hyperlink ref="A298" r:id="rId554" xr:uid="{00000000-0004-0000-0400-000029020000}"/>
    <hyperlink ref="D298" r:id="rId555" xr:uid="{00000000-0004-0000-0400-00002A020000}"/>
    <hyperlink ref="A299" r:id="rId556" xr:uid="{00000000-0004-0000-0400-00002B020000}"/>
    <hyperlink ref="D299" r:id="rId557" xr:uid="{00000000-0004-0000-0400-00002C020000}"/>
    <hyperlink ref="A300" r:id="rId558" xr:uid="{00000000-0004-0000-0400-00002D020000}"/>
    <hyperlink ref="D300" r:id="rId559" xr:uid="{00000000-0004-0000-0400-00002E020000}"/>
    <hyperlink ref="A301" r:id="rId560" xr:uid="{00000000-0004-0000-0400-00002F020000}"/>
    <hyperlink ref="D301" r:id="rId561" xr:uid="{00000000-0004-0000-0400-000030020000}"/>
    <hyperlink ref="A302" r:id="rId562" xr:uid="{00000000-0004-0000-0400-000031020000}"/>
    <hyperlink ref="D302" r:id="rId563" xr:uid="{00000000-0004-0000-0400-000032020000}"/>
    <hyperlink ref="A303" r:id="rId564" xr:uid="{00000000-0004-0000-0400-000033020000}"/>
    <hyperlink ref="D303" r:id="rId565" xr:uid="{00000000-0004-0000-0400-000034020000}"/>
    <hyperlink ref="A304" r:id="rId566" xr:uid="{00000000-0004-0000-0400-000035020000}"/>
    <hyperlink ref="D304" r:id="rId567" xr:uid="{00000000-0004-0000-0400-000036020000}"/>
    <hyperlink ref="A305" r:id="rId568" xr:uid="{00000000-0004-0000-0400-000037020000}"/>
    <hyperlink ref="D305" r:id="rId569" xr:uid="{00000000-0004-0000-0400-000038020000}"/>
    <hyperlink ref="A306" r:id="rId570" xr:uid="{00000000-0004-0000-0400-000039020000}"/>
    <hyperlink ref="D306" r:id="rId571" xr:uid="{00000000-0004-0000-0400-00003A020000}"/>
    <hyperlink ref="A307" r:id="rId572" xr:uid="{00000000-0004-0000-0400-00003B020000}"/>
    <hyperlink ref="D307" r:id="rId573" xr:uid="{00000000-0004-0000-0400-00003C020000}"/>
    <hyperlink ref="A308" r:id="rId574" xr:uid="{00000000-0004-0000-0400-00003D020000}"/>
    <hyperlink ref="D308" r:id="rId575" xr:uid="{00000000-0004-0000-0400-00003E020000}"/>
    <hyperlink ref="A309" r:id="rId576" xr:uid="{00000000-0004-0000-0400-00003F020000}"/>
    <hyperlink ref="D309" r:id="rId577" xr:uid="{00000000-0004-0000-0400-000040020000}"/>
    <hyperlink ref="A310" r:id="rId578" xr:uid="{00000000-0004-0000-0400-000041020000}"/>
    <hyperlink ref="D310" r:id="rId579" xr:uid="{00000000-0004-0000-0400-000042020000}"/>
    <hyperlink ref="A311" r:id="rId580" xr:uid="{00000000-0004-0000-0400-000043020000}"/>
    <hyperlink ref="D311" r:id="rId581" xr:uid="{00000000-0004-0000-0400-000044020000}"/>
    <hyperlink ref="A312" r:id="rId582" xr:uid="{00000000-0004-0000-0400-000045020000}"/>
    <hyperlink ref="D312" r:id="rId583" xr:uid="{00000000-0004-0000-0400-000046020000}"/>
    <hyperlink ref="A313" r:id="rId584" xr:uid="{00000000-0004-0000-0400-000047020000}"/>
    <hyperlink ref="D313" r:id="rId585" xr:uid="{00000000-0004-0000-0400-000048020000}"/>
    <hyperlink ref="A314" r:id="rId586" xr:uid="{00000000-0004-0000-0400-000049020000}"/>
    <hyperlink ref="D314" r:id="rId587" xr:uid="{00000000-0004-0000-0400-00004A020000}"/>
    <hyperlink ref="A315" r:id="rId588" xr:uid="{00000000-0004-0000-0400-00004B020000}"/>
    <hyperlink ref="D315" r:id="rId589" xr:uid="{00000000-0004-0000-0400-00004C020000}"/>
    <hyperlink ref="A316" r:id="rId590" xr:uid="{00000000-0004-0000-0400-00004D020000}"/>
    <hyperlink ref="D316" r:id="rId591" xr:uid="{00000000-0004-0000-0400-00004E020000}"/>
    <hyperlink ref="A317" r:id="rId592" xr:uid="{00000000-0004-0000-0400-00004F020000}"/>
    <hyperlink ref="D317" r:id="rId593" xr:uid="{00000000-0004-0000-0400-000050020000}"/>
    <hyperlink ref="A318" r:id="rId594" xr:uid="{00000000-0004-0000-0400-000051020000}"/>
    <hyperlink ref="D318" r:id="rId595" xr:uid="{00000000-0004-0000-0400-000052020000}"/>
    <hyperlink ref="A319" r:id="rId596" xr:uid="{00000000-0004-0000-0400-000053020000}"/>
    <hyperlink ref="D319" r:id="rId597" xr:uid="{00000000-0004-0000-0400-000054020000}"/>
    <hyperlink ref="A320" r:id="rId598" xr:uid="{00000000-0004-0000-0400-000055020000}"/>
    <hyperlink ref="D320" r:id="rId599" xr:uid="{00000000-0004-0000-0400-000056020000}"/>
    <hyperlink ref="A321" r:id="rId600" xr:uid="{00000000-0004-0000-0400-000057020000}"/>
    <hyperlink ref="D321" r:id="rId601" xr:uid="{00000000-0004-0000-0400-000058020000}"/>
    <hyperlink ref="A322" r:id="rId602" xr:uid="{00000000-0004-0000-0400-000059020000}"/>
    <hyperlink ref="D322" r:id="rId603" xr:uid="{00000000-0004-0000-0400-00005A020000}"/>
    <hyperlink ref="A323" r:id="rId604" xr:uid="{00000000-0004-0000-0400-00005B020000}"/>
    <hyperlink ref="D323" r:id="rId605" xr:uid="{00000000-0004-0000-0400-00005C020000}"/>
    <hyperlink ref="A324" r:id="rId606" xr:uid="{00000000-0004-0000-0400-00005D020000}"/>
    <hyperlink ref="D324" r:id="rId607" xr:uid="{00000000-0004-0000-0400-00005E020000}"/>
    <hyperlink ref="A325" r:id="rId608" xr:uid="{00000000-0004-0000-0400-00005F020000}"/>
    <hyperlink ref="D325" r:id="rId609" xr:uid="{00000000-0004-0000-0400-000060020000}"/>
    <hyperlink ref="A326" r:id="rId610" xr:uid="{00000000-0004-0000-0400-000061020000}"/>
    <hyperlink ref="D326" r:id="rId611" xr:uid="{00000000-0004-0000-0400-000062020000}"/>
    <hyperlink ref="A327" r:id="rId612" xr:uid="{00000000-0004-0000-0400-000063020000}"/>
    <hyperlink ref="D327" r:id="rId613" xr:uid="{00000000-0004-0000-0400-000064020000}"/>
    <hyperlink ref="A328" r:id="rId614" xr:uid="{00000000-0004-0000-0400-000065020000}"/>
    <hyperlink ref="D328" r:id="rId615" xr:uid="{00000000-0004-0000-0400-000066020000}"/>
    <hyperlink ref="A329" r:id="rId616" xr:uid="{00000000-0004-0000-0400-000067020000}"/>
    <hyperlink ref="D329" r:id="rId617" xr:uid="{00000000-0004-0000-0400-000068020000}"/>
    <hyperlink ref="A330" r:id="rId618" xr:uid="{00000000-0004-0000-0400-000069020000}"/>
    <hyperlink ref="D330" r:id="rId619" xr:uid="{00000000-0004-0000-0400-00006A020000}"/>
    <hyperlink ref="A331" r:id="rId620" xr:uid="{00000000-0004-0000-0400-00006B020000}"/>
    <hyperlink ref="D331" r:id="rId621" xr:uid="{00000000-0004-0000-0400-00006C020000}"/>
    <hyperlink ref="A332" r:id="rId622" xr:uid="{00000000-0004-0000-0400-00006D020000}"/>
    <hyperlink ref="D332" r:id="rId623" xr:uid="{00000000-0004-0000-0400-00006E020000}"/>
    <hyperlink ref="A334" r:id="rId624" xr:uid="{00000000-0004-0000-0400-00006F020000}"/>
    <hyperlink ref="D334" r:id="rId625" xr:uid="{00000000-0004-0000-0400-000070020000}"/>
    <hyperlink ref="A335" r:id="rId626" xr:uid="{00000000-0004-0000-0400-000071020000}"/>
    <hyperlink ref="D335" r:id="rId627" xr:uid="{00000000-0004-0000-0400-000072020000}"/>
    <hyperlink ref="A336" r:id="rId628" xr:uid="{00000000-0004-0000-0400-000073020000}"/>
    <hyperlink ref="D336" r:id="rId629" xr:uid="{00000000-0004-0000-0400-000074020000}"/>
    <hyperlink ref="A337" r:id="rId630" xr:uid="{00000000-0004-0000-0400-000075020000}"/>
    <hyperlink ref="D337" r:id="rId631" xr:uid="{00000000-0004-0000-0400-000076020000}"/>
    <hyperlink ref="A338" r:id="rId632" xr:uid="{00000000-0004-0000-0400-000077020000}"/>
    <hyperlink ref="D338" r:id="rId633" xr:uid="{00000000-0004-0000-0400-000078020000}"/>
    <hyperlink ref="A339" r:id="rId634" xr:uid="{00000000-0004-0000-0400-000079020000}"/>
    <hyperlink ref="D339" r:id="rId635" xr:uid="{00000000-0004-0000-0400-00007A020000}"/>
    <hyperlink ref="A340" r:id="rId636" xr:uid="{00000000-0004-0000-0400-00007B020000}"/>
    <hyperlink ref="D340" r:id="rId637" xr:uid="{00000000-0004-0000-0400-00007C020000}"/>
    <hyperlink ref="A341" r:id="rId638" xr:uid="{00000000-0004-0000-0400-00007D020000}"/>
    <hyperlink ref="D341" r:id="rId639" xr:uid="{00000000-0004-0000-0400-00007E020000}"/>
    <hyperlink ref="A342" r:id="rId640" xr:uid="{00000000-0004-0000-0400-00007F020000}"/>
    <hyperlink ref="D342" r:id="rId641" xr:uid="{00000000-0004-0000-0400-000080020000}"/>
    <hyperlink ref="A343" r:id="rId642" xr:uid="{00000000-0004-0000-0400-000081020000}"/>
    <hyperlink ref="D343" r:id="rId643" xr:uid="{00000000-0004-0000-0400-000082020000}"/>
    <hyperlink ref="A345" r:id="rId644" xr:uid="{00000000-0004-0000-0400-000083020000}"/>
  </hyperlinks>
  <pageMargins left="0.511811024" right="0.511811024" top="0.78740157499999996" bottom="0.78740157499999996" header="0.31496062000000002" footer="0.31496062000000002"/>
  <tableParts count="1">
    <tablePart r:id="rId64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2056"/>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35.42578125" customWidth="1"/>
    <col min="2" max="2" width="26" customWidth="1"/>
    <col min="3" max="3" width="18.85546875" customWidth="1"/>
    <col min="4" max="4" width="29" customWidth="1"/>
    <col min="5" max="5" width="57.42578125" customWidth="1"/>
    <col min="6" max="6" width="19" customWidth="1"/>
    <col min="7" max="7" width="31.42578125" customWidth="1"/>
    <col min="8" max="8" width="31.42578125" hidden="1" customWidth="1"/>
    <col min="9" max="14" width="44.140625" hidden="1" customWidth="1"/>
  </cols>
  <sheetData>
    <row r="1" spans="1:14" ht="27" customHeight="1" x14ac:dyDescent="0.2">
      <c r="A1" s="19" t="s">
        <v>2088</v>
      </c>
      <c r="B1" s="19" t="s">
        <v>19</v>
      </c>
      <c r="C1" s="19" t="s">
        <v>20</v>
      </c>
      <c r="D1" s="19" t="s">
        <v>21</v>
      </c>
      <c r="E1" s="19" t="s">
        <v>22</v>
      </c>
      <c r="F1" s="19" t="s">
        <v>2089</v>
      </c>
      <c r="G1" s="20" t="s">
        <v>2408</v>
      </c>
      <c r="H1" s="20" t="s">
        <v>2409</v>
      </c>
      <c r="I1" s="19" t="s">
        <v>2410</v>
      </c>
      <c r="J1" s="19" t="s">
        <v>2411</v>
      </c>
      <c r="K1" s="19" t="s">
        <v>2412</v>
      </c>
      <c r="L1" s="19" t="s">
        <v>2413</v>
      </c>
      <c r="M1" s="19" t="s">
        <v>2414</v>
      </c>
      <c r="N1" s="19" t="s">
        <v>2415</v>
      </c>
    </row>
    <row r="2" spans="1:14" ht="22.5" customHeight="1" x14ac:dyDescent="0.2">
      <c r="A2" s="21" t="s">
        <v>2416</v>
      </c>
      <c r="B2" s="3" t="s">
        <v>34</v>
      </c>
      <c r="C2" s="3" t="s">
        <v>35</v>
      </c>
      <c r="D2" s="14" t="s">
        <v>2417</v>
      </c>
      <c r="E2" s="3" t="s">
        <v>2418</v>
      </c>
      <c r="F2" s="8">
        <v>45973</v>
      </c>
      <c r="G2" s="5" t="s">
        <v>70</v>
      </c>
      <c r="H2" s="5"/>
      <c r="I2" s="5" t="str">
        <f t="shared" ref="I2:I256" si="0">IF(OR(H2="PROCESSO NÃO ENCONTRADO", G2="PROCESSO NÃO ENCONTRADO"),
   "PROCESSO NÃO ENCONTRADO",
   IF(H2=G2,"PROCESSO AINDA NÃO FOI ATUALIZADO","PROCESSO FOI ATUALIZADO"))</f>
        <v>PROCESSO FOI ATUALIZADO</v>
      </c>
      <c r="J2" s="5"/>
      <c r="K2" s="5"/>
      <c r="L2" s="5"/>
      <c r="M2" s="5"/>
      <c r="N2" s="5"/>
    </row>
    <row r="3" spans="1:14" ht="22.5" customHeight="1" x14ac:dyDescent="0.2">
      <c r="A3" s="5" t="s">
        <v>2419</v>
      </c>
      <c r="B3" s="3" t="s">
        <v>34</v>
      </c>
      <c r="C3" s="3" t="s">
        <v>35</v>
      </c>
      <c r="D3" s="3" t="s">
        <v>2420</v>
      </c>
      <c r="E3" s="3" t="s">
        <v>2421</v>
      </c>
      <c r="F3" s="8">
        <v>45966</v>
      </c>
      <c r="G3" s="5" t="s">
        <v>2422</v>
      </c>
      <c r="H3" s="5"/>
      <c r="I3" s="5" t="str">
        <f t="shared" si="0"/>
        <v>PROCESSO FOI ATUALIZADO</v>
      </c>
      <c r="J3" s="5"/>
      <c r="K3" s="5"/>
      <c r="L3" s="5"/>
      <c r="M3" s="5"/>
      <c r="N3" s="5"/>
    </row>
    <row r="4" spans="1:14" ht="22.5" customHeight="1" x14ac:dyDescent="0.2">
      <c r="A4" s="5" t="s">
        <v>2423</v>
      </c>
      <c r="B4" s="3" t="s">
        <v>34</v>
      </c>
      <c r="C4" s="3" t="s">
        <v>35</v>
      </c>
      <c r="D4" s="3" t="s">
        <v>2420</v>
      </c>
      <c r="E4" s="3" t="s">
        <v>2421</v>
      </c>
      <c r="F4" s="9">
        <v>45965</v>
      </c>
      <c r="G4" s="5" t="s">
        <v>37</v>
      </c>
      <c r="H4" s="5"/>
      <c r="I4" s="5" t="str">
        <f t="shared" si="0"/>
        <v>PROCESSO FOI ATUALIZADO</v>
      </c>
      <c r="J4" s="5"/>
      <c r="K4" s="5"/>
      <c r="L4" s="5"/>
      <c r="M4" s="5"/>
      <c r="N4" s="5"/>
    </row>
    <row r="5" spans="1:14" ht="22.5" customHeight="1" x14ac:dyDescent="0.2">
      <c r="A5" s="21" t="s">
        <v>2038</v>
      </c>
      <c r="B5" s="3" t="s">
        <v>34</v>
      </c>
      <c r="C5" s="3" t="s">
        <v>35</v>
      </c>
      <c r="D5" s="14" t="s">
        <v>2271</v>
      </c>
      <c r="E5" s="3" t="s">
        <v>190</v>
      </c>
      <c r="F5" s="9">
        <v>45961</v>
      </c>
      <c r="G5" s="5" t="s">
        <v>2095</v>
      </c>
      <c r="H5" s="5"/>
      <c r="I5" s="5" t="str">
        <f t="shared" si="0"/>
        <v>PROCESSO FOI ATUALIZADO</v>
      </c>
      <c r="J5" s="5"/>
      <c r="K5" s="5"/>
      <c r="L5" s="5"/>
      <c r="M5" s="5"/>
      <c r="N5" s="5"/>
    </row>
    <row r="6" spans="1:14" ht="22.5" customHeight="1" x14ac:dyDescent="0.2">
      <c r="A6" s="21" t="s">
        <v>2424</v>
      </c>
      <c r="B6" s="3" t="s">
        <v>34</v>
      </c>
      <c r="C6" s="3" t="s">
        <v>35</v>
      </c>
      <c r="D6" s="14" t="s">
        <v>2425</v>
      </c>
      <c r="E6" s="3" t="s">
        <v>2426</v>
      </c>
      <c r="F6" s="9">
        <v>45960</v>
      </c>
      <c r="G6" s="5" t="s">
        <v>70</v>
      </c>
      <c r="H6" s="5"/>
      <c r="I6" s="5" t="str">
        <f t="shared" si="0"/>
        <v>PROCESSO FOI ATUALIZADO</v>
      </c>
      <c r="J6" s="5"/>
      <c r="K6" s="5"/>
      <c r="L6" s="5"/>
      <c r="M6" s="5"/>
      <c r="N6" s="5"/>
    </row>
    <row r="7" spans="1:14" ht="22.5" customHeight="1" x14ac:dyDescent="0.2">
      <c r="A7" s="21" t="s">
        <v>2427</v>
      </c>
      <c r="B7" s="3" t="s">
        <v>34</v>
      </c>
      <c r="C7" s="3" t="s">
        <v>35</v>
      </c>
      <c r="D7" s="14" t="s">
        <v>2428</v>
      </c>
      <c r="E7" s="3" t="s">
        <v>273</v>
      </c>
      <c r="F7" s="9">
        <v>45959</v>
      </c>
      <c r="G7" s="5" t="s">
        <v>70</v>
      </c>
      <c r="H7" s="5"/>
      <c r="I7" s="5" t="str">
        <f t="shared" si="0"/>
        <v>PROCESSO FOI ATUALIZADO</v>
      </c>
      <c r="J7" s="5"/>
      <c r="K7" s="5"/>
      <c r="L7" s="5"/>
      <c r="M7" s="5"/>
      <c r="N7" s="5"/>
    </row>
    <row r="8" spans="1:14" ht="22.5" customHeight="1" x14ac:dyDescent="0.2">
      <c r="A8" s="21" t="s">
        <v>2048</v>
      </c>
      <c r="B8" s="3" t="s">
        <v>34</v>
      </c>
      <c r="C8" s="3" t="s">
        <v>35</v>
      </c>
      <c r="D8" s="14" t="s">
        <v>2311</v>
      </c>
      <c r="E8" s="3" t="s">
        <v>308</v>
      </c>
      <c r="F8" s="9">
        <v>45958</v>
      </c>
      <c r="G8" s="5" t="s">
        <v>70</v>
      </c>
      <c r="H8" s="5"/>
      <c r="I8" s="5" t="str">
        <f t="shared" si="0"/>
        <v>PROCESSO FOI ATUALIZADO</v>
      </c>
      <c r="J8" s="5"/>
      <c r="K8" s="5"/>
      <c r="L8" s="5"/>
      <c r="M8" s="5"/>
      <c r="N8" s="5"/>
    </row>
    <row r="9" spans="1:14" ht="22.5" customHeight="1" x14ac:dyDescent="0.2">
      <c r="A9" s="21" t="s">
        <v>2047</v>
      </c>
      <c r="B9" s="3" t="s">
        <v>34</v>
      </c>
      <c r="C9" s="3" t="s">
        <v>35</v>
      </c>
      <c r="D9" s="14" t="s">
        <v>2429</v>
      </c>
      <c r="E9" s="3" t="s">
        <v>69</v>
      </c>
      <c r="F9" s="9">
        <v>45958</v>
      </c>
      <c r="G9" s="5" t="s">
        <v>70</v>
      </c>
      <c r="H9" s="5"/>
      <c r="I9" s="5" t="str">
        <f t="shared" si="0"/>
        <v>PROCESSO FOI ATUALIZADO</v>
      </c>
      <c r="J9" s="5"/>
      <c r="K9" s="5"/>
      <c r="L9" s="5"/>
      <c r="M9" s="5"/>
      <c r="N9" s="5"/>
    </row>
    <row r="10" spans="1:14" ht="22.5" customHeight="1" x14ac:dyDescent="0.2">
      <c r="A10" s="21" t="s">
        <v>2035</v>
      </c>
      <c r="B10" s="3" t="s">
        <v>34</v>
      </c>
      <c r="C10" s="3" t="s">
        <v>35</v>
      </c>
      <c r="D10" s="14" t="s">
        <v>2430</v>
      </c>
      <c r="E10" s="3" t="s">
        <v>2036</v>
      </c>
      <c r="F10" s="9">
        <v>45953</v>
      </c>
      <c r="G10" s="5" t="s">
        <v>2095</v>
      </c>
      <c r="H10" s="5"/>
      <c r="I10" s="5" t="str">
        <f t="shared" si="0"/>
        <v>PROCESSO FOI ATUALIZADO</v>
      </c>
      <c r="J10" s="5"/>
      <c r="K10" s="5"/>
      <c r="L10" s="5"/>
      <c r="M10" s="5"/>
      <c r="N10" s="5"/>
    </row>
    <row r="11" spans="1:14" ht="22.5" customHeight="1" x14ac:dyDescent="0.2">
      <c r="A11" s="21" t="s">
        <v>84</v>
      </c>
      <c r="B11" s="3" t="s">
        <v>34</v>
      </c>
      <c r="C11" s="3" t="s">
        <v>35</v>
      </c>
      <c r="D11" s="14" t="s">
        <v>2337</v>
      </c>
      <c r="E11" s="3" t="s">
        <v>85</v>
      </c>
      <c r="F11" s="9">
        <v>45946</v>
      </c>
      <c r="G11" s="5" t="s">
        <v>37</v>
      </c>
      <c r="H11" s="5"/>
      <c r="I11" s="5" t="str">
        <f t="shared" si="0"/>
        <v>PROCESSO FOI ATUALIZADO</v>
      </c>
      <c r="J11" s="5"/>
      <c r="K11" s="5"/>
      <c r="L11" s="5"/>
      <c r="M11" s="5"/>
      <c r="N11" s="5"/>
    </row>
    <row r="12" spans="1:14" ht="22.5" customHeight="1" x14ac:dyDescent="0.2">
      <c r="A12" s="21" t="s">
        <v>117</v>
      </c>
      <c r="B12" s="3" t="s">
        <v>34</v>
      </c>
      <c r="C12" s="3" t="s">
        <v>35</v>
      </c>
      <c r="D12" s="14" t="s">
        <v>2136</v>
      </c>
      <c r="E12" s="3" t="s">
        <v>118</v>
      </c>
      <c r="F12" s="9">
        <v>45946</v>
      </c>
      <c r="G12" s="5" t="s">
        <v>2095</v>
      </c>
      <c r="H12" s="5"/>
      <c r="I12" s="5" t="str">
        <f t="shared" si="0"/>
        <v>PROCESSO FOI ATUALIZADO</v>
      </c>
      <c r="J12" s="5"/>
      <c r="K12" s="5"/>
      <c r="L12" s="5"/>
      <c r="M12" s="5"/>
      <c r="N12" s="5"/>
    </row>
    <row r="13" spans="1:14" ht="22.5" customHeight="1" x14ac:dyDescent="0.2">
      <c r="A13" s="21" t="s">
        <v>2237</v>
      </c>
      <c r="B13" s="3" t="s">
        <v>34</v>
      </c>
      <c r="C13" s="3" t="s">
        <v>35</v>
      </c>
      <c r="D13" s="14" t="s">
        <v>2238</v>
      </c>
      <c r="E13" s="3" t="s">
        <v>86</v>
      </c>
      <c r="F13" s="9">
        <v>45943</v>
      </c>
      <c r="G13" s="5" t="s">
        <v>2095</v>
      </c>
      <c r="H13" s="5"/>
      <c r="I13" s="5" t="str">
        <f t="shared" si="0"/>
        <v>PROCESSO FOI ATUALIZADO</v>
      </c>
      <c r="J13" s="5"/>
      <c r="K13" s="5"/>
      <c r="L13" s="5"/>
      <c r="M13" s="5"/>
      <c r="N13" s="5"/>
    </row>
    <row r="14" spans="1:14" ht="22.5" customHeight="1" x14ac:dyDescent="0.2">
      <c r="A14" s="21" t="s">
        <v>97</v>
      </c>
      <c r="B14" s="3" t="s">
        <v>34</v>
      </c>
      <c r="C14" s="3" t="s">
        <v>35</v>
      </c>
      <c r="D14" s="14" t="s">
        <v>2238</v>
      </c>
      <c r="E14" s="3" t="s">
        <v>86</v>
      </c>
      <c r="F14" s="9">
        <v>45943</v>
      </c>
      <c r="G14" s="5" t="s">
        <v>2095</v>
      </c>
      <c r="H14" s="5"/>
      <c r="I14" s="5" t="str">
        <f t="shared" si="0"/>
        <v>PROCESSO FOI ATUALIZADO</v>
      </c>
      <c r="J14" s="5"/>
      <c r="K14" s="5"/>
      <c r="L14" s="5"/>
      <c r="M14" s="5"/>
      <c r="N14" s="5"/>
    </row>
    <row r="15" spans="1:14" ht="22.5" customHeight="1" x14ac:dyDescent="0.2">
      <c r="A15" s="21" t="s">
        <v>134</v>
      </c>
      <c r="B15" s="3" t="s">
        <v>34</v>
      </c>
      <c r="C15" s="3" t="s">
        <v>35</v>
      </c>
      <c r="D15" s="14" t="s">
        <v>2240</v>
      </c>
      <c r="E15" s="3" t="s">
        <v>135</v>
      </c>
      <c r="F15" s="9">
        <v>45943</v>
      </c>
      <c r="G15" s="5" t="s">
        <v>2095</v>
      </c>
      <c r="H15" s="5"/>
      <c r="I15" s="5" t="str">
        <f t="shared" si="0"/>
        <v>PROCESSO FOI ATUALIZADO</v>
      </c>
      <c r="J15" s="5"/>
      <c r="K15" s="5"/>
      <c r="L15" s="5"/>
      <c r="M15" s="5"/>
      <c r="N15" s="5"/>
    </row>
    <row r="16" spans="1:14" ht="22.5" customHeight="1" x14ac:dyDescent="0.2">
      <c r="A16" s="21" t="s">
        <v>73</v>
      </c>
      <c r="B16" s="3" t="s">
        <v>34</v>
      </c>
      <c r="C16" s="3" t="s">
        <v>35</v>
      </c>
      <c r="D16" s="14" t="s">
        <v>2177</v>
      </c>
      <c r="E16" s="3" t="s">
        <v>74</v>
      </c>
      <c r="F16" s="9">
        <v>45943</v>
      </c>
      <c r="G16" s="5" t="s">
        <v>2095</v>
      </c>
      <c r="H16" s="5"/>
      <c r="I16" s="5" t="str">
        <f t="shared" si="0"/>
        <v>PROCESSO FOI ATUALIZADO</v>
      </c>
      <c r="J16" s="5"/>
      <c r="K16" s="5"/>
      <c r="L16" s="5"/>
      <c r="M16" s="5"/>
      <c r="N16" s="5"/>
    </row>
    <row r="17" spans="1:14" ht="22.5" customHeight="1" x14ac:dyDescent="0.2">
      <c r="A17" s="21" t="s">
        <v>144</v>
      </c>
      <c r="B17" s="3" t="s">
        <v>34</v>
      </c>
      <c r="C17" s="3" t="s">
        <v>35</v>
      </c>
      <c r="D17" s="14" t="s">
        <v>2241</v>
      </c>
      <c r="E17" s="3" t="s">
        <v>145</v>
      </c>
      <c r="F17" s="9">
        <v>45943</v>
      </c>
      <c r="G17" s="5" t="s">
        <v>2095</v>
      </c>
      <c r="H17" s="5"/>
      <c r="I17" s="5" t="str">
        <f t="shared" si="0"/>
        <v>PROCESSO FOI ATUALIZADO</v>
      </c>
      <c r="J17" s="5"/>
      <c r="K17" s="5"/>
      <c r="L17" s="5"/>
      <c r="M17" s="5"/>
      <c r="N17" s="5"/>
    </row>
    <row r="18" spans="1:14" ht="22.5" customHeight="1" x14ac:dyDescent="0.2">
      <c r="A18" s="21" t="s">
        <v>54</v>
      </c>
      <c r="B18" s="3" t="s">
        <v>34</v>
      </c>
      <c r="C18" s="3" t="s">
        <v>35</v>
      </c>
      <c r="D18" s="14" t="s">
        <v>2431</v>
      </c>
      <c r="E18" s="3" t="s">
        <v>55</v>
      </c>
      <c r="F18" s="9">
        <v>45943</v>
      </c>
      <c r="G18" s="5" t="s">
        <v>2095</v>
      </c>
      <c r="H18" s="5"/>
      <c r="I18" s="5" t="str">
        <f t="shared" si="0"/>
        <v>PROCESSO FOI ATUALIZADO</v>
      </c>
      <c r="J18" s="5"/>
      <c r="K18" s="5"/>
      <c r="L18" s="5"/>
      <c r="M18" s="5"/>
      <c r="N18" s="5"/>
    </row>
    <row r="19" spans="1:14" ht="22.5" customHeight="1" x14ac:dyDescent="0.2">
      <c r="A19" s="21" t="s">
        <v>160</v>
      </c>
      <c r="B19" s="3" t="s">
        <v>34</v>
      </c>
      <c r="C19" s="3" t="s">
        <v>35</v>
      </c>
      <c r="D19" s="14" t="s">
        <v>2241</v>
      </c>
      <c r="E19" s="3" t="s">
        <v>145</v>
      </c>
      <c r="F19" s="9">
        <v>45943</v>
      </c>
      <c r="G19" s="5" t="s">
        <v>37</v>
      </c>
      <c r="H19" s="5"/>
      <c r="I19" s="5" t="str">
        <f t="shared" si="0"/>
        <v>PROCESSO FOI ATUALIZADO</v>
      </c>
      <c r="J19" s="5"/>
      <c r="K19" s="5"/>
      <c r="L19" s="5"/>
      <c r="M19" s="5"/>
      <c r="N19" s="5"/>
    </row>
    <row r="20" spans="1:14" ht="22.5" customHeight="1" x14ac:dyDescent="0.2">
      <c r="A20" s="21" t="s">
        <v>40</v>
      </c>
      <c r="B20" s="3" t="s">
        <v>34</v>
      </c>
      <c r="C20" s="3" t="s">
        <v>35</v>
      </c>
      <c r="D20" s="14" t="s">
        <v>2243</v>
      </c>
      <c r="E20" s="3" t="s">
        <v>41</v>
      </c>
      <c r="F20" s="9">
        <v>45943</v>
      </c>
      <c r="G20" s="5" t="s">
        <v>70</v>
      </c>
      <c r="H20" s="5"/>
      <c r="I20" s="5" t="str">
        <f t="shared" si="0"/>
        <v>PROCESSO FOI ATUALIZADO</v>
      </c>
      <c r="J20" s="5"/>
      <c r="K20" s="5"/>
      <c r="L20" s="5"/>
      <c r="M20" s="5"/>
      <c r="N20" s="5"/>
    </row>
    <row r="21" spans="1:14" ht="22.5" customHeight="1" x14ac:dyDescent="0.2">
      <c r="A21" s="21" t="s">
        <v>161</v>
      </c>
      <c r="B21" s="3" t="s">
        <v>34</v>
      </c>
      <c r="C21" s="3" t="s">
        <v>35</v>
      </c>
      <c r="D21" s="14" t="s">
        <v>2242</v>
      </c>
      <c r="E21" s="3" t="s">
        <v>162</v>
      </c>
      <c r="F21" s="9">
        <v>45940</v>
      </c>
      <c r="G21" s="5" t="s">
        <v>2095</v>
      </c>
      <c r="H21" s="5"/>
      <c r="I21" s="5" t="str">
        <f t="shared" si="0"/>
        <v>PROCESSO FOI ATUALIZADO</v>
      </c>
      <c r="J21" s="5"/>
      <c r="K21" s="5"/>
      <c r="L21" s="5"/>
      <c r="M21" s="5"/>
      <c r="N21" s="5"/>
    </row>
    <row r="22" spans="1:14" ht="22.5" customHeight="1" x14ac:dyDescent="0.2">
      <c r="A22" s="21" t="s">
        <v>43</v>
      </c>
      <c r="B22" s="3" t="s">
        <v>34</v>
      </c>
      <c r="C22" s="3" t="s">
        <v>35</v>
      </c>
      <c r="D22" s="14" t="s">
        <v>2243</v>
      </c>
      <c r="E22" s="3" t="s">
        <v>41</v>
      </c>
      <c r="F22" s="9">
        <v>45933</v>
      </c>
      <c r="G22" s="5" t="s">
        <v>2095</v>
      </c>
      <c r="H22" s="5"/>
      <c r="I22" s="5" t="str">
        <f t="shared" si="0"/>
        <v>PROCESSO FOI ATUALIZADO</v>
      </c>
      <c r="J22" s="5"/>
      <c r="K22" s="5"/>
      <c r="L22" s="5"/>
      <c r="M22" s="5"/>
      <c r="N22" s="5"/>
    </row>
    <row r="23" spans="1:14" ht="22.5" customHeight="1" x14ac:dyDescent="0.2">
      <c r="A23" s="21" t="s">
        <v>155</v>
      </c>
      <c r="B23" s="3" t="s">
        <v>34</v>
      </c>
      <c r="C23" s="3" t="s">
        <v>35</v>
      </c>
      <c r="D23" s="14" t="s">
        <v>2244</v>
      </c>
      <c r="E23" s="3" t="s">
        <v>156</v>
      </c>
      <c r="F23" s="9">
        <v>45933</v>
      </c>
      <c r="G23" s="5" t="s">
        <v>2095</v>
      </c>
      <c r="H23" s="5"/>
      <c r="I23" s="5" t="str">
        <f t="shared" si="0"/>
        <v>PROCESSO FOI ATUALIZADO</v>
      </c>
      <c r="J23" s="5"/>
      <c r="K23" s="5"/>
      <c r="L23" s="5"/>
      <c r="M23" s="5"/>
      <c r="N23" s="5"/>
    </row>
    <row r="24" spans="1:14" ht="22.5" customHeight="1" x14ac:dyDescent="0.2">
      <c r="A24" s="21" t="s">
        <v>76</v>
      </c>
      <c r="B24" s="3" t="s">
        <v>34</v>
      </c>
      <c r="C24" s="3" t="s">
        <v>35</v>
      </c>
      <c r="D24" s="14" t="s">
        <v>2263</v>
      </c>
      <c r="E24" s="3" t="s">
        <v>36</v>
      </c>
      <c r="F24" s="9">
        <v>45933</v>
      </c>
      <c r="G24" s="5" t="s">
        <v>2095</v>
      </c>
      <c r="H24" s="5"/>
      <c r="I24" s="5" t="str">
        <f t="shared" si="0"/>
        <v>PROCESSO FOI ATUALIZADO</v>
      </c>
      <c r="J24" s="5"/>
      <c r="K24" s="5"/>
      <c r="L24" s="5"/>
      <c r="M24" s="5"/>
      <c r="N24" s="5"/>
    </row>
    <row r="25" spans="1:14" ht="22.5" customHeight="1" x14ac:dyDescent="0.2">
      <c r="A25" s="21" t="s">
        <v>33</v>
      </c>
      <c r="B25" s="3" t="s">
        <v>34</v>
      </c>
      <c r="C25" s="3" t="s">
        <v>35</v>
      </c>
      <c r="D25" s="14" t="s">
        <v>2263</v>
      </c>
      <c r="E25" s="3" t="s">
        <v>36</v>
      </c>
      <c r="F25" s="9">
        <v>45933</v>
      </c>
      <c r="G25" s="5" t="s">
        <v>37</v>
      </c>
      <c r="H25" s="5"/>
      <c r="I25" s="5" t="str">
        <f t="shared" si="0"/>
        <v>PROCESSO FOI ATUALIZADO</v>
      </c>
      <c r="J25" s="5"/>
      <c r="K25" s="5"/>
      <c r="L25" s="5"/>
      <c r="M25" s="5"/>
      <c r="N25" s="5"/>
    </row>
    <row r="26" spans="1:14" ht="22.5" customHeight="1" x14ac:dyDescent="0.2">
      <c r="A26" s="21" t="s">
        <v>93</v>
      </c>
      <c r="B26" s="3" t="s">
        <v>34</v>
      </c>
      <c r="C26" s="3" t="s">
        <v>35</v>
      </c>
      <c r="D26" s="14" t="s">
        <v>2337</v>
      </c>
      <c r="E26" s="3" t="s">
        <v>85</v>
      </c>
      <c r="F26" s="9">
        <v>45932</v>
      </c>
      <c r="G26" s="5" t="s">
        <v>37</v>
      </c>
      <c r="H26" s="5"/>
      <c r="I26" s="5" t="str">
        <f t="shared" si="0"/>
        <v>PROCESSO FOI ATUALIZADO</v>
      </c>
      <c r="J26" s="5"/>
      <c r="K26" s="5"/>
      <c r="L26" s="5"/>
      <c r="M26" s="5"/>
      <c r="N26" s="5"/>
    </row>
    <row r="27" spans="1:14" ht="22.5" customHeight="1" x14ac:dyDescent="0.2">
      <c r="A27" s="5" t="s">
        <v>58</v>
      </c>
      <c r="B27" s="3" t="s">
        <v>34</v>
      </c>
      <c r="C27" s="3" t="s">
        <v>35</v>
      </c>
      <c r="D27" s="3" t="s">
        <v>2245</v>
      </c>
      <c r="E27" s="3" t="s">
        <v>59</v>
      </c>
      <c r="F27" s="9">
        <v>45929</v>
      </c>
      <c r="G27" s="5" t="s">
        <v>2110</v>
      </c>
      <c r="H27" s="5"/>
      <c r="I27" s="5" t="str">
        <f t="shared" si="0"/>
        <v>PROCESSO FOI ATUALIZADO</v>
      </c>
      <c r="J27" s="5"/>
      <c r="K27" s="5"/>
      <c r="L27" s="5"/>
      <c r="M27" s="5"/>
      <c r="N27" s="5"/>
    </row>
    <row r="28" spans="1:14" ht="22.5" customHeight="1" x14ac:dyDescent="0.2">
      <c r="A28" s="21" t="s">
        <v>126</v>
      </c>
      <c r="B28" s="3" t="s">
        <v>34</v>
      </c>
      <c r="C28" s="3" t="s">
        <v>35</v>
      </c>
      <c r="D28" s="14" t="s">
        <v>2246</v>
      </c>
      <c r="E28" s="3" t="s">
        <v>127</v>
      </c>
      <c r="F28" s="9">
        <v>45929</v>
      </c>
      <c r="G28" s="5" t="s">
        <v>2095</v>
      </c>
      <c r="H28" s="5"/>
      <c r="I28" s="5" t="str">
        <f t="shared" si="0"/>
        <v>PROCESSO FOI ATUALIZADO</v>
      </c>
      <c r="J28" s="5"/>
      <c r="K28" s="5"/>
      <c r="L28" s="5"/>
      <c r="M28" s="5"/>
      <c r="N28" s="5"/>
    </row>
    <row r="29" spans="1:14" ht="22.5" customHeight="1" x14ac:dyDescent="0.2">
      <c r="A29" s="21" t="s">
        <v>90</v>
      </c>
      <c r="B29" s="3" t="s">
        <v>34</v>
      </c>
      <c r="C29" s="3" t="s">
        <v>35</v>
      </c>
      <c r="D29" s="14" t="s">
        <v>2432</v>
      </c>
      <c r="E29" s="3" t="s">
        <v>91</v>
      </c>
      <c r="F29" s="9">
        <v>45925</v>
      </c>
      <c r="G29" s="5" t="s">
        <v>70</v>
      </c>
      <c r="H29" s="5"/>
      <c r="I29" s="5" t="str">
        <f t="shared" si="0"/>
        <v>PROCESSO FOI ATUALIZADO</v>
      </c>
      <c r="J29" s="5"/>
      <c r="K29" s="5"/>
      <c r="L29" s="5"/>
      <c r="M29" s="5"/>
      <c r="N29" s="5"/>
    </row>
    <row r="30" spans="1:14" ht="22.5" customHeight="1" x14ac:dyDescent="0.2">
      <c r="A30" s="21" t="s">
        <v>109</v>
      </c>
      <c r="B30" s="3" t="s">
        <v>34</v>
      </c>
      <c r="C30" s="3" t="s">
        <v>35</v>
      </c>
      <c r="D30" s="14" t="s">
        <v>2248</v>
      </c>
      <c r="E30" s="3" t="s">
        <v>110</v>
      </c>
      <c r="F30" s="9">
        <v>45925</v>
      </c>
      <c r="G30" s="5" t="s">
        <v>2095</v>
      </c>
      <c r="H30" s="5"/>
      <c r="I30" s="5" t="str">
        <f t="shared" si="0"/>
        <v>PROCESSO FOI ATUALIZADO</v>
      </c>
      <c r="J30" s="5"/>
      <c r="K30" s="5"/>
      <c r="L30" s="5"/>
      <c r="M30" s="5"/>
      <c r="N30" s="5"/>
    </row>
    <row r="31" spans="1:14" ht="22.5" customHeight="1" x14ac:dyDescent="0.2">
      <c r="A31" s="21" t="s">
        <v>112</v>
      </c>
      <c r="B31" s="3" t="s">
        <v>34</v>
      </c>
      <c r="C31" s="3" t="s">
        <v>35</v>
      </c>
      <c r="D31" s="14" t="s">
        <v>2249</v>
      </c>
      <c r="E31" s="3" t="s">
        <v>110</v>
      </c>
      <c r="F31" s="9">
        <v>45925</v>
      </c>
      <c r="G31" s="5" t="s">
        <v>2095</v>
      </c>
      <c r="H31" s="5"/>
      <c r="I31" s="5" t="str">
        <f t="shared" si="0"/>
        <v>PROCESSO FOI ATUALIZADO</v>
      </c>
      <c r="J31" s="5"/>
      <c r="K31" s="5"/>
      <c r="L31" s="5"/>
      <c r="M31" s="5"/>
      <c r="N31" s="5"/>
    </row>
    <row r="32" spans="1:14" ht="22.5" customHeight="1" x14ac:dyDescent="0.2">
      <c r="A32" s="21" t="s">
        <v>99</v>
      </c>
      <c r="B32" s="3" t="s">
        <v>34</v>
      </c>
      <c r="C32" s="3" t="s">
        <v>35</v>
      </c>
      <c r="D32" s="14" t="s">
        <v>2337</v>
      </c>
      <c r="E32" s="3" t="s">
        <v>85</v>
      </c>
      <c r="F32" s="9">
        <v>45925</v>
      </c>
      <c r="G32" s="5" t="s">
        <v>37</v>
      </c>
      <c r="H32" s="5"/>
      <c r="I32" s="5" t="str">
        <f t="shared" si="0"/>
        <v>PROCESSO FOI ATUALIZADO</v>
      </c>
      <c r="J32" s="5"/>
      <c r="K32" s="5"/>
      <c r="L32" s="5"/>
      <c r="M32" s="5"/>
      <c r="N32" s="5"/>
    </row>
    <row r="33" spans="1:14" ht="22.5" customHeight="1" x14ac:dyDescent="0.2">
      <c r="A33" s="21" t="s">
        <v>147</v>
      </c>
      <c r="B33" s="3" t="s">
        <v>34</v>
      </c>
      <c r="C33" s="3" t="s">
        <v>35</v>
      </c>
      <c r="D33" s="14" t="s">
        <v>2250</v>
      </c>
      <c r="E33" s="3" t="s">
        <v>148</v>
      </c>
      <c r="F33" s="9">
        <v>45925</v>
      </c>
      <c r="G33" s="5" t="s">
        <v>2095</v>
      </c>
      <c r="H33" s="5"/>
      <c r="I33" s="5" t="str">
        <f t="shared" si="0"/>
        <v>PROCESSO FOI ATUALIZADO</v>
      </c>
      <c r="J33" s="5"/>
      <c r="K33" s="5"/>
      <c r="L33" s="5"/>
      <c r="M33" s="5"/>
      <c r="N33" s="5"/>
    </row>
    <row r="34" spans="1:14" ht="22.5" customHeight="1" x14ac:dyDescent="0.2">
      <c r="A34" s="21" t="s">
        <v>78</v>
      </c>
      <c r="B34" s="3" t="s">
        <v>34</v>
      </c>
      <c r="C34" s="3" t="s">
        <v>35</v>
      </c>
      <c r="D34" s="14" t="s">
        <v>2251</v>
      </c>
      <c r="E34" s="3" t="s">
        <v>79</v>
      </c>
      <c r="F34" s="9">
        <v>45925</v>
      </c>
      <c r="G34" s="5" t="s">
        <v>2095</v>
      </c>
      <c r="H34" s="5"/>
      <c r="I34" s="5" t="str">
        <f t="shared" si="0"/>
        <v>PROCESSO FOI ATUALIZADO</v>
      </c>
      <c r="J34" s="5"/>
      <c r="K34" s="5"/>
      <c r="L34" s="5"/>
      <c r="M34" s="5"/>
      <c r="N34" s="5"/>
    </row>
    <row r="35" spans="1:14" ht="22.5" customHeight="1" x14ac:dyDescent="0.2">
      <c r="A35" s="21" t="s">
        <v>68</v>
      </c>
      <c r="B35" s="3" t="s">
        <v>34</v>
      </c>
      <c r="C35" s="3" t="s">
        <v>35</v>
      </c>
      <c r="D35" s="14" t="s">
        <v>2429</v>
      </c>
      <c r="E35" s="3" t="s">
        <v>69</v>
      </c>
      <c r="F35" s="9">
        <v>45924</v>
      </c>
      <c r="G35" s="5" t="s">
        <v>70</v>
      </c>
      <c r="H35" s="5"/>
      <c r="I35" s="5" t="str">
        <f t="shared" si="0"/>
        <v>PROCESSO FOI ATUALIZADO</v>
      </c>
      <c r="J35" s="5"/>
      <c r="K35" s="5"/>
      <c r="L35" s="5"/>
      <c r="M35" s="5"/>
      <c r="N35" s="5"/>
    </row>
    <row r="36" spans="1:14" ht="22.5" customHeight="1" x14ac:dyDescent="0.2">
      <c r="A36" s="5" t="s">
        <v>107</v>
      </c>
      <c r="B36" s="3" t="s">
        <v>34</v>
      </c>
      <c r="C36" s="3" t="s">
        <v>35</v>
      </c>
      <c r="D36" s="3" t="s">
        <v>2273</v>
      </c>
      <c r="E36" s="3" t="s">
        <v>108</v>
      </c>
      <c r="F36" s="9">
        <v>45924</v>
      </c>
      <c r="G36" s="5" t="s">
        <v>2433</v>
      </c>
      <c r="H36" s="5"/>
      <c r="I36" s="5" t="str">
        <f t="shared" si="0"/>
        <v>PROCESSO FOI ATUALIZADO</v>
      </c>
      <c r="J36" s="5"/>
      <c r="K36" s="5"/>
      <c r="L36" s="5"/>
      <c r="M36" s="5"/>
      <c r="N36" s="5"/>
    </row>
    <row r="37" spans="1:14" ht="22.5" customHeight="1" x14ac:dyDescent="0.2">
      <c r="A37" s="21" t="s">
        <v>81</v>
      </c>
      <c r="B37" s="3" t="s">
        <v>34</v>
      </c>
      <c r="C37" s="3" t="s">
        <v>35</v>
      </c>
      <c r="D37" s="14" t="s">
        <v>2256</v>
      </c>
      <c r="E37" s="3" t="s">
        <v>82</v>
      </c>
      <c r="F37" s="9">
        <v>45924</v>
      </c>
      <c r="G37" s="5" t="s">
        <v>70</v>
      </c>
      <c r="H37" s="5"/>
      <c r="I37" s="5" t="str">
        <f t="shared" si="0"/>
        <v>PROCESSO FOI ATUALIZADO</v>
      </c>
      <c r="J37" s="5"/>
      <c r="K37" s="5"/>
      <c r="L37" s="5"/>
      <c r="M37" s="5"/>
      <c r="N37" s="5"/>
    </row>
    <row r="38" spans="1:14" ht="22.5" customHeight="1" x14ac:dyDescent="0.2">
      <c r="A38" s="21" t="s">
        <v>120</v>
      </c>
      <c r="B38" s="3" t="s">
        <v>34</v>
      </c>
      <c r="C38" s="3" t="s">
        <v>35</v>
      </c>
      <c r="D38" s="14" t="s">
        <v>2108</v>
      </c>
      <c r="E38" s="3" t="s">
        <v>121</v>
      </c>
      <c r="F38" s="9">
        <v>45924</v>
      </c>
      <c r="G38" s="5" t="s">
        <v>37</v>
      </c>
      <c r="H38" s="5"/>
      <c r="I38" s="5" t="str">
        <f t="shared" si="0"/>
        <v>PROCESSO FOI ATUALIZADO</v>
      </c>
      <c r="J38" s="5"/>
      <c r="K38" s="5"/>
      <c r="L38" s="5"/>
      <c r="M38" s="5"/>
      <c r="N38" s="5"/>
    </row>
    <row r="39" spans="1:14" ht="22.5" customHeight="1" x14ac:dyDescent="0.2">
      <c r="A39" s="21" t="s">
        <v>141</v>
      </c>
      <c r="B39" s="3" t="s">
        <v>34</v>
      </c>
      <c r="C39" s="3" t="s">
        <v>35</v>
      </c>
      <c r="D39" s="14" t="s">
        <v>2108</v>
      </c>
      <c r="E39" s="3" t="s">
        <v>121</v>
      </c>
      <c r="F39" s="9">
        <v>45923</v>
      </c>
      <c r="G39" s="5" t="s">
        <v>142</v>
      </c>
      <c r="H39" s="5"/>
      <c r="I39" s="5" t="str">
        <f t="shared" si="0"/>
        <v>PROCESSO FOI ATUALIZADO</v>
      </c>
      <c r="J39" s="5"/>
      <c r="K39" s="5"/>
      <c r="L39" s="5"/>
      <c r="M39" s="5"/>
      <c r="N39" s="5"/>
    </row>
    <row r="40" spans="1:14" ht="22.5" customHeight="1" x14ac:dyDescent="0.2">
      <c r="A40" s="21" t="s">
        <v>50</v>
      </c>
      <c r="B40" s="3" t="s">
        <v>34</v>
      </c>
      <c r="C40" s="3" t="s">
        <v>35</v>
      </c>
      <c r="D40" s="14" t="s">
        <v>2252</v>
      </c>
      <c r="E40" s="3" t="s">
        <v>51</v>
      </c>
      <c r="F40" s="9">
        <v>45923</v>
      </c>
      <c r="G40" s="5" t="s">
        <v>2095</v>
      </c>
      <c r="H40" s="5"/>
      <c r="I40" s="5" t="str">
        <f t="shared" si="0"/>
        <v>PROCESSO FOI ATUALIZADO</v>
      </c>
      <c r="J40" s="5"/>
      <c r="K40" s="5"/>
      <c r="L40" s="5"/>
      <c r="M40" s="5"/>
      <c r="N40" s="5"/>
    </row>
    <row r="41" spans="1:14" ht="22.5" customHeight="1" x14ac:dyDescent="0.2">
      <c r="A41" s="21" t="s">
        <v>65</v>
      </c>
      <c r="B41" s="3" t="s">
        <v>34</v>
      </c>
      <c r="C41" s="3" t="s">
        <v>35</v>
      </c>
      <c r="D41" s="14" t="s">
        <v>2253</v>
      </c>
      <c r="E41" s="3" t="s">
        <v>66</v>
      </c>
      <c r="F41" s="9">
        <v>45923</v>
      </c>
      <c r="G41" s="5" t="s">
        <v>2095</v>
      </c>
      <c r="H41" s="5"/>
      <c r="I41" s="5" t="str">
        <f t="shared" si="0"/>
        <v>PROCESSO FOI ATUALIZADO</v>
      </c>
      <c r="J41" s="5"/>
      <c r="K41" s="5"/>
      <c r="L41" s="5"/>
      <c r="M41" s="5"/>
      <c r="N41" s="5"/>
    </row>
    <row r="42" spans="1:14" ht="22.5" customHeight="1" x14ac:dyDescent="0.2">
      <c r="A42" s="21" t="s">
        <v>122</v>
      </c>
      <c r="B42" s="3" t="s">
        <v>34</v>
      </c>
      <c r="C42" s="3" t="s">
        <v>35</v>
      </c>
      <c r="D42" s="14" t="s">
        <v>2434</v>
      </c>
      <c r="E42" s="3" t="s">
        <v>123</v>
      </c>
      <c r="F42" s="9">
        <v>45923</v>
      </c>
      <c r="G42" s="5" t="s">
        <v>37</v>
      </c>
      <c r="H42" s="5"/>
      <c r="I42" s="5" t="str">
        <f t="shared" si="0"/>
        <v>PROCESSO FOI ATUALIZADO</v>
      </c>
      <c r="J42" s="5"/>
      <c r="K42" s="5"/>
      <c r="L42" s="5"/>
      <c r="M42" s="5"/>
      <c r="N42" s="5"/>
    </row>
    <row r="43" spans="1:14" ht="22.5" customHeight="1" x14ac:dyDescent="0.2">
      <c r="A43" s="21" t="s">
        <v>132</v>
      </c>
      <c r="B43" s="3" t="s">
        <v>34</v>
      </c>
      <c r="C43" s="3" t="s">
        <v>35</v>
      </c>
      <c r="D43" s="14" t="s">
        <v>2248</v>
      </c>
      <c r="E43" s="3" t="s">
        <v>110</v>
      </c>
      <c r="F43" s="9">
        <v>45923</v>
      </c>
      <c r="G43" s="5" t="s">
        <v>2095</v>
      </c>
      <c r="H43" s="5"/>
      <c r="I43" s="5" t="str">
        <f t="shared" si="0"/>
        <v>PROCESSO FOI ATUALIZADO</v>
      </c>
      <c r="J43" s="5"/>
      <c r="K43" s="5"/>
      <c r="L43" s="5"/>
      <c r="M43" s="5"/>
      <c r="N43" s="5"/>
    </row>
    <row r="44" spans="1:14" ht="22.5" customHeight="1" x14ac:dyDescent="0.2">
      <c r="A44" s="21" t="s">
        <v>94</v>
      </c>
      <c r="B44" s="3" t="s">
        <v>34</v>
      </c>
      <c r="C44" s="3" t="s">
        <v>35</v>
      </c>
      <c r="D44" s="14" t="s">
        <v>2254</v>
      </c>
      <c r="E44" s="3" t="s">
        <v>95</v>
      </c>
      <c r="F44" s="9">
        <v>45923</v>
      </c>
      <c r="G44" s="5" t="s">
        <v>2095</v>
      </c>
      <c r="H44" s="5"/>
      <c r="I44" s="5" t="str">
        <f t="shared" si="0"/>
        <v>PROCESSO FOI ATUALIZADO</v>
      </c>
      <c r="J44" s="5"/>
      <c r="K44" s="5"/>
      <c r="L44" s="5"/>
      <c r="M44" s="5"/>
      <c r="N44" s="5"/>
    </row>
    <row r="45" spans="1:14" ht="22.5" customHeight="1" x14ac:dyDescent="0.2">
      <c r="A45" s="21" t="s">
        <v>137</v>
      </c>
      <c r="B45" s="3" t="s">
        <v>34</v>
      </c>
      <c r="C45" s="3" t="s">
        <v>35</v>
      </c>
      <c r="D45" s="14" t="s">
        <v>2117</v>
      </c>
      <c r="E45" s="3" t="s">
        <v>138</v>
      </c>
      <c r="F45" s="9">
        <v>45918</v>
      </c>
      <c r="G45" s="5" t="s">
        <v>70</v>
      </c>
      <c r="H45" s="5"/>
      <c r="I45" s="5" t="str">
        <f t="shared" si="0"/>
        <v>PROCESSO FOI ATUALIZADO</v>
      </c>
      <c r="J45" s="5"/>
      <c r="K45" s="5"/>
      <c r="L45" s="5"/>
      <c r="M45" s="5"/>
      <c r="N45" s="5"/>
    </row>
    <row r="46" spans="1:14" ht="22.5" customHeight="1" x14ac:dyDescent="0.2">
      <c r="A46" s="21" t="s">
        <v>92</v>
      </c>
      <c r="B46" s="3" t="s">
        <v>34</v>
      </c>
      <c r="C46" s="3" t="s">
        <v>35</v>
      </c>
      <c r="D46" s="14" t="s">
        <v>2340</v>
      </c>
      <c r="E46" s="3" t="s">
        <v>69</v>
      </c>
      <c r="F46" s="9">
        <v>45918</v>
      </c>
      <c r="G46" s="5" t="s">
        <v>70</v>
      </c>
      <c r="H46" s="5"/>
      <c r="I46" s="5" t="str">
        <f t="shared" si="0"/>
        <v>PROCESSO FOI ATUALIZADO</v>
      </c>
      <c r="J46" s="5"/>
      <c r="K46" s="5"/>
      <c r="L46" s="5"/>
      <c r="M46" s="5"/>
      <c r="N46" s="5"/>
    </row>
    <row r="47" spans="1:14" ht="22.5" customHeight="1" x14ac:dyDescent="0.2">
      <c r="A47" s="21" t="s">
        <v>164</v>
      </c>
      <c r="B47" s="3" t="s">
        <v>34</v>
      </c>
      <c r="C47" s="3" t="s">
        <v>35</v>
      </c>
      <c r="D47" s="14" t="s">
        <v>2120</v>
      </c>
      <c r="E47" s="3" t="s">
        <v>165</v>
      </c>
      <c r="F47" s="9">
        <v>45918</v>
      </c>
      <c r="G47" s="5" t="s">
        <v>2095</v>
      </c>
      <c r="H47" s="5"/>
      <c r="I47" s="5" t="str">
        <f t="shared" si="0"/>
        <v>PROCESSO FOI ATUALIZADO</v>
      </c>
      <c r="J47" s="5"/>
      <c r="K47" s="5"/>
      <c r="L47" s="5"/>
      <c r="M47" s="5"/>
      <c r="N47" s="5"/>
    </row>
    <row r="48" spans="1:14" ht="22.5" customHeight="1" x14ac:dyDescent="0.2">
      <c r="A48" s="21" t="s">
        <v>139</v>
      </c>
      <c r="B48" s="3" t="s">
        <v>34</v>
      </c>
      <c r="C48" s="3" t="s">
        <v>35</v>
      </c>
      <c r="D48" s="14" t="s">
        <v>2255</v>
      </c>
      <c r="E48" s="3" t="s">
        <v>79</v>
      </c>
      <c r="F48" s="9">
        <v>45918</v>
      </c>
      <c r="G48" s="5" t="s">
        <v>2095</v>
      </c>
      <c r="H48" s="5"/>
      <c r="I48" s="5" t="str">
        <f t="shared" si="0"/>
        <v>PROCESSO FOI ATUALIZADO</v>
      </c>
      <c r="J48" s="5"/>
      <c r="K48" s="5"/>
      <c r="L48" s="5"/>
      <c r="M48" s="5"/>
      <c r="N48" s="5"/>
    </row>
    <row r="49" spans="1:14" ht="22.5" customHeight="1" x14ac:dyDescent="0.2">
      <c r="A49" s="21" t="s">
        <v>88</v>
      </c>
      <c r="B49" s="3" t="s">
        <v>34</v>
      </c>
      <c r="C49" s="3" t="s">
        <v>35</v>
      </c>
      <c r="D49" s="14" t="s">
        <v>2256</v>
      </c>
      <c r="E49" s="3" t="s">
        <v>82</v>
      </c>
      <c r="F49" s="9">
        <v>45918</v>
      </c>
      <c r="G49" s="5" t="s">
        <v>2095</v>
      </c>
      <c r="H49" s="5"/>
      <c r="I49" s="5" t="str">
        <f t="shared" si="0"/>
        <v>PROCESSO FOI ATUALIZADO</v>
      </c>
      <c r="J49" s="5"/>
      <c r="K49" s="5"/>
      <c r="L49" s="5"/>
      <c r="M49" s="5"/>
      <c r="N49" s="5"/>
    </row>
    <row r="50" spans="1:14" ht="22.5" customHeight="1" x14ac:dyDescent="0.2">
      <c r="A50" s="21" t="s">
        <v>152</v>
      </c>
      <c r="B50" s="3" t="s">
        <v>34</v>
      </c>
      <c r="C50" s="3" t="s">
        <v>35</v>
      </c>
      <c r="D50" s="14" t="s">
        <v>2434</v>
      </c>
      <c r="E50" s="3" t="s">
        <v>123</v>
      </c>
      <c r="F50" s="9">
        <v>45918</v>
      </c>
      <c r="G50" s="5" t="s">
        <v>37</v>
      </c>
      <c r="H50" s="5"/>
      <c r="I50" s="5" t="str">
        <f t="shared" si="0"/>
        <v>PROCESSO FOI ATUALIZADO</v>
      </c>
      <c r="J50" s="5"/>
      <c r="K50" s="5"/>
      <c r="L50" s="5"/>
      <c r="M50" s="5"/>
      <c r="N50" s="5"/>
    </row>
    <row r="51" spans="1:14" ht="22.5" customHeight="1" x14ac:dyDescent="0.2">
      <c r="A51" s="21" t="s">
        <v>158</v>
      </c>
      <c r="B51" s="3" t="s">
        <v>34</v>
      </c>
      <c r="C51" s="3" t="s">
        <v>35</v>
      </c>
      <c r="D51" s="14" t="s">
        <v>2117</v>
      </c>
      <c r="E51" s="3" t="s">
        <v>138</v>
      </c>
      <c r="F51" s="9">
        <v>45918</v>
      </c>
      <c r="G51" s="5" t="s">
        <v>2095</v>
      </c>
      <c r="H51" s="5"/>
      <c r="I51" s="5" t="str">
        <f t="shared" si="0"/>
        <v>PROCESSO FOI ATUALIZADO</v>
      </c>
      <c r="J51" s="5"/>
      <c r="K51" s="5"/>
      <c r="L51" s="5"/>
      <c r="M51" s="5"/>
      <c r="N51" s="5"/>
    </row>
    <row r="52" spans="1:14" ht="22.5" customHeight="1" x14ac:dyDescent="0.2">
      <c r="A52" s="21" t="s">
        <v>150</v>
      </c>
      <c r="B52" s="3" t="s">
        <v>34</v>
      </c>
      <c r="C52" s="3" t="s">
        <v>35</v>
      </c>
      <c r="D52" s="14" t="s">
        <v>2257</v>
      </c>
      <c r="E52" s="3" t="s">
        <v>148</v>
      </c>
      <c r="F52" s="9">
        <v>45917</v>
      </c>
      <c r="G52" s="5" t="s">
        <v>2095</v>
      </c>
      <c r="H52" s="5"/>
      <c r="I52" s="5" t="str">
        <f t="shared" si="0"/>
        <v>PROCESSO FOI ATUALIZADO</v>
      </c>
      <c r="J52" s="5"/>
      <c r="K52" s="5"/>
      <c r="L52" s="5"/>
      <c r="M52" s="5"/>
      <c r="N52" s="5"/>
    </row>
    <row r="53" spans="1:14" ht="22.5" customHeight="1" x14ac:dyDescent="0.2">
      <c r="A53" s="21" t="s">
        <v>100</v>
      </c>
      <c r="B53" s="3" t="s">
        <v>34</v>
      </c>
      <c r="C53" s="3" t="s">
        <v>35</v>
      </c>
      <c r="D53" s="14" t="s">
        <v>2254</v>
      </c>
      <c r="E53" s="3" t="s">
        <v>95</v>
      </c>
      <c r="F53" s="9">
        <v>45917</v>
      </c>
      <c r="G53" s="5" t="s">
        <v>70</v>
      </c>
      <c r="H53" s="5"/>
      <c r="I53" s="5" t="str">
        <f t="shared" si="0"/>
        <v>PROCESSO FOI ATUALIZADO</v>
      </c>
      <c r="J53" s="5"/>
      <c r="K53" s="5"/>
      <c r="L53" s="5"/>
      <c r="M53" s="5"/>
      <c r="N53" s="5"/>
    </row>
    <row r="54" spans="1:14" ht="22.5" customHeight="1" x14ac:dyDescent="0.2">
      <c r="A54" s="21" t="s">
        <v>101</v>
      </c>
      <c r="B54" s="3" t="s">
        <v>34</v>
      </c>
      <c r="C54" s="3" t="s">
        <v>35</v>
      </c>
      <c r="D54" s="14" t="s">
        <v>2258</v>
      </c>
      <c r="E54" s="3" t="s">
        <v>102</v>
      </c>
      <c r="F54" s="9">
        <v>45917</v>
      </c>
      <c r="G54" s="5" t="s">
        <v>2095</v>
      </c>
      <c r="H54" s="5"/>
      <c r="I54" s="5" t="str">
        <f t="shared" si="0"/>
        <v>PROCESSO FOI ATUALIZADO</v>
      </c>
      <c r="J54" s="5"/>
      <c r="K54" s="5"/>
      <c r="L54" s="5"/>
      <c r="M54" s="5"/>
      <c r="N54" s="5"/>
    </row>
    <row r="55" spans="1:14" ht="22.5" customHeight="1" x14ac:dyDescent="0.2">
      <c r="A55" s="21" t="s">
        <v>124</v>
      </c>
      <c r="B55" s="3" t="s">
        <v>34</v>
      </c>
      <c r="C55" s="3" t="s">
        <v>35</v>
      </c>
      <c r="D55" s="14" t="s">
        <v>2259</v>
      </c>
      <c r="E55" s="3" t="s">
        <v>85</v>
      </c>
      <c r="F55" s="9">
        <v>45917</v>
      </c>
      <c r="G55" s="5" t="s">
        <v>2095</v>
      </c>
      <c r="H55" s="5"/>
      <c r="I55" s="5" t="str">
        <f t="shared" si="0"/>
        <v>PROCESSO FOI ATUALIZADO</v>
      </c>
      <c r="J55" s="5"/>
      <c r="K55" s="5"/>
      <c r="L55" s="5"/>
      <c r="M55" s="5"/>
      <c r="N55" s="5"/>
    </row>
    <row r="56" spans="1:14" ht="22.5" customHeight="1" x14ac:dyDescent="0.2">
      <c r="A56" s="5" t="s">
        <v>62</v>
      </c>
      <c r="B56" s="3" t="s">
        <v>34</v>
      </c>
      <c r="C56" s="3" t="s">
        <v>35</v>
      </c>
      <c r="D56" s="3" t="s">
        <v>2245</v>
      </c>
      <c r="E56" s="3" t="s">
        <v>59</v>
      </c>
      <c r="F56" s="9">
        <v>45917</v>
      </c>
      <c r="G56" s="5" t="s">
        <v>2110</v>
      </c>
      <c r="H56" s="5"/>
      <c r="I56" s="5" t="str">
        <f t="shared" si="0"/>
        <v>PROCESSO FOI ATUALIZADO</v>
      </c>
      <c r="J56" s="5"/>
      <c r="K56" s="5"/>
      <c r="L56" s="5"/>
      <c r="M56" s="5"/>
      <c r="N56" s="5"/>
    </row>
    <row r="57" spans="1:14" ht="22.5" customHeight="1" x14ac:dyDescent="0.2">
      <c r="A57" s="5" t="s">
        <v>129</v>
      </c>
      <c r="B57" s="3" t="s">
        <v>34</v>
      </c>
      <c r="C57" s="3" t="s">
        <v>35</v>
      </c>
      <c r="D57" s="3" t="s">
        <v>2261</v>
      </c>
      <c r="E57" s="3" t="s">
        <v>130</v>
      </c>
      <c r="F57" s="9">
        <v>45917</v>
      </c>
      <c r="G57" s="5" t="s">
        <v>2110</v>
      </c>
      <c r="H57" s="5"/>
      <c r="I57" s="5" t="str">
        <f t="shared" si="0"/>
        <v>PROCESSO FOI ATUALIZADO</v>
      </c>
      <c r="J57" s="5"/>
      <c r="K57" s="5"/>
      <c r="L57" s="5"/>
      <c r="M57" s="5"/>
      <c r="N57" s="5"/>
    </row>
    <row r="58" spans="1:14" ht="22.5" customHeight="1" x14ac:dyDescent="0.2">
      <c r="A58" s="21" t="s">
        <v>104</v>
      </c>
      <c r="B58" s="3" t="s">
        <v>34</v>
      </c>
      <c r="C58" s="3" t="s">
        <v>35</v>
      </c>
      <c r="D58" s="14" t="s">
        <v>2435</v>
      </c>
      <c r="E58" s="3" t="s">
        <v>105</v>
      </c>
      <c r="F58" s="9">
        <v>45916</v>
      </c>
      <c r="G58" s="5" t="s">
        <v>2095</v>
      </c>
      <c r="H58" s="5"/>
      <c r="I58" s="5" t="str">
        <f t="shared" si="0"/>
        <v>PROCESSO FOI ATUALIZADO</v>
      </c>
      <c r="J58" s="5"/>
      <c r="K58" s="5"/>
      <c r="L58" s="5"/>
      <c r="M58" s="5"/>
      <c r="N58" s="5"/>
    </row>
    <row r="59" spans="1:14" ht="22.5" customHeight="1" x14ac:dyDescent="0.2">
      <c r="A59" s="21" t="s">
        <v>114</v>
      </c>
      <c r="B59" s="3" t="s">
        <v>34</v>
      </c>
      <c r="C59" s="3" t="s">
        <v>35</v>
      </c>
      <c r="D59" s="14" t="s">
        <v>2262</v>
      </c>
      <c r="E59" s="3" t="s">
        <v>115</v>
      </c>
      <c r="F59" s="9">
        <v>45916</v>
      </c>
      <c r="G59" s="5" t="s">
        <v>2095</v>
      </c>
      <c r="H59" s="5"/>
      <c r="I59" s="5" t="str">
        <f t="shared" si="0"/>
        <v>PROCESSO FOI ATUALIZADO</v>
      </c>
      <c r="J59" s="5"/>
      <c r="K59" s="5"/>
      <c r="L59" s="5"/>
      <c r="M59" s="5"/>
      <c r="N59" s="5"/>
    </row>
    <row r="60" spans="1:14" ht="22.5" customHeight="1" x14ac:dyDescent="0.2">
      <c r="A60" s="21" t="s">
        <v>48</v>
      </c>
      <c r="B60" s="3" t="s">
        <v>34</v>
      </c>
      <c r="C60" s="3" t="s">
        <v>35</v>
      </c>
      <c r="D60" s="14" t="s">
        <v>2436</v>
      </c>
      <c r="E60" s="3" t="s">
        <v>49</v>
      </c>
      <c r="F60" s="9">
        <v>45912</v>
      </c>
      <c r="G60" s="5" t="s">
        <v>2433</v>
      </c>
      <c r="H60" s="5"/>
      <c r="I60" s="5" t="str">
        <f t="shared" si="0"/>
        <v>PROCESSO FOI ATUALIZADO</v>
      </c>
      <c r="J60" s="5"/>
      <c r="K60" s="5"/>
      <c r="L60" s="5"/>
      <c r="M60" s="5"/>
      <c r="N60" s="5"/>
    </row>
    <row r="61" spans="1:14" ht="22.5" customHeight="1" x14ac:dyDescent="0.2">
      <c r="A61" s="21" t="s">
        <v>227</v>
      </c>
      <c r="B61" s="3" t="s">
        <v>34</v>
      </c>
      <c r="C61" s="3" t="s">
        <v>35</v>
      </c>
      <c r="D61" s="14" t="s">
        <v>2171</v>
      </c>
      <c r="E61" s="3" t="s">
        <v>228</v>
      </c>
      <c r="F61" s="9">
        <v>45911</v>
      </c>
      <c r="G61" s="5" t="s">
        <v>37</v>
      </c>
      <c r="H61" s="5"/>
      <c r="I61" s="5" t="str">
        <f t="shared" si="0"/>
        <v>PROCESSO FOI ATUALIZADO</v>
      </c>
      <c r="J61" s="5"/>
      <c r="K61" s="5"/>
      <c r="L61" s="5"/>
      <c r="M61" s="5"/>
      <c r="N61" s="5"/>
    </row>
    <row r="62" spans="1:14" ht="22.5" customHeight="1" x14ac:dyDescent="0.2">
      <c r="A62" s="21" t="s">
        <v>168</v>
      </c>
      <c r="B62" s="3" t="s">
        <v>34</v>
      </c>
      <c r="C62" s="3" t="s">
        <v>35</v>
      </c>
      <c r="D62" s="14" t="s">
        <v>2436</v>
      </c>
      <c r="E62" s="3" t="s">
        <v>49</v>
      </c>
      <c r="F62" s="9">
        <v>45911</v>
      </c>
      <c r="G62" s="5" t="s">
        <v>2433</v>
      </c>
      <c r="H62" s="5"/>
      <c r="I62" s="5" t="str">
        <f t="shared" si="0"/>
        <v>PROCESSO FOI ATUALIZADO</v>
      </c>
      <c r="J62" s="5"/>
      <c r="K62" s="5"/>
      <c r="L62" s="5"/>
      <c r="M62" s="5"/>
      <c r="N62" s="5"/>
    </row>
    <row r="63" spans="1:14" ht="22.5" customHeight="1" x14ac:dyDescent="0.2">
      <c r="A63" s="21" t="s">
        <v>260</v>
      </c>
      <c r="B63" s="3" t="s">
        <v>34</v>
      </c>
      <c r="C63" s="3" t="s">
        <v>35</v>
      </c>
      <c r="D63" s="14" t="s">
        <v>2435</v>
      </c>
      <c r="E63" s="3" t="s">
        <v>105</v>
      </c>
      <c r="F63" s="9">
        <v>45911</v>
      </c>
      <c r="G63" s="5" t="s">
        <v>37</v>
      </c>
      <c r="H63" s="5"/>
      <c r="I63" s="5" t="str">
        <f t="shared" si="0"/>
        <v>PROCESSO FOI ATUALIZADO</v>
      </c>
      <c r="J63" s="5"/>
      <c r="K63" s="5"/>
      <c r="L63" s="5"/>
      <c r="M63" s="5"/>
      <c r="N63" s="5"/>
    </row>
    <row r="64" spans="1:14" ht="22.5" customHeight="1" x14ac:dyDescent="0.2">
      <c r="A64" s="21" t="s">
        <v>213</v>
      </c>
      <c r="B64" s="3" t="s">
        <v>34</v>
      </c>
      <c r="C64" s="3" t="s">
        <v>35</v>
      </c>
      <c r="D64" s="14" t="s">
        <v>2263</v>
      </c>
      <c r="E64" s="3" t="s">
        <v>36</v>
      </c>
      <c r="F64" s="9">
        <v>45911</v>
      </c>
      <c r="G64" s="5" t="s">
        <v>2095</v>
      </c>
      <c r="H64" s="5"/>
      <c r="I64" s="5" t="str">
        <f t="shared" si="0"/>
        <v>PROCESSO FOI ATUALIZADO</v>
      </c>
      <c r="J64" s="5"/>
      <c r="K64" s="5"/>
      <c r="L64" s="5"/>
      <c r="M64" s="5"/>
      <c r="N64" s="5"/>
    </row>
    <row r="65" spans="1:14" ht="22.5" customHeight="1" x14ac:dyDescent="0.2">
      <c r="A65" s="21" t="s">
        <v>237</v>
      </c>
      <c r="B65" s="3" t="s">
        <v>34</v>
      </c>
      <c r="C65" s="3" t="s">
        <v>35</v>
      </c>
      <c r="D65" s="14" t="s">
        <v>2171</v>
      </c>
      <c r="E65" s="3" t="s">
        <v>228</v>
      </c>
      <c r="F65" s="9">
        <v>45911</v>
      </c>
      <c r="G65" s="5" t="s">
        <v>37</v>
      </c>
      <c r="H65" s="5"/>
      <c r="I65" s="5" t="str">
        <f t="shared" si="0"/>
        <v>PROCESSO FOI ATUALIZADO</v>
      </c>
      <c r="J65" s="5"/>
      <c r="K65" s="5"/>
      <c r="L65" s="5"/>
      <c r="M65" s="5"/>
      <c r="N65" s="5"/>
    </row>
    <row r="66" spans="1:14" ht="22.5" customHeight="1" x14ac:dyDescent="0.2">
      <c r="A66" s="21" t="s">
        <v>256</v>
      </c>
      <c r="B66" s="3" t="s">
        <v>34</v>
      </c>
      <c r="C66" s="3" t="s">
        <v>35</v>
      </c>
      <c r="D66" s="14" t="s">
        <v>2171</v>
      </c>
      <c r="E66" s="3" t="s">
        <v>228</v>
      </c>
      <c r="F66" s="9">
        <v>45911</v>
      </c>
      <c r="G66" s="5" t="s">
        <v>37</v>
      </c>
      <c r="H66" s="5"/>
      <c r="I66" s="5" t="str">
        <f t="shared" si="0"/>
        <v>PROCESSO FOI ATUALIZADO</v>
      </c>
      <c r="J66" s="5"/>
      <c r="K66" s="5"/>
      <c r="L66" s="5"/>
      <c r="M66" s="5"/>
      <c r="N66" s="5"/>
    </row>
    <row r="67" spans="1:14" ht="22.5" customHeight="1" x14ac:dyDescent="0.2">
      <c r="A67" s="21" t="s">
        <v>231</v>
      </c>
      <c r="B67" s="3" t="s">
        <v>34</v>
      </c>
      <c r="C67" s="3" t="s">
        <v>35</v>
      </c>
      <c r="D67" s="14" t="s">
        <v>2264</v>
      </c>
      <c r="E67" s="3" t="s">
        <v>232</v>
      </c>
      <c r="F67" s="9">
        <v>45911</v>
      </c>
      <c r="G67" s="5" t="s">
        <v>2095</v>
      </c>
      <c r="H67" s="5"/>
      <c r="I67" s="5" t="str">
        <f t="shared" si="0"/>
        <v>PROCESSO FOI ATUALIZADO</v>
      </c>
      <c r="J67" s="5"/>
      <c r="K67" s="5"/>
      <c r="L67" s="5"/>
      <c r="M67" s="5"/>
      <c r="N67" s="5"/>
    </row>
    <row r="68" spans="1:14" ht="22.5" customHeight="1" x14ac:dyDescent="0.2">
      <c r="A68" s="5" t="s">
        <v>192</v>
      </c>
      <c r="B68" s="3" t="s">
        <v>34</v>
      </c>
      <c r="C68" s="3" t="s">
        <v>35</v>
      </c>
      <c r="D68" s="3" t="s">
        <v>2245</v>
      </c>
      <c r="E68" s="3" t="s">
        <v>59</v>
      </c>
      <c r="F68" s="9">
        <v>45910</v>
      </c>
      <c r="G68" s="5" t="s">
        <v>2110</v>
      </c>
      <c r="H68" s="5"/>
      <c r="I68" s="5" t="str">
        <f t="shared" si="0"/>
        <v>PROCESSO FOI ATUALIZADO</v>
      </c>
      <c r="J68" s="5"/>
      <c r="K68" s="5"/>
      <c r="L68" s="5"/>
      <c r="M68" s="5"/>
      <c r="N68" s="5"/>
    </row>
    <row r="69" spans="1:14" ht="22.5" customHeight="1" x14ac:dyDescent="0.2">
      <c r="A69" s="21" t="s">
        <v>169</v>
      </c>
      <c r="B69" s="3" t="s">
        <v>34</v>
      </c>
      <c r="C69" s="3" t="s">
        <v>35</v>
      </c>
      <c r="D69" s="14" t="s">
        <v>2436</v>
      </c>
      <c r="E69" s="3" t="s">
        <v>49</v>
      </c>
      <c r="F69" s="9">
        <v>45910</v>
      </c>
      <c r="G69" s="5" t="s">
        <v>2433</v>
      </c>
      <c r="H69" s="5"/>
      <c r="I69" s="5" t="str">
        <f t="shared" si="0"/>
        <v>PROCESSO FOI ATUALIZADO</v>
      </c>
      <c r="J69" s="5"/>
      <c r="K69" s="5"/>
      <c r="L69" s="5"/>
      <c r="M69" s="5"/>
      <c r="N69" s="5"/>
    </row>
    <row r="70" spans="1:14" ht="22.5" customHeight="1" x14ac:dyDescent="0.2">
      <c r="A70" s="21" t="s">
        <v>180</v>
      </c>
      <c r="B70" s="3" t="s">
        <v>34</v>
      </c>
      <c r="C70" s="3" t="s">
        <v>35</v>
      </c>
      <c r="D70" s="14" t="s">
        <v>2265</v>
      </c>
      <c r="E70" s="3" t="s">
        <v>181</v>
      </c>
      <c r="F70" s="9">
        <v>45910</v>
      </c>
      <c r="G70" s="5" t="s">
        <v>2095</v>
      </c>
      <c r="H70" s="5"/>
      <c r="I70" s="5" t="str">
        <f t="shared" si="0"/>
        <v>PROCESSO FOI ATUALIZADO</v>
      </c>
      <c r="J70" s="5"/>
      <c r="K70" s="5"/>
      <c r="L70" s="5"/>
      <c r="M70" s="5"/>
      <c r="N70" s="5"/>
    </row>
    <row r="71" spans="1:14" ht="22.5" customHeight="1" x14ac:dyDescent="0.2">
      <c r="A71" s="21" t="s">
        <v>218</v>
      </c>
      <c r="B71" s="3" t="s">
        <v>34</v>
      </c>
      <c r="C71" s="3" t="s">
        <v>35</v>
      </c>
      <c r="D71" s="14" t="s">
        <v>2266</v>
      </c>
      <c r="E71" s="3" t="s">
        <v>216</v>
      </c>
      <c r="F71" s="9">
        <v>45910</v>
      </c>
      <c r="G71" s="5" t="s">
        <v>2095</v>
      </c>
      <c r="H71" s="5"/>
      <c r="I71" s="5" t="str">
        <f t="shared" si="0"/>
        <v>PROCESSO FOI ATUALIZADO</v>
      </c>
      <c r="J71" s="5"/>
      <c r="K71" s="5"/>
      <c r="L71" s="5"/>
      <c r="M71" s="5"/>
      <c r="N71" s="5"/>
    </row>
    <row r="72" spans="1:14" ht="22.5" customHeight="1" x14ac:dyDescent="0.2">
      <c r="A72" s="21" t="s">
        <v>215</v>
      </c>
      <c r="B72" s="3" t="s">
        <v>34</v>
      </c>
      <c r="C72" s="3" t="s">
        <v>35</v>
      </c>
      <c r="D72" s="14" t="s">
        <v>2267</v>
      </c>
      <c r="E72" s="3" t="s">
        <v>216</v>
      </c>
      <c r="F72" s="9">
        <v>45910</v>
      </c>
      <c r="G72" s="5" t="s">
        <v>2095</v>
      </c>
      <c r="H72" s="5"/>
      <c r="I72" s="5" t="str">
        <f t="shared" si="0"/>
        <v>PROCESSO FOI ATUALIZADO</v>
      </c>
      <c r="J72" s="5"/>
      <c r="K72" s="5"/>
      <c r="L72" s="5"/>
      <c r="M72" s="5"/>
      <c r="N72" s="5"/>
    </row>
    <row r="73" spans="1:14" ht="22.5" customHeight="1" x14ac:dyDescent="0.2">
      <c r="A73" s="21" t="s">
        <v>193</v>
      </c>
      <c r="B73" s="3" t="s">
        <v>34</v>
      </c>
      <c r="C73" s="3" t="s">
        <v>35</v>
      </c>
      <c r="D73" s="14" t="s">
        <v>2429</v>
      </c>
      <c r="E73" s="3" t="s">
        <v>69</v>
      </c>
      <c r="F73" s="9">
        <v>45909</v>
      </c>
      <c r="G73" s="5" t="s">
        <v>70</v>
      </c>
      <c r="H73" s="5"/>
      <c r="I73" s="5" t="str">
        <f t="shared" si="0"/>
        <v>PROCESSO FOI ATUALIZADO</v>
      </c>
      <c r="J73" s="5"/>
      <c r="K73" s="5"/>
      <c r="L73" s="5"/>
      <c r="M73" s="5"/>
      <c r="N73" s="5"/>
    </row>
    <row r="74" spans="1:14" ht="22.5" customHeight="1" x14ac:dyDescent="0.2">
      <c r="A74" s="21" t="s">
        <v>272</v>
      </c>
      <c r="B74" s="3" t="s">
        <v>34</v>
      </c>
      <c r="C74" s="3" t="s">
        <v>35</v>
      </c>
      <c r="D74" s="14" t="s">
        <v>2268</v>
      </c>
      <c r="E74" s="3" t="s">
        <v>273</v>
      </c>
      <c r="F74" s="9">
        <v>45905</v>
      </c>
      <c r="G74" s="5" t="s">
        <v>2095</v>
      </c>
      <c r="H74" s="5"/>
      <c r="I74" s="5" t="str">
        <f t="shared" si="0"/>
        <v>PROCESSO FOI ATUALIZADO</v>
      </c>
      <c r="J74" s="5"/>
      <c r="K74" s="5"/>
      <c r="L74" s="5"/>
      <c r="M74" s="5"/>
      <c r="N74" s="5"/>
    </row>
    <row r="75" spans="1:14" ht="22.5" customHeight="1" x14ac:dyDescent="0.2">
      <c r="A75" s="21" t="s">
        <v>208</v>
      </c>
      <c r="B75" s="3" t="s">
        <v>34</v>
      </c>
      <c r="C75" s="3" t="s">
        <v>35</v>
      </c>
      <c r="D75" s="14" t="s">
        <v>2437</v>
      </c>
      <c r="E75" s="3" t="s">
        <v>209</v>
      </c>
      <c r="F75" s="9">
        <v>45904</v>
      </c>
      <c r="G75" s="5" t="s">
        <v>2095</v>
      </c>
      <c r="H75" s="5"/>
      <c r="I75" s="5" t="str">
        <f t="shared" si="0"/>
        <v>PROCESSO FOI ATUALIZADO</v>
      </c>
      <c r="J75" s="5"/>
      <c r="K75" s="5"/>
      <c r="L75" s="5"/>
      <c r="M75" s="5"/>
      <c r="N75" s="5"/>
    </row>
    <row r="76" spans="1:14" ht="22.5" customHeight="1" x14ac:dyDescent="0.2">
      <c r="A76" s="21" t="s">
        <v>229</v>
      </c>
      <c r="B76" s="3" t="s">
        <v>34</v>
      </c>
      <c r="C76" s="3" t="s">
        <v>35</v>
      </c>
      <c r="D76" s="14" t="s">
        <v>2269</v>
      </c>
      <c r="E76" s="3" t="s">
        <v>174</v>
      </c>
      <c r="F76" s="9">
        <v>45904</v>
      </c>
      <c r="G76" s="5" t="s">
        <v>2095</v>
      </c>
      <c r="H76" s="5"/>
      <c r="I76" s="5" t="str">
        <f t="shared" si="0"/>
        <v>PROCESSO FOI ATUALIZADO</v>
      </c>
      <c r="J76" s="5"/>
      <c r="K76" s="5"/>
      <c r="L76" s="5"/>
      <c r="M76" s="5"/>
      <c r="N76" s="5"/>
    </row>
    <row r="77" spans="1:14" ht="22.5" customHeight="1" x14ac:dyDescent="0.2">
      <c r="A77" s="21" t="s">
        <v>205</v>
      </c>
      <c r="B77" s="3" t="s">
        <v>34</v>
      </c>
      <c r="C77" s="3" t="s">
        <v>35</v>
      </c>
      <c r="D77" s="14" t="s">
        <v>2270</v>
      </c>
      <c r="E77" s="3" t="s">
        <v>206</v>
      </c>
      <c r="F77" s="9">
        <v>45904</v>
      </c>
      <c r="G77" s="5" t="s">
        <v>2095</v>
      </c>
      <c r="H77" s="5"/>
      <c r="I77" s="5" t="str">
        <f t="shared" si="0"/>
        <v>PROCESSO FOI ATUALIZADO</v>
      </c>
      <c r="J77" s="5"/>
      <c r="K77" s="5"/>
      <c r="L77" s="5"/>
      <c r="M77" s="5"/>
      <c r="N77" s="5"/>
    </row>
    <row r="78" spans="1:14" ht="22.5" customHeight="1" x14ac:dyDescent="0.2">
      <c r="A78" s="21" t="s">
        <v>189</v>
      </c>
      <c r="B78" s="3" t="s">
        <v>34</v>
      </c>
      <c r="C78" s="3" t="s">
        <v>35</v>
      </c>
      <c r="D78" s="14" t="s">
        <v>2271</v>
      </c>
      <c r="E78" s="3" t="s">
        <v>190</v>
      </c>
      <c r="F78" s="9">
        <v>45904</v>
      </c>
      <c r="G78" s="5" t="s">
        <v>2095</v>
      </c>
      <c r="H78" s="5"/>
      <c r="I78" s="5" t="str">
        <f t="shared" si="0"/>
        <v>PROCESSO FOI ATUALIZADO</v>
      </c>
      <c r="J78" s="5"/>
      <c r="K78" s="5"/>
      <c r="L78" s="5"/>
      <c r="M78" s="5"/>
      <c r="N78" s="5"/>
    </row>
    <row r="79" spans="1:14" ht="22.5" customHeight="1" x14ac:dyDescent="0.2">
      <c r="A79" s="21" t="s">
        <v>176</v>
      </c>
      <c r="B79" s="3" t="s">
        <v>34</v>
      </c>
      <c r="C79" s="3" t="s">
        <v>35</v>
      </c>
      <c r="D79" s="14" t="s">
        <v>2438</v>
      </c>
      <c r="E79" s="3" t="s">
        <v>177</v>
      </c>
      <c r="F79" s="9">
        <v>45904</v>
      </c>
      <c r="G79" s="5" t="s">
        <v>2439</v>
      </c>
      <c r="H79" s="5"/>
      <c r="I79" s="5" t="str">
        <f t="shared" si="0"/>
        <v>PROCESSO FOI ATUALIZADO</v>
      </c>
      <c r="J79" s="5"/>
      <c r="K79" s="5"/>
      <c r="L79" s="5"/>
      <c r="M79" s="5"/>
      <c r="N79" s="5"/>
    </row>
    <row r="80" spans="1:14" ht="22.5" customHeight="1" x14ac:dyDescent="0.2">
      <c r="A80" s="21" t="s">
        <v>261</v>
      </c>
      <c r="B80" s="3" t="s">
        <v>34</v>
      </c>
      <c r="C80" s="3" t="s">
        <v>35</v>
      </c>
      <c r="D80" s="14" t="s">
        <v>2272</v>
      </c>
      <c r="E80" s="3" t="s">
        <v>262</v>
      </c>
      <c r="F80" s="9">
        <v>45898</v>
      </c>
      <c r="G80" s="5" t="s">
        <v>2110</v>
      </c>
      <c r="H80" s="5"/>
      <c r="I80" s="5" t="str">
        <f t="shared" si="0"/>
        <v>PROCESSO FOI ATUALIZADO</v>
      </c>
      <c r="J80" s="5"/>
      <c r="K80" s="5"/>
      <c r="L80" s="5"/>
      <c r="M80" s="5"/>
      <c r="N80" s="5"/>
    </row>
    <row r="81" spans="1:14" ht="22.5" customHeight="1" x14ac:dyDescent="0.2">
      <c r="A81" s="21" t="s">
        <v>283</v>
      </c>
      <c r="B81" s="3" t="s">
        <v>34</v>
      </c>
      <c r="C81" s="3" t="s">
        <v>35</v>
      </c>
      <c r="D81" s="14" t="s">
        <v>2119</v>
      </c>
      <c r="E81" s="3" t="s">
        <v>138</v>
      </c>
      <c r="F81" s="9">
        <v>45898</v>
      </c>
      <c r="G81" s="5" t="s">
        <v>2095</v>
      </c>
      <c r="H81" s="5"/>
      <c r="I81" s="5" t="str">
        <f t="shared" si="0"/>
        <v>PROCESSO FOI ATUALIZADO</v>
      </c>
      <c r="J81" s="5"/>
      <c r="K81" s="5"/>
      <c r="L81" s="5"/>
      <c r="M81" s="5"/>
      <c r="N81" s="5"/>
    </row>
    <row r="82" spans="1:14" ht="22.5" customHeight="1" x14ac:dyDescent="0.2">
      <c r="A82" s="21" t="s">
        <v>194</v>
      </c>
      <c r="B82" s="3" t="s">
        <v>34</v>
      </c>
      <c r="C82" s="3" t="s">
        <v>35</v>
      </c>
      <c r="D82" s="14" t="s">
        <v>2139</v>
      </c>
      <c r="E82" s="3" t="s">
        <v>195</v>
      </c>
      <c r="F82" s="9">
        <v>45898</v>
      </c>
      <c r="G82" s="5" t="s">
        <v>2095</v>
      </c>
      <c r="H82" s="5"/>
      <c r="I82" s="5" t="str">
        <f t="shared" si="0"/>
        <v>PROCESSO FOI ATUALIZADO</v>
      </c>
      <c r="J82" s="5"/>
      <c r="K82" s="5"/>
      <c r="L82" s="5"/>
      <c r="M82" s="5"/>
      <c r="N82" s="5"/>
    </row>
    <row r="83" spans="1:14" ht="22.5" customHeight="1" x14ac:dyDescent="0.2">
      <c r="A83" s="5" t="s">
        <v>281</v>
      </c>
      <c r="B83" s="3" t="s">
        <v>34</v>
      </c>
      <c r="C83" s="3" t="s">
        <v>35</v>
      </c>
      <c r="D83" s="3" t="s">
        <v>2273</v>
      </c>
      <c r="E83" s="3" t="s">
        <v>108</v>
      </c>
      <c r="F83" s="9">
        <v>45897</v>
      </c>
      <c r="G83" s="5" t="s">
        <v>2110</v>
      </c>
      <c r="H83" s="5"/>
      <c r="I83" s="5" t="str">
        <f t="shared" si="0"/>
        <v>PROCESSO FOI ATUALIZADO</v>
      </c>
      <c r="J83" s="5"/>
      <c r="K83" s="5"/>
      <c r="L83" s="5"/>
      <c r="M83" s="5"/>
      <c r="N83" s="5"/>
    </row>
    <row r="84" spans="1:14" ht="22.5" customHeight="1" x14ac:dyDescent="0.2">
      <c r="A84" s="21" t="s">
        <v>183</v>
      </c>
      <c r="B84" s="3" t="s">
        <v>34</v>
      </c>
      <c r="C84" s="3" t="s">
        <v>35</v>
      </c>
      <c r="D84" s="14" t="s">
        <v>2147</v>
      </c>
      <c r="E84" s="3" t="s">
        <v>184</v>
      </c>
      <c r="F84" s="9">
        <v>45897</v>
      </c>
      <c r="G84" s="5" t="s">
        <v>2095</v>
      </c>
      <c r="H84" s="5"/>
      <c r="I84" s="5" t="str">
        <f t="shared" si="0"/>
        <v>PROCESSO FOI ATUALIZADO</v>
      </c>
      <c r="J84" s="5"/>
      <c r="K84" s="5"/>
      <c r="L84" s="5"/>
      <c r="M84" s="5"/>
      <c r="N84" s="5"/>
    </row>
    <row r="85" spans="1:14" ht="22.5" customHeight="1" x14ac:dyDescent="0.2">
      <c r="A85" s="21" t="s">
        <v>269</v>
      </c>
      <c r="B85" s="3" t="s">
        <v>34</v>
      </c>
      <c r="C85" s="3" t="s">
        <v>35</v>
      </c>
      <c r="D85" s="14" t="s">
        <v>2274</v>
      </c>
      <c r="E85" s="3" t="s">
        <v>270</v>
      </c>
      <c r="F85" s="9">
        <v>45896</v>
      </c>
      <c r="G85" s="5" t="s">
        <v>2095</v>
      </c>
      <c r="H85" s="5"/>
      <c r="I85" s="5" t="str">
        <f t="shared" si="0"/>
        <v>PROCESSO FOI ATUALIZADO</v>
      </c>
      <c r="J85" s="5"/>
      <c r="K85" s="5"/>
      <c r="L85" s="5"/>
      <c r="M85" s="5"/>
      <c r="N85" s="5"/>
    </row>
    <row r="86" spans="1:14" ht="22.5" customHeight="1" x14ac:dyDescent="0.2">
      <c r="A86" s="21" t="s">
        <v>200</v>
      </c>
      <c r="B86" s="3" t="s">
        <v>34</v>
      </c>
      <c r="C86" s="3" t="s">
        <v>35</v>
      </c>
      <c r="D86" s="14" t="s">
        <v>2275</v>
      </c>
      <c r="E86" s="3" t="s">
        <v>79</v>
      </c>
      <c r="F86" s="9">
        <v>45896</v>
      </c>
      <c r="G86" s="5" t="s">
        <v>2095</v>
      </c>
      <c r="H86" s="5"/>
      <c r="I86" s="5" t="str">
        <f t="shared" si="0"/>
        <v>PROCESSO FOI ATUALIZADO</v>
      </c>
      <c r="J86" s="5"/>
      <c r="K86" s="5"/>
      <c r="L86" s="5"/>
      <c r="M86" s="5"/>
      <c r="N86" s="5"/>
    </row>
    <row r="87" spans="1:14" ht="22.5" customHeight="1" x14ac:dyDescent="0.2">
      <c r="A87" s="21" t="s">
        <v>238</v>
      </c>
      <c r="B87" s="3" t="s">
        <v>34</v>
      </c>
      <c r="C87" s="3" t="s">
        <v>35</v>
      </c>
      <c r="D87" s="14" t="s">
        <v>2276</v>
      </c>
      <c r="E87" s="3" t="s">
        <v>239</v>
      </c>
      <c r="F87" s="9">
        <v>45896</v>
      </c>
      <c r="G87" s="5" t="s">
        <v>2095</v>
      </c>
      <c r="H87" s="5"/>
      <c r="I87" s="5" t="str">
        <f t="shared" si="0"/>
        <v>PROCESSO FOI ATUALIZADO</v>
      </c>
      <c r="J87" s="5"/>
      <c r="K87" s="5"/>
      <c r="L87" s="5"/>
      <c r="M87" s="5"/>
      <c r="N87" s="5"/>
    </row>
    <row r="88" spans="1:14" ht="22.5" customHeight="1" x14ac:dyDescent="0.2">
      <c r="A88" s="21" t="s">
        <v>244</v>
      </c>
      <c r="B88" s="3" t="s">
        <v>34</v>
      </c>
      <c r="C88" s="3" t="s">
        <v>35</v>
      </c>
      <c r="D88" s="14" t="s">
        <v>2277</v>
      </c>
      <c r="E88" s="3" t="s">
        <v>245</v>
      </c>
      <c r="F88" s="9">
        <v>45896</v>
      </c>
      <c r="G88" s="5" t="s">
        <v>2095</v>
      </c>
      <c r="H88" s="5"/>
      <c r="I88" s="5" t="str">
        <f t="shared" si="0"/>
        <v>PROCESSO FOI ATUALIZADO</v>
      </c>
      <c r="J88" s="5"/>
      <c r="K88" s="5"/>
      <c r="L88" s="5"/>
      <c r="M88" s="5"/>
      <c r="N88" s="5"/>
    </row>
    <row r="89" spans="1:14" ht="22.5" customHeight="1" x14ac:dyDescent="0.2">
      <c r="A89" s="5" t="s">
        <v>250</v>
      </c>
      <c r="B89" s="3" t="s">
        <v>34</v>
      </c>
      <c r="C89" s="3" t="s">
        <v>35</v>
      </c>
      <c r="D89" s="3" t="s">
        <v>2278</v>
      </c>
      <c r="E89" s="3" t="s">
        <v>251</v>
      </c>
      <c r="F89" s="9">
        <v>45896</v>
      </c>
      <c r="G89" s="5" t="s">
        <v>2110</v>
      </c>
      <c r="H89" s="5"/>
      <c r="I89" s="5" t="str">
        <f t="shared" si="0"/>
        <v>PROCESSO FOI ATUALIZADO</v>
      </c>
      <c r="J89" s="5"/>
      <c r="K89" s="5"/>
      <c r="L89" s="5"/>
      <c r="M89" s="5"/>
      <c r="N89" s="5"/>
    </row>
    <row r="90" spans="1:14" ht="22.5" customHeight="1" x14ac:dyDescent="0.2">
      <c r="A90" s="21" t="s">
        <v>197</v>
      </c>
      <c r="B90" s="3" t="s">
        <v>34</v>
      </c>
      <c r="C90" s="3" t="s">
        <v>35</v>
      </c>
      <c r="D90" s="14" t="s">
        <v>2279</v>
      </c>
      <c r="E90" s="3" t="s">
        <v>198</v>
      </c>
      <c r="F90" s="9">
        <v>45894</v>
      </c>
      <c r="G90" s="5" t="s">
        <v>2095</v>
      </c>
      <c r="H90" s="5"/>
      <c r="I90" s="5" t="str">
        <f t="shared" si="0"/>
        <v>PROCESSO FOI ATUALIZADO</v>
      </c>
      <c r="J90" s="5"/>
      <c r="K90" s="5"/>
      <c r="L90" s="5"/>
      <c r="M90" s="5"/>
      <c r="N90" s="5"/>
    </row>
    <row r="91" spans="1:14" ht="22.5" customHeight="1" x14ac:dyDescent="0.2">
      <c r="A91" s="5" t="s">
        <v>285</v>
      </c>
      <c r="B91" s="3" t="s">
        <v>34</v>
      </c>
      <c r="C91" s="3" t="s">
        <v>35</v>
      </c>
      <c r="D91" s="3" t="s">
        <v>2280</v>
      </c>
      <c r="E91" s="3" t="s">
        <v>286</v>
      </c>
      <c r="F91" s="9">
        <v>45890</v>
      </c>
      <c r="G91" s="5" t="s">
        <v>2110</v>
      </c>
      <c r="H91" s="5"/>
      <c r="I91" s="5" t="str">
        <f t="shared" si="0"/>
        <v>PROCESSO FOI ATUALIZADO</v>
      </c>
      <c r="J91" s="5"/>
      <c r="K91" s="5"/>
      <c r="L91" s="5"/>
      <c r="M91" s="5"/>
      <c r="N91" s="5"/>
    </row>
    <row r="92" spans="1:14" ht="22.5" customHeight="1" x14ac:dyDescent="0.2">
      <c r="A92" s="5" t="s">
        <v>278</v>
      </c>
      <c r="B92" s="3" t="s">
        <v>34</v>
      </c>
      <c r="C92" s="3" t="s">
        <v>35</v>
      </c>
      <c r="D92" s="3" t="s">
        <v>2281</v>
      </c>
      <c r="E92" s="3" t="s">
        <v>279</v>
      </c>
      <c r="F92" s="9">
        <v>45889</v>
      </c>
      <c r="G92" s="5" t="s">
        <v>2110</v>
      </c>
      <c r="H92" s="5"/>
      <c r="I92" s="5" t="str">
        <f t="shared" si="0"/>
        <v>PROCESSO FOI ATUALIZADO</v>
      </c>
      <c r="J92" s="5"/>
      <c r="K92" s="5"/>
      <c r="L92" s="5"/>
      <c r="M92" s="5"/>
      <c r="N92" s="5"/>
    </row>
    <row r="93" spans="1:14" ht="22.5" customHeight="1" x14ac:dyDescent="0.2">
      <c r="A93" s="21" t="s">
        <v>202</v>
      </c>
      <c r="B93" s="3" t="s">
        <v>34</v>
      </c>
      <c r="C93" s="3" t="s">
        <v>35</v>
      </c>
      <c r="D93" s="14" t="s">
        <v>2139</v>
      </c>
      <c r="E93" s="3" t="s">
        <v>195</v>
      </c>
      <c r="F93" s="9">
        <v>45888</v>
      </c>
      <c r="G93" s="5" t="s">
        <v>37</v>
      </c>
      <c r="H93" s="5"/>
      <c r="I93" s="5" t="str">
        <f t="shared" si="0"/>
        <v>PROCESSO FOI ATUALIZADO</v>
      </c>
      <c r="J93" s="5"/>
      <c r="K93" s="5"/>
      <c r="L93" s="5"/>
      <c r="M93" s="5"/>
      <c r="N93" s="5"/>
    </row>
    <row r="94" spans="1:14" ht="22.5" customHeight="1" x14ac:dyDescent="0.2">
      <c r="A94" s="21" t="s">
        <v>241</v>
      </c>
      <c r="B94" s="3" t="s">
        <v>34</v>
      </c>
      <c r="C94" s="3" t="s">
        <v>35</v>
      </c>
      <c r="D94" s="14" t="s">
        <v>2123</v>
      </c>
      <c r="E94" s="3" t="s">
        <v>121</v>
      </c>
      <c r="F94" s="9">
        <v>45888</v>
      </c>
      <c r="G94" s="5" t="s">
        <v>153</v>
      </c>
      <c r="H94" s="5"/>
      <c r="I94" s="5" t="str">
        <f t="shared" si="0"/>
        <v>PROCESSO FOI ATUALIZADO</v>
      </c>
      <c r="J94" s="5"/>
      <c r="K94" s="5"/>
      <c r="L94" s="5"/>
      <c r="M94" s="5"/>
      <c r="N94" s="5"/>
    </row>
    <row r="95" spans="1:14" ht="22.5" customHeight="1" x14ac:dyDescent="0.2">
      <c r="A95" s="5" t="s">
        <v>266</v>
      </c>
      <c r="B95" s="3" t="s">
        <v>34</v>
      </c>
      <c r="C95" s="3" t="s">
        <v>35</v>
      </c>
      <c r="D95" s="3" t="s">
        <v>2282</v>
      </c>
      <c r="E95" s="3" t="s">
        <v>267</v>
      </c>
      <c r="F95" s="9">
        <v>45888</v>
      </c>
      <c r="G95" s="5" t="s">
        <v>2110</v>
      </c>
      <c r="H95" s="5"/>
      <c r="I95" s="5" t="str">
        <f t="shared" si="0"/>
        <v>PROCESSO FOI ATUALIZADO</v>
      </c>
      <c r="J95" s="5"/>
      <c r="K95" s="5"/>
      <c r="L95" s="5"/>
      <c r="M95" s="5"/>
      <c r="N95" s="5"/>
    </row>
    <row r="96" spans="1:14" ht="22.5" customHeight="1" x14ac:dyDescent="0.2">
      <c r="A96" s="21" t="s">
        <v>225</v>
      </c>
      <c r="B96" s="3" t="s">
        <v>34</v>
      </c>
      <c r="C96" s="3" t="s">
        <v>35</v>
      </c>
      <c r="D96" s="14" t="s">
        <v>2318</v>
      </c>
      <c r="E96" s="3" t="s">
        <v>226</v>
      </c>
      <c r="F96" s="9">
        <v>45887</v>
      </c>
      <c r="G96" s="5" t="s">
        <v>70</v>
      </c>
      <c r="H96" s="5"/>
      <c r="I96" s="5" t="str">
        <f t="shared" si="0"/>
        <v>PROCESSO FOI ATUALIZADO</v>
      </c>
      <c r="J96" s="5"/>
      <c r="K96" s="5"/>
      <c r="L96" s="5"/>
      <c r="M96" s="5"/>
      <c r="N96" s="5"/>
    </row>
    <row r="97" spans="1:14" ht="22.5" customHeight="1" x14ac:dyDescent="0.2">
      <c r="A97" s="21" t="s">
        <v>247</v>
      </c>
      <c r="B97" s="3" t="s">
        <v>34</v>
      </c>
      <c r="C97" s="3" t="s">
        <v>35</v>
      </c>
      <c r="D97" s="14" t="s">
        <v>2283</v>
      </c>
      <c r="E97" s="3" t="s">
        <v>248</v>
      </c>
      <c r="F97" s="9">
        <v>45887</v>
      </c>
      <c r="G97" s="5" t="s">
        <v>2095</v>
      </c>
      <c r="H97" s="5"/>
      <c r="I97" s="5" t="str">
        <f t="shared" si="0"/>
        <v>PROCESSO FOI ATUALIZADO</v>
      </c>
      <c r="J97" s="5"/>
      <c r="K97" s="5"/>
      <c r="L97" s="5"/>
      <c r="M97" s="5"/>
      <c r="N97" s="5"/>
    </row>
    <row r="98" spans="1:14" ht="22.5" customHeight="1" x14ac:dyDescent="0.2">
      <c r="A98" s="21" t="s">
        <v>186</v>
      </c>
      <c r="B98" s="3" t="s">
        <v>34</v>
      </c>
      <c r="C98" s="3" t="s">
        <v>35</v>
      </c>
      <c r="D98" s="14" t="s">
        <v>2284</v>
      </c>
      <c r="E98" s="3" t="s">
        <v>187</v>
      </c>
      <c r="F98" s="9">
        <v>45884</v>
      </c>
      <c r="G98" s="5" t="s">
        <v>2095</v>
      </c>
      <c r="H98" s="5"/>
      <c r="I98" s="5" t="str">
        <f t="shared" si="0"/>
        <v>PROCESSO FOI ATUALIZADO</v>
      </c>
      <c r="J98" s="5"/>
      <c r="K98" s="5"/>
      <c r="L98" s="5"/>
      <c r="M98" s="5"/>
      <c r="N98" s="5"/>
    </row>
    <row r="99" spans="1:14" ht="22.5" customHeight="1" x14ac:dyDescent="0.2">
      <c r="A99" s="21" t="s">
        <v>203</v>
      </c>
      <c r="B99" s="3" t="s">
        <v>34</v>
      </c>
      <c r="C99" s="3" t="s">
        <v>35</v>
      </c>
      <c r="D99" s="14" t="s">
        <v>2285</v>
      </c>
      <c r="E99" s="3" t="s">
        <v>127</v>
      </c>
      <c r="F99" s="9">
        <v>45884</v>
      </c>
      <c r="G99" s="5" t="s">
        <v>2095</v>
      </c>
      <c r="H99" s="5"/>
      <c r="I99" s="5" t="str">
        <f t="shared" si="0"/>
        <v>PROCESSO FOI ATUALIZADO</v>
      </c>
      <c r="J99" s="5"/>
      <c r="K99" s="5"/>
      <c r="L99" s="5"/>
      <c r="M99" s="5"/>
      <c r="N99" s="5"/>
    </row>
    <row r="100" spans="1:14" ht="22.5" customHeight="1" x14ac:dyDescent="0.2">
      <c r="A100" s="21" t="s">
        <v>253</v>
      </c>
      <c r="B100" s="3" t="s">
        <v>34</v>
      </c>
      <c r="C100" s="3" t="s">
        <v>35</v>
      </c>
      <c r="D100" s="14" t="s">
        <v>2286</v>
      </c>
      <c r="E100" s="3" t="s">
        <v>254</v>
      </c>
      <c r="F100" s="9">
        <v>45884</v>
      </c>
      <c r="G100" s="5" t="s">
        <v>2095</v>
      </c>
      <c r="H100" s="5"/>
      <c r="I100" s="5" t="str">
        <f t="shared" si="0"/>
        <v>PROCESSO FOI ATUALIZADO</v>
      </c>
      <c r="J100" s="5"/>
      <c r="K100" s="5"/>
      <c r="L100" s="5"/>
      <c r="M100" s="5"/>
      <c r="N100" s="5"/>
    </row>
    <row r="101" spans="1:14" ht="22.5" customHeight="1" x14ac:dyDescent="0.2">
      <c r="A101" s="21" t="s">
        <v>234</v>
      </c>
      <c r="B101" s="3" t="s">
        <v>34</v>
      </c>
      <c r="C101" s="3" t="s">
        <v>35</v>
      </c>
      <c r="D101" s="14" t="s">
        <v>2287</v>
      </c>
      <c r="E101" s="3" t="s">
        <v>235</v>
      </c>
      <c r="F101" s="9">
        <v>45884</v>
      </c>
      <c r="G101" s="5" t="s">
        <v>2095</v>
      </c>
      <c r="H101" s="5"/>
      <c r="I101" s="5" t="str">
        <f t="shared" si="0"/>
        <v>PROCESSO FOI ATUALIZADO</v>
      </c>
      <c r="J101" s="5"/>
      <c r="K101" s="5"/>
      <c r="L101" s="5"/>
      <c r="M101" s="5"/>
      <c r="N101" s="5"/>
    </row>
    <row r="102" spans="1:14" ht="22.5" customHeight="1" x14ac:dyDescent="0.2">
      <c r="A102" s="21" t="s">
        <v>264</v>
      </c>
      <c r="B102" s="3" t="s">
        <v>34</v>
      </c>
      <c r="C102" s="3" t="s">
        <v>35</v>
      </c>
      <c r="D102" s="14" t="s">
        <v>2171</v>
      </c>
      <c r="E102" s="3" t="s">
        <v>228</v>
      </c>
      <c r="F102" s="9">
        <v>45884</v>
      </c>
      <c r="G102" s="5" t="s">
        <v>2095</v>
      </c>
      <c r="H102" s="5"/>
      <c r="I102" s="5" t="str">
        <f t="shared" si="0"/>
        <v>PROCESSO FOI ATUALIZADO</v>
      </c>
      <c r="J102" s="5"/>
      <c r="K102" s="5"/>
      <c r="L102" s="5"/>
      <c r="M102" s="5"/>
      <c r="N102" s="5"/>
    </row>
    <row r="103" spans="1:14" ht="22.5" customHeight="1" x14ac:dyDescent="0.2">
      <c r="A103" s="21" t="s">
        <v>173</v>
      </c>
      <c r="B103" s="3" t="s">
        <v>34</v>
      </c>
      <c r="C103" s="3" t="s">
        <v>35</v>
      </c>
      <c r="D103" s="14" t="s">
        <v>2288</v>
      </c>
      <c r="E103" s="3" t="s">
        <v>174</v>
      </c>
      <c r="F103" s="9">
        <v>45884</v>
      </c>
      <c r="G103" s="5" t="s">
        <v>2095</v>
      </c>
      <c r="H103" s="5"/>
      <c r="I103" s="5" t="str">
        <f t="shared" si="0"/>
        <v>PROCESSO FOI ATUALIZADO</v>
      </c>
      <c r="J103" s="5"/>
      <c r="K103" s="5"/>
      <c r="L103" s="5"/>
      <c r="M103" s="5"/>
      <c r="N103" s="5"/>
    </row>
    <row r="104" spans="1:14" ht="22.5" customHeight="1" x14ac:dyDescent="0.2">
      <c r="A104" s="21" t="s">
        <v>222</v>
      </c>
      <c r="B104" s="3" t="s">
        <v>34</v>
      </c>
      <c r="C104" s="3" t="s">
        <v>35</v>
      </c>
      <c r="D104" s="14" t="s">
        <v>2289</v>
      </c>
      <c r="E104" s="3" t="s">
        <v>223</v>
      </c>
      <c r="F104" s="9">
        <v>45884</v>
      </c>
      <c r="G104" s="5" t="s">
        <v>2095</v>
      </c>
      <c r="H104" s="5"/>
      <c r="I104" s="5" t="str">
        <f t="shared" si="0"/>
        <v>PROCESSO FOI ATUALIZADO</v>
      </c>
      <c r="J104" s="5"/>
      <c r="K104" s="5"/>
      <c r="L104" s="5"/>
      <c r="M104" s="5"/>
      <c r="N104" s="5"/>
    </row>
    <row r="105" spans="1:14" ht="22.5" customHeight="1" x14ac:dyDescent="0.2">
      <c r="A105" s="21" t="s">
        <v>170</v>
      </c>
      <c r="B105" s="3" t="s">
        <v>34</v>
      </c>
      <c r="C105" s="3" t="s">
        <v>35</v>
      </c>
      <c r="D105" s="14" t="s">
        <v>2290</v>
      </c>
      <c r="E105" s="3" t="s">
        <v>171</v>
      </c>
      <c r="F105" s="9">
        <v>45883</v>
      </c>
      <c r="G105" s="5" t="s">
        <v>2095</v>
      </c>
      <c r="H105" s="5"/>
      <c r="I105" s="5" t="str">
        <f t="shared" si="0"/>
        <v>PROCESSO FOI ATUALIZADO</v>
      </c>
      <c r="J105" s="5"/>
      <c r="K105" s="5"/>
      <c r="L105" s="5"/>
      <c r="M105" s="5"/>
      <c r="N105" s="5"/>
    </row>
    <row r="106" spans="1:14" ht="22.5" customHeight="1" x14ac:dyDescent="0.2">
      <c r="A106" s="21" t="s">
        <v>167</v>
      </c>
      <c r="B106" s="3" t="s">
        <v>34</v>
      </c>
      <c r="C106" s="3" t="s">
        <v>35</v>
      </c>
      <c r="D106" s="14" t="s">
        <v>2136</v>
      </c>
      <c r="E106" s="3" t="s">
        <v>118</v>
      </c>
      <c r="F106" s="9">
        <v>45883</v>
      </c>
      <c r="G106" s="5" t="s">
        <v>37</v>
      </c>
      <c r="H106" s="5"/>
      <c r="I106" s="5" t="str">
        <f t="shared" si="0"/>
        <v>PROCESSO FOI ATUALIZADO</v>
      </c>
      <c r="J106" s="5"/>
      <c r="K106" s="5"/>
      <c r="L106" s="5"/>
      <c r="M106" s="5"/>
      <c r="N106" s="5"/>
    </row>
    <row r="107" spans="1:14" ht="22.5" customHeight="1" x14ac:dyDescent="0.2">
      <c r="A107" s="21" t="s">
        <v>211</v>
      </c>
      <c r="B107" s="3" t="s">
        <v>34</v>
      </c>
      <c r="C107" s="3" t="s">
        <v>35</v>
      </c>
      <c r="D107" s="14" t="s">
        <v>2291</v>
      </c>
      <c r="E107" s="3" t="s">
        <v>198</v>
      </c>
      <c r="F107" s="9">
        <v>45882</v>
      </c>
      <c r="G107" s="5" t="s">
        <v>2095</v>
      </c>
      <c r="H107" s="5"/>
      <c r="I107" s="5" t="str">
        <f t="shared" si="0"/>
        <v>PROCESSO FOI ATUALIZADO</v>
      </c>
      <c r="J107" s="5"/>
      <c r="K107" s="5"/>
      <c r="L107" s="5"/>
      <c r="M107" s="5"/>
      <c r="N107" s="5"/>
    </row>
    <row r="108" spans="1:14" ht="22.5" customHeight="1" x14ac:dyDescent="0.2">
      <c r="A108" s="21" t="s">
        <v>275</v>
      </c>
      <c r="B108" s="3" t="s">
        <v>34</v>
      </c>
      <c r="C108" s="3" t="s">
        <v>35</v>
      </c>
      <c r="D108" s="14" t="s">
        <v>2292</v>
      </c>
      <c r="E108" s="3" t="s">
        <v>276</v>
      </c>
      <c r="F108" s="9">
        <v>45882</v>
      </c>
      <c r="G108" s="5" t="s">
        <v>2110</v>
      </c>
      <c r="H108" s="5"/>
      <c r="I108" s="5" t="str">
        <f t="shared" si="0"/>
        <v>PROCESSO FOI ATUALIZADO</v>
      </c>
      <c r="J108" s="5"/>
      <c r="K108" s="5"/>
      <c r="L108" s="5"/>
      <c r="M108" s="5"/>
      <c r="N108" s="5"/>
    </row>
    <row r="109" spans="1:14" ht="22.5" customHeight="1" x14ac:dyDescent="0.2">
      <c r="A109" s="21" t="s">
        <v>257</v>
      </c>
      <c r="B109" s="3" t="s">
        <v>34</v>
      </c>
      <c r="C109" s="3" t="s">
        <v>35</v>
      </c>
      <c r="D109" s="14" t="s">
        <v>2293</v>
      </c>
      <c r="E109" s="3" t="s">
        <v>258</v>
      </c>
      <c r="F109" s="9">
        <v>45877</v>
      </c>
      <c r="G109" s="5" t="s">
        <v>2095</v>
      </c>
      <c r="H109" s="5"/>
      <c r="I109" s="5" t="str">
        <f t="shared" si="0"/>
        <v>PROCESSO FOI ATUALIZADO</v>
      </c>
      <c r="J109" s="5"/>
      <c r="K109" s="5"/>
      <c r="L109" s="5"/>
      <c r="M109" s="5"/>
      <c r="N109" s="5"/>
    </row>
    <row r="110" spans="1:14" ht="22.5" customHeight="1" x14ac:dyDescent="0.2">
      <c r="A110" s="21" t="s">
        <v>220</v>
      </c>
      <c r="B110" s="3" t="s">
        <v>34</v>
      </c>
      <c r="C110" s="3" t="s">
        <v>35</v>
      </c>
      <c r="D110" s="14" t="s">
        <v>2294</v>
      </c>
      <c r="E110" s="3" t="s">
        <v>105</v>
      </c>
      <c r="F110" s="9">
        <v>45877</v>
      </c>
      <c r="G110" s="5" t="s">
        <v>2095</v>
      </c>
      <c r="H110" s="5"/>
      <c r="I110" s="5" t="str">
        <f t="shared" si="0"/>
        <v>PROCESSO FOI ATUALIZADO</v>
      </c>
      <c r="J110" s="5"/>
      <c r="K110" s="5"/>
      <c r="L110" s="5"/>
      <c r="M110" s="5"/>
      <c r="N110" s="5"/>
    </row>
    <row r="111" spans="1:14" ht="22.5" customHeight="1" x14ac:dyDescent="0.2">
      <c r="A111" s="21" t="s">
        <v>327</v>
      </c>
      <c r="B111" s="3" t="s">
        <v>34</v>
      </c>
      <c r="C111" s="3" t="s">
        <v>35</v>
      </c>
      <c r="D111" s="14" t="s">
        <v>2285</v>
      </c>
      <c r="E111" s="3" t="s">
        <v>127</v>
      </c>
      <c r="F111" s="9">
        <v>45876</v>
      </c>
      <c r="G111" s="5" t="s">
        <v>37</v>
      </c>
      <c r="H111" s="5"/>
      <c r="I111" s="5" t="str">
        <f t="shared" si="0"/>
        <v>PROCESSO FOI ATUALIZADO</v>
      </c>
      <c r="J111" s="5"/>
      <c r="K111" s="5"/>
      <c r="L111" s="5"/>
      <c r="M111" s="5"/>
      <c r="N111" s="5"/>
    </row>
    <row r="112" spans="1:14" ht="22.5" customHeight="1" x14ac:dyDescent="0.2">
      <c r="A112" s="21" t="s">
        <v>300</v>
      </c>
      <c r="B112" s="3" t="s">
        <v>34</v>
      </c>
      <c r="C112" s="3" t="s">
        <v>35</v>
      </c>
      <c r="D112" s="14" t="s">
        <v>2295</v>
      </c>
      <c r="E112" s="3" t="s">
        <v>127</v>
      </c>
      <c r="F112" s="9">
        <v>45876</v>
      </c>
      <c r="G112" s="5" t="s">
        <v>2095</v>
      </c>
      <c r="H112" s="5"/>
      <c r="I112" s="5" t="str">
        <f t="shared" si="0"/>
        <v>PROCESSO FOI ATUALIZADO</v>
      </c>
      <c r="J112" s="5"/>
      <c r="K112" s="5"/>
      <c r="L112" s="5"/>
      <c r="M112" s="5"/>
      <c r="N112" s="5"/>
    </row>
    <row r="113" spans="1:14" ht="22.5" customHeight="1" x14ac:dyDescent="0.2">
      <c r="A113" s="21" t="s">
        <v>302</v>
      </c>
      <c r="B113" s="3" t="s">
        <v>34</v>
      </c>
      <c r="C113" s="3" t="s">
        <v>35</v>
      </c>
      <c r="D113" s="14" t="s">
        <v>2295</v>
      </c>
      <c r="E113" s="3" t="s">
        <v>127</v>
      </c>
      <c r="F113" s="9">
        <v>45876</v>
      </c>
      <c r="G113" s="5" t="s">
        <v>37</v>
      </c>
      <c r="H113" s="5"/>
      <c r="I113" s="5" t="str">
        <f t="shared" si="0"/>
        <v>PROCESSO FOI ATUALIZADO</v>
      </c>
      <c r="J113" s="5"/>
      <c r="K113" s="5"/>
      <c r="L113" s="5"/>
      <c r="M113" s="5"/>
      <c r="N113" s="5"/>
    </row>
    <row r="114" spans="1:14" ht="22.5" customHeight="1" x14ac:dyDescent="0.2">
      <c r="A114" s="21" t="s">
        <v>315</v>
      </c>
      <c r="B114" s="3" t="s">
        <v>34</v>
      </c>
      <c r="C114" s="3" t="s">
        <v>35</v>
      </c>
      <c r="D114" s="14" t="s">
        <v>2440</v>
      </c>
      <c r="E114" s="3" t="s">
        <v>41</v>
      </c>
      <c r="F114" s="9">
        <v>45876</v>
      </c>
      <c r="G114" s="5" t="s">
        <v>37</v>
      </c>
      <c r="H114" s="5"/>
      <c r="I114" s="5" t="str">
        <f t="shared" si="0"/>
        <v>PROCESSO FOI ATUALIZADO</v>
      </c>
      <c r="J114" s="5"/>
      <c r="K114" s="5"/>
      <c r="L114" s="5"/>
      <c r="M114" s="5"/>
      <c r="N114" s="5"/>
    </row>
    <row r="115" spans="1:14" ht="22.5" customHeight="1" x14ac:dyDescent="0.2">
      <c r="A115" s="5" t="s">
        <v>382</v>
      </c>
      <c r="B115" s="3" t="s">
        <v>34</v>
      </c>
      <c r="C115" s="3" t="s">
        <v>35</v>
      </c>
      <c r="D115" s="3" t="s">
        <v>2296</v>
      </c>
      <c r="E115" s="3" t="s">
        <v>383</v>
      </c>
      <c r="F115" s="9">
        <v>45875</v>
      </c>
      <c r="G115" s="5" t="s">
        <v>2110</v>
      </c>
      <c r="H115" s="5"/>
      <c r="I115" s="5" t="str">
        <f t="shared" si="0"/>
        <v>PROCESSO FOI ATUALIZADO</v>
      </c>
      <c r="J115" s="5"/>
      <c r="K115" s="5"/>
      <c r="L115" s="5"/>
      <c r="M115" s="5"/>
      <c r="N115" s="5"/>
    </row>
    <row r="116" spans="1:14" ht="22.5" customHeight="1" x14ac:dyDescent="0.2">
      <c r="A116" s="21" t="s">
        <v>370</v>
      </c>
      <c r="B116" s="3" t="s">
        <v>34</v>
      </c>
      <c r="C116" s="3" t="s">
        <v>35</v>
      </c>
      <c r="D116" s="14" t="s">
        <v>2283</v>
      </c>
      <c r="E116" s="3" t="s">
        <v>248</v>
      </c>
      <c r="F116" s="9">
        <v>45875</v>
      </c>
      <c r="G116" s="5" t="s">
        <v>2095</v>
      </c>
      <c r="H116" s="5"/>
      <c r="I116" s="5" t="str">
        <f t="shared" si="0"/>
        <v>PROCESSO FOI ATUALIZADO</v>
      </c>
      <c r="J116" s="5"/>
      <c r="K116" s="5"/>
      <c r="L116" s="5"/>
      <c r="M116" s="5"/>
      <c r="N116" s="5"/>
    </row>
    <row r="117" spans="1:14" ht="22.5" customHeight="1" x14ac:dyDescent="0.2">
      <c r="A117" s="21" t="s">
        <v>372</v>
      </c>
      <c r="B117" s="3" t="s">
        <v>34</v>
      </c>
      <c r="C117" s="3" t="s">
        <v>35</v>
      </c>
      <c r="D117" s="14" t="s">
        <v>2441</v>
      </c>
      <c r="E117" s="3" t="s">
        <v>373</v>
      </c>
      <c r="F117" s="9">
        <v>45874</v>
      </c>
      <c r="G117" s="5" t="s">
        <v>70</v>
      </c>
      <c r="H117" s="5"/>
      <c r="I117" s="5" t="str">
        <f t="shared" si="0"/>
        <v>PROCESSO FOI ATUALIZADO</v>
      </c>
      <c r="J117" s="5"/>
      <c r="K117" s="5"/>
      <c r="L117" s="5"/>
      <c r="M117" s="5"/>
      <c r="N117" s="5"/>
    </row>
    <row r="118" spans="1:14" ht="22.5" customHeight="1" x14ac:dyDescent="0.2">
      <c r="A118" s="5" t="s">
        <v>356</v>
      </c>
      <c r="B118" s="3" t="s">
        <v>34</v>
      </c>
      <c r="C118" s="3" t="s">
        <v>35</v>
      </c>
      <c r="D118" s="3" t="s">
        <v>2298</v>
      </c>
      <c r="E118" s="3" t="s">
        <v>357</v>
      </c>
      <c r="F118" s="9">
        <v>45874</v>
      </c>
      <c r="G118" s="5" t="s">
        <v>2110</v>
      </c>
      <c r="H118" s="5"/>
      <c r="I118" s="5" t="str">
        <f t="shared" si="0"/>
        <v>PROCESSO FOI ATUALIZADO</v>
      </c>
      <c r="J118" s="5"/>
      <c r="K118" s="5"/>
      <c r="L118" s="5"/>
      <c r="M118" s="5"/>
      <c r="N118" s="5"/>
    </row>
    <row r="119" spans="1:14" ht="22.5" customHeight="1" x14ac:dyDescent="0.2">
      <c r="A119" s="5" t="s">
        <v>376</v>
      </c>
      <c r="B119" s="3" t="s">
        <v>34</v>
      </c>
      <c r="C119" s="3" t="s">
        <v>35</v>
      </c>
      <c r="D119" s="3" t="s">
        <v>2299</v>
      </c>
      <c r="E119" s="3" t="s">
        <v>377</v>
      </c>
      <c r="F119" s="9">
        <v>45870</v>
      </c>
      <c r="G119" s="5" t="s">
        <v>2110</v>
      </c>
      <c r="H119" s="5"/>
      <c r="I119" s="5" t="str">
        <f t="shared" si="0"/>
        <v>PROCESSO FOI ATUALIZADO</v>
      </c>
      <c r="J119" s="5"/>
      <c r="K119" s="5"/>
      <c r="L119" s="5"/>
      <c r="M119" s="5"/>
      <c r="N119" s="5"/>
    </row>
    <row r="120" spans="1:14" ht="22.5" customHeight="1" x14ac:dyDescent="0.2">
      <c r="A120" s="21" t="s">
        <v>295</v>
      </c>
      <c r="B120" s="3" t="s">
        <v>34</v>
      </c>
      <c r="C120" s="3" t="s">
        <v>35</v>
      </c>
      <c r="D120" s="14" t="s">
        <v>2300</v>
      </c>
      <c r="E120" s="3" t="s">
        <v>296</v>
      </c>
      <c r="F120" s="9">
        <v>45868</v>
      </c>
      <c r="G120" s="5" t="s">
        <v>2433</v>
      </c>
      <c r="H120" s="5"/>
      <c r="I120" s="5" t="str">
        <f t="shared" si="0"/>
        <v>PROCESSO FOI ATUALIZADO</v>
      </c>
      <c r="J120" s="5"/>
      <c r="K120" s="5"/>
      <c r="L120" s="5"/>
      <c r="M120" s="5"/>
      <c r="N120" s="5"/>
    </row>
    <row r="121" spans="1:14" ht="22.5" customHeight="1" x14ac:dyDescent="0.2">
      <c r="A121" s="21" t="s">
        <v>297</v>
      </c>
      <c r="B121" s="3" t="s">
        <v>34</v>
      </c>
      <c r="C121" s="3" t="s">
        <v>35</v>
      </c>
      <c r="D121" s="14" t="s">
        <v>2300</v>
      </c>
      <c r="E121" s="3" t="s">
        <v>296</v>
      </c>
      <c r="F121" s="9">
        <v>45868</v>
      </c>
      <c r="G121" s="5" t="s">
        <v>2095</v>
      </c>
      <c r="H121" s="5"/>
      <c r="I121" s="5" t="str">
        <f t="shared" si="0"/>
        <v>PROCESSO FOI ATUALIZADO</v>
      </c>
      <c r="J121" s="5"/>
      <c r="K121" s="5"/>
      <c r="L121" s="5"/>
      <c r="M121" s="5"/>
      <c r="N121" s="5"/>
    </row>
    <row r="122" spans="1:14" ht="22.5" customHeight="1" x14ac:dyDescent="0.2">
      <c r="A122" s="21" t="s">
        <v>322</v>
      </c>
      <c r="B122" s="3" t="s">
        <v>34</v>
      </c>
      <c r="C122" s="3" t="s">
        <v>35</v>
      </c>
      <c r="D122" s="14" t="s">
        <v>2301</v>
      </c>
      <c r="E122" s="3" t="s">
        <v>323</v>
      </c>
      <c r="F122" s="9">
        <v>45868</v>
      </c>
      <c r="G122" s="5" t="s">
        <v>2095</v>
      </c>
      <c r="H122" s="5"/>
      <c r="I122" s="5" t="str">
        <f t="shared" si="0"/>
        <v>PROCESSO FOI ATUALIZADO</v>
      </c>
      <c r="J122" s="5"/>
      <c r="K122" s="5"/>
      <c r="L122" s="5"/>
      <c r="M122" s="5"/>
      <c r="N122" s="5"/>
    </row>
    <row r="123" spans="1:14" ht="22.5" customHeight="1" x14ac:dyDescent="0.2">
      <c r="A123" s="5" t="s">
        <v>340</v>
      </c>
      <c r="B123" s="3" t="s">
        <v>34</v>
      </c>
      <c r="C123" s="3" t="s">
        <v>35</v>
      </c>
      <c r="D123" s="3" t="s">
        <v>2245</v>
      </c>
      <c r="E123" s="3" t="s">
        <v>59</v>
      </c>
      <c r="F123" s="9">
        <v>45867</v>
      </c>
      <c r="G123" s="5" t="s">
        <v>2110</v>
      </c>
      <c r="H123" s="5"/>
      <c r="I123" s="5" t="str">
        <f t="shared" si="0"/>
        <v>PROCESSO FOI ATUALIZADO</v>
      </c>
      <c r="J123" s="5"/>
      <c r="K123" s="5"/>
      <c r="L123" s="5"/>
      <c r="M123" s="5"/>
      <c r="N123" s="5"/>
    </row>
    <row r="124" spans="1:14" ht="22.5" customHeight="1" x14ac:dyDescent="0.2">
      <c r="A124" s="21" t="s">
        <v>312</v>
      </c>
      <c r="B124" s="3" t="s">
        <v>34</v>
      </c>
      <c r="C124" s="3" t="s">
        <v>35</v>
      </c>
      <c r="D124" s="14" t="s">
        <v>2302</v>
      </c>
      <c r="E124" s="3" t="s">
        <v>313</v>
      </c>
      <c r="F124" s="9">
        <v>45867</v>
      </c>
      <c r="G124" s="5" t="s">
        <v>2095</v>
      </c>
      <c r="H124" s="5"/>
      <c r="I124" s="5" t="str">
        <f t="shared" si="0"/>
        <v>PROCESSO FOI ATUALIZADO</v>
      </c>
      <c r="J124" s="5"/>
      <c r="K124" s="5"/>
      <c r="L124" s="5"/>
      <c r="M124" s="5"/>
      <c r="N124" s="5"/>
    </row>
    <row r="125" spans="1:14" ht="22.5" customHeight="1" x14ac:dyDescent="0.2">
      <c r="A125" s="5" t="s">
        <v>345</v>
      </c>
      <c r="B125" s="3" t="s">
        <v>34</v>
      </c>
      <c r="C125" s="3" t="s">
        <v>35</v>
      </c>
      <c r="D125" s="3" t="s">
        <v>2245</v>
      </c>
      <c r="E125" s="3" t="s">
        <v>59</v>
      </c>
      <c r="F125" s="9">
        <v>45867</v>
      </c>
      <c r="G125" s="5" t="s">
        <v>2110</v>
      </c>
      <c r="H125" s="5"/>
      <c r="I125" s="5" t="str">
        <f t="shared" si="0"/>
        <v>PROCESSO FOI ATUALIZADO</v>
      </c>
      <c r="J125" s="5"/>
      <c r="K125" s="5"/>
      <c r="L125" s="5"/>
      <c r="M125" s="5"/>
      <c r="N125" s="5"/>
    </row>
    <row r="126" spans="1:14" ht="22.5" customHeight="1" x14ac:dyDescent="0.2">
      <c r="A126" s="5" t="s">
        <v>354</v>
      </c>
      <c r="B126" s="3" t="s">
        <v>34</v>
      </c>
      <c r="C126" s="3" t="s">
        <v>35</v>
      </c>
      <c r="D126" s="3" t="s">
        <v>2245</v>
      </c>
      <c r="E126" s="3" t="s">
        <v>59</v>
      </c>
      <c r="F126" s="9">
        <v>45867</v>
      </c>
      <c r="G126" s="5" t="s">
        <v>2110</v>
      </c>
      <c r="H126" s="5"/>
      <c r="I126" s="5" t="str">
        <f t="shared" si="0"/>
        <v>PROCESSO FOI ATUALIZADO</v>
      </c>
      <c r="J126" s="5"/>
      <c r="K126" s="5"/>
      <c r="L126" s="5"/>
      <c r="M126" s="5"/>
      <c r="N126" s="5"/>
    </row>
    <row r="127" spans="1:14" ht="22.5" customHeight="1" x14ac:dyDescent="0.2">
      <c r="A127" s="21" t="s">
        <v>303</v>
      </c>
      <c r="B127" s="3" t="s">
        <v>34</v>
      </c>
      <c r="C127" s="3" t="s">
        <v>35</v>
      </c>
      <c r="D127" s="14" t="s">
        <v>2303</v>
      </c>
      <c r="E127" s="3" t="s">
        <v>174</v>
      </c>
      <c r="F127" s="9">
        <v>45863</v>
      </c>
      <c r="G127" s="5" t="s">
        <v>2095</v>
      </c>
      <c r="H127" s="5"/>
      <c r="I127" s="5" t="str">
        <f t="shared" si="0"/>
        <v>PROCESSO FOI ATUALIZADO</v>
      </c>
      <c r="J127" s="5"/>
      <c r="K127" s="5"/>
      <c r="L127" s="5"/>
      <c r="M127" s="5"/>
      <c r="N127" s="5"/>
    </row>
    <row r="128" spans="1:14" ht="22.5" customHeight="1" x14ac:dyDescent="0.2">
      <c r="A128" s="21" t="s">
        <v>299</v>
      </c>
      <c r="B128" s="3" t="s">
        <v>34</v>
      </c>
      <c r="C128" s="3" t="s">
        <v>35</v>
      </c>
      <c r="D128" s="14" t="s">
        <v>2300</v>
      </c>
      <c r="E128" s="3" t="s">
        <v>296</v>
      </c>
      <c r="F128" s="9">
        <v>45861</v>
      </c>
      <c r="G128" s="5" t="s">
        <v>37</v>
      </c>
      <c r="H128" s="5"/>
      <c r="I128" s="5" t="str">
        <f t="shared" si="0"/>
        <v>PROCESSO FOI ATUALIZADO</v>
      </c>
      <c r="J128" s="5"/>
      <c r="K128" s="5"/>
      <c r="L128" s="5"/>
      <c r="M128" s="5"/>
      <c r="N128" s="5"/>
    </row>
    <row r="129" spans="1:14" ht="22.5" customHeight="1" x14ac:dyDescent="0.2">
      <c r="A129" s="21" t="s">
        <v>316</v>
      </c>
      <c r="B129" s="3" t="s">
        <v>34</v>
      </c>
      <c r="C129" s="3" t="s">
        <v>35</v>
      </c>
      <c r="D129" s="14" t="s">
        <v>2304</v>
      </c>
      <c r="E129" s="3" t="s">
        <v>51</v>
      </c>
      <c r="F129" s="9">
        <v>45861</v>
      </c>
      <c r="G129" s="5" t="s">
        <v>2095</v>
      </c>
      <c r="H129" s="5"/>
      <c r="I129" s="5" t="str">
        <f t="shared" si="0"/>
        <v>PROCESSO FOI ATUALIZADO</v>
      </c>
      <c r="J129" s="5"/>
      <c r="K129" s="5"/>
      <c r="L129" s="5"/>
      <c r="M129" s="5"/>
      <c r="N129" s="5"/>
    </row>
    <row r="130" spans="1:14" ht="22.5" customHeight="1" x14ac:dyDescent="0.2">
      <c r="A130" s="21" t="s">
        <v>350</v>
      </c>
      <c r="B130" s="3" t="s">
        <v>34</v>
      </c>
      <c r="C130" s="3" t="s">
        <v>35</v>
      </c>
      <c r="D130" s="14" t="s">
        <v>2305</v>
      </c>
      <c r="E130" s="3" t="s">
        <v>351</v>
      </c>
      <c r="F130" s="9">
        <v>45861</v>
      </c>
      <c r="G130" s="5" t="s">
        <v>2095</v>
      </c>
      <c r="H130" s="5"/>
      <c r="I130" s="5" t="str">
        <f t="shared" si="0"/>
        <v>PROCESSO FOI ATUALIZADO</v>
      </c>
      <c r="J130" s="5"/>
      <c r="K130" s="5"/>
      <c r="L130" s="5"/>
      <c r="M130" s="5"/>
      <c r="N130" s="5"/>
    </row>
    <row r="131" spans="1:14" ht="22.5" customHeight="1" x14ac:dyDescent="0.2">
      <c r="A131" s="21" t="s">
        <v>368</v>
      </c>
      <c r="B131" s="3" t="s">
        <v>34</v>
      </c>
      <c r="C131" s="3" t="s">
        <v>35</v>
      </c>
      <c r="D131" s="14" t="s">
        <v>2130</v>
      </c>
      <c r="E131" s="3" t="s">
        <v>165</v>
      </c>
      <c r="F131" s="9">
        <v>45860</v>
      </c>
      <c r="G131" s="5" t="s">
        <v>2095</v>
      </c>
      <c r="H131" s="5"/>
      <c r="I131" s="5" t="str">
        <f t="shared" si="0"/>
        <v>PROCESSO FOI ATUALIZADO</v>
      </c>
      <c r="J131" s="5"/>
      <c r="K131" s="5"/>
      <c r="L131" s="5"/>
      <c r="M131" s="5"/>
      <c r="N131" s="5"/>
    </row>
    <row r="132" spans="1:14" ht="22.5" customHeight="1" x14ac:dyDescent="0.2">
      <c r="A132" s="5" t="s">
        <v>335</v>
      </c>
      <c r="B132" s="3" t="s">
        <v>34</v>
      </c>
      <c r="C132" s="3" t="s">
        <v>35</v>
      </c>
      <c r="D132" s="3" t="s">
        <v>2306</v>
      </c>
      <c r="E132" s="3" t="s">
        <v>286</v>
      </c>
      <c r="F132" s="9">
        <v>45859</v>
      </c>
      <c r="G132" s="5" t="s">
        <v>2110</v>
      </c>
      <c r="H132" s="5"/>
      <c r="I132" s="5" t="str">
        <f t="shared" si="0"/>
        <v>PROCESSO FOI ATUALIZADO</v>
      </c>
      <c r="J132" s="5"/>
      <c r="K132" s="5"/>
      <c r="L132" s="5"/>
      <c r="M132" s="5"/>
      <c r="N132" s="5"/>
    </row>
    <row r="133" spans="1:14" ht="22.5" customHeight="1" x14ac:dyDescent="0.2">
      <c r="A133" s="21" t="s">
        <v>393</v>
      </c>
      <c r="B133" s="3" t="s">
        <v>34</v>
      </c>
      <c r="C133" s="3" t="s">
        <v>35</v>
      </c>
      <c r="D133" s="14" t="s">
        <v>2307</v>
      </c>
      <c r="E133" s="3" t="s">
        <v>308</v>
      </c>
      <c r="F133" s="9">
        <v>45856</v>
      </c>
      <c r="G133" s="5" t="s">
        <v>2095</v>
      </c>
      <c r="H133" s="5"/>
      <c r="I133" s="5" t="str">
        <f t="shared" si="0"/>
        <v>PROCESSO FOI ATUALIZADO</v>
      </c>
      <c r="J133" s="5"/>
      <c r="K133" s="5"/>
      <c r="L133" s="5"/>
      <c r="M133" s="5"/>
      <c r="N133" s="5"/>
    </row>
    <row r="134" spans="1:14" ht="22.5" customHeight="1" x14ac:dyDescent="0.2">
      <c r="A134" s="21" t="s">
        <v>364</v>
      </c>
      <c r="B134" s="3" t="s">
        <v>34</v>
      </c>
      <c r="C134" s="3" t="s">
        <v>35</v>
      </c>
      <c r="D134" s="14" t="s">
        <v>2308</v>
      </c>
      <c r="E134" s="3" t="s">
        <v>365</v>
      </c>
      <c r="F134" s="9">
        <v>45856</v>
      </c>
      <c r="G134" s="5" t="s">
        <v>2095</v>
      </c>
      <c r="H134" s="5"/>
      <c r="I134" s="5" t="str">
        <f t="shared" si="0"/>
        <v>PROCESSO FOI ATUALIZADO</v>
      </c>
      <c r="J134" s="5"/>
      <c r="K134" s="5"/>
      <c r="L134" s="5"/>
      <c r="M134" s="5"/>
      <c r="N134" s="5"/>
    </row>
    <row r="135" spans="1:14" ht="22.5" customHeight="1" x14ac:dyDescent="0.2">
      <c r="A135" s="21" t="s">
        <v>288</v>
      </c>
      <c r="B135" s="3" t="s">
        <v>34</v>
      </c>
      <c r="C135" s="3" t="s">
        <v>35</v>
      </c>
      <c r="D135" s="14" t="s">
        <v>2310</v>
      </c>
      <c r="E135" s="3" t="s">
        <v>289</v>
      </c>
      <c r="F135" s="9">
        <v>45854</v>
      </c>
      <c r="G135" s="5" t="s">
        <v>2095</v>
      </c>
      <c r="H135" s="5"/>
      <c r="I135" s="5" t="str">
        <f t="shared" si="0"/>
        <v>PROCESSO FOI ATUALIZADO</v>
      </c>
      <c r="J135" s="5"/>
      <c r="K135" s="5"/>
      <c r="L135" s="5"/>
      <c r="M135" s="5"/>
      <c r="N135" s="5"/>
    </row>
    <row r="136" spans="1:14" ht="22.5" customHeight="1" x14ac:dyDescent="0.2">
      <c r="A136" s="21" t="s">
        <v>307</v>
      </c>
      <c r="B136" s="3" t="s">
        <v>34</v>
      </c>
      <c r="C136" s="3" t="s">
        <v>35</v>
      </c>
      <c r="D136" s="14" t="s">
        <v>2311</v>
      </c>
      <c r="E136" s="3" t="s">
        <v>308</v>
      </c>
      <c r="F136" s="9">
        <v>45854</v>
      </c>
      <c r="G136" s="5" t="s">
        <v>2095</v>
      </c>
      <c r="H136" s="5"/>
      <c r="I136" s="5" t="str">
        <f t="shared" si="0"/>
        <v>PROCESSO FOI ATUALIZADO</v>
      </c>
      <c r="J136" s="5"/>
      <c r="K136" s="5"/>
      <c r="L136" s="5"/>
      <c r="M136" s="5"/>
      <c r="N136" s="5"/>
    </row>
    <row r="137" spans="1:14" ht="22.5" customHeight="1" x14ac:dyDescent="0.2">
      <c r="A137" s="21" t="s">
        <v>318</v>
      </c>
      <c r="B137" s="3" t="s">
        <v>34</v>
      </c>
      <c r="C137" s="3" t="s">
        <v>35</v>
      </c>
      <c r="D137" s="14" t="s">
        <v>2312</v>
      </c>
      <c r="E137" s="3" t="s">
        <v>319</v>
      </c>
      <c r="F137" s="9">
        <v>45852</v>
      </c>
      <c r="G137" s="5" t="s">
        <v>2095</v>
      </c>
      <c r="H137" s="5"/>
      <c r="I137" s="5" t="str">
        <f t="shared" si="0"/>
        <v>PROCESSO FOI ATUALIZADO</v>
      </c>
      <c r="J137" s="5"/>
      <c r="K137" s="5"/>
      <c r="L137" s="5"/>
      <c r="M137" s="5"/>
      <c r="N137" s="5"/>
    </row>
    <row r="138" spans="1:14" ht="22.5" customHeight="1" x14ac:dyDescent="0.2">
      <c r="A138" s="21" t="s">
        <v>360</v>
      </c>
      <c r="B138" s="3" t="s">
        <v>34</v>
      </c>
      <c r="C138" s="3" t="s">
        <v>35</v>
      </c>
      <c r="D138" s="14" t="s">
        <v>2313</v>
      </c>
      <c r="E138" s="3" t="s">
        <v>361</v>
      </c>
      <c r="F138" s="9">
        <v>45849</v>
      </c>
      <c r="G138" s="5" t="s">
        <v>2095</v>
      </c>
      <c r="H138" s="5"/>
      <c r="I138" s="5" t="str">
        <f t="shared" si="0"/>
        <v>PROCESSO FOI ATUALIZADO</v>
      </c>
      <c r="J138" s="5"/>
      <c r="K138" s="5"/>
      <c r="L138" s="5"/>
      <c r="M138" s="5"/>
      <c r="N138" s="5"/>
    </row>
    <row r="139" spans="1:14" ht="22.5" customHeight="1" x14ac:dyDescent="0.2">
      <c r="A139" s="21" t="s">
        <v>331</v>
      </c>
      <c r="B139" s="3" t="s">
        <v>34</v>
      </c>
      <c r="C139" s="3" t="s">
        <v>35</v>
      </c>
      <c r="D139" s="14" t="s">
        <v>2315</v>
      </c>
      <c r="E139" s="3" t="s">
        <v>127</v>
      </c>
      <c r="F139" s="9">
        <v>45849</v>
      </c>
      <c r="G139" s="5" t="s">
        <v>2095</v>
      </c>
      <c r="H139" s="5"/>
      <c r="I139" s="5" t="str">
        <f t="shared" si="0"/>
        <v>PROCESSO FOI ATUALIZADO</v>
      </c>
      <c r="J139" s="5"/>
      <c r="K139" s="5"/>
      <c r="L139" s="5"/>
      <c r="M139" s="5"/>
      <c r="N139" s="5"/>
    </row>
    <row r="140" spans="1:14" ht="22.5" customHeight="1" x14ac:dyDescent="0.2">
      <c r="A140" s="21" t="s">
        <v>367</v>
      </c>
      <c r="B140" s="3" t="s">
        <v>34</v>
      </c>
      <c r="C140" s="3" t="s">
        <v>35</v>
      </c>
      <c r="D140" s="14" t="s">
        <v>2318</v>
      </c>
      <c r="E140" s="3" t="s">
        <v>226</v>
      </c>
      <c r="F140" s="9">
        <v>45849</v>
      </c>
      <c r="G140" s="5" t="s">
        <v>70</v>
      </c>
      <c r="H140" s="5"/>
      <c r="I140" s="5" t="str">
        <f t="shared" si="0"/>
        <v>PROCESSO FOI ATUALIZADO</v>
      </c>
      <c r="J140" s="5"/>
      <c r="K140" s="5"/>
      <c r="L140" s="5"/>
      <c r="M140" s="5"/>
      <c r="N140" s="5"/>
    </row>
    <row r="141" spans="1:14" ht="22.5" customHeight="1" x14ac:dyDescent="0.2">
      <c r="A141" s="21" t="s">
        <v>333</v>
      </c>
      <c r="B141" s="3" t="s">
        <v>34</v>
      </c>
      <c r="C141" s="3" t="s">
        <v>35</v>
      </c>
      <c r="D141" s="14" t="s">
        <v>2316</v>
      </c>
      <c r="E141" s="3" t="s">
        <v>319</v>
      </c>
      <c r="F141" s="9">
        <v>45848</v>
      </c>
      <c r="G141" s="5" t="s">
        <v>2095</v>
      </c>
      <c r="H141" s="5"/>
      <c r="I141" s="5" t="str">
        <f t="shared" si="0"/>
        <v>PROCESSO FOI ATUALIZADO</v>
      </c>
      <c r="J141" s="5"/>
      <c r="K141" s="5"/>
      <c r="L141" s="5"/>
      <c r="M141" s="5"/>
      <c r="N141" s="5"/>
    </row>
    <row r="142" spans="1:14" ht="22.5" customHeight="1" x14ac:dyDescent="0.2">
      <c r="A142" s="21" t="s">
        <v>347</v>
      </c>
      <c r="B142" s="3" t="s">
        <v>34</v>
      </c>
      <c r="C142" s="3" t="s">
        <v>35</v>
      </c>
      <c r="D142" s="14" t="s">
        <v>2186</v>
      </c>
      <c r="E142" s="3" t="s">
        <v>348</v>
      </c>
      <c r="F142" s="9">
        <v>45848</v>
      </c>
      <c r="G142" s="5" t="s">
        <v>2095</v>
      </c>
      <c r="H142" s="5"/>
      <c r="I142" s="5" t="str">
        <f t="shared" si="0"/>
        <v>PROCESSO FOI ATUALIZADO</v>
      </c>
      <c r="J142" s="5"/>
      <c r="K142" s="5"/>
      <c r="L142" s="5"/>
      <c r="M142" s="5"/>
      <c r="N142" s="5"/>
    </row>
    <row r="143" spans="1:14" ht="22.5" customHeight="1" x14ac:dyDescent="0.2">
      <c r="A143" s="21" t="s">
        <v>385</v>
      </c>
      <c r="B143" s="3" t="s">
        <v>34</v>
      </c>
      <c r="C143" s="3" t="s">
        <v>35</v>
      </c>
      <c r="D143" s="14" t="s">
        <v>2317</v>
      </c>
      <c r="E143" s="3" t="s">
        <v>386</v>
      </c>
      <c r="F143" s="9">
        <v>45848</v>
      </c>
      <c r="G143" s="5" t="s">
        <v>2095</v>
      </c>
      <c r="H143" s="5"/>
      <c r="I143" s="5" t="str">
        <f t="shared" si="0"/>
        <v>PROCESSO FOI ATUALIZADO</v>
      </c>
      <c r="J143" s="5"/>
      <c r="K143" s="5"/>
      <c r="L143" s="5"/>
      <c r="M143" s="5"/>
      <c r="N143" s="5"/>
    </row>
    <row r="144" spans="1:14" ht="22.5" customHeight="1" x14ac:dyDescent="0.2">
      <c r="A144" s="21" t="s">
        <v>291</v>
      </c>
      <c r="B144" s="3" t="s">
        <v>34</v>
      </c>
      <c r="C144" s="3" t="s">
        <v>35</v>
      </c>
      <c r="D144" s="14" t="s">
        <v>2310</v>
      </c>
      <c r="E144" s="3" t="s">
        <v>289</v>
      </c>
      <c r="F144" s="9">
        <v>45847</v>
      </c>
      <c r="G144" s="5" t="s">
        <v>2095</v>
      </c>
      <c r="H144" s="5"/>
      <c r="I144" s="5" t="str">
        <f t="shared" si="0"/>
        <v>PROCESSO FOI ATUALIZADO</v>
      </c>
      <c r="J144" s="5"/>
      <c r="K144" s="5"/>
      <c r="L144" s="5"/>
      <c r="M144" s="5"/>
      <c r="N144" s="5"/>
    </row>
    <row r="145" spans="1:14" ht="22.5" customHeight="1" x14ac:dyDescent="0.2">
      <c r="A145" s="21" t="s">
        <v>321</v>
      </c>
      <c r="B145" s="3" t="s">
        <v>34</v>
      </c>
      <c r="C145" s="3" t="s">
        <v>35</v>
      </c>
      <c r="D145" s="14" t="s">
        <v>2312</v>
      </c>
      <c r="E145" s="3" t="s">
        <v>319</v>
      </c>
      <c r="F145" s="9">
        <v>45847</v>
      </c>
      <c r="G145" s="5" t="s">
        <v>70</v>
      </c>
      <c r="H145" s="5"/>
      <c r="I145" s="5" t="str">
        <f t="shared" si="0"/>
        <v>PROCESSO FOI ATUALIZADO</v>
      </c>
      <c r="J145" s="5"/>
      <c r="K145" s="5"/>
      <c r="L145" s="5"/>
      <c r="M145" s="5"/>
      <c r="N145" s="5"/>
    </row>
    <row r="146" spans="1:14" ht="22.5" customHeight="1" x14ac:dyDescent="0.2">
      <c r="A146" s="21" t="s">
        <v>374</v>
      </c>
      <c r="B146" s="3" t="s">
        <v>34</v>
      </c>
      <c r="C146" s="3" t="s">
        <v>35</v>
      </c>
      <c r="D146" s="14" t="s">
        <v>2318</v>
      </c>
      <c r="E146" s="3" t="s">
        <v>226</v>
      </c>
      <c r="F146" s="9">
        <v>45846</v>
      </c>
      <c r="G146" s="5" t="s">
        <v>2095</v>
      </c>
      <c r="H146" s="5"/>
      <c r="I146" s="5" t="str">
        <f t="shared" si="0"/>
        <v>PROCESSO FOI ATUALIZADO</v>
      </c>
      <c r="J146" s="5"/>
      <c r="K146" s="5"/>
      <c r="L146" s="5"/>
      <c r="M146" s="5"/>
      <c r="N146" s="5"/>
    </row>
    <row r="147" spans="1:14" ht="22.5" customHeight="1" x14ac:dyDescent="0.2">
      <c r="A147" s="21" t="s">
        <v>342</v>
      </c>
      <c r="B147" s="3" t="s">
        <v>34</v>
      </c>
      <c r="C147" s="3" t="s">
        <v>35</v>
      </c>
      <c r="D147" s="14" t="s">
        <v>2319</v>
      </c>
      <c r="E147" s="3" t="s">
        <v>343</v>
      </c>
      <c r="F147" s="9">
        <v>45845</v>
      </c>
      <c r="G147" s="5" t="s">
        <v>2095</v>
      </c>
      <c r="H147" s="5"/>
      <c r="I147" s="5" t="str">
        <f t="shared" si="0"/>
        <v>PROCESSO FOI ATUALIZADO</v>
      </c>
      <c r="J147" s="5"/>
      <c r="K147" s="5"/>
      <c r="L147" s="5"/>
      <c r="M147" s="5"/>
      <c r="N147" s="5"/>
    </row>
    <row r="148" spans="1:14" ht="22.5" customHeight="1" x14ac:dyDescent="0.2">
      <c r="A148" s="21" t="s">
        <v>359</v>
      </c>
      <c r="B148" s="3" t="s">
        <v>34</v>
      </c>
      <c r="C148" s="3" t="s">
        <v>35</v>
      </c>
      <c r="D148" s="14" t="s">
        <v>2125</v>
      </c>
      <c r="E148" s="3" t="s">
        <v>74</v>
      </c>
      <c r="F148" s="9">
        <v>45842</v>
      </c>
      <c r="G148" s="5" t="s">
        <v>70</v>
      </c>
      <c r="H148" s="5"/>
      <c r="I148" s="5" t="str">
        <f t="shared" si="0"/>
        <v>PROCESSO FOI ATUALIZADO</v>
      </c>
      <c r="J148" s="5"/>
      <c r="K148" s="5"/>
      <c r="L148" s="5"/>
      <c r="M148" s="5"/>
      <c r="N148" s="5"/>
    </row>
    <row r="149" spans="1:14" ht="22.5" customHeight="1" x14ac:dyDescent="0.2">
      <c r="A149" s="21" t="s">
        <v>310</v>
      </c>
      <c r="B149" s="3" t="s">
        <v>34</v>
      </c>
      <c r="C149" s="3" t="s">
        <v>35</v>
      </c>
      <c r="D149" s="14" t="s">
        <v>2442</v>
      </c>
      <c r="E149" s="3" t="s">
        <v>311</v>
      </c>
      <c r="F149" s="9">
        <v>45842</v>
      </c>
      <c r="G149" s="5" t="s">
        <v>2433</v>
      </c>
      <c r="H149" s="5"/>
      <c r="I149" s="5" t="str">
        <f t="shared" si="0"/>
        <v>PROCESSO FOI ATUALIZADO</v>
      </c>
      <c r="J149" s="5"/>
      <c r="K149" s="5"/>
      <c r="L149" s="5"/>
      <c r="M149" s="5"/>
      <c r="N149" s="5"/>
    </row>
    <row r="150" spans="1:14" ht="22.5" customHeight="1" x14ac:dyDescent="0.2">
      <c r="A150" s="21" t="s">
        <v>379</v>
      </c>
      <c r="B150" s="3" t="s">
        <v>34</v>
      </c>
      <c r="C150" s="3" t="s">
        <v>35</v>
      </c>
      <c r="D150" s="14" t="s">
        <v>2320</v>
      </c>
      <c r="E150" s="3" t="s">
        <v>380</v>
      </c>
      <c r="F150" s="9">
        <v>45841</v>
      </c>
      <c r="G150" s="5" t="s">
        <v>2095</v>
      </c>
      <c r="H150" s="5"/>
      <c r="I150" s="5" t="str">
        <f t="shared" si="0"/>
        <v>PROCESSO FOI ATUALIZADO</v>
      </c>
      <c r="J150" s="5"/>
      <c r="K150" s="5"/>
      <c r="L150" s="5"/>
      <c r="M150" s="5"/>
      <c r="N150" s="5"/>
    </row>
    <row r="151" spans="1:14" ht="22.5" customHeight="1" x14ac:dyDescent="0.2">
      <c r="A151" s="21" t="s">
        <v>293</v>
      </c>
      <c r="B151" s="3" t="s">
        <v>34</v>
      </c>
      <c r="C151" s="3" t="s">
        <v>35</v>
      </c>
      <c r="D151" s="14" t="s">
        <v>2310</v>
      </c>
      <c r="E151" s="3" t="s">
        <v>289</v>
      </c>
      <c r="F151" s="9">
        <v>45840</v>
      </c>
      <c r="G151" s="5" t="s">
        <v>2095</v>
      </c>
      <c r="H151" s="5"/>
      <c r="I151" s="5" t="str">
        <f t="shared" si="0"/>
        <v>PROCESSO FOI ATUALIZADO</v>
      </c>
      <c r="J151" s="5"/>
      <c r="K151" s="5"/>
      <c r="L151" s="5"/>
      <c r="M151" s="5"/>
      <c r="N151" s="5"/>
    </row>
    <row r="152" spans="1:14" ht="22.5" customHeight="1" x14ac:dyDescent="0.2">
      <c r="A152" s="21" t="s">
        <v>395</v>
      </c>
      <c r="B152" s="3" t="s">
        <v>34</v>
      </c>
      <c r="C152" s="3" t="s">
        <v>35</v>
      </c>
      <c r="D152" s="14" t="s">
        <v>2321</v>
      </c>
      <c r="E152" s="3" t="s">
        <v>396</v>
      </c>
      <c r="F152" s="9">
        <v>45840</v>
      </c>
      <c r="G152" s="5" t="s">
        <v>2095</v>
      </c>
      <c r="H152" s="5"/>
      <c r="I152" s="5" t="str">
        <f t="shared" si="0"/>
        <v>PROCESSO FOI ATUALIZADO</v>
      </c>
      <c r="J152" s="5"/>
      <c r="K152" s="5"/>
      <c r="L152" s="5"/>
      <c r="M152" s="5"/>
      <c r="N152" s="5"/>
    </row>
    <row r="153" spans="1:14" ht="22.5" customHeight="1" x14ac:dyDescent="0.2">
      <c r="A153" s="21" t="s">
        <v>325</v>
      </c>
      <c r="B153" s="3" t="s">
        <v>34</v>
      </c>
      <c r="C153" s="3" t="s">
        <v>35</v>
      </c>
      <c r="D153" s="14" t="s">
        <v>2322</v>
      </c>
      <c r="E153" s="3" t="s">
        <v>174</v>
      </c>
      <c r="F153" s="9">
        <v>45838</v>
      </c>
      <c r="G153" s="5" t="s">
        <v>2095</v>
      </c>
      <c r="H153" s="5"/>
      <c r="I153" s="5" t="str">
        <f t="shared" si="0"/>
        <v>PROCESSO FOI ATUALIZADO</v>
      </c>
      <c r="J153" s="5"/>
      <c r="K153" s="5"/>
      <c r="L153" s="5"/>
      <c r="M153" s="5"/>
      <c r="N153" s="5"/>
    </row>
    <row r="154" spans="1:14" ht="22.5" customHeight="1" x14ac:dyDescent="0.2">
      <c r="A154" s="21" t="s">
        <v>353</v>
      </c>
      <c r="B154" s="3" t="s">
        <v>34</v>
      </c>
      <c r="C154" s="3" t="s">
        <v>35</v>
      </c>
      <c r="D154" s="14" t="s">
        <v>2319</v>
      </c>
      <c r="E154" s="3" t="s">
        <v>343</v>
      </c>
      <c r="F154" s="9">
        <v>45834</v>
      </c>
      <c r="G154" s="5" t="s">
        <v>37</v>
      </c>
      <c r="H154" s="5"/>
      <c r="I154" s="5" t="str">
        <f t="shared" si="0"/>
        <v>PROCESSO FOI ATUALIZADO</v>
      </c>
      <c r="J154" s="5"/>
      <c r="K154" s="5"/>
      <c r="L154" s="5"/>
      <c r="M154" s="5"/>
      <c r="N154" s="5"/>
    </row>
    <row r="155" spans="1:14" ht="22.5" customHeight="1" x14ac:dyDescent="0.2">
      <c r="A155" s="21" t="s">
        <v>328</v>
      </c>
      <c r="B155" s="3" t="s">
        <v>34</v>
      </c>
      <c r="C155" s="3" t="s">
        <v>35</v>
      </c>
      <c r="D155" s="14" t="s">
        <v>2324</v>
      </c>
      <c r="E155" s="3" t="s">
        <v>79</v>
      </c>
      <c r="F155" s="9">
        <v>45834</v>
      </c>
      <c r="G155" s="5" t="s">
        <v>37</v>
      </c>
      <c r="H155" s="5"/>
      <c r="I155" s="5" t="str">
        <f t="shared" si="0"/>
        <v>PROCESSO FOI ATUALIZADO</v>
      </c>
      <c r="J155" s="5"/>
      <c r="K155" s="5"/>
      <c r="L155" s="5"/>
      <c r="M155" s="5"/>
      <c r="N155" s="5"/>
    </row>
    <row r="156" spans="1:14" ht="22.5" customHeight="1" x14ac:dyDescent="0.2">
      <c r="A156" s="21" t="s">
        <v>390</v>
      </c>
      <c r="B156" s="3" t="s">
        <v>34</v>
      </c>
      <c r="C156" s="3" t="s">
        <v>35</v>
      </c>
      <c r="D156" s="14" t="s">
        <v>2323</v>
      </c>
      <c r="E156" s="3" t="s">
        <v>391</v>
      </c>
      <c r="F156" s="9">
        <v>45834</v>
      </c>
      <c r="G156" s="5" t="s">
        <v>2095</v>
      </c>
      <c r="H156" s="5"/>
      <c r="I156" s="5" t="str">
        <f t="shared" si="0"/>
        <v>PROCESSO FOI ATUALIZADO</v>
      </c>
      <c r="J156" s="5"/>
      <c r="K156" s="5"/>
      <c r="L156" s="5"/>
      <c r="M156" s="5"/>
      <c r="N156" s="5"/>
    </row>
    <row r="157" spans="1:14" ht="22.5" customHeight="1" x14ac:dyDescent="0.2">
      <c r="A157" s="21" t="s">
        <v>329</v>
      </c>
      <c r="B157" s="3" t="s">
        <v>34</v>
      </c>
      <c r="C157" s="3" t="s">
        <v>35</v>
      </c>
      <c r="D157" s="14" t="s">
        <v>2271</v>
      </c>
      <c r="E157" s="3" t="s">
        <v>190</v>
      </c>
      <c r="F157" s="9">
        <v>45834</v>
      </c>
      <c r="G157" s="5" t="s">
        <v>2095</v>
      </c>
      <c r="H157" s="5"/>
      <c r="I157" s="5" t="str">
        <f t="shared" si="0"/>
        <v>PROCESSO FOI ATUALIZADO</v>
      </c>
      <c r="J157" s="5"/>
      <c r="K157" s="5"/>
      <c r="L157" s="5"/>
      <c r="M157" s="5"/>
      <c r="N157" s="5"/>
    </row>
    <row r="158" spans="1:14" ht="22.5" customHeight="1" x14ac:dyDescent="0.2">
      <c r="A158" s="21" t="s">
        <v>388</v>
      </c>
      <c r="B158" s="3" t="s">
        <v>34</v>
      </c>
      <c r="C158" s="3" t="s">
        <v>35</v>
      </c>
      <c r="D158" s="14" t="s">
        <v>2170</v>
      </c>
      <c r="E158" s="3" t="s">
        <v>228</v>
      </c>
      <c r="F158" s="8">
        <v>45834</v>
      </c>
      <c r="G158" s="5" t="s">
        <v>2095</v>
      </c>
      <c r="H158" s="5"/>
      <c r="I158" s="5" t="str">
        <f t="shared" si="0"/>
        <v>PROCESSO FOI ATUALIZADO</v>
      </c>
      <c r="J158" s="5"/>
      <c r="K158" s="5"/>
      <c r="L158" s="5"/>
      <c r="M158" s="5"/>
      <c r="N158" s="5"/>
    </row>
    <row r="159" spans="1:14" ht="22.5" customHeight="1" x14ac:dyDescent="0.2">
      <c r="A159" s="21" t="s">
        <v>338</v>
      </c>
      <c r="B159" s="3" t="s">
        <v>34</v>
      </c>
      <c r="C159" s="3" t="s">
        <v>35</v>
      </c>
      <c r="D159" s="14" t="s">
        <v>2324</v>
      </c>
      <c r="E159" s="3" t="s">
        <v>79</v>
      </c>
      <c r="F159" s="8">
        <v>45833</v>
      </c>
      <c r="G159" s="5" t="s">
        <v>2095</v>
      </c>
      <c r="H159" s="5"/>
      <c r="I159" s="5" t="str">
        <f t="shared" si="0"/>
        <v>PROCESSO FOI ATUALIZADO</v>
      </c>
      <c r="J159" s="5"/>
      <c r="K159" s="5"/>
      <c r="L159" s="5"/>
      <c r="M159" s="5"/>
      <c r="N159" s="5"/>
    </row>
    <row r="160" spans="1:14" ht="22.5" customHeight="1" x14ac:dyDescent="0.2">
      <c r="A160" s="21" t="s">
        <v>305</v>
      </c>
      <c r="B160" s="3" t="s">
        <v>34</v>
      </c>
      <c r="C160" s="3" t="s">
        <v>35</v>
      </c>
      <c r="D160" s="14" t="s">
        <v>2325</v>
      </c>
      <c r="E160" s="3" t="s">
        <v>41</v>
      </c>
      <c r="F160" s="8">
        <v>45833</v>
      </c>
      <c r="G160" s="5" t="s">
        <v>2095</v>
      </c>
      <c r="H160" s="5"/>
      <c r="I160" s="5" t="str">
        <f t="shared" si="0"/>
        <v>PROCESSO FOI ATUALIZADO</v>
      </c>
      <c r="J160" s="5"/>
      <c r="K160" s="5"/>
      <c r="L160" s="5"/>
      <c r="M160" s="5"/>
      <c r="N160" s="5"/>
    </row>
    <row r="161" spans="1:14" ht="22.5" customHeight="1" x14ac:dyDescent="0.2">
      <c r="A161" s="21" t="s">
        <v>464</v>
      </c>
      <c r="B161" s="3" t="s">
        <v>34</v>
      </c>
      <c r="C161" s="3" t="s">
        <v>35</v>
      </c>
      <c r="D161" s="14" t="s">
        <v>2125</v>
      </c>
      <c r="E161" s="3" t="s">
        <v>74</v>
      </c>
      <c r="F161" s="8">
        <v>45828</v>
      </c>
      <c r="G161" s="5" t="s">
        <v>2095</v>
      </c>
      <c r="H161" s="5"/>
      <c r="I161" s="5" t="str">
        <f t="shared" si="0"/>
        <v>PROCESSO FOI ATUALIZADO</v>
      </c>
      <c r="J161" s="5"/>
      <c r="K161" s="5"/>
      <c r="L161" s="5"/>
      <c r="M161" s="5"/>
      <c r="N161" s="5"/>
    </row>
    <row r="162" spans="1:14" ht="22.5" customHeight="1" x14ac:dyDescent="0.2">
      <c r="A162" s="21" t="s">
        <v>435</v>
      </c>
      <c r="B162" s="3" t="s">
        <v>34</v>
      </c>
      <c r="C162" s="3" t="s">
        <v>35</v>
      </c>
      <c r="D162" s="14" t="s">
        <v>2326</v>
      </c>
      <c r="E162" s="3" t="s">
        <v>436</v>
      </c>
      <c r="F162" s="8">
        <v>45828</v>
      </c>
      <c r="G162" s="5" t="s">
        <v>2095</v>
      </c>
      <c r="H162" s="5"/>
      <c r="I162" s="5" t="str">
        <f t="shared" si="0"/>
        <v>PROCESSO FOI ATUALIZADO</v>
      </c>
      <c r="J162" s="5"/>
      <c r="K162" s="5"/>
      <c r="L162" s="5"/>
      <c r="M162" s="5"/>
      <c r="N162" s="5"/>
    </row>
    <row r="163" spans="1:14" ht="22.5" customHeight="1" x14ac:dyDescent="0.2">
      <c r="A163" s="21" t="s">
        <v>427</v>
      </c>
      <c r="B163" s="3" t="s">
        <v>34</v>
      </c>
      <c r="C163" s="3" t="s">
        <v>35</v>
      </c>
      <c r="D163" s="14" t="s">
        <v>2327</v>
      </c>
      <c r="E163" s="3" t="s">
        <v>428</v>
      </c>
      <c r="F163" s="8">
        <v>45828</v>
      </c>
      <c r="G163" s="5" t="s">
        <v>2095</v>
      </c>
      <c r="H163" s="5"/>
      <c r="I163" s="5" t="str">
        <f t="shared" si="0"/>
        <v>PROCESSO FOI ATUALIZADO</v>
      </c>
      <c r="J163" s="5"/>
      <c r="K163" s="5"/>
      <c r="L163" s="5"/>
      <c r="M163" s="5"/>
      <c r="N163" s="5"/>
    </row>
    <row r="164" spans="1:14" ht="22.5" customHeight="1" x14ac:dyDescent="0.2">
      <c r="A164" s="21" t="s">
        <v>443</v>
      </c>
      <c r="B164" s="3" t="s">
        <v>34</v>
      </c>
      <c r="C164" s="3" t="s">
        <v>35</v>
      </c>
      <c r="D164" s="14" t="s">
        <v>2324</v>
      </c>
      <c r="E164" s="3" t="s">
        <v>79</v>
      </c>
      <c r="F164" s="8">
        <v>45828</v>
      </c>
      <c r="G164" s="5" t="s">
        <v>70</v>
      </c>
      <c r="H164" s="5"/>
      <c r="I164" s="5" t="str">
        <f t="shared" si="0"/>
        <v>PROCESSO FOI ATUALIZADO</v>
      </c>
      <c r="J164" s="5"/>
      <c r="K164" s="5"/>
      <c r="L164" s="5"/>
      <c r="M164" s="5"/>
      <c r="N164" s="5"/>
    </row>
    <row r="165" spans="1:14" ht="22.5" customHeight="1" x14ac:dyDescent="0.2">
      <c r="A165" s="21" t="s">
        <v>453</v>
      </c>
      <c r="B165" s="3" t="s">
        <v>34</v>
      </c>
      <c r="C165" s="3" t="s">
        <v>35</v>
      </c>
      <c r="D165" s="14" t="s">
        <v>2324</v>
      </c>
      <c r="E165" s="3" t="s">
        <v>79</v>
      </c>
      <c r="F165" s="8">
        <v>45828</v>
      </c>
      <c r="G165" s="5" t="s">
        <v>37</v>
      </c>
      <c r="H165" s="5"/>
      <c r="I165" s="5" t="str">
        <f t="shared" si="0"/>
        <v>PROCESSO FOI ATUALIZADO</v>
      </c>
      <c r="J165" s="5"/>
      <c r="K165" s="5"/>
      <c r="L165" s="5"/>
      <c r="M165" s="5"/>
      <c r="N165" s="5"/>
    </row>
    <row r="166" spans="1:14" ht="22.5" customHeight="1" x14ac:dyDescent="0.2">
      <c r="A166" s="21" t="s">
        <v>422</v>
      </c>
      <c r="B166" s="3" t="s">
        <v>34</v>
      </c>
      <c r="C166" s="3" t="s">
        <v>35</v>
      </c>
      <c r="D166" s="14" t="s">
        <v>2328</v>
      </c>
      <c r="E166" s="3" t="s">
        <v>361</v>
      </c>
      <c r="F166" s="8">
        <v>45828</v>
      </c>
      <c r="G166" s="5" t="s">
        <v>2095</v>
      </c>
      <c r="H166" s="5"/>
      <c r="I166" s="5" t="str">
        <f t="shared" si="0"/>
        <v>PROCESSO FOI ATUALIZADO</v>
      </c>
      <c r="J166" s="5"/>
      <c r="K166" s="5"/>
      <c r="L166" s="5"/>
      <c r="M166" s="5"/>
      <c r="N166" s="5"/>
    </row>
    <row r="167" spans="1:14" ht="22.5" customHeight="1" x14ac:dyDescent="0.2">
      <c r="A167" s="21" t="s">
        <v>404</v>
      </c>
      <c r="B167" s="3" t="s">
        <v>34</v>
      </c>
      <c r="C167" s="3" t="s">
        <v>35</v>
      </c>
      <c r="D167" s="14" t="s">
        <v>2329</v>
      </c>
      <c r="E167" s="3" t="s">
        <v>127</v>
      </c>
      <c r="F167" s="8">
        <v>45826</v>
      </c>
      <c r="G167" s="5" t="s">
        <v>2095</v>
      </c>
      <c r="H167" s="5"/>
      <c r="I167" s="5" t="str">
        <f t="shared" si="0"/>
        <v>PROCESSO FOI ATUALIZADO</v>
      </c>
      <c r="J167" s="5"/>
      <c r="K167" s="5"/>
      <c r="L167" s="5"/>
      <c r="M167" s="5"/>
      <c r="N167" s="5"/>
    </row>
    <row r="168" spans="1:14" ht="22.5" customHeight="1" x14ac:dyDescent="0.2">
      <c r="A168" s="21" t="s">
        <v>407</v>
      </c>
      <c r="B168" s="3" t="s">
        <v>34</v>
      </c>
      <c r="C168" s="3" t="s">
        <v>35</v>
      </c>
      <c r="D168" s="14" t="s">
        <v>2329</v>
      </c>
      <c r="E168" s="3" t="s">
        <v>127</v>
      </c>
      <c r="F168" s="8">
        <v>45826</v>
      </c>
      <c r="G168" s="5" t="s">
        <v>2433</v>
      </c>
      <c r="H168" s="5"/>
      <c r="I168" s="5" t="str">
        <f t="shared" si="0"/>
        <v>PROCESSO FOI ATUALIZADO</v>
      </c>
      <c r="J168" s="5"/>
      <c r="K168" s="5"/>
      <c r="L168" s="5"/>
      <c r="M168" s="5"/>
      <c r="N168" s="5"/>
    </row>
    <row r="169" spans="1:14" ht="22.5" customHeight="1" x14ac:dyDescent="0.2">
      <c r="A169" s="21" t="s">
        <v>482</v>
      </c>
      <c r="B169" s="3" t="s">
        <v>34</v>
      </c>
      <c r="C169" s="3" t="s">
        <v>35</v>
      </c>
      <c r="D169" s="14" t="s">
        <v>2283</v>
      </c>
      <c r="E169" s="3" t="s">
        <v>248</v>
      </c>
      <c r="F169" s="8">
        <v>45826</v>
      </c>
      <c r="G169" s="5" t="s">
        <v>2095</v>
      </c>
      <c r="H169" s="5"/>
      <c r="I169" s="5" t="str">
        <f t="shared" si="0"/>
        <v>PROCESSO FOI ATUALIZADO</v>
      </c>
      <c r="J169" s="5"/>
      <c r="K169" s="5"/>
      <c r="L169" s="5"/>
      <c r="M169" s="5"/>
      <c r="N169" s="5"/>
    </row>
    <row r="170" spans="1:14" ht="22.5" customHeight="1" x14ac:dyDescent="0.2">
      <c r="A170" s="21" t="s">
        <v>461</v>
      </c>
      <c r="B170" s="3" t="s">
        <v>34</v>
      </c>
      <c r="C170" s="3" t="s">
        <v>35</v>
      </c>
      <c r="D170" s="14" t="s">
        <v>2330</v>
      </c>
      <c r="E170" s="3" t="s">
        <v>462</v>
      </c>
      <c r="F170" s="8">
        <v>45825</v>
      </c>
      <c r="G170" s="5" t="s">
        <v>2095</v>
      </c>
      <c r="H170" s="5"/>
      <c r="I170" s="5" t="str">
        <f t="shared" si="0"/>
        <v>PROCESSO FOI ATUALIZADO</v>
      </c>
      <c r="J170" s="5"/>
      <c r="K170" s="5"/>
      <c r="L170" s="5"/>
      <c r="M170" s="5"/>
      <c r="N170" s="5"/>
    </row>
    <row r="171" spans="1:14" ht="22.5" customHeight="1" x14ac:dyDescent="0.2">
      <c r="A171" s="21" t="s">
        <v>398</v>
      </c>
      <c r="B171" s="3" t="s">
        <v>34</v>
      </c>
      <c r="C171" s="3" t="s">
        <v>35</v>
      </c>
      <c r="D171" s="14" t="s">
        <v>2310</v>
      </c>
      <c r="E171" s="3" t="s">
        <v>289</v>
      </c>
      <c r="F171" s="9">
        <v>45825</v>
      </c>
      <c r="G171" s="5" t="s">
        <v>2095</v>
      </c>
      <c r="H171" s="5"/>
      <c r="I171" s="5" t="str">
        <f t="shared" si="0"/>
        <v>PROCESSO FOI ATUALIZADO</v>
      </c>
      <c r="J171" s="5"/>
      <c r="K171" s="5"/>
      <c r="L171" s="5"/>
      <c r="M171" s="5"/>
      <c r="N171" s="5"/>
    </row>
    <row r="172" spans="1:14" ht="22.5" customHeight="1" x14ac:dyDescent="0.2">
      <c r="A172" s="21" t="s">
        <v>486</v>
      </c>
      <c r="B172" s="3" t="s">
        <v>34</v>
      </c>
      <c r="C172" s="3" t="s">
        <v>35</v>
      </c>
      <c r="D172" s="14" t="s">
        <v>2246</v>
      </c>
      <c r="E172" s="3" t="s">
        <v>127</v>
      </c>
      <c r="F172" s="9">
        <v>45825</v>
      </c>
      <c r="G172" s="5" t="s">
        <v>2443</v>
      </c>
      <c r="H172" s="5"/>
      <c r="I172" s="5" t="str">
        <f t="shared" si="0"/>
        <v>PROCESSO FOI ATUALIZADO</v>
      </c>
      <c r="J172" s="5"/>
      <c r="K172" s="5"/>
      <c r="L172" s="5"/>
      <c r="M172" s="5"/>
      <c r="N172" s="5"/>
    </row>
    <row r="173" spans="1:14" ht="22.5" customHeight="1" x14ac:dyDescent="0.2">
      <c r="A173" s="21" t="s">
        <v>400</v>
      </c>
      <c r="B173" s="3" t="s">
        <v>34</v>
      </c>
      <c r="C173" s="3" t="s">
        <v>35</v>
      </c>
      <c r="D173" s="14" t="s">
        <v>2310</v>
      </c>
      <c r="E173" s="3" t="s">
        <v>289</v>
      </c>
      <c r="F173" s="9">
        <v>45825</v>
      </c>
      <c r="G173" s="5" t="s">
        <v>37</v>
      </c>
      <c r="H173" s="5"/>
      <c r="I173" s="5" t="str">
        <f t="shared" si="0"/>
        <v>PROCESSO FOI ATUALIZADO</v>
      </c>
      <c r="J173" s="5"/>
      <c r="K173" s="5"/>
      <c r="L173" s="5"/>
      <c r="M173" s="5"/>
      <c r="N173" s="5"/>
    </row>
    <row r="174" spans="1:14" ht="22.5" customHeight="1" x14ac:dyDescent="0.2">
      <c r="A174" s="21" t="s">
        <v>473</v>
      </c>
      <c r="B174" s="3" t="s">
        <v>34</v>
      </c>
      <c r="C174" s="3" t="s">
        <v>35</v>
      </c>
      <c r="D174" s="14" t="s">
        <v>2444</v>
      </c>
      <c r="E174" s="3" t="s">
        <v>474</v>
      </c>
      <c r="F174" s="9">
        <v>45825</v>
      </c>
      <c r="G174" s="5" t="s">
        <v>37</v>
      </c>
      <c r="H174" s="5"/>
      <c r="I174" s="5" t="str">
        <f t="shared" si="0"/>
        <v>PROCESSO FOI ATUALIZADO</v>
      </c>
      <c r="J174" s="5"/>
      <c r="K174" s="5"/>
      <c r="L174" s="5"/>
      <c r="M174" s="5"/>
      <c r="N174" s="5"/>
    </row>
    <row r="175" spans="1:14" ht="22.5" customHeight="1" x14ac:dyDescent="0.2">
      <c r="A175" s="21" t="s">
        <v>456</v>
      </c>
      <c r="B175" s="3" t="s">
        <v>34</v>
      </c>
      <c r="C175" s="3" t="s">
        <v>35</v>
      </c>
      <c r="D175" s="14" t="s">
        <v>2331</v>
      </c>
      <c r="E175" s="3" t="s">
        <v>79</v>
      </c>
      <c r="F175" s="9">
        <v>45824</v>
      </c>
      <c r="G175" s="5" t="s">
        <v>2095</v>
      </c>
      <c r="H175" s="5"/>
      <c r="I175" s="5" t="str">
        <f t="shared" si="0"/>
        <v>PROCESSO FOI ATUALIZADO</v>
      </c>
      <c r="J175" s="5"/>
      <c r="K175" s="5"/>
      <c r="L175" s="5"/>
      <c r="M175" s="5"/>
      <c r="N175" s="5"/>
    </row>
    <row r="176" spans="1:14" ht="22.5" customHeight="1" x14ac:dyDescent="0.2">
      <c r="A176" s="21" t="s">
        <v>426</v>
      </c>
      <c r="B176" s="3" t="s">
        <v>34</v>
      </c>
      <c r="C176" s="3" t="s">
        <v>35</v>
      </c>
      <c r="D176" s="14" t="s">
        <v>2328</v>
      </c>
      <c r="E176" s="3" t="s">
        <v>361</v>
      </c>
      <c r="F176" s="9">
        <v>45824</v>
      </c>
      <c r="G176" s="5" t="s">
        <v>37</v>
      </c>
      <c r="H176" s="5"/>
      <c r="I176" s="5" t="str">
        <f t="shared" si="0"/>
        <v>PROCESSO FOI ATUALIZADO</v>
      </c>
      <c r="J176" s="5"/>
      <c r="K176" s="5"/>
      <c r="L176" s="5"/>
      <c r="M176" s="5"/>
      <c r="N176" s="5"/>
    </row>
    <row r="177" spans="1:14" ht="22.5" customHeight="1" x14ac:dyDescent="0.2">
      <c r="A177" s="21" t="s">
        <v>430</v>
      </c>
      <c r="B177" s="3" t="s">
        <v>34</v>
      </c>
      <c r="C177" s="3" t="s">
        <v>35</v>
      </c>
      <c r="D177" s="14" t="s">
        <v>2328</v>
      </c>
      <c r="E177" s="3" t="s">
        <v>361</v>
      </c>
      <c r="F177" s="9">
        <v>45824</v>
      </c>
      <c r="G177" s="5" t="s">
        <v>37</v>
      </c>
      <c r="H177" s="5"/>
      <c r="I177" s="5" t="str">
        <f t="shared" si="0"/>
        <v>PROCESSO FOI ATUALIZADO</v>
      </c>
      <c r="J177" s="5"/>
      <c r="K177" s="5"/>
      <c r="L177" s="5"/>
      <c r="M177" s="5"/>
      <c r="N177" s="5"/>
    </row>
    <row r="178" spans="1:14" ht="22.5" customHeight="1" x14ac:dyDescent="0.2">
      <c r="A178" s="21" t="s">
        <v>467</v>
      </c>
      <c r="B178" s="3" t="s">
        <v>34</v>
      </c>
      <c r="C178" s="3" t="s">
        <v>35</v>
      </c>
      <c r="D178" s="14" t="s">
        <v>2332</v>
      </c>
      <c r="E178" s="3" t="s">
        <v>468</v>
      </c>
      <c r="F178" s="9">
        <v>45821</v>
      </c>
      <c r="G178" s="5" t="s">
        <v>2110</v>
      </c>
      <c r="H178" s="5"/>
      <c r="I178" s="5" t="str">
        <f t="shared" si="0"/>
        <v>PROCESSO FOI ATUALIZADO</v>
      </c>
      <c r="J178" s="5"/>
      <c r="K178" s="5"/>
      <c r="L178" s="5"/>
      <c r="M178" s="5"/>
      <c r="N178" s="5"/>
    </row>
    <row r="179" spans="1:14" ht="22.5" customHeight="1" x14ac:dyDescent="0.2">
      <c r="A179" s="21" t="s">
        <v>487</v>
      </c>
      <c r="B179" s="3" t="s">
        <v>34</v>
      </c>
      <c r="C179" s="3" t="s">
        <v>35</v>
      </c>
      <c r="D179" s="14" t="s">
        <v>2255</v>
      </c>
      <c r="E179" s="3" t="s">
        <v>79</v>
      </c>
      <c r="F179" s="9">
        <v>45820</v>
      </c>
      <c r="G179" s="5" t="s">
        <v>2443</v>
      </c>
      <c r="H179" s="5"/>
      <c r="I179" s="5" t="str">
        <f t="shared" si="0"/>
        <v>PROCESSO FOI ATUALIZADO</v>
      </c>
      <c r="J179" s="5"/>
      <c r="K179" s="5"/>
      <c r="L179" s="5"/>
      <c r="M179" s="5"/>
      <c r="N179" s="5"/>
    </row>
    <row r="180" spans="1:14" ht="22.5" customHeight="1" x14ac:dyDescent="0.2">
      <c r="A180" s="21" t="s">
        <v>431</v>
      </c>
      <c r="B180" s="3" t="s">
        <v>34</v>
      </c>
      <c r="C180" s="3" t="s">
        <v>35</v>
      </c>
      <c r="D180" s="14" t="s">
        <v>2333</v>
      </c>
      <c r="E180" s="3" t="s">
        <v>79</v>
      </c>
      <c r="F180" s="8">
        <v>45820</v>
      </c>
      <c r="G180" s="5" t="s">
        <v>2095</v>
      </c>
      <c r="H180" s="5"/>
      <c r="I180" s="5" t="str">
        <f t="shared" si="0"/>
        <v>PROCESSO FOI ATUALIZADO</v>
      </c>
      <c r="J180" s="5"/>
      <c r="K180" s="5"/>
      <c r="L180" s="5"/>
      <c r="M180" s="5"/>
      <c r="N180" s="5"/>
    </row>
    <row r="181" spans="1:14" ht="22.5" customHeight="1" x14ac:dyDescent="0.2">
      <c r="A181" s="21" t="s">
        <v>470</v>
      </c>
      <c r="B181" s="3" t="s">
        <v>34</v>
      </c>
      <c r="C181" s="3" t="s">
        <v>35</v>
      </c>
      <c r="D181" s="14" t="s">
        <v>2334</v>
      </c>
      <c r="E181" s="3" t="s">
        <v>471</v>
      </c>
      <c r="F181" s="8">
        <v>45818</v>
      </c>
      <c r="G181" s="5" t="s">
        <v>2095</v>
      </c>
      <c r="H181" s="5"/>
      <c r="I181" s="5" t="str">
        <f t="shared" si="0"/>
        <v>PROCESSO FOI ATUALIZADO</v>
      </c>
      <c r="J181" s="5"/>
      <c r="K181" s="5"/>
      <c r="L181" s="5"/>
      <c r="M181" s="5"/>
      <c r="N181" s="5"/>
    </row>
    <row r="182" spans="1:14" ht="22.5" customHeight="1" x14ac:dyDescent="0.2">
      <c r="A182" s="21" t="s">
        <v>475</v>
      </c>
      <c r="B182" s="3" t="s">
        <v>34</v>
      </c>
      <c r="C182" s="3" t="s">
        <v>35</v>
      </c>
      <c r="D182" s="14" t="s">
        <v>2335</v>
      </c>
      <c r="E182" s="3" t="s">
        <v>79</v>
      </c>
      <c r="F182" s="8">
        <v>45817</v>
      </c>
      <c r="G182" s="5" t="s">
        <v>2095</v>
      </c>
      <c r="H182" s="5"/>
      <c r="I182" s="5" t="str">
        <f t="shared" si="0"/>
        <v>PROCESSO FOI ATUALIZADO</v>
      </c>
      <c r="J182" s="5"/>
      <c r="K182" s="5"/>
      <c r="L182" s="5"/>
      <c r="M182" s="5"/>
      <c r="N182" s="5"/>
    </row>
    <row r="183" spans="1:14" ht="22.5" customHeight="1" x14ac:dyDescent="0.2">
      <c r="A183" s="21" t="s">
        <v>477</v>
      </c>
      <c r="B183" s="3" t="s">
        <v>34</v>
      </c>
      <c r="C183" s="3" t="s">
        <v>35</v>
      </c>
      <c r="D183" s="14" t="s">
        <v>2336</v>
      </c>
      <c r="E183" s="3" t="s">
        <v>478</v>
      </c>
      <c r="F183" s="8">
        <v>45817</v>
      </c>
      <c r="G183" s="5" t="s">
        <v>2095</v>
      </c>
      <c r="H183" s="5"/>
      <c r="I183" s="5" t="str">
        <f t="shared" si="0"/>
        <v>PROCESSO FOI ATUALIZADO</v>
      </c>
      <c r="J183" s="5"/>
      <c r="K183" s="5"/>
      <c r="L183" s="5"/>
      <c r="M183" s="5"/>
      <c r="N183" s="5"/>
    </row>
    <row r="184" spans="1:14" ht="22.5" customHeight="1" x14ac:dyDescent="0.2">
      <c r="A184" s="21" t="s">
        <v>401</v>
      </c>
      <c r="B184" s="3" t="s">
        <v>34</v>
      </c>
      <c r="C184" s="3" t="s">
        <v>35</v>
      </c>
      <c r="D184" s="14" t="s">
        <v>2310</v>
      </c>
      <c r="E184" s="3" t="s">
        <v>289</v>
      </c>
      <c r="F184" s="8">
        <v>45817</v>
      </c>
      <c r="G184" s="5" t="s">
        <v>2433</v>
      </c>
      <c r="H184" s="5"/>
      <c r="I184" s="5" t="str">
        <f t="shared" si="0"/>
        <v>PROCESSO FOI ATUALIZADO</v>
      </c>
      <c r="J184" s="5"/>
      <c r="K184" s="5"/>
      <c r="L184" s="5"/>
      <c r="M184" s="5"/>
      <c r="N184" s="5"/>
    </row>
    <row r="185" spans="1:14" ht="22.5" customHeight="1" x14ac:dyDescent="0.2">
      <c r="A185" s="21" t="s">
        <v>466</v>
      </c>
      <c r="B185" s="3" t="s">
        <v>34</v>
      </c>
      <c r="C185" s="3" t="s">
        <v>35</v>
      </c>
      <c r="D185" s="14" t="s">
        <v>2337</v>
      </c>
      <c r="E185" s="3" t="s">
        <v>85</v>
      </c>
      <c r="F185" s="8">
        <v>45813</v>
      </c>
      <c r="G185" s="5" t="s">
        <v>37</v>
      </c>
      <c r="H185" s="5"/>
      <c r="I185" s="5" t="str">
        <f t="shared" si="0"/>
        <v>PROCESSO FOI ATUALIZADO</v>
      </c>
      <c r="J185" s="5"/>
      <c r="K185" s="5"/>
      <c r="L185" s="5"/>
      <c r="M185" s="5"/>
      <c r="N185" s="5"/>
    </row>
    <row r="186" spans="1:14" ht="22.5" customHeight="1" x14ac:dyDescent="0.2">
      <c r="A186" s="21" t="s">
        <v>484</v>
      </c>
      <c r="B186" s="3" t="s">
        <v>34</v>
      </c>
      <c r="C186" s="3" t="s">
        <v>35</v>
      </c>
      <c r="D186" s="14" t="s">
        <v>2337</v>
      </c>
      <c r="E186" s="3" t="s">
        <v>85</v>
      </c>
      <c r="F186" s="8">
        <v>45813</v>
      </c>
      <c r="G186" s="5" t="s">
        <v>2095</v>
      </c>
      <c r="H186" s="5"/>
      <c r="I186" s="5" t="str">
        <f t="shared" si="0"/>
        <v>PROCESSO FOI ATUALIZADO</v>
      </c>
      <c r="J186" s="5"/>
      <c r="K186" s="5"/>
      <c r="L186" s="5"/>
      <c r="M186" s="5"/>
      <c r="N186" s="5"/>
    </row>
    <row r="187" spans="1:14" ht="22.5" customHeight="1" x14ac:dyDescent="0.2">
      <c r="A187" s="21" t="s">
        <v>419</v>
      </c>
      <c r="B187" s="3" t="s">
        <v>34</v>
      </c>
      <c r="C187" s="3" t="s">
        <v>35</v>
      </c>
      <c r="D187" s="14" t="s">
        <v>2338</v>
      </c>
      <c r="E187" s="3" t="s">
        <v>420</v>
      </c>
      <c r="F187" s="8">
        <v>45812</v>
      </c>
      <c r="G187" s="5" t="s">
        <v>2095</v>
      </c>
      <c r="H187" s="5"/>
      <c r="I187" s="5" t="str">
        <f t="shared" si="0"/>
        <v>PROCESSO FOI ATUALIZADO</v>
      </c>
      <c r="J187" s="5"/>
      <c r="K187" s="5"/>
      <c r="L187" s="5"/>
      <c r="M187" s="5"/>
      <c r="N187" s="5"/>
    </row>
    <row r="188" spans="1:14" ht="22.5" customHeight="1" x14ac:dyDescent="0.2">
      <c r="A188" s="21" t="s">
        <v>460</v>
      </c>
      <c r="B188" s="3" t="s">
        <v>34</v>
      </c>
      <c r="C188" s="3" t="s">
        <v>35</v>
      </c>
      <c r="D188" s="14" t="s">
        <v>2264</v>
      </c>
      <c r="E188" s="3" t="s">
        <v>232</v>
      </c>
      <c r="F188" s="8">
        <v>45812</v>
      </c>
      <c r="G188" s="5" t="s">
        <v>2443</v>
      </c>
      <c r="H188" s="5"/>
      <c r="I188" s="5" t="str">
        <f t="shared" si="0"/>
        <v>PROCESSO FOI ATUALIZADO</v>
      </c>
      <c r="J188" s="5"/>
      <c r="K188" s="5"/>
      <c r="L188" s="5"/>
      <c r="M188" s="5"/>
      <c r="N188" s="5"/>
    </row>
    <row r="189" spans="1:14" ht="22.5" customHeight="1" x14ac:dyDescent="0.2">
      <c r="A189" s="21" t="s">
        <v>411</v>
      </c>
      <c r="B189" s="3" t="s">
        <v>34</v>
      </c>
      <c r="C189" s="3" t="s">
        <v>35</v>
      </c>
      <c r="D189" s="14" t="s">
        <v>2339</v>
      </c>
      <c r="E189" s="3" t="s">
        <v>412</v>
      </c>
      <c r="F189" s="8">
        <v>45811</v>
      </c>
      <c r="G189" s="5" t="s">
        <v>2095</v>
      </c>
      <c r="H189" s="5"/>
      <c r="I189" s="5" t="str">
        <f t="shared" si="0"/>
        <v>PROCESSO FOI ATUALIZADO</v>
      </c>
      <c r="J189" s="5"/>
      <c r="K189" s="5"/>
      <c r="L189" s="5"/>
      <c r="M189" s="5"/>
      <c r="N189" s="5"/>
    </row>
    <row r="190" spans="1:14" ht="22.5" customHeight="1" x14ac:dyDescent="0.2">
      <c r="A190" s="21" t="s">
        <v>458</v>
      </c>
      <c r="B190" s="3" t="s">
        <v>34</v>
      </c>
      <c r="C190" s="3" t="s">
        <v>35</v>
      </c>
      <c r="D190" s="14" t="s">
        <v>2340</v>
      </c>
      <c r="E190" s="3" t="s">
        <v>69</v>
      </c>
      <c r="F190" s="8">
        <v>45811</v>
      </c>
      <c r="G190" s="5" t="s">
        <v>2095</v>
      </c>
      <c r="H190" s="5"/>
      <c r="I190" s="5" t="str">
        <f t="shared" si="0"/>
        <v>PROCESSO FOI ATUALIZADO</v>
      </c>
      <c r="J190" s="5"/>
      <c r="K190" s="5"/>
      <c r="L190" s="5"/>
      <c r="M190" s="5"/>
      <c r="N190" s="5"/>
    </row>
    <row r="191" spans="1:14" ht="22.5" customHeight="1" x14ac:dyDescent="0.2">
      <c r="A191" s="21" t="s">
        <v>444</v>
      </c>
      <c r="B191" s="3" t="s">
        <v>34</v>
      </c>
      <c r="C191" s="3" t="s">
        <v>35</v>
      </c>
      <c r="D191" s="14" t="s">
        <v>2271</v>
      </c>
      <c r="E191" s="3" t="s">
        <v>190</v>
      </c>
      <c r="F191" s="8">
        <v>45811</v>
      </c>
      <c r="G191" s="5" t="s">
        <v>2095</v>
      </c>
      <c r="H191" s="5"/>
      <c r="I191" s="5" t="str">
        <f t="shared" si="0"/>
        <v>PROCESSO FOI ATUALIZADO</v>
      </c>
      <c r="J191" s="5"/>
      <c r="K191" s="5"/>
      <c r="L191" s="5"/>
      <c r="M191" s="5"/>
      <c r="N191" s="5"/>
    </row>
    <row r="192" spans="1:14" ht="22.5" customHeight="1" x14ac:dyDescent="0.2">
      <c r="A192" s="21" t="s">
        <v>414</v>
      </c>
      <c r="B192" s="3" t="s">
        <v>34</v>
      </c>
      <c r="C192" s="3" t="s">
        <v>35</v>
      </c>
      <c r="D192" s="14" t="s">
        <v>2341</v>
      </c>
      <c r="E192" s="3" t="s">
        <v>415</v>
      </c>
      <c r="F192" s="8">
        <v>45811</v>
      </c>
      <c r="G192" s="5" t="s">
        <v>2095</v>
      </c>
      <c r="H192" s="5"/>
      <c r="I192" s="5" t="str">
        <f t="shared" si="0"/>
        <v>PROCESSO FOI ATUALIZADO</v>
      </c>
      <c r="J192" s="5"/>
      <c r="K192" s="5"/>
      <c r="L192" s="5"/>
      <c r="M192" s="5"/>
      <c r="N192" s="5"/>
    </row>
    <row r="193" spans="1:14" ht="22.5" customHeight="1" x14ac:dyDescent="0.2">
      <c r="A193" s="21" t="s">
        <v>454</v>
      </c>
      <c r="B193" s="3" t="s">
        <v>34</v>
      </c>
      <c r="C193" s="3" t="s">
        <v>35</v>
      </c>
      <c r="D193" s="14" t="s">
        <v>2342</v>
      </c>
      <c r="E193" s="3" t="s">
        <v>127</v>
      </c>
      <c r="F193" s="8">
        <v>45811</v>
      </c>
      <c r="G193" s="5" t="s">
        <v>2095</v>
      </c>
      <c r="H193" s="5"/>
      <c r="I193" s="5" t="str">
        <f t="shared" si="0"/>
        <v>PROCESSO FOI ATUALIZADO</v>
      </c>
      <c r="J193" s="5"/>
      <c r="K193" s="5"/>
      <c r="L193" s="5"/>
      <c r="M193" s="5"/>
      <c r="N193" s="5"/>
    </row>
    <row r="194" spans="1:14" ht="22.5" customHeight="1" x14ac:dyDescent="0.2">
      <c r="A194" s="21" t="s">
        <v>488</v>
      </c>
      <c r="B194" s="3" t="s">
        <v>34</v>
      </c>
      <c r="C194" s="3" t="s">
        <v>35</v>
      </c>
      <c r="D194" s="14" t="s">
        <v>2343</v>
      </c>
      <c r="E194" s="3" t="s">
        <v>127</v>
      </c>
      <c r="F194" s="8">
        <v>45811</v>
      </c>
      <c r="G194" s="5" t="s">
        <v>2095</v>
      </c>
      <c r="H194" s="5"/>
      <c r="I194" s="5" t="str">
        <f t="shared" si="0"/>
        <v>PROCESSO FOI ATUALIZADO</v>
      </c>
      <c r="J194" s="5"/>
      <c r="K194" s="5"/>
      <c r="L194" s="5"/>
      <c r="M194" s="5"/>
      <c r="N194" s="5"/>
    </row>
    <row r="195" spans="1:14" ht="22.5" customHeight="1" x14ac:dyDescent="0.2">
      <c r="A195" s="21" t="s">
        <v>439</v>
      </c>
      <c r="B195" s="3" t="s">
        <v>34</v>
      </c>
      <c r="C195" s="3" t="s">
        <v>35</v>
      </c>
      <c r="D195" s="14" t="s">
        <v>2344</v>
      </c>
      <c r="E195" s="3" t="s">
        <v>440</v>
      </c>
      <c r="F195" s="8">
        <v>45806</v>
      </c>
      <c r="G195" s="5" t="s">
        <v>2095</v>
      </c>
      <c r="H195" s="5"/>
      <c r="I195" s="5" t="str">
        <f t="shared" si="0"/>
        <v>PROCESSO FOI ATUALIZADO</v>
      </c>
      <c r="J195" s="5"/>
      <c r="K195" s="5"/>
      <c r="L195" s="5"/>
      <c r="M195" s="5"/>
      <c r="N195" s="5"/>
    </row>
    <row r="196" spans="1:14" ht="22.5" customHeight="1" x14ac:dyDescent="0.2">
      <c r="A196" s="21" t="s">
        <v>438</v>
      </c>
      <c r="B196" s="3" t="s">
        <v>34</v>
      </c>
      <c r="C196" s="3" t="s">
        <v>35</v>
      </c>
      <c r="D196" s="14" t="s">
        <v>2333</v>
      </c>
      <c r="E196" s="3" t="s">
        <v>79</v>
      </c>
      <c r="F196" s="8">
        <v>45805</v>
      </c>
      <c r="G196" s="5" t="s">
        <v>70</v>
      </c>
      <c r="H196" s="5"/>
      <c r="I196" s="5" t="str">
        <f t="shared" si="0"/>
        <v>PROCESSO FOI ATUALIZADO</v>
      </c>
      <c r="J196" s="5"/>
      <c r="K196" s="5"/>
      <c r="L196" s="5"/>
      <c r="M196" s="5"/>
      <c r="N196" s="5"/>
    </row>
    <row r="197" spans="1:14" ht="22.5" customHeight="1" x14ac:dyDescent="0.2">
      <c r="A197" s="21" t="s">
        <v>446</v>
      </c>
      <c r="B197" s="3" t="s">
        <v>34</v>
      </c>
      <c r="C197" s="3" t="s">
        <v>35</v>
      </c>
      <c r="D197" s="14" t="s">
        <v>2345</v>
      </c>
      <c r="E197" s="3" t="s">
        <v>447</v>
      </c>
      <c r="F197" s="8">
        <v>45805</v>
      </c>
      <c r="G197" s="5" t="s">
        <v>2095</v>
      </c>
      <c r="H197" s="5"/>
      <c r="I197" s="5" t="str">
        <f t="shared" si="0"/>
        <v>PROCESSO FOI ATUALIZADO</v>
      </c>
      <c r="J197" s="5"/>
      <c r="K197" s="5"/>
      <c r="L197" s="5"/>
      <c r="M197" s="5"/>
      <c r="N197" s="5"/>
    </row>
    <row r="198" spans="1:14" ht="22.5" customHeight="1" x14ac:dyDescent="0.2">
      <c r="A198" s="21" t="s">
        <v>450</v>
      </c>
      <c r="B198" s="3" t="s">
        <v>34</v>
      </c>
      <c r="C198" s="3" t="s">
        <v>35</v>
      </c>
      <c r="D198" s="14" t="s">
        <v>2348</v>
      </c>
      <c r="E198" s="3" t="s">
        <v>451</v>
      </c>
      <c r="F198" s="8">
        <v>45803</v>
      </c>
      <c r="G198" s="5" t="s">
        <v>2095</v>
      </c>
      <c r="H198" s="5"/>
      <c r="I198" s="5" t="str">
        <f t="shared" si="0"/>
        <v>PROCESSO FOI ATUALIZADO</v>
      </c>
      <c r="J198" s="5"/>
      <c r="K198" s="5"/>
      <c r="L198" s="5"/>
      <c r="M198" s="5"/>
      <c r="N198" s="5"/>
    </row>
    <row r="199" spans="1:14" ht="22.5" customHeight="1" x14ac:dyDescent="0.2">
      <c r="A199" s="21" t="s">
        <v>442</v>
      </c>
      <c r="B199" s="3" t="s">
        <v>34</v>
      </c>
      <c r="C199" s="3" t="s">
        <v>35</v>
      </c>
      <c r="D199" s="14" t="s">
        <v>2429</v>
      </c>
      <c r="E199" s="3" t="s">
        <v>69</v>
      </c>
      <c r="F199" s="8">
        <v>45799</v>
      </c>
      <c r="G199" s="5" t="s">
        <v>2443</v>
      </c>
      <c r="H199" s="5"/>
      <c r="I199" s="5" t="str">
        <f t="shared" si="0"/>
        <v>PROCESSO FOI ATUALIZADO</v>
      </c>
      <c r="J199" s="5"/>
      <c r="K199" s="5"/>
      <c r="L199" s="5"/>
      <c r="M199" s="5"/>
      <c r="N199" s="5"/>
    </row>
    <row r="200" spans="1:14" ht="22.5" customHeight="1" x14ac:dyDescent="0.2">
      <c r="A200" s="21" t="s">
        <v>433</v>
      </c>
      <c r="B200" s="3" t="s">
        <v>34</v>
      </c>
      <c r="C200" s="3" t="s">
        <v>35</v>
      </c>
      <c r="D200" s="14" t="s">
        <v>2445</v>
      </c>
      <c r="E200" s="3" t="s">
        <v>434</v>
      </c>
      <c r="F200" s="8">
        <v>45799</v>
      </c>
      <c r="G200" s="5" t="s">
        <v>2433</v>
      </c>
      <c r="H200" s="5"/>
      <c r="I200" s="5" t="str">
        <f t="shared" si="0"/>
        <v>PROCESSO FOI ATUALIZADO</v>
      </c>
      <c r="J200" s="5"/>
      <c r="K200" s="5"/>
      <c r="L200" s="5"/>
      <c r="M200" s="5"/>
      <c r="N200" s="5"/>
    </row>
    <row r="201" spans="1:14" ht="22.5" customHeight="1" x14ac:dyDescent="0.2">
      <c r="A201" s="21" t="s">
        <v>417</v>
      </c>
      <c r="B201" s="3" t="s">
        <v>34</v>
      </c>
      <c r="C201" s="3" t="s">
        <v>35</v>
      </c>
      <c r="D201" s="14" t="s">
        <v>2341</v>
      </c>
      <c r="E201" s="3" t="s">
        <v>415</v>
      </c>
      <c r="F201" s="8">
        <v>45798</v>
      </c>
      <c r="G201" s="5" t="s">
        <v>2095</v>
      </c>
      <c r="H201" s="5"/>
      <c r="I201" s="5" t="str">
        <f t="shared" si="0"/>
        <v>PROCESSO FOI ATUALIZADO</v>
      </c>
      <c r="J201" s="5"/>
      <c r="K201" s="5"/>
      <c r="L201" s="5"/>
      <c r="M201" s="5"/>
      <c r="N201" s="5"/>
    </row>
    <row r="202" spans="1:14" ht="22.5" customHeight="1" x14ac:dyDescent="0.2">
      <c r="A202" s="21" t="s">
        <v>409</v>
      </c>
      <c r="B202" s="3" t="s">
        <v>34</v>
      </c>
      <c r="C202" s="3" t="s">
        <v>35</v>
      </c>
      <c r="D202" s="14" t="s">
        <v>2300</v>
      </c>
      <c r="E202" s="3" t="s">
        <v>296</v>
      </c>
      <c r="F202" s="8">
        <v>45797</v>
      </c>
      <c r="G202" s="5" t="s">
        <v>37</v>
      </c>
      <c r="H202" s="5"/>
      <c r="I202" s="5" t="str">
        <f t="shared" si="0"/>
        <v>PROCESSO FOI ATUALIZADO</v>
      </c>
      <c r="J202" s="5"/>
      <c r="K202" s="5"/>
      <c r="L202" s="5"/>
      <c r="M202" s="5"/>
      <c r="N202" s="5"/>
    </row>
    <row r="203" spans="1:14" ht="22.5" customHeight="1" x14ac:dyDescent="0.2">
      <c r="A203" s="21" t="s">
        <v>410</v>
      </c>
      <c r="B203" s="3" t="s">
        <v>34</v>
      </c>
      <c r="C203" s="3" t="s">
        <v>35</v>
      </c>
      <c r="D203" s="14" t="s">
        <v>2300</v>
      </c>
      <c r="E203" s="3" t="s">
        <v>296</v>
      </c>
      <c r="F203" s="8">
        <v>45797</v>
      </c>
      <c r="G203" s="5" t="s">
        <v>2433</v>
      </c>
      <c r="H203" s="5"/>
      <c r="I203" s="5" t="str">
        <f t="shared" si="0"/>
        <v>PROCESSO FOI ATUALIZADO</v>
      </c>
      <c r="J203" s="5"/>
      <c r="K203" s="5"/>
      <c r="L203" s="5"/>
      <c r="M203" s="5"/>
      <c r="N203" s="5"/>
    </row>
    <row r="204" spans="1:14" ht="22.5" customHeight="1" x14ac:dyDescent="0.2">
      <c r="A204" s="21" t="s">
        <v>402</v>
      </c>
      <c r="B204" s="3" t="s">
        <v>34</v>
      </c>
      <c r="C204" s="3" t="s">
        <v>35</v>
      </c>
      <c r="D204" s="14" t="s">
        <v>2310</v>
      </c>
      <c r="E204" s="3" t="s">
        <v>289</v>
      </c>
      <c r="F204" s="8">
        <v>45797</v>
      </c>
      <c r="G204" s="5" t="s">
        <v>2433</v>
      </c>
      <c r="H204" s="5"/>
      <c r="I204" s="5" t="str">
        <f t="shared" si="0"/>
        <v>PROCESSO FOI ATUALIZADO</v>
      </c>
      <c r="J204" s="5"/>
      <c r="K204" s="5"/>
      <c r="L204" s="5"/>
      <c r="M204" s="5"/>
      <c r="N204" s="5"/>
    </row>
    <row r="205" spans="1:14" ht="22.5" customHeight="1" x14ac:dyDescent="0.2">
      <c r="A205" s="21" t="s">
        <v>403</v>
      </c>
      <c r="B205" s="3" t="s">
        <v>34</v>
      </c>
      <c r="C205" s="3" t="s">
        <v>35</v>
      </c>
      <c r="D205" s="14" t="s">
        <v>2310</v>
      </c>
      <c r="E205" s="3" t="s">
        <v>289</v>
      </c>
      <c r="F205" s="8">
        <v>45797</v>
      </c>
      <c r="G205" s="5" t="s">
        <v>2433</v>
      </c>
      <c r="H205" s="5"/>
      <c r="I205" s="5" t="str">
        <f t="shared" si="0"/>
        <v>PROCESSO FOI ATUALIZADO</v>
      </c>
      <c r="J205" s="5"/>
      <c r="K205" s="5"/>
      <c r="L205" s="5"/>
      <c r="M205" s="5"/>
      <c r="N205" s="5"/>
    </row>
    <row r="206" spans="1:14" ht="22.5" customHeight="1" x14ac:dyDescent="0.2">
      <c r="A206" s="21" t="s">
        <v>406</v>
      </c>
      <c r="B206" s="3" t="s">
        <v>34</v>
      </c>
      <c r="C206" s="3" t="s">
        <v>35</v>
      </c>
      <c r="D206" s="14" t="s">
        <v>2310</v>
      </c>
      <c r="E206" s="3" t="s">
        <v>289</v>
      </c>
      <c r="F206" s="8">
        <v>45797</v>
      </c>
      <c r="G206" s="5" t="s">
        <v>2433</v>
      </c>
      <c r="H206" s="5"/>
      <c r="I206" s="5" t="str">
        <f t="shared" si="0"/>
        <v>PROCESSO FOI ATUALIZADO</v>
      </c>
      <c r="J206" s="5"/>
      <c r="K206" s="5"/>
      <c r="L206" s="5"/>
      <c r="M206" s="5"/>
      <c r="N206" s="5"/>
    </row>
    <row r="207" spans="1:14" ht="22.5" customHeight="1" x14ac:dyDescent="0.2">
      <c r="A207" s="21" t="s">
        <v>408</v>
      </c>
      <c r="B207" s="3" t="s">
        <v>34</v>
      </c>
      <c r="C207" s="3" t="s">
        <v>35</v>
      </c>
      <c r="D207" s="14" t="s">
        <v>2310</v>
      </c>
      <c r="E207" s="3" t="s">
        <v>289</v>
      </c>
      <c r="F207" s="8">
        <v>45797</v>
      </c>
      <c r="G207" s="5" t="s">
        <v>2433</v>
      </c>
      <c r="H207" s="5"/>
      <c r="I207" s="5" t="str">
        <f t="shared" si="0"/>
        <v>PROCESSO FOI ATUALIZADO</v>
      </c>
      <c r="J207" s="5"/>
      <c r="K207" s="5"/>
      <c r="L207" s="5"/>
      <c r="M207" s="5"/>
      <c r="N207" s="5"/>
    </row>
    <row r="208" spans="1:14" ht="22.5" customHeight="1" x14ac:dyDescent="0.2">
      <c r="A208" s="21" t="s">
        <v>490</v>
      </c>
      <c r="B208" s="3" t="s">
        <v>34</v>
      </c>
      <c r="C208" s="3" t="s">
        <v>35</v>
      </c>
      <c r="D208" s="14" t="s">
        <v>2350</v>
      </c>
      <c r="E208" s="3" t="s">
        <v>491</v>
      </c>
      <c r="F208" s="8">
        <v>45796</v>
      </c>
      <c r="G208" s="5" t="s">
        <v>2095</v>
      </c>
      <c r="H208" s="5"/>
      <c r="I208" s="5" t="str">
        <f t="shared" si="0"/>
        <v>PROCESSO FOI ATUALIZADO</v>
      </c>
      <c r="J208" s="5"/>
      <c r="K208" s="5"/>
      <c r="L208" s="5"/>
      <c r="M208" s="5"/>
      <c r="N208" s="5"/>
    </row>
    <row r="209" spans="1:14" ht="22.5" customHeight="1" x14ac:dyDescent="0.2">
      <c r="A209" s="21" t="s">
        <v>424</v>
      </c>
      <c r="B209" s="3" t="s">
        <v>34</v>
      </c>
      <c r="C209" s="3" t="s">
        <v>35</v>
      </c>
      <c r="D209" s="14" t="s">
        <v>2341</v>
      </c>
      <c r="E209" s="3" t="s">
        <v>415</v>
      </c>
      <c r="F209" s="8">
        <v>45796</v>
      </c>
      <c r="G209" s="5" t="s">
        <v>2095</v>
      </c>
      <c r="H209" s="5"/>
      <c r="I209" s="5" t="str">
        <f t="shared" si="0"/>
        <v>PROCESSO FOI ATUALIZADO</v>
      </c>
      <c r="J209" s="5"/>
      <c r="K209" s="5"/>
      <c r="L209" s="5"/>
      <c r="M209" s="5"/>
      <c r="N209" s="5"/>
    </row>
    <row r="210" spans="1:14" ht="22.5" customHeight="1" x14ac:dyDescent="0.2">
      <c r="A210" s="21" t="s">
        <v>480</v>
      </c>
      <c r="B210" s="3" t="s">
        <v>34</v>
      </c>
      <c r="C210" s="3" t="s">
        <v>35</v>
      </c>
      <c r="D210" s="14" t="s">
        <v>2384</v>
      </c>
      <c r="E210" s="3" t="s">
        <v>481</v>
      </c>
      <c r="F210" s="9">
        <v>45796</v>
      </c>
      <c r="G210" s="5" t="s">
        <v>2433</v>
      </c>
      <c r="H210" s="5"/>
      <c r="I210" s="5" t="str">
        <f t="shared" si="0"/>
        <v>PROCESSO FOI ATUALIZADO</v>
      </c>
      <c r="J210" s="5"/>
      <c r="K210" s="5"/>
      <c r="L210" s="5"/>
      <c r="M210" s="5"/>
      <c r="N210" s="5"/>
    </row>
    <row r="211" spans="1:14" ht="22.5" customHeight="1" x14ac:dyDescent="0.2">
      <c r="A211" s="21" t="s">
        <v>577</v>
      </c>
      <c r="B211" s="3" t="s">
        <v>34</v>
      </c>
      <c r="C211" s="3" t="s">
        <v>35</v>
      </c>
      <c r="D211" s="14" t="s">
        <v>2351</v>
      </c>
      <c r="E211" s="3" t="s">
        <v>567</v>
      </c>
      <c r="F211" s="9">
        <v>45796</v>
      </c>
      <c r="G211" s="5" t="s">
        <v>2095</v>
      </c>
      <c r="H211" s="5"/>
      <c r="I211" s="5" t="str">
        <f t="shared" si="0"/>
        <v>PROCESSO FOI ATUALIZADO</v>
      </c>
      <c r="J211" s="5"/>
      <c r="K211" s="5"/>
      <c r="L211" s="5"/>
      <c r="M211" s="5"/>
      <c r="N211" s="5"/>
    </row>
    <row r="212" spans="1:14" ht="22.5" customHeight="1" x14ac:dyDescent="0.2">
      <c r="A212" s="21" t="s">
        <v>555</v>
      </c>
      <c r="B212" s="3" t="s">
        <v>34</v>
      </c>
      <c r="C212" s="3" t="s">
        <v>35</v>
      </c>
      <c r="D212" s="14" t="s">
        <v>2352</v>
      </c>
      <c r="E212" s="3" t="s">
        <v>556</v>
      </c>
      <c r="F212" s="9">
        <v>45792</v>
      </c>
      <c r="G212" s="5" t="s">
        <v>2095</v>
      </c>
      <c r="H212" s="5"/>
      <c r="I212" s="5" t="str">
        <f t="shared" si="0"/>
        <v>PROCESSO FOI ATUALIZADO</v>
      </c>
      <c r="J212" s="5"/>
      <c r="K212" s="5"/>
      <c r="L212" s="5"/>
      <c r="M212" s="5"/>
      <c r="N212" s="5"/>
    </row>
    <row r="213" spans="1:14" ht="22.5" customHeight="1" x14ac:dyDescent="0.2">
      <c r="A213" s="21" t="s">
        <v>575</v>
      </c>
      <c r="B213" s="3" t="s">
        <v>34</v>
      </c>
      <c r="C213" s="3" t="s">
        <v>35</v>
      </c>
      <c r="D213" s="14" t="s">
        <v>2353</v>
      </c>
      <c r="E213" s="3" t="s">
        <v>556</v>
      </c>
      <c r="F213" s="9">
        <v>45792</v>
      </c>
      <c r="G213" s="5" t="s">
        <v>2095</v>
      </c>
      <c r="H213" s="5"/>
      <c r="I213" s="5" t="str">
        <f t="shared" si="0"/>
        <v>PROCESSO FOI ATUALIZADO</v>
      </c>
      <c r="J213" s="5"/>
      <c r="K213" s="5"/>
      <c r="L213" s="5"/>
      <c r="M213" s="5"/>
      <c r="N213" s="5"/>
    </row>
    <row r="214" spans="1:14" ht="22.5" customHeight="1" x14ac:dyDescent="0.2">
      <c r="A214" s="5" t="s">
        <v>561</v>
      </c>
      <c r="B214" s="3" t="s">
        <v>34</v>
      </c>
      <c r="C214" s="3" t="s">
        <v>35</v>
      </c>
      <c r="D214" s="3" t="s">
        <v>2306</v>
      </c>
      <c r="E214" s="3" t="s">
        <v>286</v>
      </c>
      <c r="F214" s="9">
        <v>45791</v>
      </c>
      <c r="G214" s="5" t="s">
        <v>2110</v>
      </c>
      <c r="H214" s="5"/>
      <c r="I214" s="5" t="str">
        <f t="shared" si="0"/>
        <v>PROCESSO FOI ATUALIZADO</v>
      </c>
      <c r="J214" s="5"/>
      <c r="K214" s="5"/>
      <c r="L214" s="5"/>
      <c r="M214" s="5"/>
      <c r="N214" s="5"/>
    </row>
    <row r="215" spans="1:14" ht="22.5" customHeight="1" x14ac:dyDescent="0.2">
      <c r="A215" s="21" t="s">
        <v>589</v>
      </c>
      <c r="B215" s="3" t="s">
        <v>34</v>
      </c>
      <c r="C215" s="3" t="s">
        <v>35</v>
      </c>
      <c r="D215" s="14" t="s">
        <v>2354</v>
      </c>
      <c r="E215" s="3" t="s">
        <v>148</v>
      </c>
      <c r="F215" s="9">
        <v>45789</v>
      </c>
      <c r="G215" s="5" t="s">
        <v>2095</v>
      </c>
      <c r="H215" s="5"/>
      <c r="I215" s="5" t="str">
        <f t="shared" si="0"/>
        <v>PROCESSO FOI ATUALIZADO</v>
      </c>
      <c r="J215" s="5"/>
      <c r="K215" s="5"/>
      <c r="L215" s="5"/>
      <c r="M215" s="5"/>
      <c r="N215" s="5"/>
    </row>
    <row r="216" spans="1:14" ht="22.5" customHeight="1" x14ac:dyDescent="0.2">
      <c r="A216" s="21" t="s">
        <v>579</v>
      </c>
      <c r="B216" s="3" t="s">
        <v>34</v>
      </c>
      <c r="C216" s="3" t="s">
        <v>35</v>
      </c>
      <c r="D216" s="14" t="s">
        <v>2355</v>
      </c>
      <c r="E216" s="3" t="s">
        <v>232</v>
      </c>
      <c r="F216" s="8">
        <v>45789</v>
      </c>
      <c r="G216" s="5" t="s">
        <v>2095</v>
      </c>
      <c r="H216" s="5"/>
      <c r="I216" s="5" t="str">
        <f t="shared" si="0"/>
        <v>PROCESSO FOI ATUALIZADO</v>
      </c>
      <c r="J216" s="5"/>
      <c r="K216" s="5"/>
      <c r="L216" s="5"/>
      <c r="M216" s="5"/>
      <c r="N216" s="5"/>
    </row>
    <row r="217" spans="1:14" ht="22.5" customHeight="1" x14ac:dyDescent="0.2">
      <c r="A217" s="21" t="s">
        <v>598</v>
      </c>
      <c r="B217" s="3" t="s">
        <v>34</v>
      </c>
      <c r="C217" s="3" t="s">
        <v>35</v>
      </c>
      <c r="D217" s="14" t="s">
        <v>2356</v>
      </c>
      <c r="E217" s="3" t="s">
        <v>583</v>
      </c>
      <c r="F217" s="8">
        <v>45786</v>
      </c>
      <c r="G217" s="5" t="s">
        <v>2095</v>
      </c>
      <c r="H217" s="5"/>
      <c r="I217" s="5" t="str">
        <f t="shared" si="0"/>
        <v>PROCESSO FOI ATUALIZADO</v>
      </c>
      <c r="J217" s="5"/>
      <c r="K217" s="5"/>
      <c r="L217" s="5"/>
      <c r="M217" s="5"/>
      <c r="N217" s="5"/>
    </row>
    <row r="218" spans="1:14" ht="22.5" customHeight="1" x14ac:dyDescent="0.2">
      <c r="A218" s="21" t="s">
        <v>569</v>
      </c>
      <c r="B218" s="3" t="s">
        <v>34</v>
      </c>
      <c r="C218" s="3" t="s">
        <v>35</v>
      </c>
      <c r="D218" s="14" t="s">
        <v>2357</v>
      </c>
      <c r="E218" s="3" t="s">
        <v>570</v>
      </c>
      <c r="F218" s="8">
        <v>45785</v>
      </c>
      <c r="G218" s="5" t="s">
        <v>2095</v>
      </c>
      <c r="H218" s="5"/>
      <c r="I218" s="5" t="str">
        <f t="shared" si="0"/>
        <v>PROCESSO FOI ATUALIZADO</v>
      </c>
      <c r="J218" s="5"/>
      <c r="K218" s="5"/>
      <c r="L218" s="5"/>
      <c r="M218" s="5"/>
      <c r="N218" s="5"/>
    </row>
    <row r="219" spans="1:14" ht="22.5" customHeight="1" x14ac:dyDescent="0.2">
      <c r="A219" s="21" t="s">
        <v>529</v>
      </c>
      <c r="B219" s="3" t="s">
        <v>34</v>
      </c>
      <c r="C219" s="3" t="s">
        <v>35</v>
      </c>
      <c r="D219" s="14" t="s">
        <v>2358</v>
      </c>
      <c r="E219" s="3" t="s">
        <v>517</v>
      </c>
      <c r="F219" s="8">
        <v>45782</v>
      </c>
      <c r="G219" s="5" t="s">
        <v>2095</v>
      </c>
      <c r="H219" s="5"/>
      <c r="I219" s="5" t="str">
        <f t="shared" si="0"/>
        <v>PROCESSO FOI ATUALIZADO</v>
      </c>
      <c r="J219" s="5"/>
      <c r="K219" s="5"/>
      <c r="L219" s="5"/>
      <c r="M219" s="5"/>
      <c r="N219" s="5"/>
    </row>
    <row r="220" spans="1:14" ht="22.5" customHeight="1" x14ac:dyDescent="0.2">
      <c r="A220" s="21" t="s">
        <v>501</v>
      </c>
      <c r="B220" s="3" t="s">
        <v>34</v>
      </c>
      <c r="C220" s="3" t="s">
        <v>35</v>
      </c>
      <c r="D220" s="14" t="s">
        <v>2446</v>
      </c>
      <c r="E220" s="3" t="s">
        <v>502</v>
      </c>
      <c r="F220" s="8">
        <v>45782</v>
      </c>
      <c r="G220" s="5" t="s">
        <v>37</v>
      </c>
      <c r="H220" s="5"/>
      <c r="I220" s="5" t="str">
        <f t="shared" si="0"/>
        <v>PROCESSO FOI ATUALIZADO</v>
      </c>
      <c r="J220" s="5"/>
      <c r="K220" s="5"/>
      <c r="L220" s="5"/>
      <c r="M220" s="5"/>
      <c r="N220" s="5"/>
    </row>
    <row r="221" spans="1:14" ht="22.5" customHeight="1" x14ac:dyDescent="0.2">
      <c r="A221" s="21" t="s">
        <v>524</v>
      </c>
      <c r="B221" s="3" t="s">
        <v>34</v>
      </c>
      <c r="C221" s="3" t="s">
        <v>35</v>
      </c>
      <c r="D221" s="14" t="s">
        <v>2447</v>
      </c>
      <c r="E221" s="3" t="s">
        <v>525</v>
      </c>
      <c r="F221" s="8">
        <v>45782</v>
      </c>
      <c r="G221" s="5" t="s">
        <v>37</v>
      </c>
      <c r="H221" s="5"/>
      <c r="I221" s="5" t="str">
        <f t="shared" si="0"/>
        <v>PROCESSO FOI ATUALIZADO</v>
      </c>
      <c r="J221" s="5"/>
      <c r="K221" s="5"/>
      <c r="L221" s="5"/>
      <c r="M221" s="5"/>
      <c r="N221" s="5"/>
    </row>
    <row r="222" spans="1:14" ht="22.5" customHeight="1" x14ac:dyDescent="0.2">
      <c r="A222" s="21" t="s">
        <v>509</v>
      </c>
      <c r="B222" s="3" t="s">
        <v>34</v>
      </c>
      <c r="C222" s="3" t="s">
        <v>35</v>
      </c>
      <c r="D222" s="14" t="s">
        <v>2436</v>
      </c>
      <c r="E222" s="3" t="s">
        <v>49</v>
      </c>
      <c r="F222" s="9">
        <v>45777</v>
      </c>
      <c r="G222" s="5" t="s">
        <v>2443</v>
      </c>
      <c r="H222" s="5"/>
      <c r="I222" s="5" t="str">
        <f t="shared" si="0"/>
        <v>PROCESSO FOI ATUALIZADO</v>
      </c>
      <c r="J222" s="5"/>
      <c r="K222" s="5"/>
      <c r="L222" s="5"/>
      <c r="M222" s="5"/>
      <c r="N222" s="5"/>
    </row>
    <row r="223" spans="1:14" ht="22.5" customHeight="1" x14ac:dyDescent="0.2">
      <c r="A223" s="21" t="s">
        <v>498</v>
      </c>
      <c r="B223" s="3" t="s">
        <v>34</v>
      </c>
      <c r="C223" s="3" t="s">
        <v>35</v>
      </c>
      <c r="D223" s="14" t="s">
        <v>2359</v>
      </c>
      <c r="E223" s="3" t="s">
        <v>499</v>
      </c>
      <c r="F223" s="9">
        <v>45777</v>
      </c>
      <c r="G223" s="5" t="s">
        <v>2095</v>
      </c>
      <c r="H223" s="5"/>
      <c r="I223" s="5" t="str">
        <f t="shared" si="0"/>
        <v>PROCESSO FOI ATUALIZADO</v>
      </c>
      <c r="J223" s="5"/>
      <c r="K223" s="5"/>
      <c r="L223" s="5"/>
      <c r="M223" s="5"/>
      <c r="N223" s="5"/>
    </row>
    <row r="224" spans="1:14" ht="22.5" customHeight="1" x14ac:dyDescent="0.2">
      <c r="A224" s="21" t="s">
        <v>546</v>
      </c>
      <c r="B224" s="3" t="s">
        <v>34</v>
      </c>
      <c r="C224" s="3" t="s">
        <v>35</v>
      </c>
      <c r="D224" s="14" t="s">
        <v>2360</v>
      </c>
      <c r="E224" s="3" t="s">
        <v>547</v>
      </c>
      <c r="F224" s="9">
        <v>45776</v>
      </c>
      <c r="G224" s="5" t="s">
        <v>2095</v>
      </c>
      <c r="H224" s="5"/>
      <c r="I224" s="5" t="str">
        <f t="shared" si="0"/>
        <v>PROCESSO FOI ATUALIZADO</v>
      </c>
      <c r="J224" s="5"/>
      <c r="K224" s="5"/>
      <c r="L224" s="5"/>
      <c r="M224" s="5"/>
      <c r="N224" s="5"/>
    </row>
    <row r="225" spans="1:14" ht="22.5" customHeight="1" x14ac:dyDescent="0.2">
      <c r="A225" s="21" t="s">
        <v>506</v>
      </c>
      <c r="B225" s="3" t="s">
        <v>34</v>
      </c>
      <c r="C225" s="3" t="s">
        <v>35</v>
      </c>
      <c r="D225" s="14" t="s">
        <v>2446</v>
      </c>
      <c r="E225" s="3" t="s">
        <v>502</v>
      </c>
      <c r="F225" s="9">
        <v>45776</v>
      </c>
      <c r="G225" s="5" t="s">
        <v>2433</v>
      </c>
      <c r="H225" s="5"/>
      <c r="I225" s="5" t="str">
        <f t="shared" si="0"/>
        <v>PROCESSO FOI ATUALIZADO</v>
      </c>
      <c r="J225" s="5"/>
      <c r="K225" s="5"/>
      <c r="L225" s="5"/>
      <c r="M225" s="5"/>
      <c r="N225" s="5"/>
    </row>
    <row r="226" spans="1:14" ht="22.5" customHeight="1" x14ac:dyDescent="0.2">
      <c r="A226" s="21" t="s">
        <v>513</v>
      </c>
      <c r="B226" s="3" t="s">
        <v>34</v>
      </c>
      <c r="C226" s="3" t="s">
        <v>35</v>
      </c>
      <c r="D226" s="14" t="s">
        <v>2446</v>
      </c>
      <c r="E226" s="3" t="s">
        <v>502</v>
      </c>
      <c r="F226" s="9">
        <v>45776</v>
      </c>
      <c r="G226" s="5" t="s">
        <v>37</v>
      </c>
      <c r="H226" s="5"/>
      <c r="I226" s="5" t="str">
        <f t="shared" si="0"/>
        <v>PROCESSO FOI ATUALIZADO</v>
      </c>
      <c r="J226" s="5"/>
      <c r="K226" s="5"/>
      <c r="L226" s="5"/>
      <c r="M226" s="5"/>
      <c r="N226" s="5"/>
    </row>
    <row r="227" spans="1:14" ht="22.5" customHeight="1" x14ac:dyDescent="0.2">
      <c r="A227" s="21" t="s">
        <v>558</v>
      </c>
      <c r="B227" s="3" t="s">
        <v>34</v>
      </c>
      <c r="C227" s="3" t="s">
        <v>35</v>
      </c>
      <c r="D227" s="14" t="s">
        <v>2361</v>
      </c>
      <c r="E227" s="3" t="s">
        <v>559</v>
      </c>
      <c r="F227" s="9">
        <v>45771</v>
      </c>
      <c r="G227" s="5" t="s">
        <v>2095</v>
      </c>
      <c r="H227" s="5"/>
      <c r="I227" s="5" t="str">
        <f t="shared" si="0"/>
        <v>PROCESSO FOI ATUALIZADO</v>
      </c>
      <c r="J227" s="5"/>
      <c r="K227" s="5"/>
      <c r="L227" s="5"/>
      <c r="M227" s="5"/>
      <c r="N227" s="5"/>
    </row>
    <row r="228" spans="1:14" ht="22.5" customHeight="1" x14ac:dyDescent="0.2">
      <c r="A228" s="21" t="s">
        <v>594</v>
      </c>
      <c r="B228" s="3" t="s">
        <v>34</v>
      </c>
      <c r="C228" s="3" t="s">
        <v>35</v>
      </c>
      <c r="D228" s="14" t="s">
        <v>2362</v>
      </c>
      <c r="E228" s="3" t="s">
        <v>127</v>
      </c>
      <c r="F228" s="9">
        <v>45771</v>
      </c>
      <c r="G228" s="5" t="s">
        <v>2095</v>
      </c>
      <c r="H228" s="5"/>
      <c r="I228" s="5" t="str">
        <f t="shared" si="0"/>
        <v>PROCESSO FOI ATUALIZADO</v>
      </c>
      <c r="J228" s="5"/>
      <c r="K228" s="5"/>
      <c r="L228" s="5"/>
      <c r="M228" s="5"/>
      <c r="N228" s="5"/>
    </row>
    <row r="229" spans="1:14" ht="22.5" customHeight="1" x14ac:dyDescent="0.2">
      <c r="A229" s="21" t="s">
        <v>516</v>
      </c>
      <c r="B229" s="3" t="s">
        <v>34</v>
      </c>
      <c r="C229" s="3" t="s">
        <v>35</v>
      </c>
      <c r="D229" s="14" t="s">
        <v>2363</v>
      </c>
      <c r="E229" s="3" t="s">
        <v>517</v>
      </c>
      <c r="F229" s="9">
        <v>45771</v>
      </c>
      <c r="G229" s="5" t="s">
        <v>2095</v>
      </c>
      <c r="H229" s="5"/>
      <c r="I229" s="5" t="str">
        <f t="shared" si="0"/>
        <v>PROCESSO FOI ATUALIZADO</v>
      </c>
      <c r="J229" s="5"/>
      <c r="K229" s="5"/>
      <c r="L229" s="5"/>
      <c r="M229" s="5"/>
      <c r="N229" s="5"/>
    </row>
    <row r="230" spans="1:14" ht="22.5" customHeight="1" x14ac:dyDescent="0.2">
      <c r="A230" s="21" t="s">
        <v>515</v>
      </c>
      <c r="B230" s="3" t="s">
        <v>34</v>
      </c>
      <c r="C230" s="3" t="s">
        <v>35</v>
      </c>
      <c r="D230" s="14" t="s">
        <v>2446</v>
      </c>
      <c r="E230" s="3" t="s">
        <v>502</v>
      </c>
      <c r="F230" s="9">
        <v>45769</v>
      </c>
      <c r="G230" s="5" t="s">
        <v>2433</v>
      </c>
      <c r="H230" s="5"/>
      <c r="I230" s="5" t="str">
        <f t="shared" si="0"/>
        <v>PROCESSO FOI ATUALIZADO</v>
      </c>
      <c r="J230" s="5"/>
      <c r="K230" s="5"/>
      <c r="L230" s="5"/>
      <c r="M230" s="5"/>
      <c r="N230" s="5"/>
    </row>
    <row r="231" spans="1:14" ht="22.5" customHeight="1" x14ac:dyDescent="0.2">
      <c r="A231" s="21" t="s">
        <v>586</v>
      </c>
      <c r="B231" s="3" t="s">
        <v>34</v>
      </c>
      <c r="C231" s="3" t="s">
        <v>35</v>
      </c>
      <c r="D231" s="14" t="s">
        <v>2364</v>
      </c>
      <c r="E231" s="3" t="s">
        <v>587</v>
      </c>
      <c r="F231" s="9">
        <v>45769</v>
      </c>
      <c r="G231" s="5" t="s">
        <v>2095</v>
      </c>
      <c r="H231" s="5"/>
      <c r="I231" s="5" t="str">
        <f t="shared" si="0"/>
        <v>PROCESSO FOI ATUALIZADO</v>
      </c>
      <c r="J231" s="5"/>
      <c r="K231" s="5"/>
      <c r="L231" s="5"/>
      <c r="M231" s="5"/>
      <c r="N231" s="5"/>
    </row>
    <row r="232" spans="1:14" ht="22.5" customHeight="1" x14ac:dyDescent="0.2">
      <c r="A232" s="21" t="s">
        <v>514</v>
      </c>
      <c r="B232" s="3" t="s">
        <v>34</v>
      </c>
      <c r="C232" s="3" t="s">
        <v>35</v>
      </c>
      <c r="D232" s="14" t="s">
        <v>2436</v>
      </c>
      <c r="E232" s="3" t="s">
        <v>49</v>
      </c>
      <c r="F232" s="9">
        <v>45769</v>
      </c>
      <c r="G232" s="5" t="s">
        <v>2433</v>
      </c>
      <c r="H232" s="5"/>
      <c r="I232" s="5" t="str">
        <f t="shared" si="0"/>
        <v>PROCESSO FOI ATUALIZADO</v>
      </c>
      <c r="J232" s="5"/>
      <c r="K232" s="5"/>
      <c r="L232" s="5"/>
      <c r="M232" s="5"/>
      <c r="N232" s="5"/>
    </row>
    <row r="233" spans="1:14" ht="22.5" customHeight="1" x14ac:dyDescent="0.2">
      <c r="A233" s="21" t="s">
        <v>572</v>
      </c>
      <c r="B233" s="3" t="s">
        <v>34</v>
      </c>
      <c r="C233" s="3" t="s">
        <v>35</v>
      </c>
      <c r="D233" s="14" t="s">
        <v>2365</v>
      </c>
      <c r="E233" s="3" t="s">
        <v>127</v>
      </c>
      <c r="F233" s="9">
        <v>45762</v>
      </c>
      <c r="G233" s="5" t="s">
        <v>2095</v>
      </c>
      <c r="H233" s="5"/>
      <c r="I233" s="5" t="str">
        <f t="shared" si="0"/>
        <v>PROCESSO FOI ATUALIZADO</v>
      </c>
      <c r="J233" s="5"/>
      <c r="K233" s="5"/>
      <c r="L233" s="5"/>
      <c r="M233" s="5"/>
      <c r="N233" s="5"/>
    </row>
    <row r="234" spans="1:14" ht="22.5" customHeight="1" x14ac:dyDescent="0.2">
      <c r="A234" s="21" t="s">
        <v>566</v>
      </c>
      <c r="B234" s="3" t="s">
        <v>34</v>
      </c>
      <c r="C234" s="3" t="s">
        <v>35</v>
      </c>
      <c r="D234" s="14" t="s">
        <v>2366</v>
      </c>
      <c r="E234" s="3" t="s">
        <v>567</v>
      </c>
      <c r="F234" s="9">
        <v>45761</v>
      </c>
      <c r="G234" s="5" t="s">
        <v>2095</v>
      </c>
      <c r="H234" s="5"/>
      <c r="I234" s="5" t="str">
        <f t="shared" si="0"/>
        <v>PROCESSO FOI ATUALIZADO</v>
      </c>
      <c r="J234" s="5"/>
      <c r="K234" s="5"/>
      <c r="L234" s="5"/>
      <c r="M234" s="5"/>
      <c r="N234" s="5"/>
    </row>
    <row r="235" spans="1:14" ht="22.5" customHeight="1" x14ac:dyDescent="0.2">
      <c r="A235" s="21" t="s">
        <v>519</v>
      </c>
      <c r="B235" s="3" t="s">
        <v>34</v>
      </c>
      <c r="C235" s="3" t="s">
        <v>35</v>
      </c>
      <c r="D235" s="14" t="s">
        <v>2446</v>
      </c>
      <c r="E235" s="3" t="s">
        <v>502</v>
      </c>
      <c r="F235" s="9">
        <v>45761</v>
      </c>
      <c r="G235" s="5" t="s">
        <v>2433</v>
      </c>
      <c r="H235" s="5"/>
      <c r="I235" s="5" t="str">
        <f t="shared" si="0"/>
        <v>PROCESSO FOI ATUALIZADO</v>
      </c>
      <c r="J235" s="5"/>
      <c r="K235" s="5"/>
      <c r="L235" s="5"/>
      <c r="M235" s="5"/>
      <c r="N235" s="5"/>
    </row>
    <row r="236" spans="1:14" ht="22.5" customHeight="1" x14ac:dyDescent="0.2">
      <c r="A236" s="21" t="s">
        <v>582</v>
      </c>
      <c r="B236" s="3" t="s">
        <v>34</v>
      </c>
      <c r="C236" s="3" t="s">
        <v>35</v>
      </c>
      <c r="D236" s="14" t="s">
        <v>2380</v>
      </c>
      <c r="E236" s="3" t="s">
        <v>583</v>
      </c>
      <c r="F236" s="9">
        <v>45758</v>
      </c>
      <c r="G236" s="5" t="s">
        <v>37</v>
      </c>
      <c r="H236" s="5"/>
      <c r="I236" s="5" t="str">
        <f t="shared" si="0"/>
        <v>PROCESSO FOI ATUALIZADO</v>
      </c>
      <c r="J236" s="5"/>
      <c r="K236" s="5"/>
      <c r="L236" s="5"/>
      <c r="M236" s="5"/>
      <c r="N236" s="5"/>
    </row>
    <row r="237" spans="1:14" ht="22.5" customHeight="1" x14ac:dyDescent="0.2">
      <c r="A237" s="21" t="s">
        <v>534</v>
      </c>
      <c r="B237" s="3" t="s">
        <v>34</v>
      </c>
      <c r="C237" s="3" t="s">
        <v>35</v>
      </c>
      <c r="D237" s="14" t="s">
        <v>2367</v>
      </c>
      <c r="E237" s="3" t="s">
        <v>535</v>
      </c>
      <c r="F237" s="9">
        <v>45758</v>
      </c>
      <c r="G237" s="5" t="s">
        <v>2095</v>
      </c>
      <c r="H237" s="5"/>
      <c r="I237" s="5" t="str">
        <f t="shared" si="0"/>
        <v>PROCESSO FOI ATUALIZADO</v>
      </c>
      <c r="J237" s="5"/>
      <c r="K237" s="5"/>
      <c r="L237" s="5"/>
      <c r="M237" s="5"/>
      <c r="N237" s="5"/>
    </row>
    <row r="238" spans="1:14" ht="22.5" customHeight="1" x14ac:dyDescent="0.2">
      <c r="A238" s="21" t="s">
        <v>584</v>
      </c>
      <c r="B238" s="3" t="s">
        <v>34</v>
      </c>
      <c r="C238" s="3" t="s">
        <v>35</v>
      </c>
      <c r="D238" s="14" t="s">
        <v>2368</v>
      </c>
      <c r="E238" s="3" t="s">
        <v>79</v>
      </c>
      <c r="F238" s="9">
        <v>45758</v>
      </c>
      <c r="G238" s="5" t="s">
        <v>2095</v>
      </c>
      <c r="H238" s="5"/>
      <c r="I238" s="5" t="str">
        <f t="shared" si="0"/>
        <v>PROCESSO FOI ATUALIZADO</v>
      </c>
      <c r="J238" s="5"/>
      <c r="K238" s="5"/>
      <c r="L238" s="5"/>
      <c r="M238" s="5"/>
      <c r="N238" s="5"/>
    </row>
    <row r="239" spans="1:14" ht="22.5" customHeight="1" x14ac:dyDescent="0.2">
      <c r="A239" s="21" t="s">
        <v>552</v>
      </c>
      <c r="B239" s="3" t="s">
        <v>34</v>
      </c>
      <c r="C239" s="3" t="s">
        <v>35</v>
      </c>
      <c r="D239" s="14" t="s">
        <v>2369</v>
      </c>
      <c r="E239" s="3" t="s">
        <v>550</v>
      </c>
      <c r="F239" s="9">
        <v>45757</v>
      </c>
      <c r="G239" s="5" t="s">
        <v>2095</v>
      </c>
      <c r="H239" s="5"/>
      <c r="I239" s="5" t="str">
        <f t="shared" si="0"/>
        <v>PROCESSO FOI ATUALIZADO</v>
      </c>
      <c r="J239" s="5"/>
      <c r="K239" s="5"/>
      <c r="L239" s="5"/>
      <c r="M239" s="5"/>
      <c r="N239" s="5"/>
    </row>
    <row r="240" spans="1:14" ht="22.5" customHeight="1" x14ac:dyDescent="0.2">
      <c r="A240" s="21" t="s">
        <v>526</v>
      </c>
      <c r="B240" s="3" t="s">
        <v>34</v>
      </c>
      <c r="C240" s="3" t="s">
        <v>35</v>
      </c>
      <c r="D240" s="14" t="s">
        <v>2370</v>
      </c>
      <c r="E240" s="3" t="s">
        <v>527</v>
      </c>
      <c r="F240" s="9">
        <v>45757</v>
      </c>
      <c r="G240" s="5" t="s">
        <v>2095</v>
      </c>
      <c r="H240" s="5"/>
      <c r="I240" s="5" t="str">
        <f t="shared" si="0"/>
        <v>PROCESSO FOI ATUALIZADO</v>
      </c>
      <c r="J240" s="5"/>
      <c r="K240" s="5"/>
      <c r="L240" s="5"/>
      <c r="M240" s="5"/>
      <c r="N240" s="5"/>
    </row>
    <row r="241" spans="1:14" ht="22.5" customHeight="1" x14ac:dyDescent="0.2">
      <c r="A241" s="21" t="s">
        <v>520</v>
      </c>
      <c r="B241" s="3" t="s">
        <v>34</v>
      </c>
      <c r="C241" s="3" t="s">
        <v>35</v>
      </c>
      <c r="D241" s="14" t="s">
        <v>2446</v>
      </c>
      <c r="E241" s="3" t="s">
        <v>502</v>
      </c>
      <c r="F241" s="9">
        <v>45756</v>
      </c>
      <c r="G241" s="5" t="s">
        <v>37</v>
      </c>
      <c r="H241" s="5"/>
      <c r="I241" s="5" t="str">
        <f t="shared" si="0"/>
        <v>PROCESSO FOI ATUALIZADO</v>
      </c>
      <c r="J241" s="5"/>
      <c r="K241" s="5"/>
      <c r="L241" s="5"/>
      <c r="M241" s="5"/>
      <c r="N241" s="5"/>
    </row>
    <row r="242" spans="1:14" ht="22.5" customHeight="1" x14ac:dyDescent="0.2">
      <c r="A242" s="21" t="s">
        <v>541</v>
      </c>
      <c r="B242" s="3" t="s">
        <v>34</v>
      </c>
      <c r="C242" s="3" t="s">
        <v>35</v>
      </c>
      <c r="D242" s="14" t="s">
        <v>2341</v>
      </c>
      <c r="E242" s="3" t="s">
        <v>415</v>
      </c>
      <c r="F242" s="9">
        <v>45756</v>
      </c>
      <c r="G242" s="5" t="s">
        <v>2095</v>
      </c>
      <c r="H242" s="5"/>
      <c r="I242" s="5" t="str">
        <f t="shared" si="0"/>
        <v>PROCESSO FOI ATUALIZADO</v>
      </c>
      <c r="J242" s="5"/>
      <c r="K242" s="5"/>
      <c r="L242" s="5"/>
      <c r="M242" s="5"/>
      <c r="N242" s="5"/>
    </row>
    <row r="243" spans="1:14" ht="22.5" customHeight="1" x14ac:dyDescent="0.2">
      <c r="A243" s="21" t="s">
        <v>537</v>
      </c>
      <c r="B243" s="3" t="s">
        <v>34</v>
      </c>
      <c r="C243" s="3" t="s">
        <v>35</v>
      </c>
      <c r="D243" s="14" t="s">
        <v>2371</v>
      </c>
      <c r="E243" s="3" t="s">
        <v>79</v>
      </c>
      <c r="F243" s="9">
        <v>45750</v>
      </c>
      <c r="G243" s="5" t="s">
        <v>2095</v>
      </c>
      <c r="H243" s="5"/>
      <c r="I243" s="5" t="str">
        <f t="shared" si="0"/>
        <v>PROCESSO FOI ATUALIZADO</v>
      </c>
      <c r="J243" s="5"/>
      <c r="K243" s="5"/>
      <c r="L243" s="5"/>
      <c r="M243" s="5"/>
      <c r="N243" s="5"/>
    </row>
    <row r="244" spans="1:14" ht="22.5" customHeight="1" x14ac:dyDescent="0.2">
      <c r="A244" s="21" t="s">
        <v>591</v>
      </c>
      <c r="B244" s="3" t="s">
        <v>34</v>
      </c>
      <c r="C244" s="3" t="s">
        <v>35</v>
      </c>
      <c r="D244" s="14" t="s">
        <v>2372</v>
      </c>
      <c r="E244" s="3" t="s">
        <v>592</v>
      </c>
      <c r="F244" s="9">
        <v>45750</v>
      </c>
      <c r="G244" s="5" t="s">
        <v>2095</v>
      </c>
      <c r="H244" s="5"/>
      <c r="I244" s="5" t="str">
        <f t="shared" si="0"/>
        <v>PROCESSO FOI ATUALIZADO</v>
      </c>
      <c r="J244" s="5"/>
      <c r="K244" s="5"/>
      <c r="L244" s="5"/>
      <c r="M244" s="5"/>
      <c r="N244" s="5"/>
    </row>
    <row r="245" spans="1:14" ht="22.5" customHeight="1" x14ac:dyDescent="0.2">
      <c r="A245" s="21" t="s">
        <v>493</v>
      </c>
      <c r="B245" s="3" t="s">
        <v>34</v>
      </c>
      <c r="C245" s="3" t="s">
        <v>35</v>
      </c>
      <c r="D245" s="14" t="s">
        <v>2373</v>
      </c>
      <c r="E245" s="3" t="s">
        <v>494</v>
      </c>
      <c r="F245" s="9">
        <v>45749</v>
      </c>
      <c r="G245" s="5" t="s">
        <v>2095</v>
      </c>
      <c r="H245" s="5"/>
      <c r="I245" s="5" t="str">
        <f t="shared" si="0"/>
        <v>PROCESSO FOI ATUALIZADO</v>
      </c>
      <c r="J245" s="5"/>
      <c r="K245" s="5"/>
      <c r="L245" s="5"/>
      <c r="M245" s="5"/>
      <c r="N245" s="5"/>
    </row>
    <row r="246" spans="1:14" ht="22.5" customHeight="1" x14ac:dyDescent="0.2">
      <c r="A246" s="21" t="s">
        <v>581</v>
      </c>
      <c r="B246" s="3" t="s">
        <v>34</v>
      </c>
      <c r="C246" s="3" t="s">
        <v>35</v>
      </c>
      <c r="D246" s="14" t="s">
        <v>2258</v>
      </c>
      <c r="E246" s="3" t="s">
        <v>102</v>
      </c>
      <c r="F246" s="9">
        <v>45748</v>
      </c>
      <c r="G246" s="5" t="s">
        <v>2443</v>
      </c>
      <c r="H246" s="5"/>
      <c r="I246" s="5" t="str">
        <f t="shared" si="0"/>
        <v>PROCESSO FOI ATUALIZADO</v>
      </c>
      <c r="J246" s="5"/>
      <c r="K246" s="5"/>
      <c r="L246" s="5"/>
      <c r="M246" s="5"/>
      <c r="N246" s="5"/>
    </row>
    <row r="247" spans="1:14" ht="22.5" customHeight="1" x14ac:dyDescent="0.2">
      <c r="A247" s="21" t="s">
        <v>521</v>
      </c>
      <c r="B247" s="3" t="s">
        <v>34</v>
      </c>
      <c r="C247" s="3" t="s">
        <v>35</v>
      </c>
      <c r="D247" s="14" t="s">
        <v>2374</v>
      </c>
      <c r="E247" s="3" t="s">
        <v>522</v>
      </c>
      <c r="F247" s="9">
        <v>45748</v>
      </c>
      <c r="G247" s="5" t="s">
        <v>2095</v>
      </c>
      <c r="H247" s="5"/>
      <c r="I247" s="5" t="str">
        <f t="shared" si="0"/>
        <v>PROCESSO FOI ATUALIZADO</v>
      </c>
      <c r="J247" s="5"/>
      <c r="K247" s="5"/>
      <c r="L247" s="5"/>
      <c r="M247" s="5"/>
      <c r="N247" s="5"/>
    </row>
    <row r="248" spans="1:14" ht="22.5" customHeight="1" x14ac:dyDescent="0.2">
      <c r="A248" s="21" t="s">
        <v>533</v>
      </c>
      <c r="B248" s="3" t="s">
        <v>34</v>
      </c>
      <c r="C248" s="3" t="s">
        <v>35</v>
      </c>
      <c r="D248" s="14" t="s">
        <v>2374</v>
      </c>
      <c r="E248" s="3" t="s">
        <v>522</v>
      </c>
      <c r="F248" s="9">
        <v>45748</v>
      </c>
      <c r="G248" s="5" t="s">
        <v>2433</v>
      </c>
      <c r="H248" s="5"/>
      <c r="I248" s="5" t="str">
        <f t="shared" si="0"/>
        <v>PROCESSO FOI ATUALIZADO</v>
      </c>
      <c r="J248" s="5"/>
      <c r="K248" s="5"/>
      <c r="L248" s="5"/>
      <c r="M248" s="5"/>
      <c r="N248" s="5"/>
    </row>
    <row r="249" spans="1:14" ht="22.5" customHeight="1" x14ac:dyDescent="0.2">
      <c r="A249" s="21" t="s">
        <v>510</v>
      </c>
      <c r="B249" s="3" t="s">
        <v>34</v>
      </c>
      <c r="C249" s="3" t="s">
        <v>35</v>
      </c>
      <c r="D249" s="14" t="s">
        <v>2375</v>
      </c>
      <c r="E249" s="3" t="s">
        <v>511</v>
      </c>
      <c r="F249" s="9">
        <v>45748</v>
      </c>
      <c r="G249" s="5" t="s">
        <v>2095</v>
      </c>
      <c r="H249" s="5"/>
      <c r="I249" s="5" t="str">
        <f t="shared" si="0"/>
        <v>PROCESSO FOI ATUALIZADO</v>
      </c>
      <c r="J249" s="5"/>
      <c r="K249" s="5"/>
      <c r="L249" s="5"/>
      <c r="M249" s="5"/>
      <c r="N249" s="5"/>
    </row>
    <row r="250" spans="1:14" ht="22.5" customHeight="1" x14ac:dyDescent="0.2">
      <c r="A250" s="21" t="s">
        <v>539</v>
      </c>
      <c r="B250" s="3" t="s">
        <v>34</v>
      </c>
      <c r="C250" s="3" t="s">
        <v>35</v>
      </c>
      <c r="D250" s="14" t="s">
        <v>2376</v>
      </c>
      <c r="E250" s="3" t="s">
        <v>127</v>
      </c>
      <c r="F250" s="9">
        <v>45744</v>
      </c>
      <c r="G250" s="5" t="s">
        <v>2095</v>
      </c>
      <c r="H250" s="5"/>
      <c r="I250" s="5" t="str">
        <f t="shared" si="0"/>
        <v>PROCESSO FOI ATUALIZADO</v>
      </c>
      <c r="J250" s="5"/>
      <c r="K250" s="5"/>
      <c r="L250" s="5"/>
      <c r="M250" s="5"/>
      <c r="N250" s="5"/>
    </row>
    <row r="251" spans="1:14" ht="22.5" customHeight="1" x14ac:dyDescent="0.2">
      <c r="A251" s="21" t="s">
        <v>531</v>
      </c>
      <c r="B251" s="3" t="s">
        <v>34</v>
      </c>
      <c r="C251" s="3" t="s">
        <v>35</v>
      </c>
      <c r="D251" s="14" t="s">
        <v>2377</v>
      </c>
      <c r="E251" s="3" t="s">
        <v>127</v>
      </c>
      <c r="F251" s="9">
        <v>45743</v>
      </c>
      <c r="G251" s="5" t="s">
        <v>2095</v>
      </c>
      <c r="H251" s="5"/>
      <c r="I251" s="5" t="str">
        <f t="shared" si="0"/>
        <v>PROCESSO FOI ATUALIZADO</v>
      </c>
      <c r="J251" s="5"/>
      <c r="K251" s="5"/>
      <c r="L251" s="5"/>
      <c r="M251" s="5"/>
      <c r="N251" s="5"/>
    </row>
    <row r="252" spans="1:14" ht="22.5" customHeight="1" x14ac:dyDescent="0.2">
      <c r="A252" s="21" t="s">
        <v>563</v>
      </c>
      <c r="B252" s="3" t="s">
        <v>34</v>
      </c>
      <c r="C252" s="3" t="s">
        <v>35</v>
      </c>
      <c r="D252" s="14" t="s">
        <v>2378</v>
      </c>
      <c r="E252" s="3" t="s">
        <v>564</v>
      </c>
      <c r="F252" s="9">
        <v>45742</v>
      </c>
      <c r="G252" s="5" t="s">
        <v>2110</v>
      </c>
      <c r="H252" s="5"/>
      <c r="I252" s="5" t="str">
        <f t="shared" si="0"/>
        <v>PROCESSO FOI ATUALIZADO</v>
      </c>
      <c r="J252" s="5"/>
      <c r="K252" s="5"/>
      <c r="L252" s="5"/>
      <c r="M252" s="5"/>
      <c r="N252" s="5"/>
    </row>
    <row r="253" spans="1:14" ht="22.5" customHeight="1" x14ac:dyDescent="0.2">
      <c r="A253" s="21" t="s">
        <v>507</v>
      </c>
      <c r="B253" s="3" t="s">
        <v>34</v>
      </c>
      <c r="C253" s="3" t="s">
        <v>35</v>
      </c>
      <c r="D253" s="14" t="s">
        <v>2379</v>
      </c>
      <c r="E253" s="3" t="s">
        <v>351</v>
      </c>
      <c r="F253" s="9">
        <v>45740</v>
      </c>
      <c r="G253" s="5" t="s">
        <v>2095</v>
      </c>
      <c r="H253" s="5"/>
      <c r="I253" s="5" t="str">
        <f t="shared" si="0"/>
        <v>PROCESSO FOI ATUALIZADO</v>
      </c>
      <c r="J253" s="5"/>
      <c r="K253" s="5"/>
      <c r="L253" s="5"/>
      <c r="M253" s="5"/>
      <c r="N253" s="5"/>
    </row>
    <row r="254" spans="1:14" ht="22.5" customHeight="1" x14ac:dyDescent="0.2">
      <c r="A254" s="21" t="s">
        <v>596</v>
      </c>
      <c r="B254" s="3" t="s">
        <v>34</v>
      </c>
      <c r="C254" s="3" t="s">
        <v>35</v>
      </c>
      <c r="D254" s="14" t="s">
        <v>2380</v>
      </c>
      <c r="E254" s="3" t="s">
        <v>583</v>
      </c>
      <c r="F254" s="9">
        <v>45740</v>
      </c>
      <c r="G254" s="5" t="s">
        <v>2095</v>
      </c>
      <c r="H254" s="5"/>
      <c r="I254" s="5" t="str">
        <f t="shared" si="0"/>
        <v>PROCESSO FOI ATUALIZADO</v>
      </c>
      <c r="J254" s="5"/>
      <c r="K254" s="5"/>
      <c r="L254" s="5"/>
      <c r="M254" s="5"/>
      <c r="N254" s="5"/>
    </row>
    <row r="255" spans="1:14" ht="22.5" customHeight="1" x14ac:dyDescent="0.2">
      <c r="A255" s="21" t="s">
        <v>543</v>
      </c>
      <c r="B255" s="3" t="s">
        <v>34</v>
      </c>
      <c r="C255" s="3" t="s">
        <v>35</v>
      </c>
      <c r="D255" s="14" t="s">
        <v>2381</v>
      </c>
      <c r="E255" s="3" t="s">
        <v>544</v>
      </c>
      <c r="F255" s="9">
        <v>45740</v>
      </c>
      <c r="G255" s="5" t="s">
        <v>2095</v>
      </c>
      <c r="H255" s="5"/>
      <c r="I255" s="5" t="str">
        <f t="shared" si="0"/>
        <v>PROCESSO FOI ATUALIZADO</v>
      </c>
      <c r="J255" s="5"/>
      <c r="K255" s="5"/>
      <c r="L255" s="5"/>
      <c r="M255" s="5"/>
      <c r="N255" s="5"/>
    </row>
    <row r="256" spans="1:14" ht="22.5" customHeight="1" x14ac:dyDescent="0.2">
      <c r="A256" s="21" t="s">
        <v>554</v>
      </c>
      <c r="B256" s="3" t="s">
        <v>34</v>
      </c>
      <c r="C256" s="3" t="s">
        <v>35</v>
      </c>
      <c r="D256" s="14" t="s">
        <v>2367</v>
      </c>
      <c r="E256" s="3" t="s">
        <v>535</v>
      </c>
      <c r="F256" s="9">
        <v>45740</v>
      </c>
      <c r="G256" s="5" t="s">
        <v>37</v>
      </c>
      <c r="H256" s="5"/>
      <c r="I256" s="5" t="str">
        <f t="shared" si="0"/>
        <v>PROCESSO FOI ATUALIZADO</v>
      </c>
      <c r="J256" s="5"/>
      <c r="K256" s="5"/>
      <c r="L256" s="5"/>
      <c r="M256" s="5"/>
      <c r="N256" s="5"/>
    </row>
    <row r="257" spans="1:14" ht="22.5" customHeight="1" x14ac:dyDescent="0.2">
      <c r="A257" s="21" t="s">
        <v>549</v>
      </c>
      <c r="B257" s="3" t="s">
        <v>34</v>
      </c>
      <c r="C257" s="3" t="s">
        <v>35</v>
      </c>
      <c r="D257" s="14" t="s">
        <v>2382</v>
      </c>
      <c r="E257" s="3" t="s">
        <v>550</v>
      </c>
      <c r="F257" s="9">
        <v>45740</v>
      </c>
      <c r="G257" s="5" t="s">
        <v>2095</v>
      </c>
      <c r="H257" s="5"/>
      <c r="I257" s="5" t="str">
        <f t="shared" ref="I257:I511" si="1">IF(OR(H257="PROCESSO NÃO ENCONTRADO", G257="PROCESSO NÃO ENCONTRADO"),
   "PROCESSO NÃO ENCONTRADO",
   IF(H257=G257,"PROCESSO AINDA NÃO FOI ATUALIZADO","PROCESSO FOI ATUALIZADO"))</f>
        <v>PROCESSO FOI ATUALIZADO</v>
      </c>
      <c r="J257" s="5"/>
      <c r="K257" s="5"/>
      <c r="L257" s="5"/>
      <c r="M257" s="5"/>
      <c r="N257" s="5"/>
    </row>
    <row r="258" spans="1:14" ht="22.5" customHeight="1" x14ac:dyDescent="0.2">
      <c r="A258" s="21" t="s">
        <v>574</v>
      </c>
      <c r="B258" s="3" t="s">
        <v>34</v>
      </c>
      <c r="C258" s="3" t="s">
        <v>35</v>
      </c>
      <c r="D258" s="14" t="s">
        <v>2286</v>
      </c>
      <c r="E258" s="3" t="s">
        <v>254</v>
      </c>
      <c r="F258" s="9">
        <v>45740</v>
      </c>
      <c r="G258" s="5" t="s">
        <v>2443</v>
      </c>
      <c r="H258" s="5"/>
      <c r="I258" s="5" t="str">
        <f t="shared" si="1"/>
        <v>PROCESSO FOI ATUALIZADO</v>
      </c>
      <c r="J258" s="5"/>
      <c r="K258" s="5"/>
      <c r="L258" s="5"/>
      <c r="M258" s="5"/>
      <c r="N258" s="5"/>
    </row>
    <row r="259" spans="1:14" ht="22.5" customHeight="1" x14ac:dyDescent="0.2">
      <c r="A259" s="21" t="s">
        <v>503</v>
      </c>
      <c r="B259" s="3" t="s">
        <v>34</v>
      </c>
      <c r="C259" s="3" t="s">
        <v>35</v>
      </c>
      <c r="D259" s="14" t="s">
        <v>2383</v>
      </c>
      <c r="E259" s="3" t="s">
        <v>504</v>
      </c>
      <c r="F259" s="9">
        <v>45736</v>
      </c>
      <c r="G259" s="5" t="s">
        <v>2095</v>
      </c>
      <c r="H259" s="5"/>
      <c r="I259" s="5" t="str">
        <f t="shared" si="1"/>
        <v>PROCESSO FOI ATUALIZADO</v>
      </c>
      <c r="J259" s="5"/>
      <c r="K259" s="5"/>
      <c r="L259" s="5"/>
      <c r="M259" s="5"/>
      <c r="N259" s="5"/>
    </row>
    <row r="260" spans="1:14" ht="22.5" customHeight="1" x14ac:dyDescent="0.2">
      <c r="A260" s="21" t="s">
        <v>496</v>
      </c>
      <c r="B260" s="3" t="s">
        <v>34</v>
      </c>
      <c r="C260" s="3" t="s">
        <v>35</v>
      </c>
      <c r="D260" s="14" t="s">
        <v>2310</v>
      </c>
      <c r="E260" s="3" t="s">
        <v>289</v>
      </c>
      <c r="F260" s="9">
        <v>45735</v>
      </c>
      <c r="G260" s="5" t="s">
        <v>2095</v>
      </c>
      <c r="H260" s="5"/>
      <c r="I260" s="5" t="str">
        <f t="shared" si="1"/>
        <v>PROCESSO FOI ATUALIZADO</v>
      </c>
      <c r="J260" s="5"/>
      <c r="K260" s="5"/>
      <c r="L260" s="5"/>
      <c r="M260" s="5"/>
      <c r="N260" s="5"/>
    </row>
    <row r="261" spans="1:14" ht="22.5" customHeight="1" x14ac:dyDescent="0.2">
      <c r="A261" s="21" t="s">
        <v>708</v>
      </c>
      <c r="B261" s="3" t="s">
        <v>34</v>
      </c>
      <c r="C261" s="3" t="s">
        <v>35</v>
      </c>
      <c r="D261" s="14" t="s">
        <v>2258</v>
      </c>
      <c r="E261" s="3" t="s">
        <v>102</v>
      </c>
      <c r="F261" s="9">
        <v>45735</v>
      </c>
      <c r="G261" s="5" t="s">
        <v>37</v>
      </c>
      <c r="H261" s="5"/>
      <c r="I261" s="5" t="str">
        <f t="shared" si="1"/>
        <v>PROCESSO FOI ATUALIZADO</v>
      </c>
      <c r="J261" s="5"/>
      <c r="K261" s="5"/>
      <c r="L261" s="5"/>
      <c r="M261" s="5"/>
      <c r="N261" s="5"/>
    </row>
    <row r="262" spans="1:14" ht="22.5" customHeight="1" x14ac:dyDescent="0.2">
      <c r="A262" s="21" t="s">
        <v>706</v>
      </c>
      <c r="B262" s="3" t="s">
        <v>34</v>
      </c>
      <c r="C262" s="3" t="s">
        <v>35</v>
      </c>
      <c r="D262" s="14" t="s">
        <v>2384</v>
      </c>
      <c r="E262" s="3" t="s">
        <v>481</v>
      </c>
      <c r="F262" s="9">
        <v>45733</v>
      </c>
      <c r="G262" s="5" t="s">
        <v>2095</v>
      </c>
      <c r="H262" s="5"/>
      <c r="I262" s="5" t="str">
        <f t="shared" si="1"/>
        <v>PROCESSO FOI ATUALIZADO</v>
      </c>
      <c r="J262" s="5"/>
      <c r="K262" s="5"/>
      <c r="L262" s="5"/>
      <c r="M262" s="5"/>
      <c r="N262" s="5"/>
    </row>
    <row r="263" spans="1:14" ht="22.5" customHeight="1" x14ac:dyDescent="0.2">
      <c r="A263" s="21" t="s">
        <v>700</v>
      </c>
      <c r="B263" s="3" t="s">
        <v>34</v>
      </c>
      <c r="C263" s="3" t="s">
        <v>35</v>
      </c>
      <c r="D263" s="14" t="s">
        <v>2385</v>
      </c>
      <c r="E263" s="3" t="s">
        <v>701</v>
      </c>
      <c r="F263" s="9">
        <v>45730</v>
      </c>
      <c r="G263" s="5" t="s">
        <v>2110</v>
      </c>
      <c r="H263" s="5"/>
      <c r="I263" s="5" t="str">
        <f t="shared" si="1"/>
        <v>PROCESSO FOI ATUALIZADO</v>
      </c>
      <c r="J263" s="5"/>
      <c r="K263" s="5"/>
      <c r="L263" s="5"/>
      <c r="M263" s="5"/>
      <c r="N263" s="5"/>
    </row>
    <row r="264" spans="1:14" ht="22.5" customHeight="1" x14ac:dyDescent="0.2">
      <c r="A264" s="21" t="s">
        <v>647</v>
      </c>
      <c r="B264" s="3" t="s">
        <v>34</v>
      </c>
      <c r="C264" s="3" t="s">
        <v>35</v>
      </c>
      <c r="D264" s="14" t="s">
        <v>2386</v>
      </c>
      <c r="E264" s="3" t="s">
        <v>648</v>
      </c>
      <c r="F264" s="9">
        <v>45730</v>
      </c>
      <c r="G264" s="5" t="s">
        <v>2095</v>
      </c>
      <c r="H264" s="5"/>
      <c r="I264" s="5" t="str">
        <f t="shared" si="1"/>
        <v>PROCESSO FOI ATUALIZADO</v>
      </c>
      <c r="J264" s="5"/>
      <c r="K264" s="5"/>
      <c r="L264" s="5"/>
      <c r="M264" s="5"/>
      <c r="N264" s="5"/>
    </row>
    <row r="265" spans="1:14" ht="22.5" customHeight="1" x14ac:dyDescent="0.2">
      <c r="A265" s="21" t="s">
        <v>630</v>
      </c>
      <c r="B265" s="3" t="s">
        <v>34</v>
      </c>
      <c r="C265" s="3" t="s">
        <v>35</v>
      </c>
      <c r="D265" s="14" t="s">
        <v>2387</v>
      </c>
      <c r="E265" s="3" t="s">
        <v>631</v>
      </c>
      <c r="F265" s="9">
        <v>45726</v>
      </c>
      <c r="G265" s="5" t="s">
        <v>37</v>
      </c>
      <c r="H265" s="5"/>
      <c r="I265" s="5" t="str">
        <f t="shared" si="1"/>
        <v>PROCESSO FOI ATUALIZADO</v>
      </c>
      <c r="J265" s="5"/>
      <c r="K265" s="5"/>
      <c r="L265" s="5"/>
      <c r="M265" s="5"/>
      <c r="N265" s="5"/>
    </row>
    <row r="266" spans="1:14" ht="22.5" customHeight="1" x14ac:dyDescent="0.2">
      <c r="A266" s="21" t="s">
        <v>637</v>
      </c>
      <c r="B266" s="3" t="s">
        <v>34</v>
      </c>
      <c r="C266" s="3" t="s">
        <v>35</v>
      </c>
      <c r="D266" s="14" t="s">
        <v>2387</v>
      </c>
      <c r="E266" s="3" t="s">
        <v>631</v>
      </c>
      <c r="F266" s="9">
        <v>45726</v>
      </c>
      <c r="G266" s="5" t="s">
        <v>2110</v>
      </c>
      <c r="H266" s="5"/>
      <c r="I266" s="5" t="str">
        <f t="shared" si="1"/>
        <v>PROCESSO FOI ATUALIZADO</v>
      </c>
      <c r="J266" s="5"/>
      <c r="K266" s="5"/>
      <c r="L266" s="5"/>
      <c r="M266" s="5"/>
      <c r="N266" s="5"/>
    </row>
    <row r="267" spans="1:14" ht="22.5" customHeight="1" x14ac:dyDescent="0.2">
      <c r="A267" s="21" t="s">
        <v>656</v>
      </c>
      <c r="B267" s="3" t="s">
        <v>34</v>
      </c>
      <c r="C267" s="3" t="s">
        <v>35</v>
      </c>
      <c r="D267" s="14" t="s">
        <v>2388</v>
      </c>
      <c r="E267" s="3" t="s">
        <v>657</v>
      </c>
      <c r="F267" s="9">
        <v>45716</v>
      </c>
      <c r="G267" s="5" t="s">
        <v>2095</v>
      </c>
      <c r="H267" s="5"/>
      <c r="I267" s="5" t="str">
        <f t="shared" si="1"/>
        <v>PROCESSO FOI ATUALIZADO</v>
      </c>
      <c r="J267" s="5"/>
      <c r="K267" s="5"/>
      <c r="L267" s="5"/>
      <c r="M267" s="5"/>
      <c r="N267" s="5"/>
    </row>
    <row r="268" spans="1:14" ht="22.5" customHeight="1" x14ac:dyDescent="0.2">
      <c r="A268" s="21" t="s">
        <v>678</v>
      </c>
      <c r="B268" s="3" t="s">
        <v>34</v>
      </c>
      <c r="C268" s="3" t="s">
        <v>35</v>
      </c>
      <c r="D268" s="14" t="s">
        <v>2389</v>
      </c>
      <c r="E268" s="3" t="s">
        <v>679</v>
      </c>
      <c r="F268" s="9">
        <v>45716</v>
      </c>
      <c r="G268" s="5" t="s">
        <v>2095</v>
      </c>
      <c r="H268" s="5"/>
      <c r="I268" s="5" t="str">
        <f t="shared" si="1"/>
        <v>PROCESSO FOI ATUALIZADO</v>
      </c>
      <c r="J268" s="5"/>
      <c r="K268" s="5"/>
      <c r="L268" s="5"/>
      <c r="M268" s="5"/>
      <c r="N268" s="5"/>
    </row>
    <row r="269" spans="1:14" ht="22.5" customHeight="1" x14ac:dyDescent="0.2">
      <c r="A269" s="21" t="s">
        <v>633</v>
      </c>
      <c r="B269" s="3" t="s">
        <v>34</v>
      </c>
      <c r="C269" s="3" t="s">
        <v>35</v>
      </c>
      <c r="D269" s="14" t="s">
        <v>2295</v>
      </c>
      <c r="E269" s="3" t="s">
        <v>127</v>
      </c>
      <c r="F269" s="9">
        <v>45715</v>
      </c>
      <c r="G269" s="5" t="s">
        <v>2095</v>
      </c>
      <c r="H269" s="5"/>
      <c r="I269" s="5" t="str">
        <f t="shared" si="1"/>
        <v>PROCESSO FOI ATUALIZADO</v>
      </c>
      <c r="J269" s="5"/>
      <c r="K269" s="5"/>
      <c r="L269" s="5"/>
      <c r="M269" s="5"/>
      <c r="N269" s="5"/>
    </row>
    <row r="270" spans="1:14" ht="22.5" customHeight="1" x14ac:dyDescent="0.2">
      <c r="A270" s="21" t="s">
        <v>640</v>
      </c>
      <c r="B270" s="3" t="s">
        <v>34</v>
      </c>
      <c r="C270" s="3" t="s">
        <v>35</v>
      </c>
      <c r="D270" s="14" t="s">
        <v>2390</v>
      </c>
      <c r="E270" s="3" t="s">
        <v>641</v>
      </c>
      <c r="F270" s="9">
        <v>45714</v>
      </c>
      <c r="G270" s="5" t="s">
        <v>2095</v>
      </c>
      <c r="H270" s="5"/>
      <c r="I270" s="5" t="str">
        <f t="shared" si="1"/>
        <v>PROCESSO FOI ATUALIZADO</v>
      </c>
      <c r="J270" s="5"/>
      <c r="K270" s="5"/>
      <c r="L270" s="5"/>
      <c r="M270" s="5"/>
      <c r="N270" s="5"/>
    </row>
    <row r="271" spans="1:14" ht="22.5" customHeight="1" x14ac:dyDescent="0.2">
      <c r="A271" s="21" t="s">
        <v>654</v>
      </c>
      <c r="B271" s="3" t="s">
        <v>34</v>
      </c>
      <c r="C271" s="3" t="s">
        <v>35</v>
      </c>
      <c r="D271" s="14" t="s">
        <v>2391</v>
      </c>
      <c r="E271" s="3" t="s">
        <v>351</v>
      </c>
      <c r="F271" s="9">
        <v>45714</v>
      </c>
      <c r="G271" s="5" t="s">
        <v>2095</v>
      </c>
      <c r="H271" s="5"/>
      <c r="I271" s="5" t="str">
        <f t="shared" si="1"/>
        <v>PROCESSO FOI ATUALIZADO</v>
      </c>
      <c r="J271" s="5"/>
      <c r="K271" s="5"/>
      <c r="L271" s="5"/>
      <c r="M271" s="5"/>
      <c r="N271" s="5"/>
    </row>
    <row r="272" spans="1:14" ht="22.5" customHeight="1" x14ac:dyDescent="0.2">
      <c r="A272" s="21" t="s">
        <v>681</v>
      </c>
      <c r="B272" s="3" t="s">
        <v>34</v>
      </c>
      <c r="C272" s="3" t="s">
        <v>35</v>
      </c>
      <c r="D272" s="14" t="s">
        <v>2392</v>
      </c>
      <c r="E272" s="3" t="s">
        <v>682</v>
      </c>
      <c r="F272" s="9">
        <v>45714</v>
      </c>
      <c r="G272" s="5" t="s">
        <v>2095</v>
      </c>
      <c r="H272" s="5"/>
      <c r="I272" s="5" t="str">
        <f t="shared" si="1"/>
        <v>PROCESSO FOI ATUALIZADO</v>
      </c>
      <c r="J272" s="5"/>
      <c r="K272" s="5"/>
      <c r="L272" s="5"/>
      <c r="M272" s="5"/>
      <c r="N272" s="5"/>
    </row>
    <row r="273" spans="1:14" ht="22.5" customHeight="1" x14ac:dyDescent="0.2">
      <c r="A273" s="5" t="s">
        <v>616</v>
      </c>
      <c r="B273" s="3" t="s">
        <v>34</v>
      </c>
      <c r="C273" s="3" t="s">
        <v>35</v>
      </c>
      <c r="D273" s="3" t="s">
        <v>2394</v>
      </c>
      <c r="E273" s="3" t="s">
        <v>617</v>
      </c>
      <c r="F273" s="9">
        <v>45714</v>
      </c>
      <c r="G273" s="5" t="s">
        <v>2433</v>
      </c>
      <c r="H273" s="5"/>
      <c r="I273" s="5" t="str">
        <f t="shared" si="1"/>
        <v>PROCESSO FOI ATUALIZADO</v>
      </c>
      <c r="J273" s="5"/>
      <c r="K273" s="5"/>
      <c r="L273" s="5"/>
      <c r="M273" s="5"/>
      <c r="N273" s="5"/>
    </row>
    <row r="274" spans="1:14" ht="22.5" customHeight="1" x14ac:dyDescent="0.2">
      <c r="A274" s="21" t="s">
        <v>618</v>
      </c>
      <c r="B274" s="3" t="s">
        <v>34</v>
      </c>
      <c r="C274" s="3" t="s">
        <v>35</v>
      </c>
      <c r="D274" s="14" t="s">
        <v>2329</v>
      </c>
      <c r="E274" s="3" t="s">
        <v>127</v>
      </c>
      <c r="F274" s="9">
        <v>45714</v>
      </c>
      <c r="G274" s="5" t="s">
        <v>2443</v>
      </c>
      <c r="H274" s="5"/>
      <c r="I274" s="5" t="str">
        <f t="shared" si="1"/>
        <v>PROCESSO FOI ATUALIZADO</v>
      </c>
      <c r="J274" s="5"/>
      <c r="K274" s="5"/>
      <c r="L274" s="5"/>
      <c r="M274" s="5"/>
      <c r="N274" s="5"/>
    </row>
    <row r="275" spans="1:14" ht="22.5" customHeight="1" x14ac:dyDescent="0.2">
      <c r="A275" s="21" t="s">
        <v>611</v>
      </c>
      <c r="B275" s="3" t="s">
        <v>34</v>
      </c>
      <c r="C275" s="3" t="s">
        <v>35</v>
      </c>
      <c r="D275" s="14" t="s">
        <v>2393</v>
      </c>
      <c r="E275" s="3" t="s">
        <v>127</v>
      </c>
      <c r="F275" s="9">
        <v>45714</v>
      </c>
      <c r="G275" s="5" t="s">
        <v>2095</v>
      </c>
      <c r="H275" s="5"/>
      <c r="I275" s="5" t="str">
        <f t="shared" si="1"/>
        <v>PROCESSO FOI ATUALIZADO</v>
      </c>
      <c r="J275" s="5"/>
      <c r="K275" s="5"/>
      <c r="L275" s="5"/>
      <c r="M275" s="5"/>
      <c r="N275" s="5"/>
    </row>
    <row r="276" spans="1:14" ht="22.5" customHeight="1" x14ac:dyDescent="0.2">
      <c r="A276" s="21" t="s">
        <v>698</v>
      </c>
      <c r="B276" s="3" t="s">
        <v>34</v>
      </c>
      <c r="C276" s="3" t="s">
        <v>35</v>
      </c>
      <c r="D276" s="14" t="s">
        <v>2276</v>
      </c>
      <c r="E276" s="3" t="s">
        <v>239</v>
      </c>
      <c r="F276" s="9">
        <v>45712</v>
      </c>
      <c r="G276" s="5" t="s">
        <v>2095</v>
      </c>
      <c r="H276" s="5"/>
      <c r="I276" s="5" t="str">
        <f t="shared" si="1"/>
        <v>PROCESSO FOI ATUALIZADO</v>
      </c>
      <c r="J276" s="5"/>
      <c r="K276" s="5"/>
      <c r="L276" s="5"/>
      <c r="M276" s="5"/>
      <c r="N276" s="5"/>
    </row>
    <row r="277" spans="1:14" ht="22.5" customHeight="1" x14ac:dyDescent="0.2">
      <c r="A277" s="5" t="s">
        <v>619</v>
      </c>
      <c r="B277" s="3" t="s">
        <v>34</v>
      </c>
      <c r="C277" s="3" t="s">
        <v>35</v>
      </c>
      <c r="D277" s="3" t="s">
        <v>2394</v>
      </c>
      <c r="E277" s="3" t="s">
        <v>617</v>
      </c>
      <c r="F277" s="9">
        <v>45712</v>
      </c>
      <c r="G277" s="5" t="s">
        <v>2110</v>
      </c>
      <c r="H277" s="5"/>
      <c r="I277" s="5" t="str">
        <f t="shared" si="1"/>
        <v>PROCESSO FOI ATUALIZADO</v>
      </c>
      <c r="J277" s="5"/>
      <c r="K277" s="5"/>
      <c r="L277" s="5"/>
      <c r="M277" s="5"/>
      <c r="N277" s="5"/>
    </row>
    <row r="278" spans="1:14" ht="22.5" customHeight="1" x14ac:dyDescent="0.2">
      <c r="A278" s="21" t="s">
        <v>683</v>
      </c>
      <c r="B278" s="3" t="s">
        <v>34</v>
      </c>
      <c r="C278" s="3" t="s">
        <v>35</v>
      </c>
      <c r="D278" s="14" t="s">
        <v>2395</v>
      </c>
      <c r="E278" s="3" t="s">
        <v>351</v>
      </c>
      <c r="F278" s="9">
        <v>45712</v>
      </c>
      <c r="G278" s="5" t="s">
        <v>2095</v>
      </c>
      <c r="H278" s="5"/>
      <c r="I278" s="5" t="str">
        <f t="shared" si="1"/>
        <v>PROCESSO FOI ATUALIZADO</v>
      </c>
      <c r="J278" s="5"/>
      <c r="K278" s="5"/>
      <c r="L278" s="5"/>
      <c r="M278" s="5"/>
      <c r="N278" s="5"/>
    </row>
    <row r="279" spans="1:14" ht="22.5" customHeight="1" x14ac:dyDescent="0.2">
      <c r="A279" s="21" t="s">
        <v>704</v>
      </c>
      <c r="B279" s="3" t="s">
        <v>34</v>
      </c>
      <c r="C279" s="3" t="s">
        <v>35</v>
      </c>
      <c r="D279" s="14" t="s">
        <v>2396</v>
      </c>
      <c r="E279" s="3" t="s">
        <v>696</v>
      </c>
      <c r="F279" s="9">
        <v>45708</v>
      </c>
      <c r="G279" s="5" t="s">
        <v>2095</v>
      </c>
      <c r="H279" s="5"/>
      <c r="I279" s="5" t="str">
        <f t="shared" si="1"/>
        <v>PROCESSO FOI ATUALIZADO</v>
      </c>
      <c r="J279" s="5"/>
      <c r="K279" s="5"/>
      <c r="L279" s="5"/>
      <c r="M279" s="5"/>
      <c r="N279" s="5"/>
    </row>
    <row r="280" spans="1:14" ht="22.5" customHeight="1" x14ac:dyDescent="0.2">
      <c r="A280" s="5" t="s">
        <v>632</v>
      </c>
      <c r="B280" s="3" t="s">
        <v>34</v>
      </c>
      <c r="C280" s="3" t="s">
        <v>35</v>
      </c>
      <c r="D280" s="3" t="s">
        <v>2394</v>
      </c>
      <c r="E280" s="3" t="s">
        <v>617</v>
      </c>
      <c r="F280" s="9">
        <v>45708</v>
      </c>
      <c r="G280" s="5" t="s">
        <v>2433</v>
      </c>
      <c r="H280" s="5"/>
      <c r="I280" s="5" t="str">
        <f t="shared" si="1"/>
        <v>PROCESSO FOI ATUALIZADO</v>
      </c>
      <c r="J280" s="5"/>
      <c r="K280" s="5"/>
      <c r="L280" s="5"/>
      <c r="M280" s="5"/>
      <c r="N280" s="5"/>
    </row>
    <row r="281" spans="1:14" ht="22.5" customHeight="1" x14ac:dyDescent="0.2">
      <c r="A281" s="21" t="s">
        <v>685</v>
      </c>
      <c r="B281" s="3" t="s">
        <v>34</v>
      </c>
      <c r="C281" s="3" t="s">
        <v>35</v>
      </c>
      <c r="D281" s="14" t="s">
        <v>2397</v>
      </c>
      <c r="E281" s="3" t="s">
        <v>351</v>
      </c>
      <c r="F281" s="9">
        <v>45707</v>
      </c>
      <c r="G281" s="5" t="s">
        <v>2095</v>
      </c>
      <c r="H281" s="5"/>
      <c r="I281" s="5" t="str">
        <f t="shared" si="1"/>
        <v>PROCESSO FOI ATUALIZADO</v>
      </c>
      <c r="J281" s="5"/>
      <c r="K281" s="5"/>
      <c r="L281" s="5"/>
      <c r="M281" s="5"/>
      <c r="N281" s="5"/>
    </row>
    <row r="282" spans="1:14" ht="22.5" customHeight="1" x14ac:dyDescent="0.2">
      <c r="A282" s="21" t="s">
        <v>613</v>
      </c>
      <c r="B282" s="3" t="s">
        <v>34</v>
      </c>
      <c r="C282" s="3" t="s">
        <v>35</v>
      </c>
      <c r="D282" s="14" t="s">
        <v>2398</v>
      </c>
      <c r="E282" s="3" t="s">
        <v>614</v>
      </c>
      <c r="F282" s="9">
        <v>45707</v>
      </c>
      <c r="G282" s="5" t="s">
        <v>2110</v>
      </c>
      <c r="H282" s="5"/>
      <c r="I282" s="5" t="str">
        <f t="shared" si="1"/>
        <v>PROCESSO FOI ATUALIZADO</v>
      </c>
      <c r="J282" s="5"/>
      <c r="K282" s="5"/>
      <c r="L282" s="5"/>
      <c r="M282" s="5"/>
      <c r="N282" s="5"/>
    </row>
    <row r="283" spans="1:14" ht="22.5" customHeight="1" x14ac:dyDescent="0.2">
      <c r="A283" s="5" t="s">
        <v>639</v>
      </c>
      <c r="B283" s="3" t="s">
        <v>34</v>
      </c>
      <c r="C283" s="3" t="s">
        <v>35</v>
      </c>
      <c r="D283" s="3" t="s">
        <v>2394</v>
      </c>
      <c r="E283" s="3" t="s">
        <v>617</v>
      </c>
      <c r="F283" s="9">
        <v>45707</v>
      </c>
      <c r="G283" s="5" t="s">
        <v>2433</v>
      </c>
      <c r="H283" s="5"/>
      <c r="I283" s="5" t="str">
        <f t="shared" si="1"/>
        <v>PROCESSO FOI ATUALIZADO</v>
      </c>
      <c r="J283" s="5"/>
      <c r="K283" s="5"/>
      <c r="L283" s="5"/>
      <c r="M283" s="5"/>
      <c r="N283" s="5"/>
    </row>
    <row r="284" spans="1:14" ht="22.5" customHeight="1" x14ac:dyDescent="0.2">
      <c r="A284" s="21" t="s">
        <v>600</v>
      </c>
      <c r="B284" s="3" t="s">
        <v>34</v>
      </c>
      <c r="C284" s="3" t="s">
        <v>35</v>
      </c>
      <c r="D284" s="14" t="s">
        <v>2399</v>
      </c>
      <c r="E284" s="3" t="s">
        <v>494</v>
      </c>
      <c r="F284" s="9">
        <v>45706</v>
      </c>
      <c r="G284" s="5" t="s">
        <v>2095</v>
      </c>
      <c r="H284" s="5"/>
      <c r="I284" s="5" t="str">
        <f t="shared" si="1"/>
        <v>PROCESSO FOI ATUALIZADO</v>
      </c>
      <c r="J284" s="5"/>
      <c r="K284" s="5"/>
      <c r="L284" s="5"/>
      <c r="M284" s="5"/>
      <c r="N284" s="5"/>
    </row>
    <row r="285" spans="1:14" ht="22.5" customHeight="1" x14ac:dyDescent="0.2">
      <c r="A285" s="21" t="s">
        <v>635</v>
      </c>
      <c r="B285" s="3" t="s">
        <v>34</v>
      </c>
      <c r="C285" s="3" t="s">
        <v>35</v>
      </c>
      <c r="D285" s="14" t="s">
        <v>2448</v>
      </c>
      <c r="E285" s="3" t="s">
        <v>636</v>
      </c>
      <c r="F285" s="9">
        <v>45705</v>
      </c>
      <c r="G285" s="5" t="s">
        <v>2433</v>
      </c>
      <c r="H285" s="5"/>
      <c r="I285" s="5" t="str">
        <f t="shared" si="1"/>
        <v>PROCESSO FOI ATUALIZADO</v>
      </c>
      <c r="J285" s="5"/>
      <c r="K285" s="5"/>
      <c r="L285" s="5"/>
      <c r="M285" s="5"/>
      <c r="N285" s="5"/>
    </row>
    <row r="286" spans="1:14" ht="22.5" customHeight="1" x14ac:dyDescent="0.2">
      <c r="A286" s="21" t="s">
        <v>650</v>
      </c>
      <c r="B286" s="3" t="s">
        <v>34</v>
      </c>
      <c r="C286" s="3" t="s">
        <v>35</v>
      </c>
      <c r="D286" s="14" t="s">
        <v>2400</v>
      </c>
      <c r="E286" s="3" t="s">
        <v>651</v>
      </c>
      <c r="F286" s="9">
        <v>45705</v>
      </c>
      <c r="G286" s="5" t="s">
        <v>2095</v>
      </c>
      <c r="H286" s="5"/>
      <c r="I286" s="5" t="str">
        <f t="shared" si="1"/>
        <v>PROCESSO FOI ATUALIZADO</v>
      </c>
      <c r="J286" s="5"/>
      <c r="K286" s="5"/>
      <c r="L286" s="5"/>
      <c r="M286" s="5"/>
      <c r="N286" s="5"/>
    </row>
    <row r="287" spans="1:14" ht="22.5" customHeight="1" x14ac:dyDescent="0.2">
      <c r="A287" s="21" t="s">
        <v>695</v>
      </c>
      <c r="B287" s="3" t="s">
        <v>34</v>
      </c>
      <c r="C287" s="3" t="s">
        <v>35</v>
      </c>
      <c r="D287" s="14" t="s">
        <v>2401</v>
      </c>
      <c r="E287" s="3" t="s">
        <v>696</v>
      </c>
      <c r="F287" s="9">
        <v>45702</v>
      </c>
      <c r="G287" s="5" t="s">
        <v>2095</v>
      </c>
      <c r="H287" s="5"/>
      <c r="I287" s="5" t="str">
        <f t="shared" si="1"/>
        <v>PROCESSO FOI ATUALIZADO</v>
      </c>
      <c r="J287" s="5"/>
      <c r="K287" s="5"/>
      <c r="L287" s="5"/>
      <c r="M287" s="5"/>
      <c r="N287" s="5"/>
    </row>
    <row r="288" spans="1:14" ht="22.5" customHeight="1" x14ac:dyDescent="0.2">
      <c r="A288" s="21" t="s">
        <v>602</v>
      </c>
      <c r="B288" s="3" t="s">
        <v>34</v>
      </c>
      <c r="C288" s="3" t="s">
        <v>35</v>
      </c>
      <c r="D288" s="14" t="s">
        <v>2449</v>
      </c>
      <c r="E288" s="3" t="s">
        <v>603</v>
      </c>
      <c r="F288" s="9">
        <v>45700</v>
      </c>
      <c r="G288" s="5" t="s">
        <v>37</v>
      </c>
      <c r="H288" s="5"/>
      <c r="I288" s="5" t="str">
        <f t="shared" si="1"/>
        <v>PROCESSO FOI ATUALIZADO</v>
      </c>
      <c r="J288" s="5"/>
      <c r="K288" s="5"/>
      <c r="L288" s="5"/>
      <c r="M288" s="5"/>
      <c r="N288" s="5"/>
    </row>
    <row r="289" spans="1:14" ht="22.5" customHeight="1" x14ac:dyDescent="0.2">
      <c r="A289" s="21" t="s">
        <v>621</v>
      </c>
      <c r="B289" s="3" t="s">
        <v>34</v>
      </c>
      <c r="C289" s="3" t="s">
        <v>35</v>
      </c>
      <c r="D289" s="14" t="s">
        <v>2402</v>
      </c>
      <c r="E289" s="3" t="s">
        <v>622</v>
      </c>
      <c r="F289" s="9">
        <v>45700</v>
      </c>
      <c r="G289" s="5" t="s">
        <v>2095</v>
      </c>
      <c r="H289" s="5"/>
      <c r="I289" s="5" t="str">
        <f t="shared" si="1"/>
        <v>PROCESSO FOI ATUALIZADO</v>
      </c>
      <c r="J289" s="5"/>
      <c r="K289" s="5"/>
      <c r="L289" s="5"/>
      <c r="M289" s="5"/>
      <c r="N289" s="5"/>
    </row>
    <row r="290" spans="1:14" ht="22.5" customHeight="1" x14ac:dyDescent="0.2">
      <c r="A290" s="21" t="s">
        <v>646</v>
      </c>
      <c r="B290" s="3" t="s">
        <v>34</v>
      </c>
      <c r="C290" s="3" t="s">
        <v>35</v>
      </c>
      <c r="D290" s="14" t="s">
        <v>2446</v>
      </c>
      <c r="E290" s="3" t="s">
        <v>502</v>
      </c>
      <c r="F290" s="9">
        <v>45700</v>
      </c>
      <c r="G290" s="5" t="s">
        <v>37</v>
      </c>
      <c r="H290" s="5"/>
      <c r="I290" s="5" t="str">
        <f t="shared" si="1"/>
        <v>PROCESSO FOI ATUALIZADO</v>
      </c>
      <c r="J290" s="5"/>
      <c r="K290" s="5"/>
      <c r="L290" s="5"/>
      <c r="M290" s="5"/>
      <c r="N290" s="5"/>
    </row>
    <row r="291" spans="1:14" ht="22.5" customHeight="1" x14ac:dyDescent="0.2">
      <c r="A291" s="21" t="s">
        <v>687</v>
      </c>
      <c r="B291" s="3" t="s">
        <v>34</v>
      </c>
      <c r="C291" s="3" t="s">
        <v>35</v>
      </c>
      <c r="D291" s="14" t="s">
        <v>2403</v>
      </c>
      <c r="E291" s="3" t="s">
        <v>688</v>
      </c>
      <c r="F291" s="9">
        <v>45698</v>
      </c>
      <c r="G291" s="5" t="s">
        <v>2095</v>
      </c>
      <c r="H291" s="5"/>
      <c r="I291" s="5" t="str">
        <f t="shared" si="1"/>
        <v>PROCESSO FOI ATUALIZADO</v>
      </c>
      <c r="J291" s="5"/>
      <c r="K291" s="5"/>
      <c r="L291" s="5"/>
      <c r="M291" s="5"/>
      <c r="N291" s="5"/>
    </row>
    <row r="292" spans="1:14" ht="22.5" customHeight="1" x14ac:dyDescent="0.2">
      <c r="A292" s="21" t="s">
        <v>675</v>
      </c>
      <c r="B292" s="3" t="s">
        <v>34</v>
      </c>
      <c r="C292" s="3" t="s">
        <v>35</v>
      </c>
      <c r="D292" s="14" t="s">
        <v>2404</v>
      </c>
      <c r="E292" s="3" t="s">
        <v>676</v>
      </c>
      <c r="F292" s="9">
        <v>45695</v>
      </c>
      <c r="G292" s="5" t="s">
        <v>2095</v>
      </c>
      <c r="H292" s="5"/>
      <c r="I292" s="5" t="str">
        <f t="shared" si="1"/>
        <v>PROCESSO FOI ATUALIZADO</v>
      </c>
      <c r="J292" s="5"/>
      <c r="K292" s="5"/>
      <c r="L292" s="5"/>
      <c r="M292" s="5"/>
      <c r="N292" s="5"/>
    </row>
    <row r="293" spans="1:14" ht="22.5" customHeight="1" x14ac:dyDescent="0.2">
      <c r="A293" s="21" t="s">
        <v>697</v>
      </c>
      <c r="B293" s="3" t="s">
        <v>34</v>
      </c>
      <c r="C293" s="3" t="s">
        <v>35</v>
      </c>
      <c r="D293" s="14" t="s">
        <v>2403</v>
      </c>
      <c r="E293" s="3" t="s">
        <v>688</v>
      </c>
      <c r="F293" s="9">
        <v>45695</v>
      </c>
      <c r="G293" s="5" t="s">
        <v>37</v>
      </c>
      <c r="H293" s="5"/>
      <c r="I293" s="5" t="str">
        <f t="shared" si="1"/>
        <v>PROCESSO FOI ATUALIZADO</v>
      </c>
      <c r="J293" s="5"/>
      <c r="K293" s="5"/>
      <c r="L293" s="5"/>
      <c r="M293" s="5"/>
      <c r="N293" s="5"/>
    </row>
    <row r="294" spans="1:14" ht="22.5" customHeight="1" x14ac:dyDescent="0.2">
      <c r="A294" s="21" t="s">
        <v>690</v>
      </c>
      <c r="B294" s="3" t="s">
        <v>34</v>
      </c>
      <c r="C294" s="3" t="s">
        <v>35</v>
      </c>
      <c r="D294" s="14" t="s">
        <v>2450</v>
      </c>
      <c r="E294" s="3" t="s">
        <v>691</v>
      </c>
      <c r="F294" s="9">
        <v>45687</v>
      </c>
      <c r="G294" s="5" t="s">
        <v>37</v>
      </c>
      <c r="H294" s="5"/>
      <c r="I294" s="5" t="str">
        <f t="shared" si="1"/>
        <v>PROCESSO FOI ATUALIZADO</v>
      </c>
      <c r="J294" s="5"/>
      <c r="K294" s="5"/>
      <c r="L294" s="5"/>
      <c r="M294" s="5"/>
      <c r="N294" s="5"/>
    </row>
    <row r="295" spans="1:14" ht="22.5" customHeight="1" x14ac:dyDescent="0.2">
      <c r="A295" s="21" t="s">
        <v>665</v>
      </c>
      <c r="B295" s="3" t="s">
        <v>34</v>
      </c>
      <c r="C295" s="3" t="s">
        <v>35</v>
      </c>
      <c r="D295" s="14" t="s">
        <v>2451</v>
      </c>
      <c r="E295" s="3" t="s">
        <v>666</v>
      </c>
      <c r="F295" s="9">
        <v>45642</v>
      </c>
      <c r="G295" s="5" t="s">
        <v>37</v>
      </c>
      <c r="H295" s="5"/>
      <c r="I295" s="5" t="str">
        <f t="shared" si="1"/>
        <v>PROCESSO FOI ATUALIZADO</v>
      </c>
      <c r="J295" s="5"/>
      <c r="K295" s="5"/>
      <c r="L295" s="5"/>
      <c r="M295" s="5"/>
      <c r="N295" s="5"/>
    </row>
    <row r="296" spans="1:14" ht="22.5" customHeight="1" x14ac:dyDescent="0.2">
      <c r="A296" s="21" t="s">
        <v>661</v>
      </c>
      <c r="B296" s="3" t="s">
        <v>34</v>
      </c>
      <c r="C296" s="3" t="s">
        <v>35</v>
      </c>
      <c r="D296" s="14" t="s">
        <v>2452</v>
      </c>
      <c r="E296" s="3" t="s">
        <v>662</v>
      </c>
      <c r="F296" s="9">
        <v>45639</v>
      </c>
      <c r="G296" s="5" t="s">
        <v>2095</v>
      </c>
      <c r="H296" s="5"/>
      <c r="I296" s="5" t="str">
        <f t="shared" si="1"/>
        <v>PROCESSO FOI ATUALIZADO</v>
      </c>
      <c r="J296" s="5"/>
      <c r="K296" s="5"/>
      <c r="L296" s="5"/>
      <c r="M296" s="5"/>
      <c r="N296" s="5"/>
    </row>
    <row r="297" spans="1:14" ht="22.5" customHeight="1" x14ac:dyDescent="0.2">
      <c r="A297" s="21" t="s">
        <v>673</v>
      </c>
      <c r="B297" s="3" t="s">
        <v>34</v>
      </c>
      <c r="C297" s="3" t="s">
        <v>35</v>
      </c>
      <c r="D297" s="14" t="s">
        <v>2453</v>
      </c>
      <c r="E297" s="3" t="s">
        <v>662</v>
      </c>
      <c r="F297" s="9">
        <v>45639</v>
      </c>
      <c r="G297" s="5" t="s">
        <v>2095</v>
      </c>
      <c r="H297" s="5"/>
      <c r="I297" s="5" t="str">
        <f t="shared" si="1"/>
        <v>PROCESSO FOI ATUALIZADO</v>
      </c>
      <c r="J297" s="5"/>
      <c r="K297" s="5"/>
      <c r="L297" s="5"/>
      <c r="M297" s="5"/>
      <c r="N297" s="5"/>
    </row>
    <row r="298" spans="1:14" ht="22.5" customHeight="1" x14ac:dyDescent="0.2">
      <c r="A298" s="21" t="s">
        <v>604</v>
      </c>
      <c r="B298" s="3" t="s">
        <v>34</v>
      </c>
      <c r="C298" s="3" t="s">
        <v>35</v>
      </c>
      <c r="D298" s="14" t="s">
        <v>2449</v>
      </c>
      <c r="E298" s="3" t="s">
        <v>603</v>
      </c>
      <c r="F298" s="9">
        <v>45638</v>
      </c>
      <c r="G298" s="5" t="s">
        <v>37</v>
      </c>
      <c r="H298" s="5"/>
      <c r="I298" s="5" t="str">
        <f t="shared" si="1"/>
        <v>PROCESSO FOI ATUALIZADO</v>
      </c>
      <c r="J298" s="5"/>
      <c r="K298" s="5"/>
      <c r="L298" s="5"/>
      <c r="M298" s="5"/>
      <c r="N298" s="5"/>
    </row>
    <row r="299" spans="1:14" ht="22.5" customHeight="1" x14ac:dyDescent="0.2">
      <c r="A299" s="21" t="s">
        <v>659</v>
      </c>
      <c r="B299" s="3" t="s">
        <v>34</v>
      </c>
      <c r="C299" s="3" t="s">
        <v>35</v>
      </c>
      <c r="D299" s="14" t="s">
        <v>2454</v>
      </c>
      <c r="E299" s="3" t="s">
        <v>660</v>
      </c>
      <c r="F299" s="9">
        <v>45638</v>
      </c>
      <c r="G299" s="5" t="s">
        <v>37</v>
      </c>
      <c r="H299" s="5"/>
      <c r="I299" s="5" t="str">
        <f t="shared" si="1"/>
        <v>PROCESSO FOI ATUALIZADO</v>
      </c>
      <c r="J299" s="5"/>
      <c r="K299" s="5"/>
      <c r="L299" s="5"/>
      <c r="M299" s="5"/>
      <c r="N299" s="5"/>
    </row>
    <row r="300" spans="1:14" ht="22.5" customHeight="1" x14ac:dyDescent="0.2">
      <c r="A300" s="21" t="s">
        <v>607</v>
      </c>
      <c r="B300" s="3" t="s">
        <v>34</v>
      </c>
      <c r="C300" s="3" t="s">
        <v>35</v>
      </c>
      <c r="D300" s="14" t="s">
        <v>2455</v>
      </c>
      <c r="E300" s="3" t="s">
        <v>608</v>
      </c>
      <c r="F300" s="9">
        <v>45637</v>
      </c>
      <c r="G300" s="5" t="s">
        <v>2095</v>
      </c>
      <c r="H300" s="5"/>
      <c r="I300" s="5" t="str">
        <f t="shared" si="1"/>
        <v>PROCESSO FOI ATUALIZADO</v>
      </c>
      <c r="J300" s="5"/>
      <c r="K300" s="5"/>
      <c r="L300" s="5"/>
      <c r="M300" s="5"/>
      <c r="N300" s="5"/>
    </row>
    <row r="301" spans="1:14" ht="22.5" customHeight="1" x14ac:dyDescent="0.2">
      <c r="A301" s="5" t="s">
        <v>653</v>
      </c>
      <c r="B301" s="3" t="s">
        <v>34</v>
      </c>
      <c r="C301" s="3" t="s">
        <v>35</v>
      </c>
      <c r="D301" s="3" t="s">
        <v>2394</v>
      </c>
      <c r="E301" s="3" t="s">
        <v>617</v>
      </c>
      <c r="F301" s="9">
        <v>45637</v>
      </c>
      <c r="G301" s="5" t="s">
        <v>2433</v>
      </c>
      <c r="H301" s="5"/>
      <c r="I301" s="5" t="str">
        <f t="shared" si="1"/>
        <v>PROCESSO FOI ATUALIZADO</v>
      </c>
      <c r="J301" s="5"/>
      <c r="K301" s="5"/>
      <c r="L301" s="5"/>
      <c r="M301" s="5"/>
      <c r="N301" s="5"/>
    </row>
    <row r="302" spans="1:14" ht="22.5" customHeight="1" x14ac:dyDescent="0.2">
      <c r="A302" s="21" t="s">
        <v>563</v>
      </c>
      <c r="B302" s="3" t="s">
        <v>34</v>
      </c>
      <c r="C302" s="3" t="s">
        <v>35</v>
      </c>
      <c r="D302" s="14" t="s">
        <v>2378</v>
      </c>
      <c r="E302" s="3" t="s">
        <v>564</v>
      </c>
      <c r="F302" s="9">
        <v>45742</v>
      </c>
      <c r="G302" s="5" t="s">
        <v>2110</v>
      </c>
      <c r="H302" s="5"/>
      <c r="I302" s="5" t="str">
        <f t="shared" si="1"/>
        <v>PROCESSO FOI ATUALIZADO</v>
      </c>
      <c r="J302" s="5"/>
      <c r="K302" s="5"/>
      <c r="L302" s="5"/>
      <c r="M302" s="5"/>
      <c r="N302" s="5"/>
    </row>
    <row r="303" spans="1:14" ht="22.5" customHeight="1" x14ac:dyDescent="0.2">
      <c r="A303" s="21" t="s">
        <v>507</v>
      </c>
      <c r="B303" s="3" t="s">
        <v>34</v>
      </c>
      <c r="C303" s="3" t="s">
        <v>35</v>
      </c>
      <c r="D303" s="14" t="s">
        <v>2379</v>
      </c>
      <c r="E303" s="3" t="s">
        <v>351</v>
      </c>
      <c r="F303" s="9">
        <v>45740</v>
      </c>
      <c r="G303" s="5" t="s">
        <v>2095</v>
      </c>
      <c r="H303" s="5"/>
      <c r="I303" s="5" t="str">
        <f t="shared" si="1"/>
        <v>PROCESSO FOI ATUALIZADO</v>
      </c>
      <c r="J303" s="5"/>
      <c r="K303" s="5"/>
      <c r="L303" s="5"/>
      <c r="M303" s="5"/>
      <c r="N303" s="5"/>
    </row>
    <row r="304" spans="1:14" ht="22.5" customHeight="1" x14ac:dyDescent="0.2">
      <c r="A304" s="21" t="s">
        <v>596</v>
      </c>
      <c r="B304" s="3" t="s">
        <v>34</v>
      </c>
      <c r="C304" s="3" t="s">
        <v>35</v>
      </c>
      <c r="D304" s="14" t="s">
        <v>2380</v>
      </c>
      <c r="E304" s="3" t="s">
        <v>583</v>
      </c>
      <c r="F304" s="9">
        <v>45740</v>
      </c>
      <c r="G304" s="5" t="s">
        <v>2095</v>
      </c>
      <c r="H304" s="5"/>
      <c r="I304" s="5" t="str">
        <f t="shared" si="1"/>
        <v>PROCESSO FOI ATUALIZADO</v>
      </c>
      <c r="J304" s="5"/>
      <c r="K304" s="5"/>
      <c r="L304" s="5"/>
      <c r="M304" s="5"/>
      <c r="N304" s="5"/>
    </row>
    <row r="305" spans="1:14" ht="22.5" customHeight="1" x14ac:dyDescent="0.2">
      <c r="A305" s="21" t="s">
        <v>543</v>
      </c>
      <c r="B305" s="3" t="s">
        <v>34</v>
      </c>
      <c r="C305" s="3" t="s">
        <v>35</v>
      </c>
      <c r="D305" s="14" t="s">
        <v>2381</v>
      </c>
      <c r="E305" s="3" t="s">
        <v>544</v>
      </c>
      <c r="F305" s="9">
        <v>45740</v>
      </c>
      <c r="G305" s="5" t="s">
        <v>2095</v>
      </c>
      <c r="H305" s="5"/>
      <c r="I305" s="5" t="str">
        <f t="shared" si="1"/>
        <v>PROCESSO FOI ATUALIZADO</v>
      </c>
      <c r="J305" s="5"/>
      <c r="K305" s="5"/>
      <c r="L305" s="5"/>
      <c r="M305" s="5"/>
      <c r="N305" s="5"/>
    </row>
    <row r="306" spans="1:14" ht="22.5" customHeight="1" x14ac:dyDescent="0.2">
      <c r="A306" s="21" t="s">
        <v>554</v>
      </c>
      <c r="B306" s="3" t="s">
        <v>34</v>
      </c>
      <c r="C306" s="3" t="s">
        <v>35</v>
      </c>
      <c r="D306" s="14" t="s">
        <v>2367</v>
      </c>
      <c r="E306" s="3" t="s">
        <v>535</v>
      </c>
      <c r="F306" s="9">
        <v>45740</v>
      </c>
      <c r="G306" s="5" t="s">
        <v>37</v>
      </c>
      <c r="H306" s="5"/>
      <c r="I306" s="5" t="str">
        <f t="shared" si="1"/>
        <v>PROCESSO FOI ATUALIZADO</v>
      </c>
      <c r="J306" s="5"/>
      <c r="K306" s="5"/>
      <c r="L306" s="5"/>
      <c r="M306" s="5"/>
      <c r="N306" s="5"/>
    </row>
    <row r="307" spans="1:14" ht="22.5" customHeight="1" x14ac:dyDescent="0.2">
      <c r="A307" s="21" t="s">
        <v>549</v>
      </c>
      <c r="B307" s="3" t="s">
        <v>34</v>
      </c>
      <c r="C307" s="3" t="s">
        <v>35</v>
      </c>
      <c r="D307" s="14" t="s">
        <v>2382</v>
      </c>
      <c r="E307" s="3" t="s">
        <v>550</v>
      </c>
      <c r="F307" s="9">
        <v>45740</v>
      </c>
      <c r="G307" s="5" t="s">
        <v>2095</v>
      </c>
      <c r="H307" s="5"/>
      <c r="I307" s="5" t="str">
        <f t="shared" si="1"/>
        <v>PROCESSO FOI ATUALIZADO</v>
      </c>
      <c r="J307" s="5"/>
      <c r="K307" s="5"/>
      <c r="L307" s="5"/>
      <c r="M307" s="5"/>
      <c r="N307" s="5"/>
    </row>
    <row r="308" spans="1:14" ht="22.5" customHeight="1" x14ac:dyDescent="0.2">
      <c r="A308" s="21" t="s">
        <v>574</v>
      </c>
      <c r="B308" s="3" t="s">
        <v>34</v>
      </c>
      <c r="C308" s="3" t="s">
        <v>35</v>
      </c>
      <c r="D308" s="14" t="s">
        <v>2286</v>
      </c>
      <c r="E308" s="3" t="s">
        <v>254</v>
      </c>
      <c r="F308" s="9">
        <v>45740</v>
      </c>
      <c r="G308" s="5" t="s">
        <v>2443</v>
      </c>
      <c r="H308" s="5"/>
      <c r="I308" s="5" t="str">
        <f t="shared" si="1"/>
        <v>PROCESSO FOI ATUALIZADO</v>
      </c>
      <c r="J308" s="5"/>
      <c r="K308" s="5"/>
      <c r="L308" s="5"/>
      <c r="M308" s="5"/>
      <c r="N308" s="5"/>
    </row>
    <row r="309" spans="1:14" ht="22.5" customHeight="1" x14ac:dyDescent="0.2">
      <c r="A309" s="21" t="s">
        <v>503</v>
      </c>
      <c r="B309" s="3" t="s">
        <v>34</v>
      </c>
      <c r="C309" s="3" t="s">
        <v>35</v>
      </c>
      <c r="D309" s="14" t="s">
        <v>2383</v>
      </c>
      <c r="E309" s="3" t="s">
        <v>504</v>
      </c>
      <c r="F309" s="9">
        <v>45736</v>
      </c>
      <c r="G309" s="5" t="s">
        <v>2095</v>
      </c>
      <c r="H309" s="5"/>
      <c r="I309" s="5" t="str">
        <f t="shared" si="1"/>
        <v>PROCESSO FOI ATUALIZADO</v>
      </c>
      <c r="J309" s="5"/>
      <c r="K309" s="5"/>
      <c r="L309" s="5"/>
      <c r="M309" s="5"/>
      <c r="N309" s="5"/>
    </row>
    <row r="310" spans="1:14" ht="22.5" customHeight="1" x14ac:dyDescent="0.2">
      <c r="A310" s="21" t="s">
        <v>496</v>
      </c>
      <c r="B310" s="3" t="s">
        <v>34</v>
      </c>
      <c r="C310" s="3" t="s">
        <v>35</v>
      </c>
      <c r="D310" s="14" t="s">
        <v>2310</v>
      </c>
      <c r="E310" s="3" t="s">
        <v>289</v>
      </c>
      <c r="F310" s="9">
        <v>45735</v>
      </c>
      <c r="G310" s="5" t="s">
        <v>2095</v>
      </c>
      <c r="H310" s="5"/>
      <c r="I310" s="5" t="str">
        <f t="shared" si="1"/>
        <v>PROCESSO FOI ATUALIZADO</v>
      </c>
      <c r="J310" s="5"/>
      <c r="K310" s="5"/>
      <c r="L310" s="5"/>
      <c r="M310" s="5"/>
      <c r="N310" s="5"/>
    </row>
    <row r="311" spans="1:14" ht="22.5" customHeight="1" x14ac:dyDescent="0.2">
      <c r="A311" s="21" t="s">
        <v>708</v>
      </c>
      <c r="B311" s="3" t="s">
        <v>34</v>
      </c>
      <c r="C311" s="3" t="s">
        <v>35</v>
      </c>
      <c r="D311" s="14" t="s">
        <v>2258</v>
      </c>
      <c r="E311" s="3" t="s">
        <v>102</v>
      </c>
      <c r="F311" s="9">
        <v>45735</v>
      </c>
      <c r="G311" s="5" t="s">
        <v>37</v>
      </c>
      <c r="H311" s="5"/>
      <c r="I311" s="5" t="str">
        <f t="shared" si="1"/>
        <v>PROCESSO FOI ATUALIZADO</v>
      </c>
      <c r="J311" s="5"/>
      <c r="K311" s="5"/>
      <c r="L311" s="5"/>
      <c r="M311" s="5"/>
      <c r="N311" s="5"/>
    </row>
    <row r="312" spans="1:14" ht="22.5" customHeight="1" x14ac:dyDescent="0.2">
      <c r="A312" s="21" t="s">
        <v>706</v>
      </c>
      <c r="B312" s="3" t="s">
        <v>34</v>
      </c>
      <c r="C312" s="3" t="s">
        <v>35</v>
      </c>
      <c r="D312" s="14" t="s">
        <v>2384</v>
      </c>
      <c r="E312" s="3" t="s">
        <v>481</v>
      </c>
      <c r="F312" s="9">
        <v>45733</v>
      </c>
      <c r="G312" s="5" t="s">
        <v>2095</v>
      </c>
      <c r="H312" s="5"/>
      <c r="I312" s="5" t="str">
        <f t="shared" si="1"/>
        <v>PROCESSO FOI ATUALIZADO</v>
      </c>
      <c r="J312" s="5"/>
      <c r="K312" s="5"/>
      <c r="L312" s="5"/>
      <c r="M312" s="5"/>
      <c r="N312" s="5"/>
    </row>
    <row r="313" spans="1:14" ht="22.5" customHeight="1" x14ac:dyDescent="0.2">
      <c r="A313" s="21" t="s">
        <v>700</v>
      </c>
      <c r="B313" s="3" t="s">
        <v>34</v>
      </c>
      <c r="C313" s="3" t="s">
        <v>35</v>
      </c>
      <c r="D313" s="14" t="s">
        <v>2385</v>
      </c>
      <c r="E313" s="3" t="s">
        <v>701</v>
      </c>
      <c r="F313" s="9">
        <v>45730</v>
      </c>
      <c r="G313" s="5" t="s">
        <v>2110</v>
      </c>
      <c r="H313" s="5"/>
      <c r="I313" s="5" t="str">
        <f t="shared" si="1"/>
        <v>PROCESSO FOI ATUALIZADO</v>
      </c>
      <c r="J313" s="5"/>
      <c r="K313" s="5"/>
      <c r="L313" s="5"/>
      <c r="M313" s="5"/>
      <c r="N313" s="5"/>
    </row>
    <row r="314" spans="1:14" ht="22.5" customHeight="1" x14ac:dyDescent="0.2">
      <c r="A314" s="21" t="s">
        <v>647</v>
      </c>
      <c r="B314" s="3" t="s">
        <v>34</v>
      </c>
      <c r="C314" s="3" t="s">
        <v>35</v>
      </c>
      <c r="D314" s="14" t="s">
        <v>2386</v>
      </c>
      <c r="E314" s="3" t="s">
        <v>648</v>
      </c>
      <c r="F314" s="9">
        <v>45730</v>
      </c>
      <c r="G314" s="5" t="s">
        <v>2095</v>
      </c>
      <c r="H314" s="5"/>
      <c r="I314" s="5" t="str">
        <f t="shared" si="1"/>
        <v>PROCESSO FOI ATUALIZADO</v>
      </c>
      <c r="J314" s="5"/>
      <c r="K314" s="5"/>
      <c r="L314" s="5"/>
      <c r="M314" s="5"/>
      <c r="N314" s="5"/>
    </row>
    <row r="315" spans="1:14" ht="22.5" customHeight="1" x14ac:dyDescent="0.2">
      <c r="A315" s="21" t="s">
        <v>630</v>
      </c>
      <c r="B315" s="3" t="s">
        <v>34</v>
      </c>
      <c r="C315" s="3" t="s">
        <v>35</v>
      </c>
      <c r="D315" s="14" t="s">
        <v>2387</v>
      </c>
      <c r="E315" s="3" t="s">
        <v>631</v>
      </c>
      <c r="F315" s="9">
        <v>45726</v>
      </c>
      <c r="G315" s="5" t="s">
        <v>37</v>
      </c>
      <c r="H315" s="5"/>
      <c r="I315" s="5" t="str">
        <f t="shared" si="1"/>
        <v>PROCESSO FOI ATUALIZADO</v>
      </c>
      <c r="J315" s="5"/>
      <c r="K315" s="5"/>
      <c r="L315" s="5"/>
      <c r="M315" s="5"/>
      <c r="N315" s="5"/>
    </row>
    <row r="316" spans="1:14" ht="22.5" customHeight="1" x14ac:dyDescent="0.2">
      <c r="A316" s="21" t="s">
        <v>637</v>
      </c>
      <c r="B316" s="3" t="s">
        <v>34</v>
      </c>
      <c r="C316" s="3" t="s">
        <v>35</v>
      </c>
      <c r="D316" s="14" t="s">
        <v>2387</v>
      </c>
      <c r="E316" s="3" t="s">
        <v>631</v>
      </c>
      <c r="F316" s="9">
        <v>45726</v>
      </c>
      <c r="G316" s="5" t="s">
        <v>2110</v>
      </c>
      <c r="H316" s="5"/>
      <c r="I316" s="5" t="str">
        <f t="shared" si="1"/>
        <v>PROCESSO FOI ATUALIZADO</v>
      </c>
      <c r="J316" s="5"/>
      <c r="K316" s="5"/>
      <c r="L316" s="5"/>
      <c r="M316" s="5"/>
      <c r="N316" s="5"/>
    </row>
    <row r="317" spans="1:14" ht="22.5" customHeight="1" x14ac:dyDescent="0.2">
      <c r="A317" s="21" t="s">
        <v>656</v>
      </c>
      <c r="B317" s="3" t="s">
        <v>34</v>
      </c>
      <c r="C317" s="3" t="s">
        <v>35</v>
      </c>
      <c r="D317" s="14" t="s">
        <v>2388</v>
      </c>
      <c r="E317" s="3" t="s">
        <v>657</v>
      </c>
      <c r="F317" s="9">
        <v>45716</v>
      </c>
      <c r="G317" s="5" t="s">
        <v>2095</v>
      </c>
      <c r="H317" s="5"/>
      <c r="I317" s="5" t="str">
        <f t="shared" si="1"/>
        <v>PROCESSO FOI ATUALIZADO</v>
      </c>
      <c r="J317" s="5"/>
      <c r="K317" s="5"/>
      <c r="L317" s="5"/>
      <c r="M317" s="5"/>
      <c r="N317" s="5"/>
    </row>
    <row r="318" spans="1:14" ht="22.5" customHeight="1" x14ac:dyDescent="0.2">
      <c r="A318" s="21" t="s">
        <v>678</v>
      </c>
      <c r="B318" s="3" t="s">
        <v>34</v>
      </c>
      <c r="C318" s="3" t="s">
        <v>35</v>
      </c>
      <c r="D318" s="14" t="s">
        <v>2389</v>
      </c>
      <c r="E318" s="3" t="s">
        <v>679</v>
      </c>
      <c r="F318" s="9">
        <v>45716</v>
      </c>
      <c r="G318" s="5" t="s">
        <v>2095</v>
      </c>
      <c r="H318" s="5"/>
      <c r="I318" s="5" t="str">
        <f t="shared" si="1"/>
        <v>PROCESSO FOI ATUALIZADO</v>
      </c>
      <c r="J318" s="5"/>
      <c r="K318" s="5"/>
      <c r="L318" s="5"/>
      <c r="M318" s="5"/>
      <c r="N318" s="5"/>
    </row>
    <row r="319" spans="1:14" ht="22.5" customHeight="1" x14ac:dyDescent="0.2">
      <c r="A319" s="21" t="s">
        <v>633</v>
      </c>
      <c r="B319" s="3" t="s">
        <v>34</v>
      </c>
      <c r="C319" s="3" t="s">
        <v>35</v>
      </c>
      <c r="D319" s="14" t="s">
        <v>2295</v>
      </c>
      <c r="E319" s="3" t="s">
        <v>127</v>
      </c>
      <c r="F319" s="9">
        <v>45715</v>
      </c>
      <c r="G319" s="5" t="s">
        <v>2095</v>
      </c>
      <c r="H319" s="5"/>
      <c r="I319" s="5" t="str">
        <f t="shared" si="1"/>
        <v>PROCESSO FOI ATUALIZADO</v>
      </c>
      <c r="J319" s="5"/>
      <c r="K319" s="5"/>
      <c r="L319" s="5"/>
      <c r="M319" s="5"/>
      <c r="N319" s="5"/>
    </row>
    <row r="320" spans="1:14" ht="22.5" customHeight="1" x14ac:dyDescent="0.2">
      <c r="A320" s="21" t="s">
        <v>640</v>
      </c>
      <c r="B320" s="3" t="s">
        <v>34</v>
      </c>
      <c r="C320" s="3" t="s">
        <v>35</v>
      </c>
      <c r="D320" s="14" t="s">
        <v>2390</v>
      </c>
      <c r="E320" s="3" t="s">
        <v>641</v>
      </c>
      <c r="F320" s="9">
        <v>45714</v>
      </c>
      <c r="G320" s="5" t="s">
        <v>2095</v>
      </c>
      <c r="H320" s="5"/>
      <c r="I320" s="5" t="str">
        <f t="shared" si="1"/>
        <v>PROCESSO FOI ATUALIZADO</v>
      </c>
      <c r="J320" s="5"/>
      <c r="K320" s="5"/>
      <c r="L320" s="5"/>
      <c r="M320" s="5"/>
      <c r="N320" s="5"/>
    </row>
    <row r="321" spans="1:14" ht="22.5" customHeight="1" x14ac:dyDescent="0.2">
      <c r="A321" s="21" t="s">
        <v>654</v>
      </c>
      <c r="B321" s="3" t="s">
        <v>34</v>
      </c>
      <c r="C321" s="3" t="s">
        <v>35</v>
      </c>
      <c r="D321" s="14" t="s">
        <v>2391</v>
      </c>
      <c r="E321" s="3" t="s">
        <v>351</v>
      </c>
      <c r="F321" s="9">
        <v>45714</v>
      </c>
      <c r="G321" s="5" t="s">
        <v>2095</v>
      </c>
      <c r="H321" s="5"/>
      <c r="I321" s="5" t="str">
        <f t="shared" si="1"/>
        <v>PROCESSO FOI ATUALIZADO</v>
      </c>
      <c r="J321" s="5"/>
      <c r="K321" s="5"/>
      <c r="L321" s="5"/>
      <c r="M321" s="5"/>
      <c r="N321" s="5"/>
    </row>
    <row r="322" spans="1:14" ht="22.5" customHeight="1" x14ac:dyDescent="0.2">
      <c r="A322" s="21" t="s">
        <v>681</v>
      </c>
      <c r="B322" s="3" t="s">
        <v>34</v>
      </c>
      <c r="C322" s="3" t="s">
        <v>35</v>
      </c>
      <c r="D322" s="14" t="s">
        <v>2392</v>
      </c>
      <c r="E322" s="3" t="s">
        <v>682</v>
      </c>
      <c r="F322" s="9">
        <v>45714</v>
      </c>
      <c r="G322" s="5" t="s">
        <v>2095</v>
      </c>
      <c r="H322" s="5"/>
      <c r="I322" s="5" t="str">
        <f t="shared" si="1"/>
        <v>PROCESSO FOI ATUALIZADO</v>
      </c>
      <c r="J322" s="5"/>
      <c r="K322" s="5"/>
      <c r="L322" s="5"/>
      <c r="M322" s="5"/>
      <c r="N322" s="5"/>
    </row>
    <row r="323" spans="1:14" ht="22.5" customHeight="1" x14ac:dyDescent="0.2">
      <c r="A323" s="5" t="s">
        <v>616</v>
      </c>
      <c r="B323" s="3" t="s">
        <v>34</v>
      </c>
      <c r="C323" s="3" t="s">
        <v>35</v>
      </c>
      <c r="D323" s="3" t="s">
        <v>2394</v>
      </c>
      <c r="E323" s="3" t="s">
        <v>617</v>
      </c>
      <c r="F323" s="9">
        <v>45714</v>
      </c>
      <c r="G323" s="5" t="s">
        <v>2433</v>
      </c>
      <c r="H323" s="5"/>
      <c r="I323" s="5" t="str">
        <f t="shared" si="1"/>
        <v>PROCESSO FOI ATUALIZADO</v>
      </c>
      <c r="J323" s="5"/>
      <c r="K323" s="5"/>
      <c r="L323" s="5"/>
      <c r="M323" s="5"/>
      <c r="N323" s="5"/>
    </row>
    <row r="324" spans="1:14" ht="22.5" customHeight="1" x14ac:dyDescent="0.2">
      <c r="A324" s="21" t="s">
        <v>618</v>
      </c>
      <c r="B324" s="3" t="s">
        <v>34</v>
      </c>
      <c r="C324" s="3" t="s">
        <v>35</v>
      </c>
      <c r="D324" s="14" t="s">
        <v>2329</v>
      </c>
      <c r="E324" s="3" t="s">
        <v>127</v>
      </c>
      <c r="F324" s="9">
        <v>45714</v>
      </c>
      <c r="G324" s="5" t="s">
        <v>2443</v>
      </c>
      <c r="H324" s="5"/>
      <c r="I324" s="5" t="str">
        <f t="shared" si="1"/>
        <v>PROCESSO FOI ATUALIZADO</v>
      </c>
      <c r="J324" s="5"/>
      <c r="K324" s="5"/>
      <c r="L324" s="5"/>
      <c r="M324" s="5"/>
      <c r="N324" s="5"/>
    </row>
    <row r="325" spans="1:14" ht="22.5" customHeight="1" x14ac:dyDescent="0.2">
      <c r="A325" s="21" t="s">
        <v>611</v>
      </c>
      <c r="B325" s="3" t="s">
        <v>34</v>
      </c>
      <c r="C325" s="3" t="s">
        <v>35</v>
      </c>
      <c r="D325" s="14" t="s">
        <v>2393</v>
      </c>
      <c r="E325" s="3" t="s">
        <v>127</v>
      </c>
      <c r="F325" s="9">
        <v>45714</v>
      </c>
      <c r="G325" s="5" t="s">
        <v>2095</v>
      </c>
      <c r="H325" s="5"/>
      <c r="I325" s="5" t="str">
        <f t="shared" si="1"/>
        <v>PROCESSO FOI ATUALIZADO</v>
      </c>
      <c r="J325" s="5"/>
      <c r="K325" s="5"/>
      <c r="L325" s="5"/>
      <c r="M325" s="5"/>
      <c r="N325" s="5"/>
    </row>
    <row r="326" spans="1:14" ht="22.5" customHeight="1" x14ac:dyDescent="0.2">
      <c r="A326" s="21" t="s">
        <v>698</v>
      </c>
      <c r="B326" s="3" t="s">
        <v>34</v>
      </c>
      <c r="C326" s="3" t="s">
        <v>35</v>
      </c>
      <c r="D326" s="14" t="s">
        <v>2276</v>
      </c>
      <c r="E326" s="3" t="s">
        <v>239</v>
      </c>
      <c r="F326" s="8">
        <v>45712</v>
      </c>
      <c r="G326" s="5" t="s">
        <v>2095</v>
      </c>
      <c r="H326" s="5"/>
      <c r="I326" s="5" t="str">
        <f t="shared" si="1"/>
        <v>PROCESSO FOI ATUALIZADO</v>
      </c>
      <c r="J326" s="5"/>
      <c r="K326" s="5"/>
      <c r="L326" s="5"/>
      <c r="M326" s="5"/>
      <c r="N326" s="5"/>
    </row>
    <row r="327" spans="1:14" ht="22.5" customHeight="1" x14ac:dyDescent="0.2">
      <c r="A327" s="5" t="s">
        <v>619</v>
      </c>
      <c r="B327" s="3" t="s">
        <v>34</v>
      </c>
      <c r="C327" s="3" t="s">
        <v>35</v>
      </c>
      <c r="D327" s="3" t="s">
        <v>2394</v>
      </c>
      <c r="E327" s="3" t="s">
        <v>617</v>
      </c>
      <c r="F327" s="8">
        <v>45712</v>
      </c>
      <c r="G327" s="5" t="s">
        <v>2110</v>
      </c>
      <c r="H327" s="5"/>
      <c r="I327" s="5" t="str">
        <f t="shared" si="1"/>
        <v>PROCESSO FOI ATUALIZADO</v>
      </c>
      <c r="J327" s="5"/>
      <c r="K327" s="5"/>
      <c r="L327" s="5"/>
      <c r="M327" s="5"/>
      <c r="N327" s="5"/>
    </row>
    <row r="328" spans="1:14" ht="22.5" customHeight="1" x14ac:dyDescent="0.2">
      <c r="A328" s="21" t="s">
        <v>683</v>
      </c>
      <c r="B328" s="3" t="s">
        <v>34</v>
      </c>
      <c r="C328" s="3" t="s">
        <v>35</v>
      </c>
      <c r="D328" s="14" t="s">
        <v>2395</v>
      </c>
      <c r="E328" s="3" t="s">
        <v>351</v>
      </c>
      <c r="F328" s="8">
        <v>45712</v>
      </c>
      <c r="G328" s="5" t="s">
        <v>2095</v>
      </c>
      <c r="H328" s="5"/>
      <c r="I328" s="5" t="str">
        <f t="shared" si="1"/>
        <v>PROCESSO FOI ATUALIZADO</v>
      </c>
      <c r="J328" s="5"/>
      <c r="K328" s="5"/>
      <c r="L328" s="5"/>
      <c r="M328" s="5"/>
      <c r="N328" s="5"/>
    </row>
    <row r="329" spans="1:14" ht="22.5" customHeight="1" x14ac:dyDescent="0.2">
      <c r="A329" s="21" t="s">
        <v>704</v>
      </c>
      <c r="B329" s="3" t="s">
        <v>34</v>
      </c>
      <c r="C329" s="3" t="s">
        <v>35</v>
      </c>
      <c r="D329" s="14" t="s">
        <v>2396</v>
      </c>
      <c r="E329" s="3" t="s">
        <v>696</v>
      </c>
      <c r="F329" s="8">
        <v>45708</v>
      </c>
      <c r="G329" s="5" t="s">
        <v>2095</v>
      </c>
      <c r="H329" s="5"/>
      <c r="I329" s="5" t="str">
        <f t="shared" si="1"/>
        <v>PROCESSO FOI ATUALIZADO</v>
      </c>
      <c r="J329" s="5"/>
      <c r="K329" s="5"/>
      <c r="L329" s="5"/>
      <c r="M329" s="5"/>
      <c r="N329" s="5"/>
    </row>
    <row r="330" spans="1:14" ht="22.5" customHeight="1" x14ac:dyDescent="0.2">
      <c r="A330" s="5" t="s">
        <v>632</v>
      </c>
      <c r="B330" s="3" t="s">
        <v>34</v>
      </c>
      <c r="C330" s="3" t="s">
        <v>35</v>
      </c>
      <c r="D330" s="3" t="s">
        <v>2394</v>
      </c>
      <c r="E330" s="3" t="s">
        <v>617</v>
      </c>
      <c r="F330" s="8">
        <v>45708</v>
      </c>
      <c r="G330" s="5" t="s">
        <v>2433</v>
      </c>
      <c r="H330" s="5"/>
      <c r="I330" s="5" t="str">
        <f t="shared" si="1"/>
        <v>PROCESSO FOI ATUALIZADO</v>
      </c>
      <c r="J330" s="5"/>
      <c r="K330" s="5"/>
      <c r="L330" s="5"/>
      <c r="M330" s="5"/>
      <c r="N330" s="5"/>
    </row>
    <row r="331" spans="1:14" ht="22.5" customHeight="1" x14ac:dyDescent="0.2">
      <c r="A331" s="21" t="s">
        <v>685</v>
      </c>
      <c r="B331" s="3" t="s">
        <v>34</v>
      </c>
      <c r="C331" s="3" t="s">
        <v>35</v>
      </c>
      <c r="D331" s="14" t="s">
        <v>2397</v>
      </c>
      <c r="E331" s="3" t="s">
        <v>351</v>
      </c>
      <c r="F331" s="8">
        <v>45707</v>
      </c>
      <c r="G331" s="5" t="s">
        <v>2095</v>
      </c>
      <c r="H331" s="5"/>
      <c r="I331" s="5" t="str">
        <f t="shared" si="1"/>
        <v>PROCESSO FOI ATUALIZADO</v>
      </c>
      <c r="J331" s="5"/>
      <c r="K331" s="5"/>
      <c r="L331" s="5"/>
      <c r="M331" s="5"/>
      <c r="N331" s="5"/>
    </row>
    <row r="332" spans="1:14" ht="22.5" customHeight="1" x14ac:dyDescent="0.2">
      <c r="A332" s="21" t="s">
        <v>613</v>
      </c>
      <c r="B332" s="3" t="s">
        <v>34</v>
      </c>
      <c r="C332" s="3" t="s">
        <v>35</v>
      </c>
      <c r="D332" s="14" t="s">
        <v>2398</v>
      </c>
      <c r="E332" s="3" t="s">
        <v>614</v>
      </c>
      <c r="F332" s="9">
        <v>45707</v>
      </c>
      <c r="G332" s="5" t="s">
        <v>2110</v>
      </c>
      <c r="H332" s="5"/>
      <c r="I332" s="5" t="str">
        <f t="shared" si="1"/>
        <v>PROCESSO FOI ATUALIZADO</v>
      </c>
      <c r="J332" s="5"/>
      <c r="K332" s="5"/>
      <c r="L332" s="5"/>
      <c r="M332" s="5"/>
      <c r="N332" s="5"/>
    </row>
    <row r="333" spans="1:14" ht="22.5" customHeight="1" x14ac:dyDescent="0.2">
      <c r="A333" s="5" t="s">
        <v>639</v>
      </c>
      <c r="B333" s="3" t="s">
        <v>34</v>
      </c>
      <c r="C333" s="3" t="s">
        <v>35</v>
      </c>
      <c r="D333" s="3" t="s">
        <v>2394</v>
      </c>
      <c r="E333" s="3" t="s">
        <v>617</v>
      </c>
      <c r="F333" s="9">
        <v>45707</v>
      </c>
      <c r="G333" s="5" t="s">
        <v>2433</v>
      </c>
      <c r="H333" s="5"/>
      <c r="I333" s="5" t="str">
        <f t="shared" si="1"/>
        <v>PROCESSO FOI ATUALIZADO</v>
      </c>
      <c r="J333" s="5"/>
      <c r="K333" s="5"/>
      <c r="L333" s="5"/>
      <c r="M333" s="5"/>
      <c r="N333" s="5"/>
    </row>
    <row r="334" spans="1:14" ht="22.5" customHeight="1" x14ac:dyDescent="0.2">
      <c r="A334" s="21" t="s">
        <v>600</v>
      </c>
      <c r="B334" s="3" t="s">
        <v>34</v>
      </c>
      <c r="C334" s="3" t="s">
        <v>35</v>
      </c>
      <c r="D334" s="14" t="s">
        <v>2399</v>
      </c>
      <c r="E334" s="3" t="s">
        <v>494</v>
      </c>
      <c r="F334" s="9">
        <v>45706</v>
      </c>
      <c r="G334" s="5" t="s">
        <v>2095</v>
      </c>
      <c r="H334" s="5"/>
      <c r="I334" s="5" t="str">
        <f t="shared" si="1"/>
        <v>PROCESSO FOI ATUALIZADO</v>
      </c>
      <c r="J334" s="5"/>
      <c r="K334" s="5"/>
      <c r="L334" s="5"/>
      <c r="M334" s="5"/>
      <c r="N334" s="5"/>
    </row>
    <row r="335" spans="1:14" ht="22.5" customHeight="1" x14ac:dyDescent="0.2">
      <c r="A335" s="21" t="s">
        <v>635</v>
      </c>
      <c r="B335" s="3" t="s">
        <v>34</v>
      </c>
      <c r="C335" s="3" t="s">
        <v>35</v>
      </c>
      <c r="D335" s="14" t="s">
        <v>2448</v>
      </c>
      <c r="E335" s="3" t="s">
        <v>636</v>
      </c>
      <c r="F335" s="9">
        <v>45705</v>
      </c>
      <c r="G335" s="5" t="s">
        <v>2433</v>
      </c>
      <c r="H335" s="5"/>
      <c r="I335" s="5" t="str">
        <f t="shared" si="1"/>
        <v>PROCESSO FOI ATUALIZADO</v>
      </c>
      <c r="J335" s="5"/>
      <c r="K335" s="5"/>
      <c r="L335" s="5"/>
      <c r="M335" s="5"/>
      <c r="N335" s="5"/>
    </row>
    <row r="336" spans="1:14" ht="22.5" customHeight="1" x14ac:dyDescent="0.2">
      <c r="A336" s="21" t="s">
        <v>650</v>
      </c>
      <c r="B336" s="3" t="s">
        <v>34</v>
      </c>
      <c r="C336" s="3" t="s">
        <v>35</v>
      </c>
      <c r="D336" s="14" t="s">
        <v>2400</v>
      </c>
      <c r="E336" s="3" t="s">
        <v>651</v>
      </c>
      <c r="F336" s="9">
        <v>45705</v>
      </c>
      <c r="G336" s="5" t="s">
        <v>2095</v>
      </c>
      <c r="H336" s="5"/>
      <c r="I336" s="5" t="str">
        <f t="shared" si="1"/>
        <v>PROCESSO FOI ATUALIZADO</v>
      </c>
      <c r="J336" s="5"/>
      <c r="K336" s="5"/>
      <c r="L336" s="5"/>
      <c r="M336" s="5"/>
      <c r="N336" s="5"/>
    </row>
    <row r="337" spans="1:14" ht="22.5" customHeight="1" x14ac:dyDescent="0.2">
      <c r="A337" s="21" t="s">
        <v>695</v>
      </c>
      <c r="B337" s="3" t="s">
        <v>34</v>
      </c>
      <c r="C337" s="3" t="s">
        <v>35</v>
      </c>
      <c r="D337" s="14" t="s">
        <v>2401</v>
      </c>
      <c r="E337" s="3" t="s">
        <v>696</v>
      </c>
      <c r="F337" s="9">
        <v>45702</v>
      </c>
      <c r="G337" s="5" t="s">
        <v>2095</v>
      </c>
      <c r="H337" s="5"/>
      <c r="I337" s="5" t="str">
        <f t="shared" si="1"/>
        <v>PROCESSO FOI ATUALIZADO</v>
      </c>
      <c r="J337" s="5"/>
      <c r="K337" s="5"/>
      <c r="L337" s="5"/>
      <c r="M337" s="5"/>
      <c r="N337" s="5"/>
    </row>
    <row r="338" spans="1:14" ht="22.5" customHeight="1" x14ac:dyDescent="0.2">
      <c r="A338" s="21" t="s">
        <v>602</v>
      </c>
      <c r="B338" s="3" t="s">
        <v>34</v>
      </c>
      <c r="C338" s="3" t="s">
        <v>35</v>
      </c>
      <c r="D338" s="14" t="s">
        <v>2449</v>
      </c>
      <c r="E338" s="3" t="s">
        <v>603</v>
      </c>
      <c r="F338" s="9">
        <v>45700</v>
      </c>
      <c r="G338" s="5" t="s">
        <v>37</v>
      </c>
      <c r="H338" s="5"/>
      <c r="I338" s="5" t="str">
        <f t="shared" si="1"/>
        <v>PROCESSO FOI ATUALIZADO</v>
      </c>
      <c r="J338" s="5"/>
      <c r="K338" s="5"/>
      <c r="L338" s="5"/>
      <c r="M338" s="5"/>
      <c r="N338" s="5"/>
    </row>
    <row r="339" spans="1:14" ht="22.5" customHeight="1" x14ac:dyDescent="0.2">
      <c r="A339" s="21" t="s">
        <v>621</v>
      </c>
      <c r="B339" s="3" t="s">
        <v>34</v>
      </c>
      <c r="C339" s="3" t="s">
        <v>35</v>
      </c>
      <c r="D339" s="14" t="s">
        <v>2402</v>
      </c>
      <c r="E339" s="3" t="s">
        <v>622</v>
      </c>
      <c r="F339" s="9">
        <v>45700</v>
      </c>
      <c r="G339" s="5" t="s">
        <v>2095</v>
      </c>
      <c r="H339" s="5"/>
      <c r="I339" s="5" t="str">
        <f t="shared" si="1"/>
        <v>PROCESSO FOI ATUALIZADO</v>
      </c>
      <c r="J339" s="5"/>
      <c r="K339" s="5"/>
      <c r="L339" s="5"/>
      <c r="M339" s="5"/>
      <c r="N339" s="5"/>
    </row>
    <row r="340" spans="1:14" ht="22.5" customHeight="1" x14ac:dyDescent="0.2">
      <c r="A340" s="21" t="s">
        <v>646</v>
      </c>
      <c r="B340" s="3" t="s">
        <v>34</v>
      </c>
      <c r="C340" s="3" t="s">
        <v>35</v>
      </c>
      <c r="D340" s="14" t="s">
        <v>2446</v>
      </c>
      <c r="E340" s="3" t="s">
        <v>502</v>
      </c>
      <c r="F340" s="9">
        <v>45700</v>
      </c>
      <c r="G340" s="5" t="s">
        <v>37</v>
      </c>
      <c r="H340" s="5"/>
      <c r="I340" s="5" t="str">
        <f t="shared" si="1"/>
        <v>PROCESSO FOI ATUALIZADO</v>
      </c>
      <c r="J340" s="5"/>
      <c r="K340" s="5"/>
      <c r="L340" s="5"/>
      <c r="M340" s="5"/>
      <c r="N340" s="5"/>
    </row>
    <row r="341" spans="1:14" ht="22.5" customHeight="1" x14ac:dyDescent="0.2">
      <c r="A341" s="21" t="s">
        <v>687</v>
      </c>
      <c r="B341" s="3" t="s">
        <v>34</v>
      </c>
      <c r="C341" s="3" t="s">
        <v>35</v>
      </c>
      <c r="D341" s="14" t="s">
        <v>2403</v>
      </c>
      <c r="E341" s="3" t="s">
        <v>688</v>
      </c>
      <c r="F341" s="9">
        <v>45698</v>
      </c>
      <c r="G341" s="5" t="s">
        <v>2095</v>
      </c>
      <c r="H341" s="5"/>
      <c r="I341" s="5" t="str">
        <f t="shared" si="1"/>
        <v>PROCESSO FOI ATUALIZADO</v>
      </c>
      <c r="J341" s="5"/>
      <c r="K341" s="5"/>
      <c r="L341" s="5"/>
      <c r="M341" s="5"/>
      <c r="N341" s="5"/>
    </row>
    <row r="342" spans="1:14" ht="22.5" customHeight="1" x14ac:dyDescent="0.2">
      <c r="A342" s="21" t="s">
        <v>675</v>
      </c>
      <c r="B342" s="3" t="s">
        <v>34</v>
      </c>
      <c r="C342" s="3" t="s">
        <v>35</v>
      </c>
      <c r="D342" s="14" t="s">
        <v>2404</v>
      </c>
      <c r="E342" s="3" t="s">
        <v>676</v>
      </c>
      <c r="F342" s="9">
        <v>45695</v>
      </c>
      <c r="G342" s="5" t="s">
        <v>2095</v>
      </c>
      <c r="H342" s="5"/>
      <c r="I342" s="5" t="str">
        <f t="shared" si="1"/>
        <v>PROCESSO FOI ATUALIZADO</v>
      </c>
      <c r="J342" s="5"/>
      <c r="K342" s="5"/>
      <c r="L342" s="5"/>
      <c r="M342" s="5"/>
      <c r="N342" s="5"/>
    </row>
    <row r="343" spans="1:14" ht="22.5" customHeight="1" x14ac:dyDescent="0.2">
      <c r="A343" s="21" t="s">
        <v>697</v>
      </c>
      <c r="B343" s="3" t="s">
        <v>34</v>
      </c>
      <c r="C343" s="3" t="s">
        <v>35</v>
      </c>
      <c r="D343" s="14" t="s">
        <v>2403</v>
      </c>
      <c r="E343" s="3" t="s">
        <v>688</v>
      </c>
      <c r="F343" s="9">
        <v>45695</v>
      </c>
      <c r="G343" s="5" t="s">
        <v>37</v>
      </c>
      <c r="H343" s="5"/>
      <c r="I343" s="5" t="str">
        <f t="shared" si="1"/>
        <v>PROCESSO FOI ATUALIZADO</v>
      </c>
      <c r="J343" s="5"/>
      <c r="K343" s="5"/>
      <c r="L343" s="5"/>
      <c r="M343" s="5"/>
      <c r="N343" s="5"/>
    </row>
    <row r="344" spans="1:14" ht="22.5" customHeight="1" x14ac:dyDescent="0.2">
      <c r="A344" s="21" t="s">
        <v>690</v>
      </c>
      <c r="B344" s="3" t="s">
        <v>34</v>
      </c>
      <c r="C344" s="3" t="s">
        <v>35</v>
      </c>
      <c r="D344" s="14" t="s">
        <v>2450</v>
      </c>
      <c r="E344" s="3" t="s">
        <v>691</v>
      </c>
      <c r="F344" s="9">
        <v>45687</v>
      </c>
      <c r="G344" s="5" t="s">
        <v>37</v>
      </c>
      <c r="H344" s="5"/>
      <c r="I344" s="5" t="str">
        <f t="shared" si="1"/>
        <v>PROCESSO FOI ATUALIZADO</v>
      </c>
      <c r="J344" s="5"/>
      <c r="K344" s="5"/>
      <c r="L344" s="5"/>
      <c r="M344" s="5"/>
      <c r="N344" s="5"/>
    </row>
    <row r="345" spans="1:14" ht="22.5" customHeight="1" x14ac:dyDescent="0.2">
      <c r="A345" s="21" t="s">
        <v>665</v>
      </c>
      <c r="B345" s="3" t="s">
        <v>34</v>
      </c>
      <c r="C345" s="3" t="s">
        <v>35</v>
      </c>
      <c r="D345" s="14" t="s">
        <v>2451</v>
      </c>
      <c r="E345" s="3" t="s">
        <v>666</v>
      </c>
      <c r="F345" s="9">
        <v>45642</v>
      </c>
      <c r="G345" s="5" t="s">
        <v>37</v>
      </c>
      <c r="H345" s="5"/>
      <c r="I345" s="5" t="str">
        <f t="shared" si="1"/>
        <v>PROCESSO FOI ATUALIZADO</v>
      </c>
      <c r="J345" s="5"/>
      <c r="K345" s="5"/>
      <c r="L345" s="5"/>
      <c r="M345" s="5"/>
      <c r="N345" s="5"/>
    </row>
    <row r="346" spans="1:14" ht="22.5" customHeight="1" x14ac:dyDescent="0.2">
      <c r="A346" s="21" t="s">
        <v>661</v>
      </c>
      <c r="B346" s="3" t="s">
        <v>34</v>
      </c>
      <c r="C346" s="3" t="s">
        <v>35</v>
      </c>
      <c r="D346" s="14" t="s">
        <v>2452</v>
      </c>
      <c r="E346" s="3" t="s">
        <v>662</v>
      </c>
      <c r="F346" s="9">
        <v>45639</v>
      </c>
      <c r="G346" s="5" t="s">
        <v>2095</v>
      </c>
      <c r="H346" s="5"/>
      <c r="I346" s="5" t="str">
        <f t="shared" si="1"/>
        <v>PROCESSO FOI ATUALIZADO</v>
      </c>
      <c r="J346" s="5"/>
      <c r="K346" s="5"/>
      <c r="L346" s="5"/>
      <c r="M346" s="5"/>
      <c r="N346" s="5"/>
    </row>
    <row r="347" spans="1:14" ht="22.5" customHeight="1" x14ac:dyDescent="0.2">
      <c r="A347" s="21" t="s">
        <v>673</v>
      </c>
      <c r="B347" s="3" t="s">
        <v>34</v>
      </c>
      <c r="C347" s="3" t="s">
        <v>35</v>
      </c>
      <c r="D347" s="14" t="s">
        <v>2453</v>
      </c>
      <c r="E347" s="3" t="s">
        <v>662</v>
      </c>
      <c r="F347" s="9">
        <v>45639</v>
      </c>
      <c r="G347" s="5" t="s">
        <v>2095</v>
      </c>
      <c r="H347" s="5"/>
      <c r="I347" s="5" t="str">
        <f t="shared" si="1"/>
        <v>PROCESSO FOI ATUALIZADO</v>
      </c>
      <c r="J347" s="5"/>
      <c r="K347" s="5"/>
      <c r="L347" s="5"/>
      <c r="M347" s="5"/>
      <c r="N347" s="5"/>
    </row>
    <row r="348" spans="1:14" ht="22.5" customHeight="1" x14ac:dyDescent="0.2">
      <c r="A348" s="21" t="s">
        <v>604</v>
      </c>
      <c r="B348" s="3" t="s">
        <v>34</v>
      </c>
      <c r="C348" s="3" t="s">
        <v>35</v>
      </c>
      <c r="D348" s="14" t="s">
        <v>2449</v>
      </c>
      <c r="E348" s="3" t="s">
        <v>603</v>
      </c>
      <c r="F348" s="9">
        <v>45638</v>
      </c>
      <c r="G348" s="5" t="s">
        <v>37</v>
      </c>
      <c r="H348" s="5"/>
      <c r="I348" s="5" t="str">
        <f t="shared" si="1"/>
        <v>PROCESSO FOI ATUALIZADO</v>
      </c>
      <c r="J348" s="5"/>
      <c r="K348" s="5"/>
      <c r="L348" s="5"/>
      <c r="M348" s="5"/>
      <c r="N348" s="5"/>
    </row>
    <row r="349" spans="1:14" ht="22.5" customHeight="1" x14ac:dyDescent="0.2">
      <c r="A349" s="21" t="s">
        <v>659</v>
      </c>
      <c r="B349" s="3" t="s">
        <v>34</v>
      </c>
      <c r="C349" s="3" t="s">
        <v>35</v>
      </c>
      <c r="D349" s="14" t="s">
        <v>2454</v>
      </c>
      <c r="E349" s="3" t="s">
        <v>660</v>
      </c>
      <c r="F349" s="9">
        <v>45638</v>
      </c>
      <c r="G349" s="5" t="s">
        <v>37</v>
      </c>
      <c r="H349" s="5"/>
      <c r="I349" s="5" t="str">
        <f t="shared" si="1"/>
        <v>PROCESSO FOI ATUALIZADO</v>
      </c>
      <c r="J349" s="5"/>
      <c r="K349" s="5"/>
      <c r="L349" s="5"/>
      <c r="M349" s="5"/>
      <c r="N349" s="5"/>
    </row>
    <row r="350" spans="1:14" ht="22.5" customHeight="1" x14ac:dyDescent="0.2">
      <c r="A350" s="21" t="s">
        <v>607</v>
      </c>
      <c r="B350" s="3" t="s">
        <v>34</v>
      </c>
      <c r="C350" s="3" t="s">
        <v>35</v>
      </c>
      <c r="D350" s="14" t="s">
        <v>2455</v>
      </c>
      <c r="E350" s="3" t="s">
        <v>608</v>
      </c>
      <c r="F350" s="9">
        <v>45637</v>
      </c>
      <c r="G350" s="5" t="s">
        <v>2095</v>
      </c>
      <c r="H350" s="5"/>
      <c r="I350" s="5" t="str">
        <f t="shared" si="1"/>
        <v>PROCESSO FOI ATUALIZADO</v>
      </c>
      <c r="J350" s="5"/>
      <c r="K350" s="5"/>
      <c r="L350" s="5"/>
      <c r="M350" s="5"/>
      <c r="N350" s="5"/>
    </row>
    <row r="351" spans="1:14" ht="22.5" customHeight="1" x14ac:dyDescent="0.2">
      <c r="A351" s="5" t="s">
        <v>653</v>
      </c>
      <c r="B351" s="3" t="s">
        <v>34</v>
      </c>
      <c r="C351" s="3" t="s">
        <v>35</v>
      </c>
      <c r="D351" s="3" t="s">
        <v>2394</v>
      </c>
      <c r="E351" s="3" t="s">
        <v>617</v>
      </c>
      <c r="F351" s="9">
        <v>45637</v>
      </c>
      <c r="G351" s="5" t="s">
        <v>2433</v>
      </c>
      <c r="H351" s="5"/>
      <c r="I351" s="5" t="str">
        <f t="shared" si="1"/>
        <v>PROCESSO FOI ATUALIZADO</v>
      </c>
      <c r="J351" s="5"/>
      <c r="K351" s="5"/>
      <c r="L351" s="5"/>
      <c r="M351" s="5"/>
      <c r="N351" s="5"/>
    </row>
    <row r="352" spans="1:14" ht="22.5" customHeight="1" x14ac:dyDescent="0.2">
      <c r="A352" s="21" t="s">
        <v>703</v>
      </c>
      <c r="B352" s="3" t="s">
        <v>34</v>
      </c>
      <c r="C352" s="3" t="s">
        <v>35</v>
      </c>
      <c r="D352" s="14" t="s">
        <v>2379</v>
      </c>
      <c r="E352" s="3" t="s">
        <v>351</v>
      </c>
      <c r="F352" s="9">
        <v>45636</v>
      </c>
      <c r="G352" s="5" t="s">
        <v>2443</v>
      </c>
      <c r="H352" s="5"/>
      <c r="I352" s="5" t="str">
        <f t="shared" si="1"/>
        <v>PROCESSO FOI ATUALIZADO</v>
      </c>
      <c r="J352" s="5"/>
      <c r="K352" s="5"/>
      <c r="L352" s="5"/>
      <c r="M352" s="5"/>
      <c r="N352" s="5"/>
    </row>
    <row r="353" spans="1:14" ht="22.5" customHeight="1" x14ac:dyDescent="0.2">
      <c r="A353" s="21" t="s">
        <v>606</v>
      </c>
      <c r="B353" s="3" t="s">
        <v>34</v>
      </c>
      <c r="C353" s="3" t="s">
        <v>35</v>
      </c>
      <c r="D353" s="14" t="s">
        <v>2449</v>
      </c>
      <c r="E353" s="3" t="s">
        <v>603</v>
      </c>
      <c r="F353" s="9">
        <v>45636</v>
      </c>
      <c r="G353" s="5" t="s">
        <v>37</v>
      </c>
      <c r="H353" s="5"/>
      <c r="I353" s="5" t="str">
        <f t="shared" si="1"/>
        <v>PROCESSO FOI ATUALIZADO</v>
      </c>
      <c r="J353" s="5"/>
      <c r="K353" s="5"/>
      <c r="L353" s="5"/>
      <c r="M353" s="5"/>
      <c r="N353" s="5"/>
    </row>
    <row r="354" spans="1:14" ht="22.5" customHeight="1" x14ac:dyDescent="0.2">
      <c r="A354" s="21" t="s">
        <v>627</v>
      </c>
      <c r="B354" s="3" t="s">
        <v>34</v>
      </c>
      <c r="C354" s="3" t="s">
        <v>35</v>
      </c>
      <c r="D354" s="14" t="s">
        <v>2456</v>
      </c>
      <c r="E354" s="3" t="s">
        <v>628</v>
      </c>
      <c r="F354" s="9">
        <v>45636</v>
      </c>
      <c r="G354" s="5" t="s">
        <v>2095</v>
      </c>
      <c r="H354" s="5"/>
      <c r="I354" s="5" t="str">
        <f t="shared" si="1"/>
        <v>PROCESSO FOI ATUALIZADO</v>
      </c>
      <c r="J354" s="5"/>
      <c r="K354" s="5"/>
      <c r="L354" s="5"/>
      <c r="M354" s="5"/>
      <c r="N354" s="5"/>
    </row>
    <row r="355" spans="1:14" ht="22.5" customHeight="1" x14ac:dyDescent="0.2">
      <c r="A355" s="21" t="s">
        <v>671</v>
      </c>
      <c r="B355" s="3" t="s">
        <v>34</v>
      </c>
      <c r="C355" s="3" t="s">
        <v>35</v>
      </c>
      <c r="D355" s="14" t="s">
        <v>2457</v>
      </c>
      <c r="E355" s="3" t="s">
        <v>127</v>
      </c>
      <c r="F355" s="9">
        <v>45635</v>
      </c>
      <c r="G355" s="5" t="s">
        <v>2095</v>
      </c>
      <c r="H355" s="5"/>
      <c r="I355" s="5" t="str">
        <f t="shared" si="1"/>
        <v>PROCESSO FOI ATUALIZADO</v>
      </c>
      <c r="J355" s="5"/>
      <c r="K355" s="5"/>
      <c r="L355" s="5"/>
      <c r="M355" s="5"/>
      <c r="N355" s="5"/>
    </row>
    <row r="356" spans="1:14" ht="22.5" customHeight="1" x14ac:dyDescent="0.2">
      <c r="A356" s="21" t="s">
        <v>624</v>
      </c>
      <c r="B356" s="3" t="s">
        <v>34</v>
      </c>
      <c r="C356" s="3" t="s">
        <v>35</v>
      </c>
      <c r="D356" s="14" t="s">
        <v>2458</v>
      </c>
      <c r="E356" s="3" t="s">
        <v>625</v>
      </c>
      <c r="F356" s="9">
        <v>45632</v>
      </c>
      <c r="G356" s="5" t="s">
        <v>37</v>
      </c>
      <c r="H356" s="5"/>
      <c r="I356" s="5" t="str">
        <f t="shared" si="1"/>
        <v>PROCESSO FOI ATUALIZADO</v>
      </c>
      <c r="J356" s="5"/>
      <c r="K356" s="5"/>
      <c r="L356" s="5"/>
      <c r="M356" s="5"/>
      <c r="N356" s="5"/>
    </row>
    <row r="357" spans="1:14" ht="22.5" customHeight="1" x14ac:dyDescent="0.2">
      <c r="A357" s="21" t="s">
        <v>643</v>
      </c>
      <c r="B357" s="3" t="s">
        <v>34</v>
      </c>
      <c r="C357" s="3" t="s">
        <v>35</v>
      </c>
      <c r="D357" s="14" t="s">
        <v>2459</v>
      </c>
      <c r="E357" s="3" t="s">
        <v>644</v>
      </c>
      <c r="F357" s="9">
        <v>45632</v>
      </c>
      <c r="G357" s="5" t="s">
        <v>2095</v>
      </c>
      <c r="H357" s="5"/>
      <c r="I357" s="5" t="str">
        <f t="shared" si="1"/>
        <v>PROCESSO FOI ATUALIZADO</v>
      </c>
      <c r="J357" s="5"/>
      <c r="K357" s="5"/>
      <c r="L357" s="5"/>
      <c r="M357" s="5"/>
      <c r="N357" s="5"/>
    </row>
    <row r="358" spans="1:14" ht="22.5" customHeight="1" x14ac:dyDescent="0.2">
      <c r="A358" s="21" t="s">
        <v>669</v>
      </c>
      <c r="B358" s="3" t="s">
        <v>34</v>
      </c>
      <c r="C358" s="3" t="s">
        <v>35</v>
      </c>
      <c r="D358" s="14" t="s">
        <v>2460</v>
      </c>
      <c r="E358" s="3" t="s">
        <v>127</v>
      </c>
      <c r="F358" s="9">
        <v>45631</v>
      </c>
      <c r="G358" s="5" t="s">
        <v>2095</v>
      </c>
      <c r="H358" s="5"/>
      <c r="I358" s="5" t="str">
        <f t="shared" si="1"/>
        <v>PROCESSO FOI ATUALIZADO</v>
      </c>
      <c r="J358" s="5"/>
      <c r="K358" s="5"/>
      <c r="L358" s="5"/>
      <c r="M358" s="5"/>
      <c r="N358" s="5"/>
    </row>
    <row r="359" spans="1:14" ht="22.5" customHeight="1" x14ac:dyDescent="0.2">
      <c r="A359" s="21" t="s">
        <v>667</v>
      </c>
      <c r="B359" s="3" t="s">
        <v>34</v>
      </c>
      <c r="C359" s="3" t="s">
        <v>35</v>
      </c>
      <c r="D359" s="14" t="s">
        <v>2461</v>
      </c>
      <c r="E359" s="3" t="s">
        <v>668</v>
      </c>
      <c r="F359" s="9">
        <v>45631</v>
      </c>
      <c r="G359" s="5" t="s">
        <v>37</v>
      </c>
      <c r="H359" s="5"/>
      <c r="I359" s="5" t="str">
        <f t="shared" si="1"/>
        <v>PROCESSO FOI ATUALIZADO</v>
      </c>
      <c r="J359" s="5"/>
      <c r="K359" s="5"/>
      <c r="L359" s="5"/>
      <c r="M359" s="5"/>
      <c r="N359" s="5"/>
    </row>
    <row r="360" spans="1:14" ht="22.5" customHeight="1" x14ac:dyDescent="0.2">
      <c r="A360" s="21" t="s">
        <v>692</v>
      </c>
      <c r="B360" s="3" t="s">
        <v>34</v>
      </c>
      <c r="C360" s="3" t="s">
        <v>35</v>
      </c>
      <c r="D360" s="14" t="s">
        <v>2462</v>
      </c>
      <c r="E360" s="3" t="s">
        <v>693</v>
      </c>
      <c r="F360" s="9">
        <v>45630</v>
      </c>
      <c r="G360" s="5" t="s">
        <v>2110</v>
      </c>
      <c r="H360" s="5"/>
      <c r="I360" s="5" t="str">
        <f t="shared" si="1"/>
        <v>PROCESSO FOI ATUALIZADO</v>
      </c>
      <c r="J360" s="5"/>
      <c r="K360" s="5"/>
      <c r="L360" s="5"/>
      <c r="M360" s="5"/>
      <c r="N360" s="5"/>
    </row>
    <row r="361" spans="1:14" ht="22.5" customHeight="1" x14ac:dyDescent="0.2">
      <c r="A361" s="21" t="s">
        <v>783</v>
      </c>
      <c r="B361" s="3" t="s">
        <v>34</v>
      </c>
      <c r="C361" s="3" t="s">
        <v>35</v>
      </c>
      <c r="D361" s="14" t="s">
        <v>2463</v>
      </c>
      <c r="E361" s="3" t="s">
        <v>127</v>
      </c>
      <c r="F361" s="9">
        <v>45630</v>
      </c>
      <c r="G361" s="5" t="s">
        <v>2095</v>
      </c>
      <c r="H361" s="5"/>
      <c r="I361" s="5" t="str">
        <f t="shared" si="1"/>
        <v>PROCESSO FOI ATUALIZADO</v>
      </c>
      <c r="J361" s="5"/>
      <c r="K361" s="5"/>
      <c r="L361" s="5"/>
      <c r="M361" s="5"/>
      <c r="N361" s="5"/>
    </row>
    <row r="362" spans="1:14" ht="22.5" customHeight="1" x14ac:dyDescent="0.2">
      <c r="A362" s="21" t="s">
        <v>746</v>
      </c>
      <c r="B362" s="3" t="s">
        <v>34</v>
      </c>
      <c r="C362" s="3" t="s">
        <v>35</v>
      </c>
      <c r="D362" s="14" t="s">
        <v>2464</v>
      </c>
      <c r="E362" s="3" t="s">
        <v>644</v>
      </c>
      <c r="F362" s="9">
        <v>45630</v>
      </c>
      <c r="G362" s="5" t="s">
        <v>2095</v>
      </c>
      <c r="H362" s="5"/>
      <c r="I362" s="5" t="str">
        <f t="shared" si="1"/>
        <v>PROCESSO FOI ATUALIZADO</v>
      </c>
      <c r="J362" s="5"/>
      <c r="K362" s="5"/>
      <c r="L362" s="5"/>
      <c r="M362" s="5"/>
      <c r="N362" s="5"/>
    </row>
    <row r="363" spans="1:14" ht="22.5" customHeight="1" x14ac:dyDescent="0.2">
      <c r="A363" s="21" t="s">
        <v>807</v>
      </c>
      <c r="B363" s="3" t="s">
        <v>34</v>
      </c>
      <c r="C363" s="3" t="s">
        <v>35</v>
      </c>
      <c r="D363" s="14" t="s">
        <v>2462</v>
      </c>
      <c r="E363" s="3" t="s">
        <v>693</v>
      </c>
      <c r="F363" s="9">
        <v>45628</v>
      </c>
      <c r="G363" s="5" t="s">
        <v>2433</v>
      </c>
      <c r="H363" s="5"/>
      <c r="I363" s="5" t="str">
        <f t="shared" si="1"/>
        <v>PROCESSO FOI ATUALIZADO</v>
      </c>
      <c r="J363" s="5"/>
      <c r="K363" s="5"/>
      <c r="L363" s="5"/>
      <c r="M363" s="5"/>
      <c r="N363" s="5"/>
    </row>
    <row r="364" spans="1:14" ht="22.5" customHeight="1" x14ac:dyDescent="0.2">
      <c r="A364" s="21" t="s">
        <v>775</v>
      </c>
      <c r="B364" s="3" t="s">
        <v>34</v>
      </c>
      <c r="C364" s="3" t="s">
        <v>35</v>
      </c>
      <c r="D364" s="14" t="s">
        <v>2465</v>
      </c>
      <c r="E364" s="3" t="s">
        <v>776</v>
      </c>
      <c r="F364" s="9">
        <v>45628</v>
      </c>
      <c r="G364" s="5" t="s">
        <v>2095</v>
      </c>
      <c r="H364" s="5"/>
      <c r="I364" s="5" t="str">
        <f t="shared" si="1"/>
        <v>PROCESSO FOI ATUALIZADO</v>
      </c>
      <c r="J364" s="5"/>
      <c r="K364" s="5"/>
      <c r="L364" s="5"/>
      <c r="M364" s="5"/>
      <c r="N364" s="5"/>
    </row>
    <row r="365" spans="1:14" ht="22.5" customHeight="1" x14ac:dyDescent="0.2">
      <c r="A365" s="21" t="s">
        <v>756</v>
      </c>
      <c r="B365" s="3" t="s">
        <v>34</v>
      </c>
      <c r="C365" s="3" t="s">
        <v>35</v>
      </c>
      <c r="D365" s="14" t="s">
        <v>2390</v>
      </c>
      <c r="E365" s="3" t="s">
        <v>641</v>
      </c>
      <c r="F365" s="9">
        <v>45628</v>
      </c>
      <c r="G365" s="5" t="s">
        <v>2095</v>
      </c>
      <c r="H365" s="5"/>
      <c r="I365" s="5" t="str">
        <f t="shared" si="1"/>
        <v>PROCESSO FOI ATUALIZADO</v>
      </c>
      <c r="J365" s="5"/>
      <c r="K365" s="5"/>
      <c r="L365" s="5"/>
      <c r="M365" s="5"/>
      <c r="N365" s="5"/>
    </row>
    <row r="366" spans="1:14" ht="22.5" customHeight="1" x14ac:dyDescent="0.2">
      <c r="A366" s="5" t="s">
        <v>808</v>
      </c>
      <c r="B366" s="3" t="s">
        <v>34</v>
      </c>
      <c r="C366" s="3" t="s">
        <v>35</v>
      </c>
      <c r="D366" s="3" t="s">
        <v>2466</v>
      </c>
      <c r="E366" s="3" t="s">
        <v>809</v>
      </c>
      <c r="F366" s="9">
        <v>45623</v>
      </c>
      <c r="G366" s="5" t="s">
        <v>2433</v>
      </c>
      <c r="H366" s="5"/>
      <c r="I366" s="5" t="str">
        <f t="shared" si="1"/>
        <v>PROCESSO FOI ATUALIZADO</v>
      </c>
      <c r="J366" s="5"/>
      <c r="K366" s="5"/>
      <c r="L366" s="5"/>
      <c r="M366" s="5"/>
      <c r="N366" s="5"/>
    </row>
    <row r="367" spans="1:14" ht="22.5" customHeight="1" x14ac:dyDescent="0.2">
      <c r="A367" s="21" t="s">
        <v>741</v>
      </c>
      <c r="B367" s="3" t="s">
        <v>34</v>
      </c>
      <c r="C367" s="3" t="s">
        <v>35</v>
      </c>
      <c r="D367" s="14" t="s">
        <v>2383</v>
      </c>
      <c r="E367" s="3" t="s">
        <v>504</v>
      </c>
      <c r="F367" s="9">
        <v>45622</v>
      </c>
      <c r="G367" s="5" t="s">
        <v>2467</v>
      </c>
      <c r="H367" s="5"/>
      <c r="I367" s="5" t="str">
        <f t="shared" si="1"/>
        <v>PROCESSO FOI ATUALIZADO</v>
      </c>
      <c r="J367" s="5"/>
      <c r="K367" s="5"/>
      <c r="L367" s="5"/>
      <c r="M367" s="5"/>
      <c r="N367" s="5"/>
    </row>
    <row r="368" spans="1:14" ht="22.5" customHeight="1" x14ac:dyDescent="0.2">
      <c r="A368" s="21" t="s">
        <v>796</v>
      </c>
      <c r="B368" s="3" t="s">
        <v>34</v>
      </c>
      <c r="C368" s="3" t="s">
        <v>35</v>
      </c>
      <c r="D368" s="14" t="s">
        <v>2468</v>
      </c>
      <c r="E368" s="3" t="s">
        <v>797</v>
      </c>
      <c r="F368" s="9">
        <v>45622</v>
      </c>
      <c r="G368" s="5" t="s">
        <v>2095</v>
      </c>
      <c r="H368" s="5"/>
      <c r="I368" s="5" t="str">
        <f t="shared" si="1"/>
        <v>PROCESSO FOI ATUALIZADO</v>
      </c>
      <c r="J368" s="5"/>
      <c r="K368" s="5"/>
      <c r="L368" s="5"/>
      <c r="M368" s="5"/>
      <c r="N368" s="5"/>
    </row>
    <row r="369" spans="1:14" ht="22.5" customHeight="1" x14ac:dyDescent="0.2">
      <c r="A369" s="21" t="s">
        <v>719</v>
      </c>
      <c r="B369" s="3" t="s">
        <v>34</v>
      </c>
      <c r="C369" s="3" t="s">
        <v>35</v>
      </c>
      <c r="D369" s="14" t="s">
        <v>2469</v>
      </c>
      <c r="E369" s="3" t="s">
        <v>720</v>
      </c>
      <c r="F369" s="9">
        <v>45621</v>
      </c>
      <c r="G369" s="5" t="s">
        <v>37</v>
      </c>
      <c r="H369" s="5"/>
      <c r="I369" s="5" t="str">
        <f t="shared" si="1"/>
        <v>PROCESSO FOI ATUALIZADO</v>
      </c>
      <c r="J369" s="5"/>
      <c r="K369" s="5"/>
      <c r="L369" s="5"/>
      <c r="M369" s="5"/>
      <c r="N369" s="5"/>
    </row>
    <row r="370" spans="1:14" ht="22.5" customHeight="1" x14ac:dyDescent="0.2">
      <c r="A370" s="21" t="s">
        <v>721</v>
      </c>
      <c r="B370" s="3" t="s">
        <v>34</v>
      </c>
      <c r="C370" s="3" t="s">
        <v>35</v>
      </c>
      <c r="D370" s="14" t="s">
        <v>2469</v>
      </c>
      <c r="E370" s="3" t="s">
        <v>720</v>
      </c>
      <c r="F370" s="9">
        <v>45621</v>
      </c>
      <c r="G370" s="5" t="s">
        <v>37</v>
      </c>
      <c r="H370" s="5"/>
      <c r="I370" s="5" t="str">
        <f t="shared" si="1"/>
        <v>PROCESSO FOI ATUALIZADO</v>
      </c>
      <c r="J370" s="5"/>
      <c r="K370" s="5"/>
      <c r="L370" s="5"/>
      <c r="M370" s="5"/>
      <c r="N370" s="5"/>
    </row>
    <row r="371" spans="1:14" ht="22.5" customHeight="1" x14ac:dyDescent="0.2">
      <c r="A371" s="21" t="s">
        <v>722</v>
      </c>
      <c r="B371" s="3" t="s">
        <v>34</v>
      </c>
      <c r="C371" s="3" t="s">
        <v>35</v>
      </c>
      <c r="D371" s="14" t="s">
        <v>2469</v>
      </c>
      <c r="E371" s="3" t="s">
        <v>720</v>
      </c>
      <c r="F371" s="9">
        <v>45621</v>
      </c>
      <c r="G371" s="5" t="s">
        <v>37</v>
      </c>
      <c r="H371" s="5"/>
      <c r="I371" s="5" t="str">
        <f t="shared" si="1"/>
        <v>PROCESSO FOI ATUALIZADO</v>
      </c>
      <c r="J371" s="5"/>
      <c r="K371" s="5"/>
      <c r="L371" s="5"/>
      <c r="M371" s="5"/>
      <c r="N371" s="5"/>
    </row>
    <row r="372" spans="1:14" ht="22.5" customHeight="1" x14ac:dyDescent="0.2">
      <c r="A372" s="21" t="s">
        <v>799</v>
      </c>
      <c r="B372" s="3" t="s">
        <v>34</v>
      </c>
      <c r="C372" s="3" t="s">
        <v>35</v>
      </c>
      <c r="D372" s="14" t="s">
        <v>2470</v>
      </c>
      <c r="E372" s="3" t="s">
        <v>127</v>
      </c>
      <c r="F372" s="9">
        <v>45621</v>
      </c>
      <c r="G372" s="5" t="s">
        <v>37</v>
      </c>
      <c r="H372" s="5"/>
      <c r="I372" s="5" t="str">
        <f t="shared" si="1"/>
        <v>PROCESSO FOI ATUALIZADO</v>
      </c>
      <c r="J372" s="5"/>
      <c r="K372" s="5"/>
      <c r="L372" s="5"/>
      <c r="M372" s="5"/>
      <c r="N372" s="5"/>
    </row>
    <row r="373" spans="1:14" ht="22.5" customHeight="1" x14ac:dyDescent="0.2">
      <c r="A373" s="21" t="s">
        <v>723</v>
      </c>
      <c r="B373" s="3" t="s">
        <v>34</v>
      </c>
      <c r="C373" s="3" t="s">
        <v>35</v>
      </c>
      <c r="D373" s="14" t="s">
        <v>2469</v>
      </c>
      <c r="E373" s="3" t="s">
        <v>720</v>
      </c>
      <c r="F373" s="9">
        <v>45621</v>
      </c>
      <c r="G373" s="5" t="s">
        <v>37</v>
      </c>
      <c r="H373" s="5"/>
      <c r="I373" s="5" t="str">
        <f t="shared" si="1"/>
        <v>PROCESSO FOI ATUALIZADO</v>
      </c>
      <c r="J373" s="5"/>
      <c r="K373" s="5"/>
      <c r="L373" s="5"/>
      <c r="M373" s="5"/>
      <c r="N373" s="5"/>
    </row>
    <row r="374" spans="1:14" ht="22.5" customHeight="1" x14ac:dyDescent="0.2">
      <c r="A374" s="5" t="s">
        <v>761</v>
      </c>
      <c r="B374" s="3" t="s">
        <v>34</v>
      </c>
      <c r="C374" s="3" t="s">
        <v>35</v>
      </c>
      <c r="D374" s="3" t="s">
        <v>2394</v>
      </c>
      <c r="E374" s="3" t="s">
        <v>617</v>
      </c>
      <c r="F374" s="9">
        <v>45618</v>
      </c>
      <c r="G374" s="5" t="s">
        <v>2433</v>
      </c>
      <c r="H374" s="5"/>
      <c r="I374" s="5" t="str">
        <f t="shared" si="1"/>
        <v>PROCESSO FOI ATUALIZADO</v>
      </c>
      <c r="J374" s="5"/>
      <c r="K374" s="5"/>
      <c r="L374" s="5"/>
      <c r="M374" s="5"/>
      <c r="N374" s="5"/>
    </row>
    <row r="375" spans="1:14" ht="22.5" customHeight="1" x14ac:dyDescent="0.2">
      <c r="A375" s="21" t="s">
        <v>709</v>
      </c>
      <c r="B375" s="3" t="s">
        <v>34</v>
      </c>
      <c r="C375" s="3" t="s">
        <v>35</v>
      </c>
      <c r="D375" s="14" t="s">
        <v>2471</v>
      </c>
      <c r="E375" s="3" t="s">
        <v>710</v>
      </c>
      <c r="F375" s="9">
        <v>45618</v>
      </c>
      <c r="G375" s="5" t="s">
        <v>2095</v>
      </c>
      <c r="H375" s="5"/>
      <c r="I375" s="5" t="str">
        <f t="shared" si="1"/>
        <v>PROCESSO FOI ATUALIZADO</v>
      </c>
      <c r="J375" s="5"/>
      <c r="K375" s="5"/>
      <c r="L375" s="5"/>
      <c r="M375" s="5"/>
      <c r="N375" s="5"/>
    </row>
    <row r="376" spans="1:14" ht="22.5" customHeight="1" x14ac:dyDescent="0.2">
      <c r="A376" s="21" t="s">
        <v>770</v>
      </c>
      <c r="B376" s="3" t="s">
        <v>34</v>
      </c>
      <c r="C376" s="3" t="s">
        <v>35</v>
      </c>
      <c r="D376" s="14" t="s">
        <v>2472</v>
      </c>
      <c r="E376" s="3" t="s">
        <v>771</v>
      </c>
      <c r="F376" s="9">
        <v>45618</v>
      </c>
      <c r="G376" s="5" t="s">
        <v>2095</v>
      </c>
      <c r="H376" s="5"/>
      <c r="I376" s="5" t="str">
        <f t="shared" si="1"/>
        <v>PROCESSO FOI ATUALIZADO</v>
      </c>
      <c r="J376" s="5"/>
      <c r="K376" s="5"/>
      <c r="L376" s="5"/>
      <c r="M376" s="5"/>
      <c r="N376" s="5"/>
    </row>
    <row r="377" spans="1:14" ht="22.5" customHeight="1" x14ac:dyDescent="0.2">
      <c r="A377" s="21" t="s">
        <v>758</v>
      </c>
      <c r="B377" s="3" t="s">
        <v>34</v>
      </c>
      <c r="C377" s="3" t="s">
        <v>35</v>
      </c>
      <c r="D377" s="14" t="s">
        <v>2390</v>
      </c>
      <c r="E377" s="3" t="s">
        <v>641</v>
      </c>
      <c r="F377" s="9">
        <v>45617</v>
      </c>
      <c r="G377" s="5" t="s">
        <v>2443</v>
      </c>
      <c r="H377" s="5"/>
      <c r="I377" s="5" t="str">
        <f t="shared" si="1"/>
        <v>PROCESSO FOI ATUALIZADO</v>
      </c>
      <c r="J377" s="5"/>
      <c r="K377" s="5"/>
      <c r="L377" s="5"/>
      <c r="M377" s="5"/>
      <c r="N377" s="5"/>
    </row>
    <row r="378" spans="1:14" ht="22.5" customHeight="1" x14ac:dyDescent="0.2">
      <c r="A378" s="21" t="s">
        <v>779</v>
      </c>
      <c r="B378" s="3" t="s">
        <v>34</v>
      </c>
      <c r="C378" s="3" t="s">
        <v>35</v>
      </c>
      <c r="D378" s="14" t="s">
        <v>2473</v>
      </c>
      <c r="E378" s="3" t="s">
        <v>780</v>
      </c>
      <c r="F378" s="9">
        <v>45617</v>
      </c>
      <c r="G378" s="5" t="s">
        <v>2095</v>
      </c>
      <c r="H378" s="5"/>
      <c r="I378" s="5" t="str">
        <f t="shared" si="1"/>
        <v>PROCESSO FOI ATUALIZADO</v>
      </c>
      <c r="J378" s="5"/>
      <c r="K378" s="5"/>
      <c r="L378" s="5"/>
      <c r="M378" s="5"/>
      <c r="N378" s="5"/>
    </row>
    <row r="379" spans="1:14" ht="22.5" customHeight="1" x14ac:dyDescent="0.2">
      <c r="A379" s="21" t="s">
        <v>736</v>
      </c>
      <c r="B379" s="3" t="s">
        <v>34</v>
      </c>
      <c r="C379" s="3" t="s">
        <v>35</v>
      </c>
      <c r="D379" s="14" t="s">
        <v>2474</v>
      </c>
      <c r="E379" s="3" t="s">
        <v>737</v>
      </c>
      <c r="F379" s="9">
        <v>45617</v>
      </c>
      <c r="G379" s="5" t="s">
        <v>37</v>
      </c>
      <c r="H379" s="5"/>
      <c r="I379" s="5" t="str">
        <f t="shared" si="1"/>
        <v>PROCESSO FOI ATUALIZADO</v>
      </c>
      <c r="J379" s="5"/>
      <c r="K379" s="5"/>
      <c r="L379" s="5"/>
      <c r="M379" s="5"/>
      <c r="N379" s="5"/>
    </row>
    <row r="380" spans="1:14" ht="22.5" customHeight="1" x14ac:dyDescent="0.2">
      <c r="A380" s="21" t="s">
        <v>767</v>
      </c>
      <c r="B380" s="3" t="s">
        <v>34</v>
      </c>
      <c r="C380" s="3" t="s">
        <v>35</v>
      </c>
      <c r="D380" s="14" t="s">
        <v>2475</v>
      </c>
      <c r="E380" s="3" t="s">
        <v>768</v>
      </c>
      <c r="F380" s="9">
        <v>45615</v>
      </c>
      <c r="G380" s="5" t="s">
        <v>2110</v>
      </c>
      <c r="H380" s="5"/>
      <c r="I380" s="5" t="str">
        <f t="shared" si="1"/>
        <v>PROCESSO FOI ATUALIZADO</v>
      </c>
      <c r="J380" s="5"/>
      <c r="K380" s="5"/>
      <c r="L380" s="5"/>
      <c r="M380" s="5"/>
      <c r="N380" s="5"/>
    </row>
    <row r="381" spans="1:14" ht="22.5" customHeight="1" x14ac:dyDescent="0.2">
      <c r="A381" s="21" t="s">
        <v>782</v>
      </c>
      <c r="B381" s="3" t="s">
        <v>34</v>
      </c>
      <c r="C381" s="3" t="s">
        <v>35</v>
      </c>
      <c r="D381" s="14" t="s">
        <v>2472</v>
      </c>
      <c r="E381" s="3" t="s">
        <v>771</v>
      </c>
      <c r="F381" s="9">
        <v>45615</v>
      </c>
      <c r="G381" s="5" t="s">
        <v>37</v>
      </c>
      <c r="H381" s="5"/>
      <c r="I381" s="5" t="str">
        <f t="shared" si="1"/>
        <v>PROCESSO FOI ATUALIZADO</v>
      </c>
      <c r="J381" s="5"/>
      <c r="K381" s="5"/>
      <c r="L381" s="5"/>
      <c r="M381" s="5"/>
      <c r="N381" s="5"/>
    </row>
    <row r="382" spans="1:14" ht="22.5" customHeight="1" x14ac:dyDescent="0.2">
      <c r="A382" s="21" t="s">
        <v>759</v>
      </c>
      <c r="B382" s="3" t="s">
        <v>34</v>
      </c>
      <c r="C382" s="3" t="s">
        <v>35</v>
      </c>
      <c r="D382" s="14" t="s">
        <v>2476</v>
      </c>
      <c r="E382" s="3" t="s">
        <v>760</v>
      </c>
      <c r="F382" s="9">
        <v>45614</v>
      </c>
      <c r="G382" s="5" t="s">
        <v>2433</v>
      </c>
      <c r="H382" s="5"/>
      <c r="I382" s="5" t="str">
        <f t="shared" si="1"/>
        <v>PROCESSO FOI ATUALIZADO</v>
      </c>
      <c r="J382" s="5"/>
      <c r="K382" s="5"/>
      <c r="L382" s="5"/>
      <c r="M382" s="5"/>
      <c r="N382" s="5"/>
    </row>
    <row r="383" spans="1:14" ht="22.5" customHeight="1" x14ac:dyDescent="0.2">
      <c r="A383" s="21" t="s">
        <v>732</v>
      </c>
      <c r="B383" s="3" t="s">
        <v>34</v>
      </c>
      <c r="C383" s="3" t="s">
        <v>35</v>
      </c>
      <c r="D383" s="14" t="s">
        <v>2477</v>
      </c>
      <c r="E383" s="3" t="s">
        <v>343</v>
      </c>
      <c r="F383" s="9">
        <v>45608</v>
      </c>
      <c r="G383" s="5" t="s">
        <v>37</v>
      </c>
      <c r="H383" s="5"/>
      <c r="I383" s="5" t="str">
        <f t="shared" si="1"/>
        <v>PROCESSO FOI ATUALIZADO</v>
      </c>
      <c r="J383" s="5"/>
      <c r="K383" s="5"/>
      <c r="L383" s="5"/>
      <c r="M383" s="5"/>
      <c r="N383" s="5"/>
    </row>
    <row r="384" spans="1:14" ht="22.5" customHeight="1" x14ac:dyDescent="0.2">
      <c r="A384" s="21" t="s">
        <v>803</v>
      </c>
      <c r="B384" s="3" t="s">
        <v>34</v>
      </c>
      <c r="C384" s="3" t="s">
        <v>35</v>
      </c>
      <c r="D384" s="14" t="s">
        <v>2284</v>
      </c>
      <c r="E384" s="3" t="s">
        <v>187</v>
      </c>
      <c r="F384" s="9">
        <v>45607</v>
      </c>
      <c r="G384" s="5" t="s">
        <v>2433</v>
      </c>
      <c r="H384" s="5"/>
      <c r="I384" s="5" t="str">
        <f t="shared" si="1"/>
        <v>PROCESSO FOI ATUALIZADO</v>
      </c>
      <c r="J384" s="5"/>
      <c r="K384" s="5"/>
      <c r="L384" s="5"/>
      <c r="M384" s="5"/>
      <c r="N384" s="5"/>
    </row>
    <row r="385" spans="1:14" ht="22.5" customHeight="1" x14ac:dyDescent="0.2">
      <c r="A385" s="21" t="s">
        <v>792</v>
      </c>
      <c r="B385" s="3" t="s">
        <v>34</v>
      </c>
      <c r="C385" s="3" t="s">
        <v>35</v>
      </c>
      <c r="D385" s="14" t="s">
        <v>2478</v>
      </c>
      <c r="E385" s="3" t="s">
        <v>49</v>
      </c>
      <c r="F385" s="9">
        <v>45603</v>
      </c>
      <c r="G385" s="5" t="s">
        <v>2095</v>
      </c>
      <c r="H385" s="5"/>
      <c r="I385" s="5" t="str">
        <f t="shared" si="1"/>
        <v>PROCESSO FOI ATUALIZADO</v>
      </c>
      <c r="J385" s="5"/>
      <c r="K385" s="5"/>
      <c r="L385" s="5"/>
      <c r="M385" s="5"/>
      <c r="N385" s="5"/>
    </row>
    <row r="386" spans="1:14" ht="22.5" customHeight="1" x14ac:dyDescent="0.2">
      <c r="A386" s="21" t="s">
        <v>713</v>
      </c>
      <c r="B386" s="3" t="s">
        <v>34</v>
      </c>
      <c r="C386" s="3" t="s">
        <v>35</v>
      </c>
      <c r="D386" s="14" t="s">
        <v>2479</v>
      </c>
      <c r="E386" s="3" t="s">
        <v>714</v>
      </c>
      <c r="F386" s="9">
        <v>45601</v>
      </c>
      <c r="G386" s="5" t="s">
        <v>2095</v>
      </c>
      <c r="H386" s="5"/>
      <c r="I386" s="5" t="str">
        <f t="shared" si="1"/>
        <v>PROCESSO FOI ATUALIZADO</v>
      </c>
      <c r="J386" s="5"/>
      <c r="K386" s="5"/>
      <c r="L386" s="5"/>
      <c r="M386" s="5"/>
      <c r="N386" s="5"/>
    </row>
    <row r="387" spans="1:14" ht="22.5" customHeight="1" x14ac:dyDescent="0.2">
      <c r="A387" s="21" t="s">
        <v>794</v>
      </c>
      <c r="B387" s="3" t="s">
        <v>34</v>
      </c>
      <c r="C387" s="3" t="s">
        <v>35</v>
      </c>
      <c r="D387" s="14" t="s">
        <v>2480</v>
      </c>
      <c r="E387" s="3" t="s">
        <v>313</v>
      </c>
      <c r="F387" s="9">
        <v>45600</v>
      </c>
      <c r="G387" s="5" t="s">
        <v>2095</v>
      </c>
      <c r="H387" s="5"/>
      <c r="I387" s="5" t="str">
        <f t="shared" si="1"/>
        <v>PROCESSO FOI ATUALIZADO</v>
      </c>
      <c r="J387" s="5"/>
      <c r="K387" s="5"/>
      <c r="L387" s="5"/>
      <c r="M387" s="5"/>
      <c r="N387" s="5"/>
    </row>
    <row r="388" spans="1:14" ht="22.5" customHeight="1" x14ac:dyDescent="0.2">
      <c r="A388" s="21" t="s">
        <v>765</v>
      </c>
      <c r="B388" s="3" t="s">
        <v>34</v>
      </c>
      <c r="C388" s="3" t="s">
        <v>35</v>
      </c>
      <c r="D388" s="14" t="s">
        <v>2481</v>
      </c>
      <c r="E388" s="3" t="s">
        <v>474</v>
      </c>
      <c r="F388" s="9">
        <v>45600</v>
      </c>
      <c r="G388" s="5" t="s">
        <v>2095</v>
      </c>
      <c r="H388" s="5"/>
      <c r="I388" s="5" t="str">
        <f t="shared" si="1"/>
        <v>PROCESSO FOI ATUALIZADO</v>
      </c>
      <c r="J388" s="5"/>
      <c r="K388" s="5"/>
      <c r="L388" s="5"/>
      <c r="M388" s="5"/>
      <c r="N388" s="5"/>
    </row>
    <row r="389" spans="1:14" ht="22.5" customHeight="1" x14ac:dyDescent="0.2">
      <c r="A389" s="21" t="s">
        <v>810</v>
      </c>
      <c r="B389" s="3" t="s">
        <v>34</v>
      </c>
      <c r="C389" s="3" t="s">
        <v>35</v>
      </c>
      <c r="D389" s="14" t="s">
        <v>2482</v>
      </c>
      <c r="E389" s="3" t="s">
        <v>365</v>
      </c>
      <c r="F389" s="9">
        <v>45600</v>
      </c>
      <c r="G389" s="5" t="s">
        <v>2095</v>
      </c>
      <c r="H389" s="5"/>
      <c r="I389" s="5" t="str">
        <f t="shared" si="1"/>
        <v>PROCESSO FOI ATUALIZADO</v>
      </c>
      <c r="J389" s="5"/>
      <c r="K389" s="5"/>
      <c r="L389" s="5"/>
      <c r="M389" s="5"/>
      <c r="N389" s="5"/>
    </row>
    <row r="390" spans="1:14" ht="22.5" customHeight="1" x14ac:dyDescent="0.2">
      <c r="A390" s="21" t="s">
        <v>800</v>
      </c>
      <c r="B390" s="3" t="s">
        <v>34</v>
      </c>
      <c r="C390" s="3" t="s">
        <v>35</v>
      </c>
      <c r="D390" s="14" t="s">
        <v>2483</v>
      </c>
      <c r="E390" s="3" t="s">
        <v>801</v>
      </c>
      <c r="F390" s="9">
        <v>45596</v>
      </c>
      <c r="G390" s="5" t="s">
        <v>2095</v>
      </c>
      <c r="H390" s="5"/>
      <c r="I390" s="5" t="str">
        <f t="shared" si="1"/>
        <v>PROCESSO FOI ATUALIZADO</v>
      </c>
      <c r="J390" s="5"/>
      <c r="K390" s="5"/>
      <c r="L390" s="5"/>
      <c r="M390" s="5"/>
      <c r="N390" s="5"/>
    </row>
    <row r="391" spans="1:14" ht="22.5" customHeight="1" x14ac:dyDescent="0.2">
      <c r="A391" s="21" t="s">
        <v>749</v>
      </c>
      <c r="B391" s="3" t="s">
        <v>34</v>
      </c>
      <c r="C391" s="3" t="s">
        <v>35</v>
      </c>
      <c r="D391" s="14" t="s">
        <v>2484</v>
      </c>
      <c r="E391" s="3" t="s">
        <v>750</v>
      </c>
      <c r="F391" s="9">
        <v>45596</v>
      </c>
      <c r="G391" s="5" t="s">
        <v>2095</v>
      </c>
      <c r="H391" s="5"/>
      <c r="I391" s="5" t="str">
        <f t="shared" si="1"/>
        <v>PROCESSO FOI ATUALIZADO</v>
      </c>
      <c r="J391" s="5"/>
      <c r="K391" s="5"/>
      <c r="L391" s="5"/>
      <c r="M391" s="5"/>
      <c r="N391" s="5"/>
    </row>
    <row r="392" spans="1:14" ht="22.5" customHeight="1" x14ac:dyDescent="0.2">
      <c r="A392" s="21" t="s">
        <v>742</v>
      </c>
      <c r="B392" s="3" t="s">
        <v>34</v>
      </c>
      <c r="C392" s="3" t="s">
        <v>35</v>
      </c>
      <c r="D392" s="14" t="s">
        <v>2485</v>
      </c>
      <c r="E392" s="3" t="s">
        <v>743</v>
      </c>
      <c r="F392" s="9">
        <v>45595</v>
      </c>
      <c r="G392" s="5" t="s">
        <v>2095</v>
      </c>
      <c r="H392" s="5"/>
      <c r="I392" s="5" t="str">
        <f t="shared" si="1"/>
        <v>PROCESSO FOI ATUALIZADO</v>
      </c>
      <c r="J392" s="5"/>
      <c r="K392" s="5"/>
      <c r="L392" s="5"/>
      <c r="M392" s="5"/>
      <c r="N392" s="5"/>
    </row>
    <row r="393" spans="1:14" ht="22.5" customHeight="1" x14ac:dyDescent="0.2">
      <c r="A393" s="21" t="s">
        <v>727</v>
      </c>
      <c r="B393" s="3" t="s">
        <v>34</v>
      </c>
      <c r="C393" s="3" t="s">
        <v>35</v>
      </c>
      <c r="D393" s="14" t="s">
        <v>2455</v>
      </c>
      <c r="E393" s="3" t="s">
        <v>608</v>
      </c>
      <c r="F393" s="9">
        <v>45595</v>
      </c>
      <c r="G393" s="5" t="s">
        <v>37</v>
      </c>
      <c r="H393" s="5"/>
      <c r="I393" s="5" t="str">
        <f t="shared" si="1"/>
        <v>PROCESSO FOI ATUALIZADO</v>
      </c>
      <c r="J393" s="5"/>
      <c r="K393" s="5"/>
      <c r="L393" s="5"/>
      <c r="M393" s="5"/>
      <c r="N393" s="5"/>
    </row>
    <row r="394" spans="1:14" ht="22.5" customHeight="1" x14ac:dyDescent="0.2">
      <c r="A394" s="21" t="s">
        <v>728</v>
      </c>
      <c r="B394" s="3" t="s">
        <v>34</v>
      </c>
      <c r="C394" s="3" t="s">
        <v>35</v>
      </c>
      <c r="D394" s="14" t="s">
        <v>2455</v>
      </c>
      <c r="E394" s="3" t="s">
        <v>608</v>
      </c>
      <c r="F394" s="9">
        <v>45595</v>
      </c>
      <c r="G394" s="5" t="s">
        <v>37</v>
      </c>
      <c r="H394" s="5"/>
      <c r="I394" s="5" t="str">
        <f t="shared" si="1"/>
        <v>PROCESSO FOI ATUALIZADO</v>
      </c>
      <c r="J394" s="5"/>
      <c r="K394" s="5"/>
      <c r="L394" s="5"/>
      <c r="M394" s="5"/>
      <c r="N394" s="5"/>
    </row>
    <row r="395" spans="1:14" ht="22.5" customHeight="1" x14ac:dyDescent="0.2">
      <c r="A395" s="21" t="s">
        <v>729</v>
      </c>
      <c r="B395" s="3" t="s">
        <v>34</v>
      </c>
      <c r="C395" s="3" t="s">
        <v>35</v>
      </c>
      <c r="D395" s="14" t="s">
        <v>2486</v>
      </c>
      <c r="E395" s="3" t="s">
        <v>730</v>
      </c>
      <c r="F395" s="9">
        <v>45590</v>
      </c>
      <c r="G395" s="5" t="s">
        <v>2095</v>
      </c>
      <c r="H395" s="5"/>
      <c r="I395" s="5" t="str">
        <f t="shared" si="1"/>
        <v>PROCESSO FOI ATUALIZADO</v>
      </c>
      <c r="J395" s="5"/>
      <c r="K395" s="5"/>
      <c r="L395" s="5"/>
      <c r="M395" s="5"/>
      <c r="N395" s="5"/>
    </row>
    <row r="396" spans="1:14" ht="22.5" customHeight="1" x14ac:dyDescent="0.2">
      <c r="A396" s="21" t="s">
        <v>762</v>
      </c>
      <c r="B396" s="3" t="s">
        <v>34</v>
      </c>
      <c r="C396" s="3" t="s">
        <v>35</v>
      </c>
      <c r="D396" s="14" t="s">
        <v>2487</v>
      </c>
      <c r="E396" s="3" t="s">
        <v>763</v>
      </c>
      <c r="F396" s="9">
        <v>45590</v>
      </c>
      <c r="G396" s="5" t="s">
        <v>2095</v>
      </c>
      <c r="H396" s="5"/>
      <c r="I396" s="5" t="str">
        <f t="shared" si="1"/>
        <v>PROCESSO FOI ATUALIZADO</v>
      </c>
      <c r="J396" s="5"/>
      <c r="K396" s="5"/>
      <c r="L396" s="5"/>
      <c r="M396" s="5"/>
      <c r="N396" s="5"/>
    </row>
    <row r="397" spans="1:14" ht="22.5" customHeight="1" x14ac:dyDescent="0.2">
      <c r="A397" s="21" t="s">
        <v>804</v>
      </c>
      <c r="B397" s="3" t="s">
        <v>34</v>
      </c>
      <c r="C397" s="3" t="s">
        <v>35</v>
      </c>
      <c r="D397" s="14" t="s">
        <v>2488</v>
      </c>
      <c r="E397" s="3" t="s">
        <v>805</v>
      </c>
      <c r="F397" s="9">
        <v>45586</v>
      </c>
      <c r="G397" s="5" t="s">
        <v>2095</v>
      </c>
      <c r="H397" s="5"/>
      <c r="I397" s="5" t="str">
        <f t="shared" si="1"/>
        <v>PROCESSO FOI ATUALIZADO</v>
      </c>
      <c r="J397" s="5"/>
      <c r="K397" s="5"/>
      <c r="L397" s="5"/>
      <c r="M397" s="5"/>
      <c r="N397" s="5"/>
    </row>
    <row r="398" spans="1:14" ht="22.5" customHeight="1" x14ac:dyDescent="0.2">
      <c r="A398" s="5" t="s">
        <v>790</v>
      </c>
      <c r="B398" s="3" t="s">
        <v>34</v>
      </c>
      <c r="C398" s="3" t="s">
        <v>35</v>
      </c>
      <c r="D398" s="3" t="s">
        <v>2489</v>
      </c>
      <c r="E398" s="3" t="s">
        <v>791</v>
      </c>
      <c r="F398" s="9">
        <v>45583</v>
      </c>
      <c r="G398" s="5" t="s">
        <v>2433</v>
      </c>
      <c r="H398" s="5"/>
      <c r="I398" s="5" t="str">
        <f t="shared" si="1"/>
        <v>PROCESSO FOI ATUALIZADO</v>
      </c>
      <c r="J398" s="5"/>
      <c r="K398" s="5"/>
      <c r="L398" s="5"/>
      <c r="M398" s="5"/>
      <c r="N398" s="5"/>
    </row>
    <row r="399" spans="1:14" ht="22.5" customHeight="1" x14ac:dyDescent="0.2">
      <c r="A399" s="21" t="s">
        <v>2490</v>
      </c>
      <c r="B399" s="3" t="s">
        <v>34</v>
      </c>
      <c r="C399" s="3" t="s">
        <v>35</v>
      </c>
      <c r="D399" s="14" t="s">
        <v>2474</v>
      </c>
      <c r="E399" s="3" t="s">
        <v>737</v>
      </c>
      <c r="F399" s="9">
        <v>45581</v>
      </c>
      <c r="G399" s="5" t="s">
        <v>2095</v>
      </c>
      <c r="H399" s="5"/>
      <c r="I399" s="5" t="str">
        <f t="shared" si="1"/>
        <v>PROCESSO FOI ATUALIZADO</v>
      </c>
      <c r="J399" s="5"/>
      <c r="K399" s="5"/>
      <c r="L399" s="5"/>
      <c r="M399" s="5"/>
      <c r="N399" s="5"/>
    </row>
    <row r="400" spans="1:14" ht="22.5" customHeight="1" x14ac:dyDescent="0.2">
      <c r="A400" s="21" t="s">
        <v>755</v>
      </c>
      <c r="B400" s="3" t="s">
        <v>34</v>
      </c>
      <c r="C400" s="3" t="s">
        <v>35</v>
      </c>
      <c r="D400" s="14" t="s">
        <v>2491</v>
      </c>
      <c r="E400" s="3" t="s">
        <v>79</v>
      </c>
      <c r="F400" s="9">
        <v>45581</v>
      </c>
      <c r="G400" s="5" t="s">
        <v>37</v>
      </c>
      <c r="H400" s="5"/>
      <c r="I400" s="5" t="str">
        <f t="shared" si="1"/>
        <v>PROCESSO FOI ATUALIZADO</v>
      </c>
      <c r="J400" s="5"/>
      <c r="K400" s="5"/>
      <c r="L400" s="5"/>
      <c r="M400" s="5"/>
      <c r="N400" s="5"/>
    </row>
    <row r="401" spans="1:14" ht="22.5" customHeight="1" x14ac:dyDescent="0.2">
      <c r="A401" s="21" t="s">
        <v>778</v>
      </c>
      <c r="B401" s="3" t="s">
        <v>34</v>
      </c>
      <c r="C401" s="3" t="s">
        <v>35</v>
      </c>
      <c r="D401" s="14" t="s">
        <v>2481</v>
      </c>
      <c r="E401" s="3" t="s">
        <v>474</v>
      </c>
      <c r="F401" s="9">
        <v>45581</v>
      </c>
      <c r="G401" s="5" t="s">
        <v>37</v>
      </c>
      <c r="H401" s="5"/>
      <c r="I401" s="5" t="str">
        <f t="shared" si="1"/>
        <v>PROCESSO FOI ATUALIZADO</v>
      </c>
      <c r="J401" s="5"/>
      <c r="K401" s="5"/>
      <c r="L401" s="5"/>
      <c r="M401" s="5"/>
      <c r="N401" s="5"/>
    </row>
    <row r="402" spans="1:14" ht="22.5" customHeight="1" x14ac:dyDescent="0.2">
      <c r="A402" s="21" t="s">
        <v>738</v>
      </c>
      <c r="B402" s="3" t="s">
        <v>34</v>
      </c>
      <c r="C402" s="3" t="s">
        <v>35</v>
      </c>
      <c r="D402" s="14" t="s">
        <v>2492</v>
      </c>
      <c r="E402" s="3" t="s">
        <v>739</v>
      </c>
      <c r="F402" s="9">
        <v>45580</v>
      </c>
      <c r="G402" s="5" t="s">
        <v>2095</v>
      </c>
      <c r="H402" s="5"/>
      <c r="I402" s="5" t="str">
        <f t="shared" si="1"/>
        <v>PROCESSO FOI ATUALIZADO</v>
      </c>
      <c r="J402" s="5"/>
      <c r="K402" s="5"/>
      <c r="L402" s="5"/>
      <c r="M402" s="5"/>
      <c r="N402" s="5"/>
    </row>
    <row r="403" spans="1:14" ht="22.5" customHeight="1" x14ac:dyDescent="0.2">
      <c r="A403" s="21" t="s">
        <v>724</v>
      </c>
      <c r="B403" s="3" t="s">
        <v>34</v>
      </c>
      <c r="C403" s="3" t="s">
        <v>35</v>
      </c>
      <c r="D403" s="14" t="s">
        <v>2493</v>
      </c>
      <c r="E403" s="3" t="s">
        <v>725</v>
      </c>
      <c r="F403" s="9">
        <v>45580</v>
      </c>
      <c r="G403" s="5" t="s">
        <v>2095</v>
      </c>
      <c r="H403" s="5"/>
      <c r="I403" s="5" t="str">
        <f t="shared" si="1"/>
        <v>PROCESSO FOI ATUALIZADO</v>
      </c>
      <c r="J403" s="5"/>
      <c r="K403" s="5"/>
      <c r="L403" s="5"/>
      <c r="M403" s="5"/>
      <c r="N403" s="5"/>
    </row>
    <row r="404" spans="1:14" ht="22.5" customHeight="1" x14ac:dyDescent="0.2">
      <c r="A404" s="21" t="s">
        <v>752</v>
      </c>
      <c r="B404" s="3" t="s">
        <v>34</v>
      </c>
      <c r="C404" s="3" t="s">
        <v>35</v>
      </c>
      <c r="D404" s="14" t="s">
        <v>2494</v>
      </c>
      <c r="E404" s="3" t="s">
        <v>753</v>
      </c>
      <c r="F404" s="9">
        <v>45579</v>
      </c>
      <c r="G404" s="5" t="s">
        <v>2095</v>
      </c>
      <c r="H404" s="5"/>
      <c r="I404" s="5" t="str">
        <f t="shared" si="1"/>
        <v>PROCESSO FOI ATUALIZADO</v>
      </c>
      <c r="J404" s="5"/>
      <c r="K404" s="5"/>
      <c r="L404" s="5"/>
      <c r="M404" s="5"/>
      <c r="N404" s="5"/>
    </row>
    <row r="405" spans="1:14" ht="22.5" customHeight="1" x14ac:dyDescent="0.2">
      <c r="A405" s="21" t="s">
        <v>788</v>
      </c>
      <c r="B405" s="3" t="s">
        <v>34</v>
      </c>
      <c r="C405" s="3" t="s">
        <v>35</v>
      </c>
      <c r="D405" s="14" t="s">
        <v>2495</v>
      </c>
      <c r="E405" s="3" t="s">
        <v>628</v>
      </c>
      <c r="F405" s="9">
        <v>45579</v>
      </c>
      <c r="G405" s="5" t="s">
        <v>2095</v>
      </c>
      <c r="H405" s="5"/>
      <c r="I405" s="5" t="str">
        <f t="shared" si="1"/>
        <v>PROCESSO FOI ATUALIZADO</v>
      </c>
      <c r="J405" s="5"/>
      <c r="K405" s="5"/>
      <c r="L405" s="5"/>
      <c r="M405" s="5"/>
      <c r="N405" s="5"/>
    </row>
    <row r="406" spans="1:14" ht="22.5" customHeight="1" x14ac:dyDescent="0.2">
      <c r="A406" s="21" t="s">
        <v>733</v>
      </c>
      <c r="B406" s="3" t="s">
        <v>34</v>
      </c>
      <c r="C406" s="3" t="s">
        <v>35</v>
      </c>
      <c r="D406" s="14" t="s">
        <v>2496</v>
      </c>
      <c r="E406" s="3" t="s">
        <v>734</v>
      </c>
      <c r="F406" s="9">
        <v>45579</v>
      </c>
      <c r="G406" s="5" t="s">
        <v>2095</v>
      </c>
      <c r="H406" s="5"/>
      <c r="I406" s="5" t="str">
        <f t="shared" si="1"/>
        <v>PROCESSO FOI ATUALIZADO</v>
      </c>
      <c r="J406" s="5"/>
      <c r="K406" s="5"/>
      <c r="L406" s="5"/>
      <c r="M406" s="5"/>
      <c r="N406" s="5"/>
    </row>
    <row r="407" spans="1:14" ht="22.5" customHeight="1" x14ac:dyDescent="0.2">
      <c r="A407" s="5" t="s">
        <v>773</v>
      </c>
      <c r="B407" s="3" t="s">
        <v>34</v>
      </c>
      <c r="C407" s="3" t="s">
        <v>35</v>
      </c>
      <c r="D407" s="3" t="s">
        <v>2497</v>
      </c>
      <c r="E407" s="3" t="s">
        <v>774</v>
      </c>
      <c r="F407" s="9">
        <v>45574</v>
      </c>
      <c r="G407" s="5" t="s">
        <v>70</v>
      </c>
      <c r="H407" s="5"/>
      <c r="I407" s="5" t="str">
        <f t="shared" si="1"/>
        <v>PROCESSO FOI ATUALIZADO</v>
      </c>
      <c r="J407" s="5"/>
      <c r="K407" s="5"/>
      <c r="L407" s="5"/>
      <c r="M407" s="5"/>
      <c r="N407" s="5"/>
    </row>
    <row r="408" spans="1:14" ht="22.5" customHeight="1" x14ac:dyDescent="0.2">
      <c r="A408" s="21" t="s">
        <v>748</v>
      </c>
      <c r="B408" s="3" t="s">
        <v>34</v>
      </c>
      <c r="C408" s="3" t="s">
        <v>35</v>
      </c>
      <c r="D408" s="14" t="s">
        <v>2498</v>
      </c>
      <c r="E408" s="3" t="s">
        <v>730</v>
      </c>
      <c r="F408" s="9">
        <v>45573</v>
      </c>
      <c r="G408" s="5" t="s">
        <v>37</v>
      </c>
      <c r="H408" s="5"/>
      <c r="I408" s="5" t="str">
        <f t="shared" si="1"/>
        <v>PROCESSO FOI ATUALIZADO</v>
      </c>
      <c r="J408" s="5"/>
      <c r="K408" s="5"/>
      <c r="L408" s="5"/>
      <c r="M408" s="5"/>
      <c r="N408" s="5"/>
    </row>
    <row r="409" spans="1:14" ht="22.5" customHeight="1" x14ac:dyDescent="0.2">
      <c r="A409" s="21" t="s">
        <v>716</v>
      </c>
      <c r="B409" s="3" t="s">
        <v>34</v>
      </c>
      <c r="C409" s="3" t="s">
        <v>35</v>
      </c>
      <c r="D409" s="14" t="s">
        <v>2499</v>
      </c>
      <c r="E409" s="3" t="s">
        <v>717</v>
      </c>
      <c r="F409" s="9">
        <v>45573</v>
      </c>
      <c r="G409" s="5" t="s">
        <v>2095</v>
      </c>
      <c r="H409" s="5"/>
      <c r="I409" s="5" t="str">
        <f t="shared" si="1"/>
        <v>PROCESSO FOI ATUALIZADO</v>
      </c>
      <c r="J409" s="5"/>
      <c r="K409" s="5"/>
      <c r="L409" s="5"/>
      <c r="M409" s="5"/>
      <c r="N409" s="5"/>
    </row>
    <row r="410" spans="1:14" ht="22.5" customHeight="1" x14ac:dyDescent="0.2">
      <c r="A410" s="21" t="s">
        <v>785</v>
      </c>
      <c r="B410" s="3" t="s">
        <v>34</v>
      </c>
      <c r="C410" s="3" t="s">
        <v>35</v>
      </c>
      <c r="D410" s="14" t="s">
        <v>2500</v>
      </c>
      <c r="E410" s="3" t="s">
        <v>786</v>
      </c>
      <c r="F410" s="9">
        <v>45572</v>
      </c>
      <c r="G410" s="5" t="s">
        <v>2095</v>
      </c>
      <c r="H410" s="5"/>
      <c r="I410" s="5" t="str">
        <f t="shared" si="1"/>
        <v>PROCESSO FOI ATUALIZADO</v>
      </c>
      <c r="J410" s="5"/>
      <c r="K410" s="5"/>
      <c r="L410" s="5"/>
      <c r="M410" s="5"/>
      <c r="N410" s="5"/>
    </row>
    <row r="411" spans="1:14" ht="22.5" customHeight="1" x14ac:dyDescent="0.2">
      <c r="A411" s="21" t="s">
        <v>917</v>
      </c>
      <c r="B411" s="3" t="s">
        <v>34</v>
      </c>
      <c r="C411" s="3" t="s">
        <v>35</v>
      </c>
      <c r="D411" s="14" t="s">
        <v>2500</v>
      </c>
      <c r="E411" s="3" t="s">
        <v>786</v>
      </c>
      <c r="F411" s="9">
        <v>45572</v>
      </c>
      <c r="G411" s="5" t="s">
        <v>2095</v>
      </c>
      <c r="H411" s="5"/>
      <c r="I411" s="5" t="str">
        <f t="shared" si="1"/>
        <v>PROCESSO FOI ATUALIZADO</v>
      </c>
      <c r="J411" s="5"/>
      <c r="K411" s="5"/>
      <c r="L411" s="5"/>
      <c r="M411" s="5"/>
      <c r="N411" s="5"/>
    </row>
    <row r="412" spans="1:14" ht="22.5" customHeight="1" x14ac:dyDescent="0.2">
      <c r="A412" s="21" t="s">
        <v>834</v>
      </c>
      <c r="B412" s="3" t="s">
        <v>34</v>
      </c>
      <c r="C412" s="3" t="s">
        <v>35</v>
      </c>
      <c r="D412" s="14" t="s">
        <v>2501</v>
      </c>
      <c r="E412" s="3" t="s">
        <v>628</v>
      </c>
      <c r="F412" s="9">
        <v>45572</v>
      </c>
      <c r="G412" s="5" t="s">
        <v>2095</v>
      </c>
      <c r="H412" s="5"/>
      <c r="I412" s="5" t="str">
        <f t="shared" si="1"/>
        <v>PROCESSO FOI ATUALIZADO</v>
      </c>
      <c r="J412" s="5"/>
      <c r="K412" s="5"/>
      <c r="L412" s="5"/>
      <c r="M412" s="5"/>
      <c r="N412" s="5"/>
    </row>
    <row r="413" spans="1:14" ht="22.5" customHeight="1" x14ac:dyDescent="0.2">
      <c r="A413" s="21" t="s">
        <v>886</v>
      </c>
      <c r="B413" s="3" t="s">
        <v>34</v>
      </c>
      <c r="C413" s="3" t="s">
        <v>35</v>
      </c>
      <c r="D413" s="14" t="s">
        <v>2502</v>
      </c>
      <c r="E413" s="3" t="s">
        <v>887</v>
      </c>
      <c r="F413" s="9">
        <v>45569</v>
      </c>
      <c r="G413" s="5" t="s">
        <v>2110</v>
      </c>
      <c r="H413" s="5"/>
      <c r="I413" s="5" t="str">
        <f t="shared" si="1"/>
        <v>PROCESSO FOI ATUALIZADO</v>
      </c>
      <c r="J413" s="5"/>
      <c r="K413" s="5"/>
      <c r="L413" s="5"/>
      <c r="M413" s="5"/>
      <c r="N413" s="5"/>
    </row>
    <row r="414" spans="1:14" ht="22.5" customHeight="1" x14ac:dyDescent="0.2">
      <c r="A414" s="21" t="s">
        <v>818</v>
      </c>
      <c r="B414" s="3" t="s">
        <v>34</v>
      </c>
      <c r="C414" s="3" t="s">
        <v>35</v>
      </c>
      <c r="D414" s="14" t="s">
        <v>2503</v>
      </c>
      <c r="E414" s="3" t="s">
        <v>819</v>
      </c>
      <c r="F414" s="9">
        <v>45569</v>
      </c>
      <c r="G414" s="5" t="s">
        <v>37</v>
      </c>
      <c r="H414" s="5"/>
      <c r="I414" s="5" t="str">
        <f t="shared" si="1"/>
        <v>PROCESSO FOI ATUALIZADO</v>
      </c>
      <c r="J414" s="5"/>
      <c r="K414" s="5"/>
      <c r="L414" s="5"/>
      <c r="M414" s="5"/>
      <c r="N414" s="5"/>
    </row>
    <row r="415" spans="1:14" ht="22.5" customHeight="1" x14ac:dyDescent="0.2">
      <c r="A415" s="21" t="s">
        <v>826</v>
      </c>
      <c r="B415" s="3" t="s">
        <v>34</v>
      </c>
      <c r="C415" s="3" t="s">
        <v>35</v>
      </c>
      <c r="D415" s="14" t="s">
        <v>2504</v>
      </c>
      <c r="E415" s="3" t="s">
        <v>827</v>
      </c>
      <c r="F415" s="9">
        <v>45569</v>
      </c>
      <c r="G415" s="5" t="s">
        <v>2095</v>
      </c>
      <c r="H415" s="5"/>
      <c r="I415" s="5" t="str">
        <f t="shared" si="1"/>
        <v>PROCESSO FOI ATUALIZADO</v>
      </c>
      <c r="J415" s="5"/>
      <c r="K415" s="5"/>
      <c r="L415" s="5"/>
      <c r="M415" s="5"/>
      <c r="N415" s="5"/>
    </row>
    <row r="416" spans="1:14" ht="22.5" customHeight="1" x14ac:dyDescent="0.2">
      <c r="A416" s="21" t="s">
        <v>853</v>
      </c>
      <c r="B416" s="3" t="s">
        <v>34</v>
      </c>
      <c r="C416" s="3" t="s">
        <v>35</v>
      </c>
      <c r="D416" s="14" t="s">
        <v>2505</v>
      </c>
      <c r="E416" s="3" t="s">
        <v>854</v>
      </c>
      <c r="F416" s="9">
        <v>45568</v>
      </c>
      <c r="G416" s="5" t="s">
        <v>2095</v>
      </c>
      <c r="H416" s="5"/>
      <c r="I416" s="5" t="str">
        <f t="shared" si="1"/>
        <v>PROCESSO FOI ATUALIZADO</v>
      </c>
      <c r="J416" s="5"/>
      <c r="K416" s="5"/>
      <c r="L416" s="5"/>
      <c r="M416" s="5"/>
      <c r="N416" s="5"/>
    </row>
    <row r="417" spans="1:14" ht="22.5" customHeight="1" x14ac:dyDescent="0.2">
      <c r="A417" s="21" t="s">
        <v>847</v>
      </c>
      <c r="B417" s="3" t="s">
        <v>34</v>
      </c>
      <c r="C417" s="3" t="s">
        <v>35</v>
      </c>
      <c r="D417" s="14" t="s">
        <v>2498</v>
      </c>
      <c r="E417" s="3" t="s">
        <v>730</v>
      </c>
      <c r="F417" s="9">
        <v>45567</v>
      </c>
      <c r="G417" s="5" t="s">
        <v>2095</v>
      </c>
      <c r="H417" s="5"/>
      <c r="I417" s="5" t="str">
        <f t="shared" si="1"/>
        <v>PROCESSO FOI ATUALIZADO</v>
      </c>
      <c r="J417" s="5"/>
      <c r="K417" s="5"/>
      <c r="L417" s="5"/>
      <c r="M417" s="5"/>
      <c r="N417" s="5"/>
    </row>
    <row r="418" spans="1:14" ht="22.5" customHeight="1" x14ac:dyDescent="0.2">
      <c r="A418" s="21" t="s">
        <v>857</v>
      </c>
      <c r="B418" s="3" t="s">
        <v>34</v>
      </c>
      <c r="C418" s="3" t="s">
        <v>35</v>
      </c>
      <c r="D418" s="14" t="s">
        <v>2506</v>
      </c>
      <c r="E418" s="3" t="s">
        <v>858</v>
      </c>
      <c r="F418" s="9">
        <v>45567</v>
      </c>
      <c r="G418" s="5" t="s">
        <v>2095</v>
      </c>
      <c r="H418" s="5"/>
      <c r="I418" s="5" t="str">
        <f t="shared" si="1"/>
        <v>PROCESSO FOI ATUALIZADO</v>
      </c>
      <c r="J418" s="5"/>
      <c r="K418" s="5"/>
      <c r="L418" s="5"/>
      <c r="M418" s="5"/>
      <c r="N418" s="5"/>
    </row>
    <row r="419" spans="1:14" ht="22.5" customHeight="1" x14ac:dyDescent="0.2">
      <c r="A419" s="21" t="s">
        <v>864</v>
      </c>
      <c r="B419" s="3" t="s">
        <v>34</v>
      </c>
      <c r="C419" s="3" t="s">
        <v>35</v>
      </c>
      <c r="D419" s="14" t="s">
        <v>2507</v>
      </c>
      <c r="E419" s="3" t="s">
        <v>608</v>
      </c>
      <c r="F419" s="9">
        <v>45567</v>
      </c>
      <c r="G419" s="5" t="s">
        <v>2095</v>
      </c>
      <c r="H419" s="5"/>
      <c r="I419" s="5" t="str">
        <f t="shared" si="1"/>
        <v>PROCESSO FOI ATUALIZADO</v>
      </c>
      <c r="J419" s="5"/>
      <c r="K419" s="5"/>
      <c r="L419" s="5"/>
      <c r="M419" s="5"/>
      <c r="N419" s="5"/>
    </row>
    <row r="420" spans="1:14" ht="22.5" customHeight="1" x14ac:dyDescent="0.2">
      <c r="A420" s="21" t="s">
        <v>844</v>
      </c>
      <c r="B420" s="3" t="s">
        <v>34</v>
      </c>
      <c r="C420" s="3" t="s">
        <v>35</v>
      </c>
      <c r="D420" s="14" t="s">
        <v>2508</v>
      </c>
      <c r="E420" s="3" t="s">
        <v>845</v>
      </c>
      <c r="F420" s="9">
        <v>45567</v>
      </c>
      <c r="G420" s="5" t="s">
        <v>2110</v>
      </c>
      <c r="H420" s="5"/>
      <c r="I420" s="5" t="str">
        <f t="shared" si="1"/>
        <v>PROCESSO FOI ATUALIZADO</v>
      </c>
      <c r="J420" s="5"/>
      <c r="K420" s="5"/>
      <c r="L420" s="5"/>
      <c r="M420" s="5"/>
      <c r="N420" s="5"/>
    </row>
    <row r="421" spans="1:14" ht="22.5" customHeight="1" x14ac:dyDescent="0.2">
      <c r="A421" s="21" t="s">
        <v>832</v>
      </c>
      <c r="B421" s="3" t="s">
        <v>34</v>
      </c>
      <c r="C421" s="3" t="s">
        <v>35</v>
      </c>
      <c r="D421" s="14" t="s">
        <v>2503</v>
      </c>
      <c r="E421" s="3" t="s">
        <v>819</v>
      </c>
      <c r="F421" s="9">
        <v>45566</v>
      </c>
      <c r="G421" s="5" t="s">
        <v>2095</v>
      </c>
      <c r="H421" s="5"/>
      <c r="I421" s="5" t="str">
        <f t="shared" si="1"/>
        <v>PROCESSO FOI ATUALIZADO</v>
      </c>
      <c r="J421" s="5"/>
      <c r="K421" s="5"/>
      <c r="L421" s="5"/>
      <c r="M421" s="5"/>
      <c r="N421" s="5"/>
    </row>
    <row r="422" spans="1:14" ht="22.5" customHeight="1" x14ac:dyDescent="0.2">
      <c r="A422" s="21" t="s">
        <v>905</v>
      </c>
      <c r="B422" s="3" t="s">
        <v>34</v>
      </c>
      <c r="C422" s="3" t="s">
        <v>35</v>
      </c>
      <c r="D422" s="14" t="s">
        <v>2509</v>
      </c>
      <c r="E422" s="3" t="s">
        <v>679</v>
      </c>
      <c r="F422" s="9">
        <v>45565</v>
      </c>
      <c r="G422" s="5" t="s">
        <v>2095</v>
      </c>
      <c r="H422" s="5"/>
      <c r="I422" s="5" t="str">
        <f t="shared" si="1"/>
        <v>PROCESSO FOI ATUALIZADO</v>
      </c>
      <c r="J422" s="5"/>
      <c r="K422" s="5"/>
      <c r="L422" s="5"/>
      <c r="M422" s="5"/>
      <c r="N422" s="5"/>
    </row>
    <row r="423" spans="1:14" ht="22.5" customHeight="1" x14ac:dyDescent="0.2">
      <c r="A423" s="21" t="s">
        <v>839</v>
      </c>
      <c r="B423" s="3" t="s">
        <v>34</v>
      </c>
      <c r="C423" s="3" t="s">
        <v>35</v>
      </c>
      <c r="D423" s="14" t="s">
        <v>2477</v>
      </c>
      <c r="E423" s="3" t="s">
        <v>343</v>
      </c>
      <c r="F423" s="9">
        <v>45562</v>
      </c>
      <c r="G423" s="5" t="s">
        <v>2095</v>
      </c>
      <c r="H423" s="5"/>
      <c r="I423" s="5" t="str">
        <f t="shared" si="1"/>
        <v>PROCESSO FOI ATUALIZADO</v>
      </c>
      <c r="J423" s="5"/>
      <c r="K423" s="5"/>
      <c r="L423" s="5"/>
      <c r="M423" s="5"/>
      <c r="N423" s="5"/>
    </row>
    <row r="424" spans="1:14" ht="22.5" customHeight="1" x14ac:dyDescent="0.2">
      <c r="A424" s="21" t="s">
        <v>894</v>
      </c>
      <c r="B424" s="3" t="s">
        <v>34</v>
      </c>
      <c r="C424" s="3" t="s">
        <v>35</v>
      </c>
      <c r="D424" s="14" t="s">
        <v>2510</v>
      </c>
      <c r="E424" s="3" t="s">
        <v>895</v>
      </c>
      <c r="F424" s="9">
        <v>45558</v>
      </c>
      <c r="G424" s="5" t="s">
        <v>37</v>
      </c>
      <c r="H424" s="5"/>
      <c r="I424" s="5" t="str">
        <f t="shared" si="1"/>
        <v>PROCESSO FOI ATUALIZADO</v>
      </c>
      <c r="J424" s="5"/>
      <c r="K424" s="5"/>
      <c r="L424" s="5"/>
      <c r="M424" s="5"/>
      <c r="N424" s="5"/>
    </row>
    <row r="425" spans="1:14" ht="22.5" customHeight="1" x14ac:dyDescent="0.2">
      <c r="A425" s="21" t="s">
        <v>910</v>
      </c>
      <c r="B425" s="3" t="s">
        <v>34</v>
      </c>
      <c r="C425" s="3" t="s">
        <v>35</v>
      </c>
      <c r="D425" s="14" t="s">
        <v>2510</v>
      </c>
      <c r="E425" s="3" t="s">
        <v>895</v>
      </c>
      <c r="F425" s="9">
        <v>45558</v>
      </c>
      <c r="G425" s="5" t="s">
        <v>2095</v>
      </c>
      <c r="H425" s="5"/>
      <c r="I425" s="5" t="str">
        <f t="shared" si="1"/>
        <v>PROCESSO FOI ATUALIZADO</v>
      </c>
      <c r="J425" s="5"/>
      <c r="K425" s="5"/>
      <c r="L425" s="5"/>
      <c r="M425" s="5"/>
      <c r="N425" s="5"/>
    </row>
    <row r="426" spans="1:14" ht="22.5" customHeight="1" x14ac:dyDescent="0.2">
      <c r="A426" s="21" t="s">
        <v>889</v>
      </c>
      <c r="B426" s="3" t="s">
        <v>34</v>
      </c>
      <c r="C426" s="3" t="s">
        <v>35</v>
      </c>
      <c r="D426" s="14" t="s">
        <v>2511</v>
      </c>
      <c r="E426" s="3" t="s">
        <v>743</v>
      </c>
      <c r="F426" s="9">
        <v>45555</v>
      </c>
      <c r="G426" s="5" t="s">
        <v>2095</v>
      </c>
      <c r="H426" s="5"/>
      <c r="I426" s="5" t="str">
        <f t="shared" si="1"/>
        <v>PROCESSO FOI ATUALIZADO</v>
      </c>
      <c r="J426" s="5"/>
      <c r="K426" s="5"/>
      <c r="L426" s="5"/>
      <c r="M426" s="5"/>
      <c r="N426" s="5"/>
    </row>
    <row r="427" spans="1:14" ht="22.5" customHeight="1" x14ac:dyDescent="0.2">
      <c r="A427" s="21" t="s">
        <v>892</v>
      </c>
      <c r="B427" s="3" t="s">
        <v>34</v>
      </c>
      <c r="C427" s="3" t="s">
        <v>35</v>
      </c>
      <c r="D427" s="14" t="s">
        <v>2512</v>
      </c>
      <c r="E427" s="3" t="s">
        <v>893</v>
      </c>
      <c r="F427" s="9">
        <v>45554</v>
      </c>
      <c r="G427" s="5" t="s">
        <v>2095</v>
      </c>
      <c r="H427" s="5"/>
      <c r="I427" s="5" t="str">
        <f t="shared" si="1"/>
        <v>PROCESSO FOI ATUALIZADO</v>
      </c>
      <c r="J427" s="5"/>
      <c r="K427" s="5"/>
      <c r="L427" s="5"/>
      <c r="M427" s="5"/>
      <c r="N427" s="5"/>
    </row>
    <row r="428" spans="1:14" ht="22.5" customHeight="1" x14ac:dyDescent="0.2">
      <c r="A428" s="21" t="s">
        <v>882</v>
      </c>
      <c r="B428" s="3" t="s">
        <v>34</v>
      </c>
      <c r="C428" s="3" t="s">
        <v>35</v>
      </c>
      <c r="D428" s="14" t="s">
        <v>2375</v>
      </c>
      <c r="E428" s="3" t="s">
        <v>511</v>
      </c>
      <c r="F428" s="9">
        <v>45553</v>
      </c>
      <c r="G428" s="5" t="s">
        <v>2095</v>
      </c>
      <c r="H428" s="5"/>
      <c r="I428" s="5" t="str">
        <f t="shared" si="1"/>
        <v>PROCESSO FOI ATUALIZADO</v>
      </c>
      <c r="J428" s="5"/>
      <c r="K428" s="5"/>
      <c r="L428" s="5"/>
      <c r="M428" s="5"/>
      <c r="N428" s="5"/>
    </row>
    <row r="429" spans="1:14" ht="22.5" customHeight="1" x14ac:dyDescent="0.2">
      <c r="A429" s="21" t="s">
        <v>872</v>
      </c>
      <c r="B429" s="3" t="s">
        <v>34</v>
      </c>
      <c r="C429" s="3" t="s">
        <v>35</v>
      </c>
      <c r="D429" s="14" t="s">
        <v>2513</v>
      </c>
      <c r="E429" s="3" t="s">
        <v>837</v>
      </c>
      <c r="F429" s="9">
        <v>45552</v>
      </c>
      <c r="G429" s="5" t="s">
        <v>2095</v>
      </c>
      <c r="H429" s="5"/>
      <c r="I429" s="5" t="str">
        <f t="shared" si="1"/>
        <v>PROCESSO FOI ATUALIZADO</v>
      </c>
      <c r="J429" s="5"/>
      <c r="K429" s="5"/>
      <c r="L429" s="5"/>
      <c r="M429" s="5"/>
      <c r="N429" s="5"/>
    </row>
    <row r="430" spans="1:14" ht="22.5" customHeight="1" x14ac:dyDescent="0.2">
      <c r="A430" s="21" t="s">
        <v>836</v>
      </c>
      <c r="B430" s="3" t="s">
        <v>34</v>
      </c>
      <c r="C430" s="3" t="s">
        <v>35</v>
      </c>
      <c r="D430" s="14" t="s">
        <v>2514</v>
      </c>
      <c r="E430" s="3" t="s">
        <v>837</v>
      </c>
      <c r="F430" s="9">
        <v>45551</v>
      </c>
      <c r="G430" s="5" t="s">
        <v>2095</v>
      </c>
      <c r="H430" s="5"/>
      <c r="I430" s="5" t="str">
        <f t="shared" si="1"/>
        <v>PROCESSO FOI ATUALIZADO</v>
      </c>
      <c r="J430" s="5"/>
      <c r="K430" s="5"/>
      <c r="L430" s="5"/>
      <c r="M430" s="5"/>
      <c r="N430" s="5"/>
    </row>
    <row r="431" spans="1:14" ht="22.5" customHeight="1" x14ac:dyDescent="0.2">
      <c r="A431" s="5" t="s">
        <v>823</v>
      </c>
      <c r="B431" s="3" t="s">
        <v>34</v>
      </c>
      <c r="C431" s="3" t="s">
        <v>35</v>
      </c>
      <c r="D431" s="3" t="s">
        <v>2515</v>
      </c>
      <c r="E431" s="3" t="s">
        <v>824</v>
      </c>
      <c r="F431" s="9">
        <v>45551</v>
      </c>
      <c r="G431" s="5" t="s">
        <v>2110</v>
      </c>
      <c r="H431" s="5"/>
      <c r="I431" s="5" t="str">
        <f t="shared" si="1"/>
        <v>PROCESSO FOI ATUALIZADO</v>
      </c>
      <c r="J431" s="5"/>
      <c r="K431" s="5"/>
      <c r="L431" s="5"/>
      <c r="M431" s="5"/>
      <c r="N431" s="5"/>
    </row>
    <row r="432" spans="1:14" ht="22.5" customHeight="1" x14ac:dyDescent="0.2">
      <c r="A432" s="21" t="s">
        <v>901</v>
      </c>
      <c r="B432" s="3" t="s">
        <v>34</v>
      </c>
      <c r="C432" s="3" t="s">
        <v>35</v>
      </c>
      <c r="D432" s="14" t="s">
        <v>2516</v>
      </c>
      <c r="E432" s="3" t="s">
        <v>902</v>
      </c>
      <c r="F432" s="9">
        <v>45551</v>
      </c>
      <c r="G432" s="5" t="s">
        <v>2095</v>
      </c>
      <c r="H432" s="5"/>
      <c r="I432" s="5" t="str">
        <f t="shared" si="1"/>
        <v>PROCESSO FOI ATUALIZADO</v>
      </c>
      <c r="J432" s="5"/>
      <c r="K432" s="5"/>
      <c r="L432" s="5"/>
      <c r="M432" s="5"/>
      <c r="N432" s="5"/>
    </row>
    <row r="433" spans="1:14" ht="22.5" customHeight="1" x14ac:dyDescent="0.2">
      <c r="A433" s="21" t="s">
        <v>869</v>
      </c>
      <c r="B433" s="3" t="s">
        <v>34</v>
      </c>
      <c r="C433" s="3" t="s">
        <v>35</v>
      </c>
      <c r="D433" s="14" t="s">
        <v>2517</v>
      </c>
      <c r="E433" s="3" t="s">
        <v>870</v>
      </c>
      <c r="F433" s="9">
        <v>45551</v>
      </c>
      <c r="G433" s="5" t="s">
        <v>2095</v>
      </c>
      <c r="H433" s="5"/>
      <c r="I433" s="5" t="str">
        <f t="shared" si="1"/>
        <v>PROCESSO FOI ATUALIZADO</v>
      </c>
      <c r="J433" s="5"/>
      <c r="K433" s="5"/>
      <c r="L433" s="5"/>
      <c r="M433" s="5"/>
      <c r="N433" s="5"/>
    </row>
    <row r="434" spans="1:14" ht="22.5" customHeight="1" x14ac:dyDescent="0.2">
      <c r="A434" s="21" t="s">
        <v>915</v>
      </c>
      <c r="B434" s="3" t="s">
        <v>34</v>
      </c>
      <c r="C434" s="3" t="s">
        <v>35</v>
      </c>
      <c r="D434" s="14" t="s">
        <v>2516</v>
      </c>
      <c r="E434" s="3" t="s">
        <v>902</v>
      </c>
      <c r="F434" s="9">
        <v>45548</v>
      </c>
      <c r="G434" s="5" t="s">
        <v>2095</v>
      </c>
      <c r="H434" s="5"/>
      <c r="I434" s="5" t="str">
        <f t="shared" si="1"/>
        <v>PROCESSO FOI ATUALIZADO</v>
      </c>
      <c r="J434" s="5"/>
      <c r="K434" s="5"/>
      <c r="L434" s="5"/>
      <c r="M434" s="5"/>
      <c r="N434" s="5"/>
    </row>
    <row r="435" spans="1:14" ht="22.5" customHeight="1" x14ac:dyDescent="0.2">
      <c r="A435" s="21" t="s">
        <v>851</v>
      </c>
      <c r="B435" s="3" t="s">
        <v>34</v>
      </c>
      <c r="C435" s="3" t="s">
        <v>35</v>
      </c>
      <c r="D435" s="14" t="s">
        <v>2518</v>
      </c>
      <c r="E435" s="3" t="s">
        <v>852</v>
      </c>
      <c r="F435" s="9">
        <v>45548</v>
      </c>
      <c r="G435" s="5" t="s">
        <v>37</v>
      </c>
      <c r="H435" s="5"/>
      <c r="I435" s="5" t="str">
        <f t="shared" si="1"/>
        <v>PROCESSO FOI ATUALIZADO</v>
      </c>
      <c r="J435" s="5"/>
      <c r="K435" s="5"/>
      <c r="L435" s="5"/>
      <c r="M435" s="5"/>
      <c r="N435" s="5"/>
    </row>
    <row r="436" spans="1:14" ht="22.5" customHeight="1" x14ac:dyDescent="0.2">
      <c r="A436" s="21" t="s">
        <v>884</v>
      </c>
      <c r="B436" s="3" t="s">
        <v>34</v>
      </c>
      <c r="C436" s="3" t="s">
        <v>35</v>
      </c>
      <c r="D436" s="14" t="s">
        <v>2359</v>
      </c>
      <c r="E436" s="3" t="s">
        <v>499</v>
      </c>
      <c r="F436" s="9">
        <v>45546</v>
      </c>
      <c r="G436" s="5" t="s">
        <v>2095</v>
      </c>
      <c r="H436" s="5"/>
      <c r="I436" s="5" t="str">
        <f t="shared" si="1"/>
        <v>PROCESSO FOI ATUALIZADO</v>
      </c>
      <c r="J436" s="5"/>
      <c r="K436" s="5"/>
      <c r="L436" s="5"/>
      <c r="M436" s="5"/>
      <c r="N436" s="5"/>
    </row>
    <row r="437" spans="1:14" ht="22.5" customHeight="1" x14ac:dyDescent="0.2">
      <c r="A437" s="21" t="s">
        <v>922</v>
      </c>
      <c r="B437" s="3" t="s">
        <v>34</v>
      </c>
      <c r="C437" s="3" t="s">
        <v>35</v>
      </c>
      <c r="D437" s="14" t="s">
        <v>2519</v>
      </c>
      <c r="E437" s="3" t="s">
        <v>923</v>
      </c>
      <c r="F437" s="9">
        <v>45541</v>
      </c>
      <c r="G437" s="5" t="s">
        <v>2110</v>
      </c>
      <c r="H437" s="5"/>
      <c r="I437" s="5" t="str">
        <f t="shared" si="1"/>
        <v>PROCESSO FOI ATUALIZADO</v>
      </c>
      <c r="J437" s="5"/>
      <c r="K437" s="5"/>
      <c r="L437" s="5"/>
      <c r="M437" s="5"/>
      <c r="N437" s="5"/>
    </row>
    <row r="438" spans="1:14" ht="22.5" customHeight="1" x14ac:dyDescent="0.2">
      <c r="A438" s="21" t="s">
        <v>841</v>
      </c>
      <c r="B438" s="3" t="s">
        <v>34</v>
      </c>
      <c r="C438" s="3" t="s">
        <v>35</v>
      </c>
      <c r="D438" s="14" t="s">
        <v>2520</v>
      </c>
      <c r="E438" s="3" t="s">
        <v>842</v>
      </c>
      <c r="F438" s="9">
        <v>45540</v>
      </c>
      <c r="G438" s="5" t="s">
        <v>2095</v>
      </c>
      <c r="H438" s="5"/>
      <c r="I438" s="5" t="str">
        <f t="shared" si="1"/>
        <v>PROCESSO FOI ATUALIZADO</v>
      </c>
      <c r="J438" s="5"/>
      <c r="K438" s="5"/>
      <c r="L438" s="5"/>
      <c r="M438" s="5"/>
      <c r="N438" s="5"/>
    </row>
    <row r="439" spans="1:14" ht="22.5" customHeight="1" x14ac:dyDescent="0.2">
      <c r="A439" s="21" t="s">
        <v>904</v>
      </c>
      <c r="B439" s="3" t="s">
        <v>34</v>
      </c>
      <c r="C439" s="3" t="s">
        <v>35</v>
      </c>
      <c r="D439" s="14" t="s">
        <v>2521</v>
      </c>
      <c r="E439" s="3" t="s">
        <v>852</v>
      </c>
      <c r="F439" s="9">
        <v>45538</v>
      </c>
      <c r="G439" s="5" t="s">
        <v>37</v>
      </c>
      <c r="H439" s="5"/>
      <c r="I439" s="5" t="str">
        <f t="shared" si="1"/>
        <v>PROCESSO FOI ATUALIZADO</v>
      </c>
      <c r="J439" s="5"/>
      <c r="K439" s="5"/>
      <c r="L439" s="5"/>
      <c r="M439" s="5"/>
      <c r="N439" s="5"/>
    </row>
    <row r="440" spans="1:14" ht="22.5" customHeight="1" x14ac:dyDescent="0.2">
      <c r="A440" s="21" t="s">
        <v>899</v>
      </c>
      <c r="B440" s="3" t="s">
        <v>34</v>
      </c>
      <c r="C440" s="3" t="s">
        <v>35</v>
      </c>
      <c r="D440" s="14" t="s">
        <v>2522</v>
      </c>
      <c r="E440" s="3" t="s">
        <v>625</v>
      </c>
      <c r="F440" s="9">
        <v>45537</v>
      </c>
      <c r="G440" s="5" t="s">
        <v>2095</v>
      </c>
      <c r="H440" s="5"/>
      <c r="I440" s="5" t="str">
        <f t="shared" si="1"/>
        <v>PROCESSO FOI ATUALIZADO</v>
      </c>
      <c r="J440" s="5"/>
      <c r="K440" s="5"/>
      <c r="L440" s="5"/>
      <c r="M440" s="5"/>
      <c r="N440" s="5"/>
    </row>
    <row r="441" spans="1:14" ht="22.5" customHeight="1" x14ac:dyDescent="0.2">
      <c r="A441" s="21" t="s">
        <v>861</v>
      </c>
      <c r="B441" s="3" t="s">
        <v>34</v>
      </c>
      <c r="C441" s="3" t="s">
        <v>35</v>
      </c>
      <c r="D441" s="14" t="s">
        <v>2300</v>
      </c>
      <c r="E441" s="3" t="s">
        <v>296</v>
      </c>
      <c r="F441" s="9">
        <v>45537</v>
      </c>
      <c r="G441" s="5" t="s">
        <v>2095</v>
      </c>
      <c r="H441" s="5"/>
      <c r="I441" s="5" t="str">
        <f t="shared" si="1"/>
        <v>PROCESSO FOI ATUALIZADO</v>
      </c>
      <c r="J441" s="5"/>
      <c r="K441" s="5"/>
      <c r="L441" s="5"/>
      <c r="M441" s="5"/>
      <c r="N441" s="5"/>
    </row>
    <row r="442" spans="1:14" ht="22.5" customHeight="1" x14ac:dyDescent="0.2">
      <c r="A442" s="21" t="s">
        <v>912</v>
      </c>
      <c r="B442" s="3" t="s">
        <v>34</v>
      </c>
      <c r="C442" s="3" t="s">
        <v>35</v>
      </c>
      <c r="D442" s="14" t="s">
        <v>2523</v>
      </c>
      <c r="E442" s="3" t="s">
        <v>913</v>
      </c>
      <c r="F442" s="9">
        <v>45537</v>
      </c>
      <c r="G442" s="5" t="s">
        <v>2095</v>
      </c>
      <c r="H442" s="5"/>
      <c r="I442" s="5" t="str">
        <f t="shared" si="1"/>
        <v>PROCESSO FOI ATUALIZADO</v>
      </c>
      <c r="J442" s="5"/>
      <c r="K442" s="5"/>
      <c r="L442" s="5"/>
      <c r="M442" s="5"/>
      <c r="N442" s="5"/>
    </row>
    <row r="443" spans="1:14" ht="22.5" customHeight="1" x14ac:dyDescent="0.2">
      <c r="A443" s="21" t="s">
        <v>896</v>
      </c>
      <c r="B443" s="3" t="s">
        <v>34</v>
      </c>
      <c r="C443" s="3" t="s">
        <v>35</v>
      </c>
      <c r="D443" s="14" t="s">
        <v>2524</v>
      </c>
      <c r="E443" s="3" t="s">
        <v>877</v>
      </c>
      <c r="F443" s="9">
        <v>45530</v>
      </c>
      <c r="G443" s="5" t="s">
        <v>2095</v>
      </c>
      <c r="H443" s="5"/>
      <c r="I443" s="5" t="str">
        <f t="shared" si="1"/>
        <v>PROCESSO FOI ATUALIZADO</v>
      </c>
      <c r="J443" s="5"/>
      <c r="K443" s="5"/>
      <c r="L443" s="5"/>
      <c r="M443" s="5"/>
      <c r="N443" s="5"/>
    </row>
    <row r="444" spans="1:14" ht="22.5" customHeight="1" x14ac:dyDescent="0.2">
      <c r="A444" s="21" t="s">
        <v>866</v>
      </c>
      <c r="B444" s="3" t="s">
        <v>34</v>
      </c>
      <c r="C444" s="3" t="s">
        <v>35</v>
      </c>
      <c r="D444" s="14" t="s">
        <v>2525</v>
      </c>
      <c r="E444" s="3" t="s">
        <v>867</v>
      </c>
      <c r="F444" s="9">
        <v>45530</v>
      </c>
      <c r="G444" s="5" t="s">
        <v>2095</v>
      </c>
      <c r="H444" s="5"/>
      <c r="I444" s="5" t="str">
        <f t="shared" si="1"/>
        <v>PROCESSO FOI ATUALIZADO</v>
      </c>
      <c r="J444" s="5"/>
      <c r="K444" s="5"/>
      <c r="L444" s="5"/>
      <c r="M444" s="5"/>
      <c r="N444" s="5"/>
    </row>
    <row r="445" spans="1:14" ht="22.5" customHeight="1" x14ac:dyDescent="0.2">
      <c r="A445" s="21" t="s">
        <v>907</v>
      </c>
      <c r="B445" s="3" t="s">
        <v>34</v>
      </c>
      <c r="C445" s="3" t="s">
        <v>35</v>
      </c>
      <c r="D445" s="14" t="s">
        <v>2465</v>
      </c>
      <c r="E445" s="3" t="s">
        <v>776</v>
      </c>
      <c r="F445" s="9">
        <v>45526</v>
      </c>
      <c r="G445" s="5" t="s">
        <v>2443</v>
      </c>
      <c r="H445" s="5"/>
      <c r="I445" s="5" t="str">
        <f t="shared" si="1"/>
        <v>PROCESSO FOI ATUALIZADO</v>
      </c>
      <c r="J445" s="5"/>
      <c r="K445" s="5"/>
      <c r="L445" s="5"/>
      <c r="M445" s="5"/>
      <c r="N445" s="5"/>
    </row>
    <row r="446" spans="1:14" ht="22.5" customHeight="1" x14ac:dyDescent="0.2">
      <c r="A446" s="21" t="s">
        <v>929</v>
      </c>
      <c r="B446" s="3" t="s">
        <v>34</v>
      </c>
      <c r="C446" s="3" t="s">
        <v>35</v>
      </c>
      <c r="D446" s="14" t="s">
        <v>2526</v>
      </c>
      <c r="E446" s="3" t="s">
        <v>930</v>
      </c>
      <c r="F446" s="9">
        <v>45526</v>
      </c>
      <c r="G446" s="5" t="s">
        <v>2095</v>
      </c>
      <c r="H446" s="5"/>
      <c r="I446" s="5" t="str">
        <f t="shared" si="1"/>
        <v>PROCESSO FOI ATUALIZADO</v>
      </c>
      <c r="J446" s="5"/>
      <c r="K446" s="5"/>
      <c r="L446" s="5"/>
      <c r="M446" s="5"/>
      <c r="N446" s="5"/>
    </row>
    <row r="447" spans="1:14" ht="22.5" customHeight="1" x14ac:dyDescent="0.2">
      <c r="A447" s="21" t="s">
        <v>908</v>
      </c>
      <c r="B447" s="3" t="s">
        <v>34</v>
      </c>
      <c r="C447" s="3" t="s">
        <v>35</v>
      </c>
      <c r="D447" s="14" t="s">
        <v>2527</v>
      </c>
      <c r="E447" s="3" t="s">
        <v>909</v>
      </c>
      <c r="F447" s="9">
        <v>45526</v>
      </c>
      <c r="G447" s="5" t="s">
        <v>2095</v>
      </c>
      <c r="H447" s="5"/>
      <c r="I447" s="5" t="str">
        <f t="shared" si="1"/>
        <v>PROCESSO FOI ATUALIZADO</v>
      </c>
      <c r="J447" s="5"/>
      <c r="K447" s="5"/>
      <c r="L447" s="5"/>
      <c r="M447" s="5"/>
      <c r="N447" s="5"/>
    </row>
    <row r="448" spans="1:14" ht="22.5" customHeight="1" x14ac:dyDescent="0.2">
      <c r="A448" s="21" t="s">
        <v>820</v>
      </c>
      <c r="B448" s="3" t="s">
        <v>34</v>
      </c>
      <c r="C448" s="3" t="s">
        <v>35</v>
      </c>
      <c r="D448" s="14" t="s">
        <v>2528</v>
      </c>
      <c r="E448" s="3" t="s">
        <v>821</v>
      </c>
      <c r="F448" s="9">
        <v>45526</v>
      </c>
      <c r="G448" s="5" t="s">
        <v>2095</v>
      </c>
      <c r="H448" s="5"/>
      <c r="I448" s="5" t="str">
        <f t="shared" si="1"/>
        <v>PROCESSO FOI ATUALIZADO</v>
      </c>
      <c r="J448" s="5"/>
      <c r="K448" s="5"/>
      <c r="L448" s="5"/>
      <c r="M448" s="5"/>
      <c r="N448" s="5"/>
    </row>
    <row r="449" spans="1:14" ht="22.5" customHeight="1" x14ac:dyDescent="0.2">
      <c r="A449" s="21" t="s">
        <v>924</v>
      </c>
      <c r="B449" s="3" t="s">
        <v>34</v>
      </c>
      <c r="C449" s="3" t="s">
        <v>35</v>
      </c>
      <c r="D449" s="14" t="s">
        <v>2529</v>
      </c>
      <c r="E449" s="3" t="s">
        <v>925</v>
      </c>
      <c r="F449" s="9">
        <v>45526</v>
      </c>
      <c r="G449" s="5" t="s">
        <v>2095</v>
      </c>
      <c r="H449" s="5"/>
      <c r="I449" s="5" t="str">
        <f t="shared" si="1"/>
        <v>PROCESSO FOI ATUALIZADO</v>
      </c>
      <c r="J449" s="5"/>
      <c r="K449" s="5"/>
      <c r="L449" s="5"/>
      <c r="M449" s="5"/>
      <c r="N449" s="5"/>
    </row>
    <row r="450" spans="1:14" ht="22.5" customHeight="1" x14ac:dyDescent="0.2">
      <c r="A450" s="21" t="s">
        <v>927</v>
      </c>
      <c r="B450" s="3" t="s">
        <v>34</v>
      </c>
      <c r="C450" s="3" t="s">
        <v>35</v>
      </c>
      <c r="D450" s="14" t="s">
        <v>2359</v>
      </c>
      <c r="E450" s="3" t="s">
        <v>499</v>
      </c>
      <c r="F450" s="9">
        <v>45525</v>
      </c>
      <c r="G450" s="5" t="s">
        <v>2095</v>
      </c>
      <c r="H450" s="5"/>
      <c r="I450" s="5" t="str">
        <f t="shared" si="1"/>
        <v>PROCESSO FOI ATUALIZADO</v>
      </c>
      <c r="J450" s="5"/>
      <c r="K450" s="5"/>
      <c r="L450" s="5"/>
      <c r="M450" s="5"/>
      <c r="N450" s="5"/>
    </row>
    <row r="451" spans="1:14" ht="22.5" customHeight="1" x14ac:dyDescent="0.2">
      <c r="A451" s="21" t="s">
        <v>874</v>
      </c>
      <c r="B451" s="3" t="s">
        <v>34</v>
      </c>
      <c r="C451" s="3" t="s">
        <v>35</v>
      </c>
      <c r="D451" s="14" t="s">
        <v>2530</v>
      </c>
      <c r="E451" s="3" t="s">
        <v>875</v>
      </c>
      <c r="F451" s="9">
        <v>45525</v>
      </c>
      <c r="G451" s="5" t="s">
        <v>2095</v>
      </c>
      <c r="H451" s="5"/>
      <c r="I451" s="5" t="str">
        <f t="shared" si="1"/>
        <v>PROCESSO FOI ATUALIZADO</v>
      </c>
      <c r="J451" s="5"/>
      <c r="K451" s="5"/>
      <c r="L451" s="5"/>
      <c r="M451" s="5"/>
      <c r="N451" s="5"/>
    </row>
    <row r="452" spans="1:14" ht="22.5" customHeight="1" x14ac:dyDescent="0.2">
      <c r="A452" s="21" t="s">
        <v>812</v>
      </c>
      <c r="B452" s="3" t="s">
        <v>34</v>
      </c>
      <c r="C452" s="3" t="s">
        <v>35</v>
      </c>
      <c r="D452" s="14" t="s">
        <v>2531</v>
      </c>
      <c r="E452" s="3" t="s">
        <v>813</v>
      </c>
      <c r="F452" s="9">
        <v>45523</v>
      </c>
      <c r="G452" s="5" t="s">
        <v>2095</v>
      </c>
      <c r="H452" s="5"/>
      <c r="I452" s="5" t="str">
        <f t="shared" si="1"/>
        <v>PROCESSO FOI ATUALIZADO</v>
      </c>
      <c r="J452" s="5"/>
      <c r="K452" s="5"/>
      <c r="L452" s="5"/>
      <c r="M452" s="5"/>
      <c r="N452" s="5"/>
    </row>
    <row r="453" spans="1:14" ht="22.5" customHeight="1" x14ac:dyDescent="0.2">
      <c r="A453" s="21" t="s">
        <v>815</v>
      </c>
      <c r="B453" s="3" t="s">
        <v>34</v>
      </c>
      <c r="C453" s="3" t="s">
        <v>35</v>
      </c>
      <c r="D453" s="14" t="s">
        <v>2532</v>
      </c>
      <c r="E453" s="3" t="s">
        <v>816</v>
      </c>
      <c r="F453" s="9">
        <v>45520</v>
      </c>
      <c r="G453" s="5" t="s">
        <v>2110</v>
      </c>
      <c r="H453" s="5"/>
      <c r="I453" s="5" t="str">
        <f t="shared" si="1"/>
        <v>PROCESSO FOI ATUALIZADO</v>
      </c>
      <c r="J453" s="5"/>
      <c r="K453" s="5"/>
      <c r="L453" s="5"/>
      <c r="M453" s="5"/>
      <c r="N453" s="5"/>
    </row>
    <row r="454" spans="1:14" ht="22.5" customHeight="1" x14ac:dyDescent="0.2">
      <c r="A454" s="21" t="s">
        <v>919</v>
      </c>
      <c r="B454" s="3" t="s">
        <v>34</v>
      </c>
      <c r="C454" s="3" t="s">
        <v>35</v>
      </c>
      <c r="D454" s="14" t="s">
        <v>2533</v>
      </c>
      <c r="E454" s="3" t="s">
        <v>920</v>
      </c>
      <c r="F454" s="9">
        <v>45518</v>
      </c>
      <c r="G454" s="5" t="s">
        <v>2095</v>
      </c>
      <c r="H454" s="5"/>
      <c r="I454" s="5" t="str">
        <f t="shared" si="1"/>
        <v>PROCESSO FOI ATUALIZADO</v>
      </c>
      <c r="J454" s="5"/>
      <c r="K454" s="5"/>
      <c r="L454" s="5"/>
      <c r="M454" s="5"/>
      <c r="N454" s="5"/>
    </row>
    <row r="455" spans="1:14" ht="22.5" customHeight="1" x14ac:dyDescent="0.2">
      <c r="A455" s="21" t="s">
        <v>849</v>
      </c>
      <c r="B455" s="3" t="s">
        <v>34</v>
      </c>
      <c r="C455" s="3" t="s">
        <v>35</v>
      </c>
      <c r="D455" s="14" t="s">
        <v>2534</v>
      </c>
      <c r="E455" s="3" t="s">
        <v>730</v>
      </c>
      <c r="F455" s="9">
        <v>45518</v>
      </c>
      <c r="G455" s="5" t="s">
        <v>2095</v>
      </c>
      <c r="H455" s="5"/>
      <c r="I455" s="5" t="str">
        <f t="shared" si="1"/>
        <v>PROCESSO FOI ATUALIZADO</v>
      </c>
      <c r="J455" s="5"/>
      <c r="K455" s="5"/>
      <c r="L455" s="5"/>
      <c r="M455" s="5"/>
      <c r="N455" s="5"/>
    </row>
    <row r="456" spans="1:14" ht="22.5" customHeight="1" x14ac:dyDescent="0.2">
      <c r="A456" s="21" t="s">
        <v>855</v>
      </c>
      <c r="B456" s="3" t="s">
        <v>34</v>
      </c>
      <c r="C456" s="3" t="s">
        <v>35</v>
      </c>
      <c r="D456" s="14" t="s">
        <v>2535</v>
      </c>
      <c r="E456" s="3" t="s">
        <v>856</v>
      </c>
      <c r="F456" s="9">
        <v>45518</v>
      </c>
      <c r="G456" s="5" t="s">
        <v>2095</v>
      </c>
      <c r="H456" s="5"/>
      <c r="I456" s="5" t="str">
        <f t="shared" si="1"/>
        <v>PROCESSO FOI ATUALIZADO</v>
      </c>
      <c r="J456" s="5"/>
      <c r="K456" s="5"/>
      <c r="L456" s="5"/>
      <c r="M456" s="5"/>
      <c r="N456" s="5"/>
    </row>
    <row r="457" spans="1:14" ht="22.5" customHeight="1" x14ac:dyDescent="0.2">
      <c r="A457" s="21" t="s">
        <v>891</v>
      </c>
      <c r="B457" s="3" t="s">
        <v>34</v>
      </c>
      <c r="C457" s="3" t="s">
        <v>35</v>
      </c>
      <c r="D457" s="14" t="s">
        <v>2536</v>
      </c>
      <c r="E457" s="3" t="s">
        <v>875</v>
      </c>
      <c r="F457" s="9">
        <v>45518</v>
      </c>
      <c r="G457" s="5" t="s">
        <v>2095</v>
      </c>
      <c r="H457" s="5"/>
      <c r="I457" s="5" t="str">
        <f t="shared" si="1"/>
        <v>PROCESSO FOI ATUALIZADO</v>
      </c>
      <c r="J457" s="5"/>
      <c r="K457" s="5"/>
      <c r="L457" s="5"/>
      <c r="M457" s="5"/>
      <c r="N457" s="5"/>
    </row>
    <row r="458" spans="1:14" ht="22.5" customHeight="1" x14ac:dyDescent="0.2">
      <c r="A458" s="21" t="s">
        <v>879</v>
      </c>
      <c r="B458" s="3" t="s">
        <v>34</v>
      </c>
      <c r="C458" s="3" t="s">
        <v>35</v>
      </c>
      <c r="D458" s="14" t="s">
        <v>2537</v>
      </c>
      <c r="E458" s="3" t="s">
        <v>880</v>
      </c>
      <c r="F458" s="9">
        <v>45516</v>
      </c>
      <c r="G458" s="5" t="s">
        <v>2095</v>
      </c>
      <c r="H458" s="5"/>
      <c r="I458" s="5" t="str">
        <f t="shared" si="1"/>
        <v>PROCESSO FOI ATUALIZADO</v>
      </c>
      <c r="J458" s="5"/>
      <c r="K458" s="5"/>
      <c r="L458" s="5"/>
      <c r="M458" s="5"/>
      <c r="N458" s="5"/>
    </row>
    <row r="459" spans="1:14" ht="22.5" customHeight="1" x14ac:dyDescent="0.2">
      <c r="A459" s="21" t="s">
        <v>829</v>
      </c>
      <c r="B459" s="3" t="s">
        <v>34</v>
      </c>
      <c r="C459" s="3" t="s">
        <v>35</v>
      </c>
      <c r="D459" s="14" t="s">
        <v>2538</v>
      </c>
      <c r="E459" s="3" t="s">
        <v>830</v>
      </c>
      <c r="F459" s="9">
        <v>45516</v>
      </c>
      <c r="G459" s="5" t="s">
        <v>2095</v>
      </c>
      <c r="H459" s="5"/>
      <c r="I459" s="5" t="str">
        <f t="shared" si="1"/>
        <v>PROCESSO FOI ATUALIZADO</v>
      </c>
      <c r="J459" s="5"/>
      <c r="K459" s="5"/>
      <c r="L459" s="5"/>
      <c r="M459" s="5"/>
      <c r="N459" s="5"/>
    </row>
    <row r="460" spans="1:14" ht="22.5" customHeight="1" x14ac:dyDescent="0.2">
      <c r="A460" s="21" t="s">
        <v>876</v>
      </c>
      <c r="B460" s="3" t="s">
        <v>34</v>
      </c>
      <c r="C460" s="3" t="s">
        <v>35</v>
      </c>
      <c r="D460" s="14" t="s">
        <v>2539</v>
      </c>
      <c r="E460" s="3" t="s">
        <v>877</v>
      </c>
      <c r="F460" s="9">
        <v>45516</v>
      </c>
      <c r="G460" s="5" t="s">
        <v>2095</v>
      </c>
      <c r="H460" s="5"/>
      <c r="I460" s="5" t="str">
        <f t="shared" si="1"/>
        <v>PROCESSO FOI ATUALIZADO</v>
      </c>
      <c r="J460" s="5"/>
      <c r="K460" s="5"/>
      <c r="L460" s="5"/>
      <c r="M460" s="5"/>
      <c r="N460" s="5"/>
    </row>
    <row r="461" spans="1:14" ht="22.5" customHeight="1" x14ac:dyDescent="0.2">
      <c r="A461" s="21" t="s">
        <v>1027</v>
      </c>
      <c r="B461" s="3" t="s">
        <v>34</v>
      </c>
      <c r="C461" s="3" t="s">
        <v>35</v>
      </c>
      <c r="D461" s="14" t="s">
        <v>2540</v>
      </c>
      <c r="E461" s="3" t="s">
        <v>821</v>
      </c>
      <c r="F461" s="9">
        <v>45516</v>
      </c>
      <c r="G461" s="5" t="s">
        <v>2095</v>
      </c>
      <c r="H461" s="5"/>
      <c r="I461" s="5" t="str">
        <f t="shared" si="1"/>
        <v>PROCESSO FOI ATUALIZADO</v>
      </c>
      <c r="J461" s="5"/>
      <c r="K461" s="5"/>
      <c r="L461" s="5"/>
      <c r="M461" s="5"/>
      <c r="N461" s="5"/>
    </row>
    <row r="462" spans="1:14" ht="22.5" customHeight="1" x14ac:dyDescent="0.2">
      <c r="A462" s="21" t="s">
        <v>936</v>
      </c>
      <c r="B462" s="3" t="s">
        <v>34</v>
      </c>
      <c r="C462" s="3" t="s">
        <v>35</v>
      </c>
      <c r="D462" s="14" t="s">
        <v>2499</v>
      </c>
      <c r="E462" s="3" t="s">
        <v>717</v>
      </c>
      <c r="F462" s="9">
        <v>45512</v>
      </c>
      <c r="G462" s="5" t="s">
        <v>2095</v>
      </c>
      <c r="H462" s="5"/>
      <c r="I462" s="5" t="str">
        <f t="shared" si="1"/>
        <v>PROCESSO FOI ATUALIZADO</v>
      </c>
      <c r="J462" s="5"/>
      <c r="K462" s="5"/>
      <c r="L462" s="5"/>
      <c r="M462" s="5"/>
      <c r="N462" s="5"/>
    </row>
    <row r="463" spans="1:14" ht="22.5" customHeight="1" x14ac:dyDescent="0.2">
      <c r="A463" s="21" t="s">
        <v>983</v>
      </c>
      <c r="B463" s="3" t="s">
        <v>34</v>
      </c>
      <c r="C463" s="3" t="s">
        <v>35</v>
      </c>
      <c r="D463" s="14" t="s">
        <v>2502</v>
      </c>
      <c r="E463" s="3" t="s">
        <v>887</v>
      </c>
      <c r="F463" s="9">
        <v>45512</v>
      </c>
      <c r="G463" s="5" t="s">
        <v>37</v>
      </c>
      <c r="H463" s="5"/>
      <c r="I463" s="5" t="str">
        <f t="shared" si="1"/>
        <v>PROCESSO FOI ATUALIZADO</v>
      </c>
      <c r="J463" s="5"/>
      <c r="K463" s="5"/>
      <c r="L463" s="5"/>
      <c r="M463" s="5"/>
      <c r="N463" s="5"/>
    </row>
    <row r="464" spans="1:14" ht="22.5" customHeight="1" x14ac:dyDescent="0.2">
      <c r="A464" s="21" t="s">
        <v>1005</v>
      </c>
      <c r="B464" s="3" t="s">
        <v>34</v>
      </c>
      <c r="C464" s="3" t="s">
        <v>35</v>
      </c>
      <c r="D464" s="14" t="s">
        <v>2541</v>
      </c>
      <c r="E464" s="3" t="s">
        <v>1006</v>
      </c>
      <c r="F464" s="9">
        <v>45510</v>
      </c>
      <c r="G464" s="5" t="s">
        <v>2095</v>
      </c>
      <c r="H464" s="5"/>
      <c r="I464" s="5" t="str">
        <f t="shared" si="1"/>
        <v>PROCESSO FOI ATUALIZADO</v>
      </c>
      <c r="J464" s="5"/>
      <c r="K464" s="5"/>
      <c r="L464" s="5"/>
      <c r="M464" s="5"/>
      <c r="N464" s="5"/>
    </row>
    <row r="465" spans="1:14" ht="22.5" customHeight="1" x14ac:dyDescent="0.2">
      <c r="A465" s="21" t="s">
        <v>981</v>
      </c>
      <c r="B465" s="3" t="s">
        <v>34</v>
      </c>
      <c r="C465" s="3" t="s">
        <v>35</v>
      </c>
      <c r="D465" s="14" t="s">
        <v>2501</v>
      </c>
      <c r="E465" s="3" t="s">
        <v>628</v>
      </c>
      <c r="F465" s="9">
        <v>45510</v>
      </c>
      <c r="G465" s="5" t="s">
        <v>2095</v>
      </c>
      <c r="H465" s="5"/>
      <c r="I465" s="5" t="str">
        <f t="shared" si="1"/>
        <v>PROCESSO FOI ATUALIZADO</v>
      </c>
      <c r="J465" s="5"/>
      <c r="K465" s="5"/>
      <c r="L465" s="5"/>
      <c r="M465" s="5"/>
      <c r="N465" s="5"/>
    </row>
    <row r="466" spans="1:14" ht="22.5" customHeight="1" x14ac:dyDescent="0.2">
      <c r="A466" s="21" t="s">
        <v>969</v>
      </c>
      <c r="B466" s="3" t="s">
        <v>34</v>
      </c>
      <c r="C466" s="3" t="s">
        <v>35</v>
      </c>
      <c r="D466" s="14" t="s">
        <v>2542</v>
      </c>
      <c r="E466" s="3" t="s">
        <v>970</v>
      </c>
      <c r="F466" s="9">
        <v>45510</v>
      </c>
      <c r="G466" s="5" t="s">
        <v>2095</v>
      </c>
      <c r="H466" s="5"/>
      <c r="I466" s="5" t="str">
        <f t="shared" si="1"/>
        <v>PROCESSO FOI ATUALIZADO</v>
      </c>
      <c r="J466" s="5"/>
      <c r="K466" s="5"/>
      <c r="L466" s="5"/>
      <c r="M466" s="5"/>
      <c r="N466" s="5"/>
    </row>
    <row r="467" spans="1:14" ht="22.5" customHeight="1" x14ac:dyDescent="0.2">
      <c r="A467" s="21" t="s">
        <v>1025</v>
      </c>
      <c r="B467" s="3" t="s">
        <v>34</v>
      </c>
      <c r="C467" s="3" t="s">
        <v>35</v>
      </c>
      <c r="D467" s="14" t="s">
        <v>2543</v>
      </c>
      <c r="E467" s="3" t="s">
        <v>1026</v>
      </c>
      <c r="F467" s="9">
        <v>45510</v>
      </c>
      <c r="G467" s="5" t="s">
        <v>2095</v>
      </c>
      <c r="H467" s="5"/>
      <c r="I467" s="5" t="str">
        <f t="shared" si="1"/>
        <v>PROCESSO FOI ATUALIZADO</v>
      </c>
      <c r="J467" s="5"/>
      <c r="K467" s="5"/>
      <c r="L467" s="5"/>
      <c r="M467" s="5"/>
      <c r="N467" s="5"/>
    </row>
    <row r="468" spans="1:14" ht="22.5" customHeight="1" x14ac:dyDescent="0.2">
      <c r="A468" s="21" t="s">
        <v>950</v>
      </c>
      <c r="B468" s="3" t="s">
        <v>34</v>
      </c>
      <c r="C468" s="3" t="s">
        <v>35</v>
      </c>
      <c r="D468" s="14" t="s">
        <v>2459</v>
      </c>
      <c r="E468" s="3" t="s">
        <v>644</v>
      </c>
      <c r="F468" s="9">
        <v>45510</v>
      </c>
      <c r="G468" s="5" t="s">
        <v>2443</v>
      </c>
      <c r="H468" s="5"/>
      <c r="I468" s="5" t="str">
        <f t="shared" si="1"/>
        <v>PROCESSO FOI ATUALIZADO</v>
      </c>
      <c r="J468" s="5"/>
      <c r="K468" s="5"/>
      <c r="L468" s="5"/>
      <c r="M468" s="5"/>
      <c r="N468" s="5"/>
    </row>
    <row r="469" spans="1:14" ht="22.5" customHeight="1" x14ac:dyDescent="0.2">
      <c r="A469" s="21" t="s">
        <v>954</v>
      </c>
      <c r="B469" s="3" t="s">
        <v>34</v>
      </c>
      <c r="C469" s="3" t="s">
        <v>35</v>
      </c>
      <c r="D469" s="14" t="s">
        <v>2544</v>
      </c>
      <c r="E469" s="3" t="s">
        <v>955</v>
      </c>
      <c r="F469" s="9">
        <v>45510</v>
      </c>
      <c r="G469" s="5" t="s">
        <v>2095</v>
      </c>
      <c r="H469" s="5"/>
      <c r="I469" s="5" t="str">
        <f t="shared" si="1"/>
        <v>PROCESSO FOI ATUALIZADO</v>
      </c>
      <c r="J469" s="5"/>
      <c r="K469" s="5"/>
      <c r="L469" s="5"/>
      <c r="M469" s="5"/>
      <c r="N469" s="5"/>
    </row>
    <row r="470" spans="1:14" ht="22.5" customHeight="1" x14ac:dyDescent="0.2">
      <c r="A470" s="21" t="s">
        <v>1003</v>
      </c>
      <c r="B470" s="3" t="s">
        <v>34</v>
      </c>
      <c r="C470" s="3" t="s">
        <v>35</v>
      </c>
      <c r="D470" s="14" t="s">
        <v>2545</v>
      </c>
      <c r="E470" s="3" t="s">
        <v>504</v>
      </c>
      <c r="F470" s="9">
        <v>45510</v>
      </c>
      <c r="G470" s="5" t="s">
        <v>2095</v>
      </c>
      <c r="H470" s="5"/>
      <c r="I470" s="5" t="str">
        <f t="shared" si="1"/>
        <v>PROCESSO FOI ATUALIZADO</v>
      </c>
      <c r="J470" s="5"/>
      <c r="K470" s="5"/>
      <c r="L470" s="5"/>
      <c r="M470" s="5"/>
      <c r="N470" s="5"/>
    </row>
    <row r="471" spans="1:14" ht="22.5" customHeight="1" x14ac:dyDescent="0.2">
      <c r="A471" s="21" t="s">
        <v>971</v>
      </c>
      <c r="B471" s="3" t="s">
        <v>34</v>
      </c>
      <c r="C471" s="3" t="s">
        <v>35</v>
      </c>
      <c r="D471" s="14" t="s">
        <v>2546</v>
      </c>
      <c r="E471" s="3" t="s">
        <v>913</v>
      </c>
      <c r="F471" s="9">
        <v>45510</v>
      </c>
      <c r="G471" s="5" t="s">
        <v>2095</v>
      </c>
      <c r="H471" s="5"/>
      <c r="I471" s="5" t="str">
        <f t="shared" si="1"/>
        <v>PROCESSO FOI ATUALIZADO</v>
      </c>
      <c r="J471" s="5"/>
      <c r="K471" s="5"/>
      <c r="L471" s="5"/>
      <c r="M471" s="5"/>
      <c r="N471" s="5"/>
    </row>
    <row r="472" spans="1:14" ht="22.5" customHeight="1" x14ac:dyDescent="0.2">
      <c r="A472" s="21" t="s">
        <v>943</v>
      </c>
      <c r="B472" s="3" t="s">
        <v>34</v>
      </c>
      <c r="C472" s="3" t="s">
        <v>35</v>
      </c>
      <c r="D472" s="14" t="s">
        <v>2547</v>
      </c>
      <c r="E472" s="3" t="s">
        <v>944</v>
      </c>
      <c r="F472" s="9">
        <v>45510</v>
      </c>
      <c r="G472" s="5" t="s">
        <v>2095</v>
      </c>
      <c r="H472" s="5"/>
      <c r="I472" s="5" t="str">
        <f t="shared" si="1"/>
        <v>PROCESSO FOI ATUALIZADO</v>
      </c>
      <c r="J472" s="5"/>
      <c r="K472" s="5"/>
      <c r="L472" s="5"/>
      <c r="M472" s="5"/>
      <c r="N472" s="5"/>
    </row>
    <row r="473" spans="1:14" ht="22.5" customHeight="1" x14ac:dyDescent="0.2">
      <c r="A473" s="21" t="s">
        <v>976</v>
      </c>
      <c r="B473" s="3" t="s">
        <v>34</v>
      </c>
      <c r="C473" s="3" t="s">
        <v>35</v>
      </c>
      <c r="D473" s="14" t="s">
        <v>2548</v>
      </c>
      <c r="E473" s="3" t="s">
        <v>977</v>
      </c>
      <c r="F473" s="9">
        <v>45510</v>
      </c>
      <c r="G473" s="5" t="s">
        <v>2095</v>
      </c>
      <c r="H473" s="5"/>
      <c r="I473" s="5" t="str">
        <f t="shared" si="1"/>
        <v>PROCESSO FOI ATUALIZADO</v>
      </c>
      <c r="J473" s="5"/>
      <c r="K473" s="5"/>
      <c r="L473" s="5"/>
      <c r="M473" s="5"/>
      <c r="N473" s="5"/>
    </row>
    <row r="474" spans="1:14" ht="22.5" customHeight="1" x14ac:dyDescent="0.2">
      <c r="A474" s="21" t="s">
        <v>992</v>
      </c>
      <c r="B474" s="3" t="s">
        <v>34</v>
      </c>
      <c r="C474" s="3" t="s">
        <v>35</v>
      </c>
      <c r="D474" s="14" t="s">
        <v>2549</v>
      </c>
      <c r="E474" s="3" t="s">
        <v>948</v>
      </c>
      <c r="F474" s="9">
        <v>45506</v>
      </c>
      <c r="G474" s="5" t="s">
        <v>2095</v>
      </c>
      <c r="H474" s="5"/>
      <c r="I474" s="5" t="str">
        <f t="shared" si="1"/>
        <v>PROCESSO FOI ATUALIZADO</v>
      </c>
      <c r="J474" s="5"/>
      <c r="K474" s="5"/>
      <c r="L474" s="5"/>
      <c r="M474" s="5"/>
      <c r="N474" s="5"/>
    </row>
    <row r="475" spans="1:14" ht="22.5" customHeight="1" x14ac:dyDescent="0.2">
      <c r="A475" s="21" t="s">
        <v>938</v>
      </c>
      <c r="B475" s="3" t="s">
        <v>34</v>
      </c>
      <c r="C475" s="3" t="s">
        <v>35</v>
      </c>
      <c r="D475" s="14" t="s">
        <v>2532</v>
      </c>
      <c r="E475" s="3" t="s">
        <v>816</v>
      </c>
      <c r="F475" s="9">
        <v>45506</v>
      </c>
      <c r="G475" s="5" t="s">
        <v>37</v>
      </c>
      <c r="H475" s="5"/>
      <c r="I475" s="5" t="str">
        <f t="shared" si="1"/>
        <v>PROCESSO FOI ATUALIZADO</v>
      </c>
      <c r="J475" s="5"/>
      <c r="K475" s="5"/>
      <c r="L475" s="5"/>
      <c r="M475" s="5"/>
      <c r="N475" s="5"/>
    </row>
    <row r="476" spans="1:14" ht="22.5" customHeight="1" x14ac:dyDescent="0.2">
      <c r="A476" s="21" t="s">
        <v>999</v>
      </c>
      <c r="B476" s="3" t="s">
        <v>34</v>
      </c>
      <c r="C476" s="3" t="s">
        <v>35</v>
      </c>
      <c r="D476" s="14" t="s">
        <v>2550</v>
      </c>
      <c r="E476" s="3" t="s">
        <v>948</v>
      </c>
      <c r="F476" s="9">
        <v>45506</v>
      </c>
      <c r="G476" s="5" t="s">
        <v>2095</v>
      </c>
      <c r="H476" s="5"/>
      <c r="I476" s="5" t="str">
        <f t="shared" si="1"/>
        <v>PROCESSO FOI ATUALIZADO</v>
      </c>
      <c r="J476" s="5"/>
      <c r="K476" s="5"/>
      <c r="L476" s="5"/>
      <c r="M476" s="5"/>
      <c r="N476" s="5"/>
    </row>
    <row r="477" spans="1:14" ht="22.5" customHeight="1" x14ac:dyDescent="0.2">
      <c r="A477" s="21" t="s">
        <v>958</v>
      </c>
      <c r="B477" s="3" t="s">
        <v>34</v>
      </c>
      <c r="C477" s="3" t="s">
        <v>35</v>
      </c>
      <c r="D477" s="14" t="s">
        <v>2551</v>
      </c>
      <c r="E477" s="3" t="s">
        <v>959</v>
      </c>
      <c r="F477" s="9">
        <v>45505</v>
      </c>
      <c r="G477" s="5" t="s">
        <v>2095</v>
      </c>
      <c r="H477" s="5"/>
      <c r="I477" s="5" t="str">
        <f t="shared" si="1"/>
        <v>PROCESSO FOI ATUALIZADO</v>
      </c>
      <c r="J477" s="5"/>
      <c r="K477" s="5"/>
      <c r="L477" s="5"/>
      <c r="M477" s="5"/>
      <c r="N477" s="5"/>
    </row>
    <row r="478" spans="1:14" ht="22.5" customHeight="1" x14ac:dyDescent="0.2">
      <c r="A478" s="21" t="s">
        <v>963</v>
      </c>
      <c r="B478" s="3" t="s">
        <v>34</v>
      </c>
      <c r="C478" s="3" t="s">
        <v>35</v>
      </c>
      <c r="D478" s="14" t="s">
        <v>2552</v>
      </c>
      <c r="E478" s="3" t="s">
        <v>964</v>
      </c>
      <c r="F478" s="8">
        <v>45505</v>
      </c>
      <c r="G478" s="5" t="s">
        <v>2095</v>
      </c>
      <c r="H478" s="5"/>
      <c r="I478" s="5" t="str">
        <f t="shared" si="1"/>
        <v>PROCESSO FOI ATUALIZADO</v>
      </c>
      <c r="J478" s="5"/>
      <c r="K478" s="5"/>
      <c r="L478" s="5"/>
      <c r="M478" s="5"/>
      <c r="N478" s="5"/>
    </row>
    <row r="479" spans="1:14" ht="22.5" customHeight="1" x14ac:dyDescent="0.2">
      <c r="A479" s="21" t="s">
        <v>975</v>
      </c>
      <c r="B479" s="3" t="s">
        <v>34</v>
      </c>
      <c r="C479" s="3" t="s">
        <v>35</v>
      </c>
      <c r="D479" s="14" t="s">
        <v>2552</v>
      </c>
      <c r="E479" s="3" t="s">
        <v>964</v>
      </c>
      <c r="F479" s="8">
        <v>45505</v>
      </c>
      <c r="G479" s="5" t="s">
        <v>37</v>
      </c>
      <c r="H479" s="5"/>
      <c r="I479" s="5" t="str">
        <f t="shared" si="1"/>
        <v>PROCESSO FOI ATUALIZADO</v>
      </c>
      <c r="J479" s="5"/>
      <c r="K479" s="5"/>
      <c r="L479" s="5"/>
      <c r="M479" s="5"/>
      <c r="N479" s="5"/>
    </row>
    <row r="480" spans="1:14" ht="22.5" customHeight="1" x14ac:dyDescent="0.2">
      <c r="A480" s="21" t="s">
        <v>1024</v>
      </c>
      <c r="B480" s="3" t="s">
        <v>34</v>
      </c>
      <c r="C480" s="3" t="s">
        <v>35</v>
      </c>
      <c r="D480" s="14" t="s">
        <v>2451</v>
      </c>
      <c r="E480" s="3" t="s">
        <v>666</v>
      </c>
      <c r="F480" s="9">
        <v>45505</v>
      </c>
      <c r="G480" s="5" t="s">
        <v>2443</v>
      </c>
      <c r="H480" s="5"/>
      <c r="I480" s="5" t="str">
        <f t="shared" si="1"/>
        <v>PROCESSO FOI ATUALIZADO</v>
      </c>
      <c r="J480" s="5"/>
      <c r="K480" s="5"/>
      <c r="L480" s="5"/>
      <c r="M480" s="5"/>
      <c r="N480" s="5"/>
    </row>
    <row r="481" spans="1:14" ht="22.5" customHeight="1" x14ac:dyDescent="0.2">
      <c r="A481" s="21" t="s">
        <v>933</v>
      </c>
      <c r="B481" s="3" t="s">
        <v>34</v>
      </c>
      <c r="C481" s="3" t="s">
        <v>35</v>
      </c>
      <c r="D481" s="14" t="s">
        <v>2553</v>
      </c>
      <c r="E481" s="3" t="s">
        <v>856</v>
      </c>
      <c r="F481" s="9">
        <v>45505</v>
      </c>
      <c r="G481" s="5" t="s">
        <v>37</v>
      </c>
      <c r="H481" s="5"/>
      <c r="I481" s="5" t="str">
        <f t="shared" si="1"/>
        <v>PROCESSO FOI ATUALIZADO</v>
      </c>
      <c r="J481" s="5"/>
      <c r="K481" s="5"/>
      <c r="L481" s="5"/>
      <c r="M481" s="5"/>
      <c r="N481" s="5"/>
    </row>
    <row r="482" spans="1:14" ht="22.5" customHeight="1" x14ac:dyDescent="0.2">
      <c r="A482" s="21" t="s">
        <v>967</v>
      </c>
      <c r="B482" s="3" t="s">
        <v>34</v>
      </c>
      <c r="C482" s="3" t="s">
        <v>35</v>
      </c>
      <c r="D482" s="14" t="s">
        <v>2554</v>
      </c>
      <c r="E482" s="3" t="s">
        <v>968</v>
      </c>
      <c r="F482" s="9">
        <v>45502</v>
      </c>
      <c r="G482" s="5" t="s">
        <v>2095</v>
      </c>
      <c r="H482" s="5"/>
      <c r="I482" s="5" t="str">
        <f t="shared" si="1"/>
        <v>PROCESSO FOI ATUALIZADO</v>
      </c>
      <c r="J482" s="5"/>
      <c r="K482" s="5"/>
      <c r="L482" s="5"/>
      <c r="M482" s="5"/>
      <c r="N482" s="5"/>
    </row>
    <row r="483" spans="1:14" ht="22.5" customHeight="1" x14ac:dyDescent="0.2">
      <c r="A483" s="21" t="s">
        <v>1001</v>
      </c>
      <c r="B483" s="3" t="s">
        <v>34</v>
      </c>
      <c r="C483" s="3" t="s">
        <v>35</v>
      </c>
      <c r="D483" s="14" t="s">
        <v>2555</v>
      </c>
      <c r="E483" s="3" t="s">
        <v>961</v>
      </c>
      <c r="F483" s="9">
        <v>45502</v>
      </c>
      <c r="G483" s="5" t="s">
        <v>2095</v>
      </c>
      <c r="H483" s="5"/>
      <c r="I483" s="5" t="str">
        <f t="shared" si="1"/>
        <v>PROCESSO FOI ATUALIZADO</v>
      </c>
      <c r="J483" s="5"/>
      <c r="K483" s="5"/>
      <c r="L483" s="5"/>
      <c r="M483" s="5"/>
      <c r="N483" s="5"/>
    </row>
    <row r="484" spans="1:14" ht="22.5" customHeight="1" x14ac:dyDescent="0.2">
      <c r="A484" s="21" t="s">
        <v>946</v>
      </c>
      <c r="B484" s="3" t="s">
        <v>34</v>
      </c>
      <c r="C484" s="3" t="s">
        <v>35</v>
      </c>
      <c r="D484" s="14" t="s">
        <v>2556</v>
      </c>
      <c r="E484" s="3" t="s">
        <v>830</v>
      </c>
      <c r="F484" s="9">
        <v>45502</v>
      </c>
      <c r="G484" s="5" t="s">
        <v>37</v>
      </c>
      <c r="H484" s="5"/>
      <c r="I484" s="5" t="str">
        <f t="shared" si="1"/>
        <v>PROCESSO FOI ATUALIZADO</v>
      </c>
      <c r="J484" s="5"/>
      <c r="K484" s="5"/>
      <c r="L484" s="5"/>
      <c r="M484" s="5"/>
      <c r="N484" s="5"/>
    </row>
    <row r="485" spans="1:14" ht="22.5" customHeight="1" x14ac:dyDescent="0.2">
      <c r="A485" s="21" t="s">
        <v>1022</v>
      </c>
      <c r="B485" s="3" t="s">
        <v>34</v>
      </c>
      <c r="C485" s="3" t="s">
        <v>35</v>
      </c>
      <c r="D485" s="14" t="s">
        <v>2552</v>
      </c>
      <c r="E485" s="3" t="s">
        <v>964</v>
      </c>
      <c r="F485" s="9">
        <v>45502</v>
      </c>
      <c r="G485" s="5" t="s">
        <v>2095</v>
      </c>
      <c r="H485" s="5"/>
      <c r="I485" s="5" t="str">
        <f t="shared" si="1"/>
        <v>PROCESSO FOI ATUALIZADO</v>
      </c>
      <c r="J485" s="5"/>
      <c r="K485" s="5"/>
      <c r="L485" s="5"/>
      <c r="M485" s="5"/>
      <c r="N485" s="5"/>
    </row>
    <row r="486" spans="1:14" ht="22.5" customHeight="1" x14ac:dyDescent="0.2">
      <c r="A486" s="21" t="s">
        <v>1018</v>
      </c>
      <c r="B486" s="3" t="s">
        <v>34</v>
      </c>
      <c r="C486" s="3" t="s">
        <v>35</v>
      </c>
      <c r="D486" s="14" t="s">
        <v>2557</v>
      </c>
      <c r="E486" s="3" t="s">
        <v>948</v>
      </c>
      <c r="F486" s="9">
        <v>45498</v>
      </c>
      <c r="G486" s="5" t="s">
        <v>2095</v>
      </c>
      <c r="H486" s="5"/>
      <c r="I486" s="5" t="str">
        <f t="shared" si="1"/>
        <v>PROCESSO FOI ATUALIZADO</v>
      </c>
      <c r="J486" s="5"/>
      <c r="K486" s="5"/>
      <c r="L486" s="5"/>
      <c r="M486" s="5"/>
      <c r="N486" s="5"/>
    </row>
    <row r="487" spans="1:14" ht="22.5" customHeight="1" x14ac:dyDescent="0.2">
      <c r="A487" s="21" t="s">
        <v>1014</v>
      </c>
      <c r="B487" s="3" t="s">
        <v>34</v>
      </c>
      <c r="C487" s="3" t="s">
        <v>35</v>
      </c>
      <c r="D487" s="14" t="s">
        <v>2558</v>
      </c>
      <c r="E487" s="3" t="s">
        <v>877</v>
      </c>
      <c r="F487" s="9">
        <v>45498</v>
      </c>
      <c r="G487" s="5" t="s">
        <v>2095</v>
      </c>
      <c r="H487" s="5"/>
      <c r="I487" s="5" t="str">
        <f t="shared" si="1"/>
        <v>PROCESSO FOI ATUALIZADO</v>
      </c>
      <c r="J487" s="5"/>
      <c r="K487" s="5"/>
      <c r="L487" s="5"/>
      <c r="M487" s="5"/>
      <c r="N487" s="5"/>
    </row>
    <row r="488" spans="1:14" ht="22.5" customHeight="1" x14ac:dyDescent="0.2">
      <c r="A488" s="21" t="s">
        <v>1019</v>
      </c>
      <c r="B488" s="3" t="s">
        <v>34</v>
      </c>
      <c r="C488" s="3" t="s">
        <v>35</v>
      </c>
      <c r="D488" s="14" t="s">
        <v>2559</v>
      </c>
      <c r="E488" s="3" t="s">
        <v>1020</v>
      </c>
      <c r="F488" s="9">
        <v>45498</v>
      </c>
      <c r="G488" s="5" t="s">
        <v>2095</v>
      </c>
      <c r="H488" s="5"/>
      <c r="I488" s="5" t="str">
        <f t="shared" si="1"/>
        <v>PROCESSO FOI ATUALIZADO</v>
      </c>
      <c r="J488" s="5"/>
      <c r="K488" s="5"/>
      <c r="L488" s="5"/>
      <c r="M488" s="5"/>
      <c r="N488" s="5"/>
    </row>
    <row r="489" spans="1:14" ht="22.5" customHeight="1" x14ac:dyDescent="0.2">
      <c r="A489" s="21" t="s">
        <v>960</v>
      </c>
      <c r="B489" s="3" t="s">
        <v>34</v>
      </c>
      <c r="C489" s="3" t="s">
        <v>35</v>
      </c>
      <c r="D489" s="14" t="s">
        <v>2560</v>
      </c>
      <c r="E489" s="3" t="s">
        <v>961</v>
      </c>
      <c r="F489" s="9">
        <v>45498</v>
      </c>
      <c r="G489" s="5" t="s">
        <v>2095</v>
      </c>
      <c r="H489" s="5"/>
      <c r="I489" s="5" t="str">
        <f t="shared" si="1"/>
        <v>PROCESSO FOI ATUALIZADO</v>
      </c>
      <c r="J489" s="5"/>
      <c r="K489" s="5"/>
      <c r="L489" s="5"/>
      <c r="M489" s="5"/>
      <c r="N489" s="5"/>
    </row>
    <row r="490" spans="1:14" ht="22.5" customHeight="1" x14ac:dyDescent="0.2">
      <c r="A490" s="21" t="s">
        <v>1011</v>
      </c>
      <c r="B490" s="3" t="s">
        <v>34</v>
      </c>
      <c r="C490" s="3" t="s">
        <v>35</v>
      </c>
      <c r="D490" s="14" t="s">
        <v>2561</v>
      </c>
      <c r="E490" s="3" t="s">
        <v>1012</v>
      </c>
      <c r="F490" s="9">
        <v>45497</v>
      </c>
      <c r="G490" s="5" t="s">
        <v>2095</v>
      </c>
      <c r="H490" s="5"/>
      <c r="I490" s="5" t="str">
        <f t="shared" si="1"/>
        <v>PROCESSO FOI ATUALIZADO</v>
      </c>
      <c r="J490" s="5"/>
      <c r="K490" s="5"/>
      <c r="L490" s="5"/>
      <c r="M490" s="5"/>
      <c r="N490" s="5"/>
    </row>
    <row r="491" spans="1:14" ht="22.5" customHeight="1" x14ac:dyDescent="0.2">
      <c r="A491" s="21" t="s">
        <v>931</v>
      </c>
      <c r="B491" s="3" t="s">
        <v>34</v>
      </c>
      <c r="C491" s="3" t="s">
        <v>35</v>
      </c>
      <c r="D491" s="14" t="s">
        <v>2562</v>
      </c>
      <c r="E491" s="3" t="s">
        <v>932</v>
      </c>
      <c r="F491" s="9">
        <v>45497</v>
      </c>
      <c r="G491" s="5" t="s">
        <v>37</v>
      </c>
      <c r="H491" s="5"/>
      <c r="I491" s="5" t="str">
        <f t="shared" si="1"/>
        <v>PROCESSO FOI ATUALIZADO</v>
      </c>
      <c r="J491" s="5"/>
      <c r="K491" s="5"/>
      <c r="L491" s="5"/>
      <c r="M491" s="5"/>
      <c r="N491" s="5"/>
    </row>
    <row r="492" spans="1:14" ht="22.5" customHeight="1" x14ac:dyDescent="0.2">
      <c r="A492" s="21" t="s">
        <v>939</v>
      </c>
      <c r="B492" s="3" t="s">
        <v>34</v>
      </c>
      <c r="C492" s="3" t="s">
        <v>35</v>
      </c>
      <c r="D492" s="14" t="s">
        <v>2532</v>
      </c>
      <c r="E492" s="3" t="s">
        <v>816</v>
      </c>
      <c r="F492" s="9">
        <v>45496</v>
      </c>
      <c r="G492" s="5" t="s">
        <v>37</v>
      </c>
      <c r="H492" s="5"/>
      <c r="I492" s="5" t="str">
        <f t="shared" si="1"/>
        <v>PROCESSO FOI ATUALIZADO</v>
      </c>
      <c r="J492" s="5"/>
      <c r="K492" s="5"/>
      <c r="L492" s="5"/>
      <c r="M492" s="5"/>
      <c r="N492" s="5"/>
    </row>
    <row r="493" spans="1:14" ht="22.5" customHeight="1" x14ac:dyDescent="0.2">
      <c r="A493" s="21" t="s">
        <v>957</v>
      </c>
      <c r="B493" s="3" t="s">
        <v>34</v>
      </c>
      <c r="C493" s="3" t="s">
        <v>35</v>
      </c>
      <c r="D493" s="14" t="s">
        <v>2563</v>
      </c>
      <c r="E493" s="3" t="s">
        <v>875</v>
      </c>
      <c r="F493" s="9">
        <v>45495</v>
      </c>
      <c r="G493" s="5" t="s">
        <v>37</v>
      </c>
      <c r="H493" s="5"/>
      <c r="I493" s="5" t="str">
        <f t="shared" si="1"/>
        <v>PROCESSO FOI ATUALIZADO</v>
      </c>
      <c r="J493" s="5"/>
      <c r="K493" s="5"/>
      <c r="L493" s="5"/>
      <c r="M493" s="5"/>
      <c r="N493" s="5"/>
    </row>
    <row r="494" spans="1:14" ht="22.5" customHeight="1" x14ac:dyDescent="0.2">
      <c r="A494" s="21" t="s">
        <v>984</v>
      </c>
      <c r="B494" s="3" t="s">
        <v>34</v>
      </c>
      <c r="C494" s="3" t="s">
        <v>35</v>
      </c>
      <c r="D494" s="14" t="s">
        <v>2564</v>
      </c>
      <c r="E494" s="3" t="s">
        <v>877</v>
      </c>
      <c r="F494" s="9">
        <v>45495</v>
      </c>
      <c r="G494" s="5" t="s">
        <v>2095</v>
      </c>
      <c r="H494" s="5"/>
      <c r="I494" s="5" t="str">
        <f t="shared" si="1"/>
        <v>PROCESSO FOI ATUALIZADO</v>
      </c>
      <c r="J494" s="5"/>
      <c r="K494" s="5"/>
      <c r="L494" s="5"/>
      <c r="M494" s="5"/>
      <c r="N494" s="5"/>
    </row>
    <row r="495" spans="1:14" ht="22.5" customHeight="1" x14ac:dyDescent="0.2">
      <c r="A495" s="21" t="s">
        <v>1008</v>
      </c>
      <c r="B495" s="3" t="s">
        <v>34</v>
      </c>
      <c r="C495" s="3" t="s">
        <v>35</v>
      </c>
      <c r="D495" s="14" t="s">
        <v>2565</v>
      </c>
      <c r="E495" s="3" t="s">
        <v>1009</v>
      </c>
      <c r="F495" s="9">
        <v>45495</v>
      </c>
      <c r="G495" s="5" t="s">
        <v>2095</v>
      </c>
      <c r="H495" s="5"/>
      <c r="I495" s="5" t="str">
        <f t="shared" si="1"/>
        <v>PROCESSO FOI ATUALIZADO</v>
      </c>
      <c r="J495" s="5"/>
      <c r="K495" s="5"/>
      <c r="L495" s="5"/>
      <c r="M495" s="5"/>
      <c r="N495" s="5"/>
    </row>
    <row r="496" spans="1:14" ht="22.5" customHeight="1" x14ac:dyDescent="0.2">
      <c r="A496" s="21" t="s">
        <v>934</v>
      </c>
      <c r="B496" s="3" t="s">
        <v>34</v>
      </c>
      <c r="C496" s="3" t="s">
        <v>35</v>
      </c>
      <c r="D496" s="14" t="s">
        <v>2566</v>
      </c>
      <c r="E496" s="3" t="s">
        <v>935</v>
      </c>
      <c r="F496" s="9">
        <v>45495</v>
      </c>
      <c r="G496" s="5" t="s">
        <v>2095</v>
      </c>
      <c r="H496" s="5"/>
      <c r="I496" s="5" t="str">
        <f t="shared" si="1"/>
        <v>PROCESSO FOI ATUALIZADO</v>
      </c>
      <c r="J496" s="5"/>
      <c r="K496" s="5"/>
      <c r="L496" s="5"/>
      <c r="M496" s="5"/>
      <c r="N496" s="5"/>
    </row>
    <row r="497" spans="1:14" ht="22.5" customHeight="1" x14ac:dyDescent="0.2">
      <c r="A497" s="21" t="s">
        <v>986</v>
      </c>
      <c r="B497" s="3" t="s">
        <v>34</v>
      </c>
      <c r="C497" s="3" t="s">
        <v>35</v>
      </c>
      <c r="D497" s="14" t="s">
        <v>2567</v>
      </c>
      <c r="E497" s="3" t="s">
        <v>877</v>
      </c>
      <c r="F497" s="9">
        <v>45495</v>
      </c>
      <c r="G497" s="5" t="s">
        <v>2095</v>
      </c>
      <c r="H497" s="5"/>
      <c r="I497" s="5" t="str">
        <f t="shared" si="1"/>
        <v>PROCESSO FOI ATUALIZADO</v>
      </c>
      <c r="J497" s="5"/>
      <c r="K497" s="5"/>
      <c r="L497" s="5"/>
      <c r="M497" s="5"/>
      <c r="N497" s="5"/>
    </row>
    <row r="498" spans="1:14" ht="22.5" customHeight="1" x14ac:dyDescent="0.2">
      <c r="A498" s="21" t="s">
        <v>966</v>
      </c>
      <c r="B498" s="3" t="s">
        <v>34</v>
      </c>
      <c r="C498" s="3" t="s">
        <v>35</v>
      </c>
      <c r="D498" s="14" t="s">
        <v>2544</v>
      </c>
      <c r="E498" s="3" t="s">
        <v>955</v>
      </c>
      <c r="F498" s="9">
        <v>45491</v>
      </c>
      <c r="G498" s="5" t="s">
        <v>37</v>
      </c>
      <c r="H498" s="5"/>
      <c r="I498" s="5" t="str">
        <f t="shared" si="1"/>
        <v>PROCESSO FOI ATUALIZADO</v>
      </c>
      <c r="J498" s="5"/>
      <c r="K498" s="5"/>
      <c r="L498" s="5"/>
      <c r="M498" s="5"/>
      <c r="N498" s="5"/>
    </row>
    <row r="499" spans="1:14" ht="22.5" customHeight="1" x14ac:dyDescent="0.2">
      <c r="A499" s="21" t="s">
        <v>973</v>
      </c>
      <c r="B499" s="3" t="s">
        <v>34</v>
      </c>
      <c r="C499" s="3" t="s">
        <v>35</v>
      </c>
      <c r="D499" s="14" t="s">
        <v>2568</v>
      </c>
      <c r="E499" s="3" t="s">
        <v>961</v>
      </c>
      <c r="F499" s="9">
        <v>45489</v>
      </c>
      <c r="G499" s="5" t="s">
        <v>2095</v>
      </c>
      <c r="H499" s="5"/>
      <c r="I499" s="5" t="str">
        <f t="shared" si="1"/>
        <v>PROCESSO FOI ATUALIZADO</v>
      </c>
      <c r="J499" s="5"/>
      <c r="K499" s="5"/>
      <c r="L499" s="5"/>
      <c r="M499" s="5"/>
      <c r="N499" s="5"/>
    </row>
    <row r="500" spans="1:14" ht="22.5" customHeight="1" x14ac:dyDescent="0.2">
      <c r="A500" s="21" t="s">
        <v>988</v>
      </c>
      <c r="B500" s="3" t="s">
        <v>34</v>
      </c>
      <c r="C500" s="3" t="s">
        <v>35</v>
      </c>
      <c r="D500" s="14" t="s">
        <v>2569</v>
      </c>
      <c r="E500" s="3" t="s">
        <v>913</v>
      </c>
      <c r="F500" s="9">
        <v>45488</v>
      </c>
      <c r="G500" s="5" t="s">
        <v>2095</v>
      </c>
      <c r="H500" s="5"/>
      <c r="I500" s="5" t="str">
        <f t="shared" si="1"/>
        <v>PROCESSO FOI ATUALIZADO</v>
      </c>
      <c r="J500" s="5"/>
      <c r="K500" s="5"/>
      <c r="L500" s="5"/>
      <c r="M500" s="5"/>
      <c r="N500" s="5"/>
    </row>
    <row r="501" spans="1:14" ht="22.5" customHeight="1" x14ac:dyDescent="0.2">
      <c r="A501" s="21" t="s">
        <v>1016</v>
      </c>
      <c r="B501" s="3" t="s">
        <v>34</v>
      </c>
      <c r="C501" s="3" t="s">
        <v>35</v>
      </c>
      <c r="D501" s="14" t="s">
        <v>2570</v>
      </c>
      <c r="E501" s="3" t="s">
        <v>948</v>
      </c>
      <c r="F501" s="9">
        <v>45488</v>
      </c>
      <c r="G501" s="5" t="s">
        <v>2095</v>
      </c>
      <c r="H501" s="5"/>
      <c r="I501" s="5" t="str">
        <f t="shared" si="1"/>
        <v>PROCESSO FOI ATUALIZADO</v>
      </c>
      <c r="J501" s="5"/>
      <c r="K501" s="5"/>
      <c r="L501" s="5"/>
      <c r="M501" s="5"/>
      <c r="N501" s="5"/>
    </row>
    <row r="502" spans="1:14" ht="22.5" customHeight="1" x14ac:dyDescent="0.2">
      <c r="A502" s="21" t="s">
        <v>997</v>
      </c>
      <c r="B502" s="3" t="s">
        <v>34</v>
      </c>
      <c r="C502" s="3" t="s">
        <v>35</v>
      </c>
      <c r="D502" s="14" t="s">
        <v>2571</v>
      </c>
      <c r="E502" s="3" t="s">
        <v>948</v>
      </c>
      <c r="F502" s="9">
        <v>45488</v>
      </c>
      <c r="G502" s="5" t="s">
        <v>2095</v>
      </c>
      <c r="H502" s="5"/>
      <c r="I502" s="5" t="str">
        <f t="shared" si="1"/>
        <v>PROCESSO FOI ATUALIZADO</v>
      </c>
      <c r="J502" s="5"/>
      <c r="K502" s="5"/>
      <c r="L502" s="5"/>
      <c r="M502" s="5"/>
      <c r="N502" s="5"/>
    </row>
    <row r="503" spans="1:14" ht="22.5" customHeight="1" x14ac:dyDescent="0.2">
      <c r="A503" s="21" t="s">
        <v>979</v>
      </c>
      <c r="B503" s="3" t="s">
        <v>34</v>
      </c>
      <c r="C503" s="3" t="s">
        <v>35</v>
      </c>
      <c r="D503" s="14" t="s">
        <v>2572</v>
      </c>
      <c r="E503" s="3" t="s">
        <v>628</v>
      </c>
      <c r="F503" s="9">
        <v>45488</v>
      </c>
      <c r="G503" s="5" t="s">
        <v>2095</v>
      </c>
      <c r="H503" s="5"/>
      <c r="I503" s="5" t="str">
        <f t="shared" si="1"/>
        <v>PROCESSO FOI ATUALIZADO</v>
      </c>
      <c r="J503" s="5"/>
      <c r="K503" s="5"/>
      <c r="L503" s="5"/>
      <c r="M503" s="5"/>
      <c r="N503" s="5"/>
    </row>
    <row r="504" spans="1:14" ht="22.5" customHeight="1" x14ac:dyDescent="0.2">
      <c r="A504" s="21" t="s">
        <v>990</v>
      </c>
      <c r="B504" s="3" t="s">
        <v>34</v>
      </c>
      <c r="C504" s="3" t="s">
        <v>35</v>
      </c>
      <c r="D504" s="14" t="s">
        <v>2573</v>
      </c>
      <c r="E504" s="3" t="s">
        <v>948</v>
      </c>
      <c r="F504" s="9">
        <v>45488</v>
      </c>
      <c r="G504" s="5" t="s">
        <v>2095</v>
      </c>
      <c r="H504" s="5"/>
      <c r="I504" s="5" t="str">
        <f t="shared" si="1"/>
        <v>PROCESSO FOI ATUALIZADO</v>
      </c>
      <c r="J504" s="5"/>
      <c r="K504" s="5"/>
      <c r="L504" s="5"/>
      <c r="M504" s="5"/>
      <c r="N504" s="5"/>
    </row>
    <row r="505" spans="1:14" ht="22.5" customHeight="1" x14ac:dyDescent="0.2">
      <c r="A505" s="21" t="s">
        <v>994</v>
      </c>
      <c r="B505" s="3" t="s">
        <v>34</v>
      </c>
      <c r="C505" s="3" t="s">
        <v>35</v>
      </c>
      <c r="D505" s="14" t="s">
        <v>2574</v>
      </c>
      <c r="E505" s="3" t="s">
        <v>948</v>
      </c>
      <c r="F505" s="9">
        <v>45485</v>
      </c>
      <c r="G505" s="5" t="s">
        <v>2095</v>
      </c>
      <c r="H505" s="5"/>
      <c r="I505" s="5" t="str">
        <f t="shared" si="1"/>
        <v>PROCESSO FOI ATUALIZADO</v>
      </c>
      <c r="J505" s="5"/>
      <c r="K505" s="5"/>
      <c r="L505" s="5"/>
      <c r="M505" s="5"/>
      <c r="N505" s="5"/>
    </row>
    <row r="506" spans="1:14" ht="22.5" customHeight="1" x14ac:dyDescent="0.2">
      <c r="A506" s="21" t="s">
        <v>941</v>
      </c>
      <c r="B506" s="3" t="s">
        <v>34</v>
      </c>
      <c r="C506" s="3" t="s">
        <v>35</v>
      </c>
      <c r="D506" s="14" t="s">
        <v>2486</v>
      </c>
      <c r="E506" s="3" t="s">
        <v>730</v>
      </c>
      <c r="F506" s="9">
        <v>45484</v>
      </c>
      <c r="G506" s="5" t="s">
        <v>2095</v>
      </c>
      <c r="H506" s="5"/>
      <c r="I506" s="5" t="str">
        <f t="shared" si="1"/>
        <v>PROCESSO FOI ATUALIZADO</v>
      </c>
      <c r="J506" s="5"/>
      <c r="K506" s="5"/>
      <c r="L506" s="5"/>
      <c r="M506" s="5"/>
      <c r="N506" s="5"/>
    </row>
    <row r="507" spans="1:14" ht="22.5" customHeight="1" x14ac:dyDescent="0.2">
      <c r="A507" s="21" t="s">
        <v>947</v>
      </c>
      <c r="B507" s="3" t="s">
        <v>34</v>
      </c>
      <c r="C507" s="3" t="s">
        <v>35</v>
      </c>
      <c r="D507" s="14" t="s">
        <v>2575</v>
      </c>
      <c r="E507" s="3" t="s">
        <v>948</v>
      </c>
      <c r="F507" s="9">
        <v>45484</v>
      </c>
      <c r="G507" s="5" t="s">
        <v>2095</v>
      </c>
      <c r="H507" s="5"/>
      <c r="I507" s="5" t="str">
        <f t="shared" si="1"/>
        <v>PROCESSO FOI ATUALIZADO</v>
      </c>
      <c r="J507" s="5"/>
      <c r="K507" s="5"/>
      <c r="L507" s="5"/>
      <c r="M507" s="5"/>
      <c r="N507" s="5"/>
    </row>
    <row r="508" spans="1:14" ht="22.5" customHeight="1" x14ac:dyDescent="0.2">
      <c r="A508" s="21" t="s">
        <v>953</v>
      </c>
      <c r="B508" s="3" t="s">
        <v>34</v>
      </c>
      <c r="C508" s="3" t="s">
        <v>35</v>
      </c>
      <c r="D508" s="14" t="s">
        <v>2383</v>
      </c>
      <c r="E508" s="3" t="s">
        <v>504</v>
      </c>
      <c r="F508" s="9">
        <v>45483</v>
      </c>
      <c r="G508" s="5" t="s">
        <v>2443</v>
      </c>
      <c r="H508" s="5"/>
      <c r="I508" s="5" t="str">
        <f t="shared" si="1"/>
        <v>PROCESSO FOI ATUALIZADO</v>
      </c>
      <c r="J508" s="5"/>
      <c r="K508" s="5"/>
      <c r="L508" s="5"/>
      <c r="M508" s="5"/>
      <c r="N508" s="5"/>
    </row>
    <row r="509" spans="1:14" ht="22.5" customHeight="1" x14ac:dyDescent="0.2">
      <c r="A509" s="21" t="s">
        <v>951</v>
      </c>
      <c r="B509" s="3" t="s">
        <v>34</v>
      </c>
      <c r="C509" s="3" t="s">
        <v>35</v>
      </c>
      <c r="D509" s="14" t="s">
        <v>2576</v>
      </c>
      <c r="E509" s="3" t="s">
        <v>952</v>
      </c>
      <c r="F509" s="9">
        <v>45483</v>
      </c>
      <c r="G509" s="5" t="s">
        <v>2095</v>
      </c>
      <c r="H509" s="5"/>
      <c r="I509" s="5" t="str">
        <f t="shared" si="1"/>
        <v>PROCESSO FOI ATUALIZADO</v>
      </c>
      <c r="J509" s="5"/>
      <c r="K509" s="5"/>
      <c r="L509" s="5"/>
      <c r="M509" s="5"/>
      <c r="N509" s="5"/>
    </row>
    <row r="510" spans="1:14" ht="22.5" customHeight="1" x14ac:dyDescent="0.2">
      <c r="A510" s="21" t="s">
        <v>940</v>
      </c>
      <c r="B510" s="3" t="s">
        <v>34</v>
      </c>
      <c r="C510" s="3" t="s">
        <v>35</v>
      </c>
      <c r="D510" s="14" t="s">
        <v>2577</v>
      </c>
      <c r="E510" s="3" t="s">
        <v>935</v>
      </c>
      <c r="F510" s="9">
        <v>45482</v>
      </c>
      <c r="G510" s="5" t="s">
        <v>2095</v>
      </c>
      <c r="H510" s="5"/>
      <c r="I510" s="5" t="str">
        <f t="shared" si="1"/>
        <v>PROCESSO FOI ATUALIZADO</v>
      </c>
      <c r="J510" s="5"/>
      <c r="K510" s="5"/>
      <c r="L510" s="5"/>
      <c r="M510" s="5"/>
      <c r="N510" s="5"/>
    </row>
    <row r="511" spans="1:14" ht="22.5" customHeight="1" x14ac:dyDescent="0.2">
      <c r="A511" s="21" t="s">
        <v>1029</v>
      </c>
      <c r="B511" s="3" t="s">
        <v>34</v>
      </c>
      <c r="C511" s="3" t="s">
        <v>35</v>
      </c>
      <c r="D511" s="14" t="s">
        <v>2578</v>
      </c>
      <c r="E511" s="3" t="s">
        <v>1030</v>
      </c>
      <c r="F511" s="9">
        <v>45481</v>
      </c>
      <c r="G511" s="5" t="s">
        <v>2095</v>
      </c>
      <c r="H511" s="5"/>
      <c r="I511" s="5" t="str">
        <f t="shared" si="1"/>
        <v>PROCESSO FOI ATUALIZADO</v>
      </c>
      <c r="J511" s="5"/>
      <c r="K511" s="5"/>
      <c r="L511" s="5"/>
      <c r="M511" s="5"/>
      <c r="N511" s="5"/>
    </row>
    <row r="512" spans="1:14" ht="22.5" customHeight="1" x14ac:dyDescent="0.2">
      <c r="A512" s="21" t="s">
        <v>1071</v>
      </c>
      <c r="B512" s="3" t="s">
        <v>34</v>
      </c>
      <c r="C512" s="3" t="s">
        <v>35</v>
      </c>
      <c r="D512" s="14" t="s">
        <v>2579</v>
      </c>
      <c r="E512" s="3" t="s">
        <v>948</v>
      </c>
      <c r="F512" s="9">
        <v>45478</v>
      </c>
      <c r="G512" s="5" t="s">
        <v>2095</v>
      </c>
      <c r="H512" s="5"/>
      <c r="I512" s="5" t="str">
        <f t="shared" ref="I512:I713" si="2">IF(OR(H512="PROCESSO NÃO ENCONTRADO", G512="PROCESSO NÃO ENCONTRADO"),
   "PROCESSO NÃO ENCONTRADO",
   IF(H512=G512,"PROCESSO AINDA NÃO FOI ATUALIZADO","PROCESSO FOI ATUALIZADO"))</f>
        <v>PROCESSO FOI ATUALIZADO</v>
      </c>
      <c r="J512" s="5"/>
      <c r="K512" s="5"/>
      <c r="L512" s="5"/>
      <c r="M512" s="5"/>
      <c r="N512" s="5"/>
    </row>
    <row r="513" spans="1:14" ht="22.5" customHeight="1" x14ac:dyDescent="0.2">
      <c r="A513" s="21" t="s">
        <v>1107</v>
      </c>
      <c r="B513" s="3" t="s">
        <v>34</v>
      </c>
      <c r="C513" s="3" t="s">
        <v>35</v>
      </c>
      <c r="D513" s="14" t="s">
        <v>2580</v>
      </c>
      <c r="E513" s="3" t="s">
        <v>913</v>
      </c>
      <c r="F513" s="9">
        <v>45478</v>
      </c>
      <c r="G513" s="5" t="s">
        <v>2095</v>
      </c>
      <c r="H513" s="5"/>
      <c r="I513" s="5" t="str">
        <f t="shared" si="2"/>
        <v>PROCESSO FOI ATUALIZADO</v>
      </c>
      <c r="J513" s="5"/>
      <c r="K513" s="5"/>
      <c r="L513" s="5"/>
      <c r="M513" s="5"/>
      <c r="N513" s="5"/>
    </row>
    <row r="514" spans="1:14" ht="22.5" customHeight="1" x14ac:dyDescent="0.2">
      <c r="A514" s="21" t="s">
        <v>1032</v>
      </c>
      <c r="B514" s="3" t="s">
        <v>34</v>
      </c>
      <c r="C514" s="3" t="s">
        <v>35</v>
      </c>
      <c r="D514" s="14" t="s">
        <v>2578</v>
      </c>
      <c r="E514" s="3" t="s">
        <v>1030</v>
      </c>
      <c r="F514" s="9">
        <v>45478</v>
      </c>
      <c r="G514" s="5" t="s">
        <v>37</v>
      </c>
      <c r="H514" s="5"/>
      <c r="I514" s="5" t="str">
        <f t="shared" si="2"/>
        <v>PROCESSO FOI ATUALIZADO</v>
      </c>
      <c r="J514" s="5"/>
      <c r="K514" s="5"/>
      <c r="L514" s="5"/>
      <c r="M514" s="5"/>
      <c r="N514" s="5"/>
    </row>
    <row r="515" spans="1:14" ht="22.5" customHeight="1" x14ac:dyDescent="0.2">
      <c r="A515" s="21" t="s">
        <v>1056</v>
      </c>
      <c r="B515" s="3" t="s">
        <v>34</v>
      </c>
      <c r="C515" s="3" t="s">
        <v>35</v>
      </c>
      <c r="D515" s="14" t="s">
        <v>2556</v>
      </c>
      <c r="E515" s="3" t="s">
        <v>830</v>
      </c>
      <c r="F515" s="9">
        <v>45477</v>
      </c>
      <c r="G515" s="5" t="s">
        <v>37</v>
      </c>
      <c r="H515" s="5"/>
      <c r="I515" s="5" t="str">
        <f t="shared" si="2"/>
        <v>PROCESSO FOI ATUALIZADO</v>
      </c>
      <c r="J515" s="5"/>
      <c r="K515" s="5"/>
      <c r="L515" s="5"/>
      <c r="M515" s="5"/>
      <c r="N515" s="5"/>
    </row>
    <row r="516" spans="1:14" ht="22.5" customHeight="1" x14ac:dyDescent="0.2">
      <c r="A516" s="21" t="s">
        <v>1034</v>
      </c>
      <c r="B516" s="3" t="s">
        <v>34</v>
      </c>
      <c r="C516" s="3" t="s">
        <v>35</v>
      </c>
      <c r="D516" s="14" t="s">
        <v>2485</v>
      </c>
      <c r="E516" s="3" t="s">
        <v>743</v>
      </c>
      <c r="F516" s="9">
        <v>45477</v>
      </c>
      <c r="G516" s="5" t="s">
        <v>37</v>
      </c>
      <c r="H516" s="5"/>
      <c r="I516" s="5" t="str">
        <f t="shared" si="2"/>
        <v>PROCESSO FOI ATUALIZADO</v>
      </c>
      <c r="J516" s="5"/>
      <c r="K516" s="5"/>
      <c r="L516" s="5"/>
      <c r="M516" s="5"/>
      <c r="N516" s="5"/>
    </row>
    <row r="517" spans="1:14" ht="22.5" customHeight="1" x14ac:dyDescent="0.2">
      <c r="A517" s="21" t="s">
        <v>1081</v>
      </c>
      <c r="B517" s="3" t="s">
        <v>34</v>
      </c>
      <c r="C517" s="3" t="s">
        <v>35</v>
      </c>
      <c r="D517" s="14" t="s">
        <v>2447</v>
      </c>
      <c r="E517" s="3" t="s">
        <v>525</v>
      </c>
      <c r="F517" s="9">
        <v>45477</v>
      </c>
      <c r="G517" s="5" t="s">
        <v>2095</v>
      </c>
      <c r="H517" s="5"/>
      <c r="I517" s="5" t="str">
        <f t="shared" si="2"/>
        <v>PROCESSO FOI ATUALIZADO</v>
      </c>
      <c r="J517" s="5"/>
      <c r="K517" s="5"/>
      <c r="L517" s="5"/>
      <c r="M517" s="5"/>
      <c r="N517" s="5"/>
    </row>
    <row r="518" spans="1:14" ht="22.5" customHeight="1" x14ac:dyDescent="0.2">
      <c r="A518" s="21" t="s">
        <v>1044</v>
      </c>
      <c r="B518" s="3" t="s">
        <v>34</v>
      </c>
      <c r="C518" s="3" t="s">
        <v>35</v>
      </c>
      <c r="D518" s="14" t="s">
        <v>2581</v>
      </c>
      <c r="E518" s="3" t="s">
        <v>875</v>
      </c>
      <c r="F518" s="9">
        <v>45476</v>
      </c>
      <c r="G518" s="5" t="s">
        <v>37</v>
      </c>
      <c r="H518" s="5"/>
      <c r="I518" s="5" t="str">
        <f t="shared" si="2"/>
        <v>PROCESSO FOI ATUALIZADO</v>
      </c>
      <c r="J518" s="5"/>
      <c r="K518" s="5"/>
      <c r="L518" s="5"/>
      <c r="M518" s="5"/>
      <c r="N518" s="5"/>
    </row>
    <row r="519" spans="1:14" ht="22.5" customHeight="1" x14ac:dyDescent="0.2">
      <c r="A519" s="21" t="s">
        <v>1070</v>
      </c>
      <c r="B519" s="3" t="s">
        <v>34</v>
      </c>
      <c r="C519" s="3" t="s">
        <v>35</v>
      </c>
      <c r="D519" s="14" t="s">
        <v>2556</v>
      </c>
      <c r="E519" s="3" t="s">
        <v>830</v>
      </c>
      <c r="F519" s="9">
        <v>45476</v>
      </c>
      <c r="G519" s="5" t="s">
        <v>2095</v>
      </c>
      <c r="H519" s="5"/>
      <c r="I519" s="5" t="str">
        <f t="shared" si="2"/>
        <v>PROCESSO FOI ATUALIZADO</v>
      </c>
      <c r="J519" s="5"/>
      <c r="K519" s="5"/>
      <c r="L519" s="5"/>
      <c r="M519" s="5"/>
      <c r="N519" s="5"/>
    </row>
    <row r="520" spans="1:14" ht="22.5" customHeight="1" x14ac:dyDescent="0.2">
      <c r="A520" s="21" t="s">
        <v>1099</v>
      </c>
      <c r="B520" s="3" t="s">
        <v>34</v>
      </c>
      <c r="C520" s="3" t="s">
        <v>35</v>
      </c>
      <c r="D520" s="14" t="s">
        <v>2582</v>
      </c>
      <c r="E520" s="3" t="s">
        <v>628</v>
      </c>
      <c r="F520" s="9">
        <v>45476</v>
      </c>
      <c r="G520" s="5" t="s">
        <v>2095</v>
      </c>
      <c r="H520" s="5"/>
      <c r="I520" s="5" t="str">
        <f t="shared" si="2"/>
        <v>PROCESSO FOI ATUALIZADO</v>
      </c>
      <c r="J520" s="5"/>
      <c r="K520" s="5"/>
      <c r="L520" s="5"/>
      <c r="M520" s="5"/>
      <c r="N520" s="5"/>
    </row>
    <row r="521" spans="1:14" ht="22.5" customHeight="1" x14ac:dyDescent="0.2">
      <c r="A521" s="21" t="s">
        <v>1062</v>
      </c>
      <c r="B521" s="3" t="s">
        <v>34</v>
      </c>
      <c r="C521" s="3" t="s">
        <v>35</v>
      </c>
      <c r="D521" s="14" t="s">
        <v>2583</v>
      </c>
      <c r="E521" s="3" t="s">
        <v>1063</v>
      </c>
      <c r="F521" s="9">
        <v>45475</v>
      </c>
      <c r="G521" s="5" t="s">
        <v>2095</v>
      </c>
      <c r="H521" s="5"/>
      <c r="I521" s="5" t="str">
        <f t="shared" si="2"/>
        <v>PROCESSO FOI ATUALIZADO</v>
      </c>
      <c r="J521" s="5"/>
      <c r="K521" s="5"/>
      <c r="L521" s="5"/>
      <c r="M521" s="5"/>
      <c r="N521" s="5"/>
    </row>
    <row r="522" spans="1:14" ht="22.5" customHeight="1" x14ac:dyDescent="0.2">
      <c r="A522" s="21" t="s">
        <v>1045</v>
      </c>
      <c r="B522" s="3" t="s">
        <v>34</v>
      </c>
      <c r="C522" s="3" t="s">
        <v>35</v>
      </c>
      <c r="D522" s="14" t="s">
        <v>2584</v>
      </c>
      <c r="E522" s="3" t="s">
        <v>750</v>
      </c>
      <c r="F522" s="9">
        <v>45475</v>
      </c>
      <c r="G522" s="5" t="s">
        <v>2095</v>
      </c>
      <c r="H522" s="5"/>
      <c r="I522" s="5" t="str">
        <f t="shared" si="2"/>
        <v>PROCESSO FOI ATUALIZADO</v>
      </c>
      <c r="J522" s="5"/>
      <c r="K522" s="5"/>
      <c r="L522" s="5"/>
      <c r="M522" s="5"/>
      <c r="N522" s="5"/>
    </row>
    <row r="523" spans="1:14" ht="22.5" customHeight="1" x14ac:dyDescent="0.2">
      <c r="A523" s="21" t="s">
        <v>1098</v>
      </c>
      <c r="B523" s="3" t="s">
        <v>34</v>
      </c>
      <c r="C523" s="3" t="s">
        <v>35</v>
      </c>
      <c r="D523" s="14" t="s">
        <v>2572</v>
      </c>
      <c r="E523" s="3" t="s">
        <v>628</v>
      </c>
      <c r="F523" s="9">
        <v>45471</v>
      </c>
      <c r="G523" s="5" t="s">
        <v>37</v>
      </c>
      <c r="H523" s="5"/>
      <c r="I523" s="5" t="str">
        <f t="shared" si="2"/>
        <v>PROCESSO FOI ATUALIZADO</v>
      </c>
      <c r="J523" s="5"/>
      <c r="K523" s="5"/>
      <c r="L523" s="5"/>
      <c r="M523" s="5"/>
      <c r="N523" s="5"/>
    </row>
    <row r="524" spans="1:14" ht="22.5" customHeight="1" x14ac:dyDescent="0.2">
      <c r="A524" s="21" t="s">
        <v>1066</v>
      </c>
      <c r="B524" s="3" t="s">
        <v>34</v>
      </c>
      <c r="C524" s="3" t="s">
        <v>35</v>
      </c>
      <c r="D524" s="14" t="s">
        <v>2514</v>
      </c>
      <c r="E524" s="3" t="s">
        <v>837</v>
      </c>
      <c r="F524" s="9">
        <v>45471</v>
      </c>
      <c r="G524" s="5" t="s">
        <v>2095</v>
      </c>
      <c r="H524" s="5"/>
      <c r="I524" s="5" t="str">
        <f t="shared" si="2"/>
        <v>PROCESSO FOI ATUALIZADO</v>
      </c>
      <c r="J524" s="5"/>
      <c r="K524" s="5"/>
      <c r="L524" s="5"/>
      <c r="M524" s="5"/>
      <c r="N524" s="5"/>
    </row>
    <row r="525" spans="1:14" ht="22.5" customHeight="1" x14ac:dyDescent="0.2">
      <c r="A525" s="21" t="s">
        <v>1033</v>
      </c>
      <c r="B525" s="3" t="s">
        <v>34</v>
      </c>
      <c r="C525" s="3" t="s">
        <v>35</v>
      </c>
      <c r="D525" s="14" t="s">
        <v>2578</v>
      </c>
      <c r="E525" s="3" t="s">
        <v>1030</v>
      </c>
      <c r="F525" s="9">
        <v>45470</v>
      </c>
      <c r="G525" s="5" t="s">
        <v>2095</v>
      </c>
      <c r="H525" s="5"/>
      <c r="I525" s="5" t="str">
        <f t="shared" si="2"/>
        <v>PROCESSO FOI ATUALIZADO</v>
      </c>
      <c r="J525" s="5"/>
      <c r="K525" s="5"/>
      <c r="L525" s="5"/>
      <c r="M525" s="5"/>
      <c r="N525" s="5"/>
    </row>
    <row r="526" spans="1:14" ht="22.5" customHeight="1" x14ac:dyDescent="0.2">
      <c r="A526" s="21" t="s">
        <v>1069</v>
      </c>
      <c r="B526" s="3" t="s">
        <v>34</v>
      </c>
      <c r="C526" s="3" t="s">
        <v>35</v>
      </c>
      <c r="D526" s="14" t="s">
        <v>2563</v>
      </c>
      <c r="E526" s="3" t="s">
        <v>875</v>
      </c>
      <c r="F526" s="9">
        <v>45470</v>
      </c>
      <c r="G526" s="5" t="s">
        <v>37</v>
      </c>
      <c r="H526" s="5"/>
      <c r="I526" s="5" t="str">
        <f t="shared" si="2"/>
        <v>PROCESSO FOI ATUALIZADO</v>
      </c>
      <c r="J526" s="5"/>
      <c r="K526" s="5"/>
      <c r="L526" s="5"/>
      <c r="M526" s="5"/>
      <c r="N526" s="5"/>
    </row>
    <row r="527" spans="1:14" ht="22.5" customHeight="1" x14ac:dyDescent="0.2">
      <c r="A527" s="21" t="s">
        <v>1087</v>
      </c>
      <c r="B527" s="3" t="s">
        <v>34</v>
      </c>
      <c r="C527" s="3" t="s">
        <v>35</v>
      </c>
      <c r="D527" s="14" t="s">
        <v>2563</v>
      </c>
      <c r="E527" s="3" t="s">
        <v>875</v>
      </c>
      <c r="F527" s="9">
        <v>45470</v>
      </c>
      <c r="G527" s="5" t="s">
        <v>37</v>
      </c>
      <c r="H527" s="5"/>
      <c r="I527" s="5" t="str">
        <f t="shared" si="2"/>
        <v>PROCESSO FOI ATUALIZADO</v>
      </c>
      <c r="J527" s="5"/>
      <c r="K527" s="5"/>
      <c r="L527" s="5"/>
      <c r="M527" s="5"/>
      <c r="N527" s="5"/>
    </row>
    <row r="528" spans="1:14" ht="22.5" customHeight="1" x14ac:dyDescent="0.2">
      <c r="A528" s="21" t="s">
        <v>1106</v>
      </c>
      <c r="B528" s="3" t="s">
        <v>34</v>
      </c>
      <c r="C528" s="3" t="s">
        <v>35</v>
      </c>
      <c r="D528" s="14" t="s">
        <v>2563</v>
      </c>
      <c r="E528" s="3" t="s">
        <v>875</v>
      </c>
      <c r="F528" s="9">
        <v>45470</v>
      </c>
      <c r="G528" s="5" t="s">
        <v>2095</v>
      </c>
      <c r="H528" s="5"/>
      <c r="I528" s="5" t="str">
        <f t="shared" si="2"/>
        <v>PROCESSO FOI ATUALIZADO</v>
      </c>
      <c r="J528" s="5"/>
      <c r="K528" s="5"/>
      <c r="L528" s="5"/>
      <c r="M528" s="5"/>
      <c r="N528" s="5"/>
    </row>
    <row r="529" spans="1:14" ht="22.5" customHeight="1" x14ac:dyDescent="0.2">
      <c r="A529" s="21" t="s">
        <v>1055</v>
      </c>
      <c r="B529" s="3" t="s">
        <v>34</v>
      </c>
      <c r="C529" s="3" t="s">
        <v>35</v>
      </c>
      <c r="D529" s="14" t="s">
        <v>2581</v>
      </c>
      <c r="E529" s="3" t="s">
        <v>875</v>
      </c>
      <c r="F529" s="9">
        <v>45468</v>
      </c>
      <c r="G529" s="5" t="s">
        <v>2095</v>
      </c>
      <c r="H529" s="5"/>
      <c r="I529" s="5" t="str">
        <f t="shared" si="2"/>
        <v>PROCESSO FOI ATUALIZADO</v>
      </c>
      <c r="J529" s="5"/>
      <c r="K529" s="5"/>
      <c r="L529" s="5"/>
      <c r="M529" s="5"/>
      <c r="N529" s="5"/>
    </row>
    <row r="530" spans="1:14" ht="22.5" customHeight="1" x14ac:dyDescent="0.2">
      <c r="A530" s="21" t="s">
        <v>1042</v>
      </c>
      <c r="B530" s="3" t="s">
        <v>34</v>
      </c>
      <c r="C530" s="3" t="s">
        <v>35</v>
      </c>
      <c r="D530" s="14" t="s">
        <v>2532</v>
      </c>
      <c r="E530" s="3" t="s">
        <v>816</v>
      </c>
      <c r="F530" s="9">
        <v>45468</v>
      </c>
      <c r="G530" s="5" t="s">
        <v>37</v>
      </c>
      <c r="H530" s="5"/>
      <c r="I530" s="5" t="str">
        <f t="shared" si="2"/>
        <v>PROCESSO FOI ATUALIZADO</v>
      </c>
      <c r="J530" s="5"/>
      <c r="K530" s="5"/>
      <c r="L530" s="5"/>
      <c r="M530" s="5"/>
      <c r="N530" s="5"/>
    </row>
    <row r="531" spans="1:14" ht="22.5" customHeight="1" x14ac:dyDescent="0.2">
      <c r="A531" s="21" t="s">
        <v>1052</v>
      </c>
      <c r="B531" s="3" t="s">
        <v>34</v>
      </c>
      <c r="C531" s="3" t="s">
        <v>35</v>
      </c>
      <c r="D531" s="14" t="s">
        <v>2532</v>
      </c>
      <c r="E531" s="3" t="s">
        <v>816</v>
      </c>
      <c r="F531" s="9">
        <v>45463</v>
      </c>
      <c r="G531" s="5" t="s">
        <v>37</v>
      </c>
      <c r="H531" s="5"/>
      <c r="I531" s="5" t="str">
        <f t="shared" si="2"/>
        <v>PROCESSO FOI ATUALIZADO</v>
      </c>
      <c r="J531" s="5"/>
      <c r="K531" s="5"/>
      <c r="L531" s="5"/>
      <c r="M531" s="5"/>
      <c r="N531" s="5"/>
    </row>
    <row r="532" spans="1:14" ht="22.5" customHeight="1" x14ac:dyDescent="0.2">
      <c r="A532" s="21" t="s">
        <v>1035</v>
      </c>
      <c r="B532" s="3" t="s">
        <v>34</v>
      </c>
      <c r="C532" s="3" t="s">
        <v>35</v>
      </c>
      <c r="D532" s="14" t="s">
        <v>2528</v>
      </c>
      <c r="E532" s="3" t="s">
        <v>821</v>
      </c>
      <c r="F532" s="9">
        <v>45463</v>
      </c>
      <c r="G532" s="5" t="s">
        <v>2095</v>
      </c>
      <c r="H532" s="5"/>
      <c r="I532" s="5" t="str">
        <f t="shared" si="2"/>
        <v>PROCESSO FOI ATUALIZADO</v>
      </c>
      <c r="J532" s="5"/>
      <c r="K532" s="5"/>
      <c r="L532" s="5"/>
      <c r="M532" s="5"/>
      <c r="N532" s="5"/>
    </row>
    <row r="533" spans="1:14" ht="22.5" customHeight="1" x14ac:dyDescent="0.2">
      <c r="A533" s="21" t="s">
        <v>1092</v>
      </c>
      <c r="B533" s="3" t="s">
        <v>34</v>
      </c>
      <c r="C533" s="3" t="s">
        <v>35</v>
      </c>
      <c r="D533" s="14" t="s">
        <v>2585</v>
      </c>
      <c r="E533" s="3" t="s">
        <v>730</v>
      </c>
      <c r="F533" s="9">
        <v>45460</v>
      </c>
      <c r="G533" s="5" t="s">
        <v>2095</v>
      </c>
      <c r="H533" s="5"/>
      <c r="I533" s="5" t="str">
        <f t="shared" si="2"/>
        <v>PROCESSO FOI ATUALIZADO</v>
      </c>
      <c r="J533" s="5"/>
      <c r="K533" s="5"/>
      <c r="L533" s="5"/>
      <c r="M533" s="5"/>
      <c r="N533" s="5"/>
    </row>
    <row r="534" spans="1:14" ht="22.5" customHeight="1" x14ac:dyDescent="0.2">
      <c r="A534" s="21" t="s">
        <v>1041</v>
      </c>
      <c r="B534" s="3" t="s">
        <v>34</v>
      </c>
      <c r="C534" s="3" t="s">
        <v>35</v>
      </c>
      <c r="D534" s="14" t="s">
        <v>2485</v>
      </c>
      <c r="E534" s="3" t="s">
        <v>743</v>
      </c>
      <c r="F534" s="9">
        <v>45457</v>
      </c>
      <c r="G534" s="5" t="s">
        <v>37</v>
      </c>
      <c r="H534" s="5"/>
      <c r="I534" s="5" t="str">
        <f t="shared" si="2"/>
        <v>PROCESSO FOI ATUALIZADO</v>
      </c>
      <c r="J534" s="5"/>
      <c r="K534" s="5"/>
      <c r="L534" s="5"/>
      <c r="M534" s="5"/>
      <c r="N534" s="5"/>
    </row>
    <row r="535" spans="1:14" ht="22.5" customHeight="1" x14ac:dyDescent="0.2">
      <c r="A535" s="21" t="s">
        <v>1064</v>
      </c>
      <c r="B535" s="3" t="s">
        <v>34</v>
      </c>
      <c r="C535" s="3" t="s">
        <v>35</v>
      </c>
      <c r="D535" s="14" t="s">
        <v>2586</v>
      </c>
      <c r="E535" s="3" t="s">
        <v>1065</v>
      </c>
      <c r="F535" s="9">
        <v>45456</v>
      </c>
      <c r="G535" s="5" t="s">
        <v>37</v>
      </c>
      <c r="H535" s="5"/>
      <c r="I535" s="5" t="str">
        <f t="shared" si="2"/>
        <v>PROCESSO FOI ATUALIZADO</v>
      </c>
      <c r="J535" s="5"/>
      <c r="K535" s="5"/>
      <c r="L535" s="5"/>
      <c r="M535" s="5"/>
      <c r="N535" s="5"/>
    </row>
    <row r="536" spans="1:14" ht="22.5" customHeight="1" x14ac:dyDescent="0.2">
      <c r="A536" s="21" t="s">
        <v>1083</v>
      </c>
      <c r="B536" s="3" t="s">
        <v>34</v>
      </c>
      <c r="C536" s="3" t="s">
        <v>35</v>
      </c>
      <c r="D536" s="14" t="s">
        <v>2586</v>
      </c>
      <c r="E536" s="3" t="s">
        <v>1065</v>
      </c>
      <c r="F536" s="9">
        <v>45456</v>
      </c>
      <c r="G536" s="5" t="s">
        <v>2095</v>
      </c>
      <c r="H536" s="5"/>
      <c r="I536" s="5" t="str">
        <f t="shared" si="2"/>
        <v>PROCESSO FOI ATUALIZADO</v>
      </c>
      <c r="J536" s="5"/>
      <c r="K536" s="5"/>
      <c r="L536" s="5"/>
      <c r="M536" s="5"/>
      <c r="N536" s="5"/>
    </row>
    <row r="537" spans="1:14" ht="22.5" customHeight="1" x14ac:dyDescent="0.2">
      <c r="A537" s="21" t="s">
        <v>1078</v>
      </c>
      <c r="B537" s="3" t="s">
        <v>34</v>
      </c>
      <c r="C537" s="3" t="s">
        <v>35</v>
      </c>
      <c r="D537" s="14" t="s">
        <v>2587</v>
      </c>
      <c r="E537" s="3" t="s">
        <v>1079</v>
      </c>
      <c r="F537" s="9">
        <v>45456</v>
      </c>
      <c r="G537" s="5" t="s">
        <v>2095</v>
      </c>
      <c r="H537" s="5"/>
      <c r="I537" s="5" t="str">
        <f t="shared" si="2"/>
        <v>PROCESSO FOI ATUALIZADO</v>
      </c>
      <c r="J537" s="5"/>
      <c r="K537" s="5"/>
      <c r="L537" s="5"/>
      <c r="M537" s="5"/>
      <c r="N537" s="5"/>
    </row>
    <row r="538" spans="1:14" ht="22.5" customHeight="1" x14ac:dyDescent="0.2">
      <c r="A538" s="21" t="s">
        <v>1101</v>
      </c>
      <c r="B538" s="3" t="s">
        <v>34</v>
      </c>
      <c r="C538" s="3" t="s">
        <v>35</v>
      </c>
      <c r="D538" s="14" t="s">
        <v>2588</v>
      </c>
      <c r="E538" s="3" t="s">
        <v>1102</v>
      </c>
      <c r="F538" s="9">
        <v>45456</v>
      </c>
      <c r="G538" s="5" t="s">
        <v>2095</v>
      </c>
      <c r="H538" s="5"/>
      <c r="I538" s="5" t="str">
        <f t="shared" si="2"/>
        <v>PROCESSO FOI ATUALIZADO</v>
      </c>
      <c r="J538" s="5"/>
      <c r="K538" s="5"/>
      <c r="L538" s="5"/>
      <c r="M538" s="5"/>
      <c r="N538" s="5"/>
    </row>
    <row r="539" spans="1:14" ht="22.5" customHeight="1" x14ac:dyDescent="0.2">
      <c r="A539" s="21" t="s">
        <v>1088</v>
      </c>
      <c r="B539" s="3" t="s">
        <v>34</v>
      </c>
      <c r="C539" s="3" t="s">
        <v>35</v>
      </c>
      <c r="D539" s="14" t="s">
        <v>2589</v>
      </c>
      <c r="E539" s="3" t="s">
        <v>1089</v>
      </c>
      <c r="F539" s="9">
        <v>45454</v>
      </c>
      <c r="G539" s="5" t="s">
        <v>2095</v>
      </c>
      <c r="H539" s="5"/>
      <c r="I539" s="5" t="str">
        <f t="shared" si="2"/>
        <v>PROCESSO FOI ATUALIZADO</v>
      </c>
      <c r="J539" s="5"/>
      <c r="K539" s="5"/>
      <c r="L539" s="5"/>
      <c r="M539" s="5"/>
      <c r="N539" s="5"/>
    </row>
    <row r="540" spans="1:14" ht="22.5" customHeight="1" x14ac:dyDescent="0.2">
      <c r="A540" s="21" t="s">
        <v>1037</v>
      </c>
      <c r="B540" s="3" t="s">
        <v>34</v>
      </c>
      <c r="C540" s="3" t="s">
        <v>35</v>
      </c>
      <c r="D540" s="14" t="s">
        <v>2590</v>
      </c>
      <c r="E540" s="3" t="s">
        <v>1038</v>
      </c>
      <c r="F540" s="9">
        <v>45454</v>
      </c>
      <c r="G540" s="5" t="s">
        <v>2095</v>
      </c>
      <c r="H540" s="5"/>
      <c r="I540" s="5" t="str">
        <f t="shared" si="2"/>
        <v>PROCESSO FOI ATUALIZADO</v>
      </c>
      <c r="J540" s="5"/>
      <c r="K540" s="5"/>
      <c r="L540" s="5"/>
      <c r="M540" s="5"/>
      <c r="N540" s="5"/>
    </row>
    <row r="541" spans="1:14" ht="22.5" customHeight="1" x14ac:dyDescent="0.2">
      <c r="A541" s="21" t="s">
        <v>1040</v>
      </c>
      <c r="B541" s="3" t="s">
        <v>34</v>
      </c>
      <c r="C541" s="3" t="s">
        <v>35</v>
      </c>
      <c r="D541" s="14" t="s">
        <v>2591</v>
      </c>
      <c r="E541" s="3" t="s">
        <v>880</v>
      </c>
      <c r="F541" s="9">
        <v>45454</v>
      </c>
      <c r="G541" s="5" t="s">
        <v>37</v>
      </c>
      <c r="H541" s="5"/>
      <c r="I541" s="5" t="str">
        <f t="shared" si="2"/>
        <v>PROCESSO FOI ATUALIZADO</v>
      </c>
      <c r="J541" s="5"/>
      <c r="K541" s="5"/>
      <c r="L541" s="5"/>
      <c r="M541" s="5"/>
      <c r="N541" s="5"/>
    </row>
    <row r="542" spans="1:14" ht="22.5" customHeight="1" x14ac:dyDescent="0.2">
      <c r="A542" s="21" t="s">
        <v>1047</v>
      </c>
      <c r="B542" s="3" t="s">
        <v>34</v>
      </c>
      <c r="C542" s="3" t="s">
        <v>35</v>
      </c>
      <c r="D542" s="14" t="s">
        <v>2493</v>
      </c>
      <c r="E542" s="3" t="s">
        <v>725</v>
      </c>
      <c r="F542" s="9">
        <v>45453</v>
      </c>
      <c r="G542" s="5" t="s">
        <v>2095</v>
      </c>
      <c r="H542" s="5"/>
      <c r="I542" s="5" t="str">
        <f t="shared" si="2"/>
        <v>PROCESSO FOI ATUALIZADO</v>
      </c>
      <c r="J542" s="5"/>
      <c r="K542" s="5"/>
      <c r="L542" s="5"/>
      <c r="M542" s="5"/>
      <c r="N542" s="5"/>
    </row>
    <row r="543" spans="1:14" ht="22.5" customHeight="1" x14ac:dyDescent="0.2">
      <c r="A543" s="21" t="s">
        <v>1096</v>
      </c>
      <c r="B543" s="3" t="s">
        <v>34</v>
      </c>
      <c r="C543" s="3" t="s">
        <v>35</v>
      </c>
      <c r="D543" s="14" t="s">
        <v>2592</v>
      </c>
      <c r="E543" s="3" t="s">
        <v>79</v>
      </c>
      <c r="F543" s="9">
        <v>45453</v>
      </c>
      <c r="G543" s="5" t="s">
        <v>2095</v>
      </c>
      <c r="H543" s="5"/>
      <c r="I543" s="5" t="str">
        <f t="shared" si="2"/>
        <v>PROCESSO FOI ATUALIZADO</v>
      </c>
      <c r="J543" s="5"/>
      <c r="K543" s="5"/>
      <c r="L543" s="5"/>
      <c r="M543" s="5"/>
      <c r="N543" s="5"/>
    </row>
    <row r="544" spans="1:14" ht="22.5" customHeight="1" x14ac:dyDescent="0.2">
      <c r="A544" s="21" t="s">
        <v>1031</v>
      </c>
      <c r="B544" s="3" t="s">
        <v>34</v>
      </c>
      <c r="C544" s="3" t="s">
        <v>35</v>
      </c>
      <c r="D544" s="14" t="s">
        <v>2566</v>
      </c>
      <c r="E544" s="3" t="s">
        <v>935</v>
      </c>
      <c r="F544" s="9">
        <v>45446</v>
      </c>
      <c r="G544" s="5" t="s">
        <v>2095</v>
      </c>
      <c r="H544" s="5"/>
      <c r="I544" s="5" t="str">
        <f t="shared" si="2"/>
        <v>PROCESSO FOI ATUALIZADO</v>
      </c>
      <c r="J544" s="5"/>
      <c r="K544" s="5"/>
      <c r="L544" s="5"/>
      <c r="M544" s="5"/>
      <c r="N544" s="5"/>
    </row>
    <row r="545" spans="1:14" ht="22.5" customHeight="1" x14ac:dyDescent="0.2">
      <c r="A545" s="21" t="s">
        <v>1058</v>
      </c>
      <c r="B545" s="3" t="s">
        <v>34</v>
      </c>
      <c r="C545" s="3" t="s">
        <v>35</v>
      </c>
      <c r="D545" s="14" t="s">
        <v>2593</v>
      </c>
      <c r="E545" s="3" t="s">
        <v>1038</v>
      </c>
      <c r="F545" s="9">
        <v>45446</v>
      </c>
      <c r="G545" s="5" t="s">
        <v>2095</v>
      </c>
      <c r="H545" s="5"/>
      <c r="I545" s="5" t="str">
        <f t="shared" si="2"/>
        <v>PROCESSO FOI ATUALIZADO</v>
      </c>
      <c r="J545" s="5"/>
      <c r="K545" s="5"/>
      <c r="L545" s="5"/>
      <c r="M545" s="5"/>
      <c r="N545" s="5"/>
    </row>
    <row r="546" spans="1:14" ht="22.5" customHeight="1" x14ac:dyDescent="0.2">
      <c r="A546" s="21" t="s">
        <v>1060</v>
      </c>
      <c r="B546" s="3" t="s">
        <v>34</v>
      </c>
      <c r="C546" s="3" t="s">
        <v>35</v>
      </c>
      <c r="D546" s="14" t="s">
        <v>2594</v>
      </c>
      <c r="E546" s="3" t="s">
        <v>1061</v>
      </c>
      <c r="F546" s="9">
        <v>45443</v>
      </c>
      <c r="G546" s="5" t="s">
        <v>2095</v>
      </c>
      <c r="H546" s="5"/>
      <c r="I546" s="5" t="str">
        <f t="shared" si="2"/>
        <v>PROCESSO FOI ATUALIZADO</v>
      </c>
      <c r="J546" s="5"/>
      <c r="K546" s="5"/>
      <c r="L546" s="5"/>
      <c r="M546" s="5"/>
      <c r="N546" s="5"/>
    </row>
    <row r="547" spans="1:14" ht="22.5" customHeight="1" x14ac:dyDescent="0.2">
      <c r="A547" s="21" t="s">
        <v>1057</v>
      </c>
      <c r="B547" s="3" t="s">
        <v>34</v>
      </c>
      <c r="C547" s="3" t="s">
        <v>35</v>
      </c>
      <c r="D547" s="14" t="s">
        <v>2595</v>
      </c>
      <c r="E547" s="3" t="s">
        <v>1038</v>
      </c>
      <c r="F547" s="9">
        <v>45443</v>
      </c>
      <c r="G547" s="5" t="s">
        <v>37</v>
      </c>
      <c r="H547" s="5"/>
      <c r="I547" s="5" t="str">
        <f t="shared" si="2"/>
        <v>PROCESSO FOI ATUALIZADO</v>
      </c>
      <c r="J547" s="5"/>
      <c r="K547" s="5"/>
      <c r="L547" s="5"/>
      <c r="M547" s="5"/>
      <c r="N547" s="5"/>
    </row>
    <row r="548" spans="1:14" ht="22.5" customHeight="1" x14ac:dyDescent="0.2">
      <c r="A548" s="21" t="s">
        <v>1090</v>
      </c>
      <c r="B548" s="3" t="s">
        <v>34</v>
      </c>
      <c r="C548" s="3" t="s">
        <v>35</v>
      </c>
      <c r="D548" s="14" t="s">
        <v>2596</v>
      </c>
      <c r="E548" s="3" t="s">
        <v>1038</v>
      </c>
      <c r="F548" s="9">
        <v>45442</v>
      </c>
      <c r="G548" s="5" t="s">
        <v>2095</v>
      </c>
      <c r="H548" s="5"/>
      <c r="I548" s="5" t="str">
        <f t="shared" si="2"/>
        <v>PROCESSO FOI ATUALIZADO</v>
      </c>
      <c r="J548" s="5"/>
      <c r="K548" s="5"/>
      <c r="L548" s="5"/>
      <c r="M548" s="5"/>
      <c r="N548" s="5"/>
    </row>
    <row r="549" spans="1:14" ht="22.5" customHeight="1" x14ac:dyDescent="0.2">
      <c r="A549" s="21" t="s">
        <v>1075</v>
      </c>
      <c r="B549" s="3" t="s">
        <v>34</v>
      </c>
      <c r="C549" s="3" t="s">
        <v>35</v>
      </c>
      <c r="D549" s="14" t="s">
        <v>2597</v>
      </c>
      <c r="E549" s="3" t="s">
        <v>1038</v>
      </c>
      <c r="F549" s="9">
        <v>45442</v>
      </c>
      <c r="G549" s="5" t="s">
        <v>2095</v>
      </c>
      <c r="H549" s="5"/>
      <c r="I549" s="5" t="str">
        <f t="shared" si="2"/>
        <v>PROCESSO FOI ATUALIZADO</v>
      </c>
      <c r="J549" s="5"/>
      <c r="K549" s="5"/>
      <c r="L549" s="5"/>
      <c r="M549" s="5"/>
      <c r="N549" s="5"/>
    </row>
    <row r="550" spans="1:14" ht="22.5" customHeight="1" x14ac:dyDescent="0.2">
      <c r="A550" s="21" t="s">
        <v>1073</v>
      </c>
      <c r="B550" s="3" t="s">
        <v>34</v>
      </c>
      <c r="C550" s="3" t="s">
        <v>35</v>
      </c>
      <c r="D550" s="14" t="s">
        <v>2595</v>
      </c>
      <c r="E550" s="3" t="s">
        <v>1038</v>
      </c>
      <c r="F550" s="9">
        <v>45442</v>
      </c>
      <c r="G550" s="5" t="s">
        <v>2095</v>
      </c>
      <c r="H550" s="5"/>
      <c r="I550" s="5" t="str">
        <f t="shared" si="2"/>
        <v>PROCESSO FOI ATUALIZADO</v>
      </c>
      <c r="J550" s="5"/>
      <c r="K550" s="5"/>
      <c r="L550" s="5"/>
      <c r="M550" s="5"/>
      <c r="N550" s="5"/>
    </row>
    <row r="551" spans="1:14" ht="22.5" customHeight="1" x14ac:dyDescent="0.2">
      <c r="A551" s="21" t="s">
        <v>1109</v>
      </c>
      <c r="B551" s="3" t="s">
        <v>34</v>
      </c>
      <c r="C551" s="3" t="s">
        <v>35</v>
      </c>
      <c r="D551" s="14" t="s">
        <v>2598</v>
      </c>
      <c r="E551" s="3" t="s">
        <v>127</v>
      </c>
      <c r="F551" s="9">
        <v>45440</v>
      </c>
      <c r="G551" s="5" t="s">
        <v>2095</v>
      </c>
      <c r="H551" s="5"/>
      <c r="I551" s="5" t="str">
        <f t="shared" si="2"/>
        <v>PROCESSO FOI ATUALIZADO</v>
      </c>
      <c r="J551" s="5"/>
      <c r="K551" s="5"/>
      <c r="L551" s="5"/>
      <c r="M551" s="5"/>
      <c r="N551" s="5"/>
    </row>
    <row r="552" spans="1:14" ht="22.5" customHeight="1" x14ac:dyDescent="0.2">
      <c r="A552" s="21" t="s">
        <v>1043</v>
      </c>
      <c r="B552" s="3" t="s">
        <v>34</v>
      </c>
      <c r="C552" s="3" t="s">
        <v>35</v>
      </c>
      <c r="D552" s="14" t="s">
        <v>2577</v>
      </c>
      <c r="E552" s="3" t="s">
        <v>935</v>
      </c>
      <c r="F552" s="9">
        <v>45440</v>
      </c>
      <c r="G552" s="5" t="s">
        <v>2095</v>
      </c>
      <c r="H552" s="5"/>
      <c r="I552" s="5" t="str">
        <f t="shared" si="2"/>
        <v>PROCESSO FOI ATUALIZADO</v>
      </c>
      <c r="J552" s="5"/>
      <c r="K552" s="5"/>
      <c r="L552" s="5"/>
      <c r="M552" s="5"/>
      <c r="N552" s="5"/>
    </row>
    <row r="553" spans="1:14" ht="22.5" customHeight="1" x14ac:dyDescent="0.2">
      <c r="A553" s="21" t="s">
        <v>1085</v>
      </c>
      <c r="B553" s="3" t="s">
        <v>34</v>
      </c>
      <c r="C553" s="3" t="s">
        <v>35</v>
      </c>
      <c r="D553" s="14" t="s">
        <v>2544</v>
      </c>
      <c r="E553" s="3" t="s">
        <v>955</v>
      </c>
      <c r="F553" s="9">
        <v>45435</v>
      </c>
      <c r="G553" s="5" t="s">
        <v>70</v>
      </c>
      <c r="H553" s="5"/>
      <c r="I553" s="5" t="str">
        <f t="shared" si="2"/>
        <v>PROCESSO FOI ATUALIZADO</v>
      </c>
      <c r="J553" s="5"/>
      <c r="K553" s="5"/>
      <c r="L553" s="5"/>
      <c r="M553" s="5"/>
      <c r="N553" s="5"/>
    </row>
    <row r="554" spans="1:14" ht="22.5" customHeight="1" x14ac:dyDescent="0.2">
      <c r="A554" s="21" t="s">
        <v>1094</v>
      </c>
      <c r="B554" s="3" t="s">
        <v>34</v>
      </c>
      <c r="C554" s="3" t="s">
        <v>35</v>
      </c>
      <c r="D554" s="14" t="s">
        <v>2534</v>
      </c>
      <c r="E554" s="3" t="s">
        <v>730</v>
      </c>
      <c r="F554" s="9">
        <v>45433</v>
      </c>
      <c r="G554" s="5" t="s">
        <v>2095</v>
      </c>
      <c r="H554" s="5"/>
      <c r="I554" s="5" t="str">
        <f t="shared" si="2"/>
        <v>PROCESSO FOI ATUALIZADO</v>
      </c>
      <c r="J554" s="5"/>
      <c r="K554" s="5"/>
      <c r="L554" s="5"/>
      <c r="M554" s="5"/>
      <c r="N554" s="5"/>
    </row>
    <row r="555" spans="1:14" ht="22.5" customHeight="1" x14ac:dyDescent="0.2">
      <c r="A555" s="21" t="s">
        <v>1053</v>
      </c>
      <c r="B555" s="3" t="s">
        <v>34</v>
      </c>
      <c r="C555" s="3" t="s">
        <v>35</v>
      </c>
      <c r="D555" s="14" t="s">
        <v>2528</v>
      </c>
      <c r="E555" s="3" t="s">
        <v>821</v>
      </c>
      <c r="F555" s="9">
        <v>45433</v>
      </c>
      <c r="G555" s="5" t="s">
        <v>2095</v>
      </c>
      <c r="H555" s="5"/>
      <c r="I555" s="5" t="str">
        <f t="shared" si="2"/>
        <v>PROCESSO FOI ATUALIZADO</v>
      </c>
      <c r="J555" s="5"/>
      <c r="K555" s="5"/>
      <c r="L555" s="5"/>
      <c r="M555" s="5"/>
      <c r="N555" s="5"/>
    </row>
    <row r="556" spans="1:14" ht="22.5" customHeight="1" x14ac:dyDescent="0.2">
      <c r="A556" s="21" t="s">
        <v>1104</v>
      </c>
      <c r="B556" s="3" t="s">
        <v>34</v>
      </c>
      <c r="C556" s="3" t="s">
        <v>35</v>
      </c>
      <c r="D556" s="14" t="s">
        <v>2513</v>
      </c>
      <c r="E556" s="3" t="s">
        <v>837</v>
      </c>
      <c r="F556" s="9">
        <v>45433</v>
      </c>
      <c r="G556" s="5" t="s">
        <v>2095</v>
      </c>
      <c r="H556" s="5"/>
      <c r="I556" s="5" t="str">
        <f t="shared" si="2"/>
        <v>PROCESSO FOI ATUALIZADO</v>
      </c>
      <c r="J556" s="5"/>
      <c r="K556" s="5"/>
      <c r="L556" s="5"/>
      <c r="M556" s="5"/>
      <c r="N556" s="5"/>
    </row>
    <row r="557" spans="1:14" ht="22.5" customHeight="1" x14ac:dyDescent="0.2">
      <c r="A557" s="21" t="s">
        <v>1068</v>
      </c>
      <c r="B557" s="3" t="s">
        <v>34</v>
      </c>
      <c r="C557" s="3" t="s">
        <v>35</v>
      </c>
      <c r="D557" s="14" t="s">
        <v>2528</v>
      </c>
      <c r="E557" s="3" t="s">
        <v>821</v>
      </c>
      <c r="F557" s="9">
        <v>45433</v>
      </c>
      <c r="G557" s="5" t="s">
        <v>37</v>
      </c>
      <c r="H557" s="5"/>
      <c r="I557" s="5" t="str">
        <f t="shared" si="2"/>
        <v>PROCESSO FOI ATUALIZADO</v>
      </c>
      <c r="J557" s="5"/>
      <c r="K557" s="5"/>
      <c r="L557" s="5"/>
      <c r="M557" s="5"/>
      <c r="N557" s="5"/>
    </row>
    <row r="558" spans="1:14" ht="22.5" customHeight="1" x14ac:dyDescent="0.2">
      <c r="A558" s="21" t="s">
        <v>1086</v>
      </c>
      <c r="B558" s="3" t="s">
        <v>34</v>
      </c>
      <c r="C558" s="3" t="s">
        <v>35</v>
      </c>
      <c r="D558" s="14" t="s">
        <v>2528</v>
      </c>
      <c r="E558" s="3" t="s">
        <v>821</v>
      </c>
      <c r="F558" s="9">
        <v>45433</v>
      </c>
      <c r="G558" s="5" t="s">
        <v>37</v>
      </c>
      <c r="H558" s="5"/>
      <c r="I558" s="5" t="str">
        <f t="shared" si="2"/>
        <v>PROCESSO FOI ATUALIZADO</v>
      </c>
      <c r="J558" s="5"/>
      <c r="K558" s="5"/>
      <c r="L558" s="5"/>
      <c r="M558" s="5"/>
      <c r="N558" s="5"/>
    </row>
    <row r="559" spans="1:14" ht="22.5" customHeight="1" x14ac:dyDescent="0.2">
      <c r="A559" s="21" t="s">
        <v>1077</v>
      </c>
      <c r="B559" s="3" t="s">
        <v>34</v>
      </c>
      <c r="C559" s="3" t="s">
        <v>35</v>
      </c>
      <c r="D559" s="14" t="s">
        <v>2583</v>
      </c>
      <c r="E559" s="3" t="s">
        <v>1063</v>
      </c>
      <c r="F559" s="9">
        <v>45433</v>
      </c>
      <c r="G559" s="5" t="s">
        <v>2095</v>
      </c>
      <c r="H559" s="5"/>
      <c r="I559" s="5" t="str">
        <f t="shared" si="2"/>
        <v>PROCESSO FOI ATUALIZADO</v>
      </c>
      <c r="J559" s="5"/>
      <c r="K559" s="5"/>
      <c r="L559" s="5"/>
      <c r="M559" s="5"/>
      <c r="N559" s="5"/>
    </row>
    <row r="560" spans="1:14" ht="22.5" customHeight="1" x14ac:dyDescent="0.2">
      <c r="A560" s="21" t="s">
        <v>1049</v>
      </c>
      <c r="B560" s="3" t="s">
        <v>34</v>
      </c>
      <c r="C560" s="3" t="s">
        <v>35</v>
      </c>
      <c r="D560" s="14" t="s">
        <v>2485</v>
      </c>
      <c r="E560" s="3" t="s">
        <v>743</v>
      </c>
      <c r="F560" s="9">
        <v>45432</v>
      </c>
      <c r="G560" s="5" t="s">
        <v>2095</v>
      </c>
      <c r="H560" s="5"/>
      <c r="I560" s="5" t="str">
        <f t="shared" si="2"/>
        <v>PROCESSO FOI ATUALIZADO</v>
      </c>
      <c r="J560" s="5"/>
      <c r="K560" s="5"/>
      <c r="L560" s="5"/>
      <c r="M560" s="5"/>
      <c r="N560" s="5"/>
    </row>
    <row r="561" spans="1:14" ht="22.5" customHeight="1" x14ac:dyDescent="0.2">
      <c r="A561" s="21" t="s">
        <v>1174</v>
      </c>
      <c r="B561" s="3" t="s">
        <v>34</v>
      </c>
      <c r="C561" s="3" t="s">
        <v>35</v>
      </c>
      <c r="D561" s="14" t="s">
        <v>2599</v>
      </c>
      <c r="E561" s="3" t="s">
        <v>1175</v>
      </c>
      <c r="F561" s="9">
        <v>45428</v>
      </c>
      <c r="G561" s="5" t="s">
        <v>2095</v>
      </c>
      <c r="H561" s="5"/>
      <c r="I561" s="5" t="str">
        <f t="shared" si="2"/>
        <v>PROCESSO FOI ATUALIZADO</v>
      </c>
      <c r="J561" s="5"/>
      <c r="K561" s="5"/>
      <c r="L561" s="5"/>
      <c r="M561" s="5"/>
      <c r="N561" s="5"/>
    </row>
    <row r="562" spans="1:14" ht="22.5" customHeight="1" x14ac:dyDescent="0.2">
      <c r="A562" s="21" t="s">
        <v>1182</v>
      </c>
      <c r="B562" s="3" t="s">
        <v>34</v>
      </c>
      <c r="C562" s="3" t="s">
        <v>35</v>
      </c>
      <c r="D562" s="14" t="s">
        <v>2599</v>
      </c>
      <c r="E562" s="3" t="s">
        <v>1175</v>
      </c>
      <c r="F562" s="9">
        <v>45428</v>
      </c>
      <c r="G562" s="5" t="s">
        <v>37</v>
      </c>
      <c r="H562" s="5"/>
      <c r="I562" s="5" t="str">
        <f t="shared" si="2"/>
        <v>PROCESSO FOI ATUALIZADO</v>
      </c>
      <c r="J562" s="5"/>
      <c r="K562" s="5"/>
      <c r="L562" s="5"/>
      <c r="M562" s="5"/>
      <c r="N562" s="5"/>
    </row>
    <row r="563" spans="1:14" ht="22.5" customHeight="1" x14ac:dyDescent="0.2">
      <c r="A563" s="21" t="s">
        <v>1126</v>
      </c>
      <c r="B563" s="3" t="s">
        <v>34</v>
      </c>
      <c r="C563" s="3" t="s">
        <v>35</v>
      </c>
      <c r="D563" s="14" t="s">
        <v>2600</v>
      </c>
      <c r="E563" s="3" t="s">
        <v>1127</v>
      </c>
      <c r="F563" s="9">
        <v>45427</v>
      </c>
      <c r="G563" s="5" t="s">
        <v>2095</v>
      </c>
      <c r="H563" s="5"/>
      <c r="I563" s="5" t="str">
        <f t="shared" si="2"/>
        <v>PROCESSO FOI ATUALIZADO</v>
      </c>
      <c r="J563" s="5"/>
      <c r="K563" s="5"/>
      <c r="L563" s="5"/>
      <c r="M563" s="5"/>
      <c r="N563" s="5"/>
    </row>
    <row r="564" spans="1:14" ht="22.5" customHeight="1" x14ac:dyDescent="0.2">
      <c r="A564" s="21" t="s">
        <v>1111</v>
      </c>
      <c r="B564" s="3" t="s">
        <v>34</v>
      </c>
      <c r="C564" s="3" t="s">
        <v>35</v>
      </c>
      <c r="D564" s="14" t="s">
        <v>2601</v>
      </c>
      <c r="E564" s="3" t="s">
        <v>1112</v>
      </c>
      <c r="F564" s="9">
        <v>45427</v>
      </c>
      <c r="G564" s="5" t="s">
        <v>2095</v>
      </c>
      <c r="H564" s="5"/>
      <c r="I564" s="5" t="str">
        <f t="shared" si="2"/>
        <v>PROCESSO FOI ATUALIZADO</v>
      </c>
      <c r="J564" s="5"/>
      <c r="K564" s="5"/>
      <c r="L564" s="5"/>
      <c r="M564" s="5"/>
      <c r="N564" s="5"/>
    </row>
    <row r="565" spans="1:14" ht="22.5" customHeight="1" x14ac:dyDescent="0.2">
      <c r="A565" s="21" t="s">
        <v>1143</v>
      </c>
      <c r="B565" s="3" t="s">
        <v>34</v>
      </c>
      <c r="C565" s="3" t="s">
        <v>35</v>
      </c>
      <c r="D565" s="14" t="s">
        <v>2602</v>
      </c>
      <c r="E565" s="3" t="s">
        <v>1142</v>
      </c>
      <c r="F565" s="9">
        <v>45426</v>
      </c>
      <c r="G565" s="5" t="s">
        <v>2095</v>
      </c>
      <c r="H565" s="5"/>
      <c r="I565" s="5" t="str">
        <f t="shared" si="2"/>
        <v>PROCESSO FOI ATUALIZADO</v>
      </c>
      <c r="J565" s="5"/>
      <c r="K565" s="5"/>
      <c r="L565" s="5"/>
      <c r="M565" s="5"/>
      <c r="N565" s="5"/>
    </row>
    <row r="566" spans="1:14" ht="22.5" customHeight="1" x14ac:dyDescent="0.2">
      <c r="A566" s="21" t="s">
        <v>1183</v>
      </c>
      <c r="B566" s="3" t="s">
        <v>34</v>
      </c>
      <c r="C566" s="3" t="s">
        <v>35</v>
      </c>
      <c r="D566" s="14" t="s">
        <v>2519</v>
      </c>
      <c r="E566" s="3" t="s">
        <v>923</v>
      </c>
      <c r="F566" s="9">
        <v>45425</v>
      </c>
      <c r="G566" s="5" t="s">
        <v>37</v>
      </c>
      <c r="H566" s="5"/>
      <c r="I566" s="5" t="str">
        <f t="shared" si="2"/>
        <v>PROCESSO FOI ATUALIZADO</v>
      </c>
      <c r="J566" s="5"/>
      <c r="K566" s="5"/>
      <c r="L566" s="5"/>
      <c r="M566" s="5"/>
      <c r="N566" s="5"/>
    </row>
    <row r="567" spans="1:14" ht="22.5" customHeight="1" x14ac:dyDescent="0.2">
      <c r="A567" s="21" t="s">
        <v>1144</v>
      </c>
      <c r="B567" s="3" t="s">
        <v>34</v>
      </c>
      <c r="C567" s="3" t="s">
        <v>35</v>
      </c>
      <c r="D567" s="14" t="s">
        <v>2603</v>
      </c>
      <c r="E567" s="3" t="s">
        <v>880</v>
      </c>
      <c r="F567" s="9">
        <v>45422</v>
      </c>
      <c r="G567" s="5" t="s">
        <v>2095</v>
      </c>
      <c r="H567" s="5"/>
      <c r="I567" s="5" t="str">
        <f t="shared" si="2"/>
        <v>PROCESSO FOI ATUALIZADO</v>
      </c>
      <c r="J567" s="5"/>
      <c r="K567" s="5"/>
      <c r="L567" s="5"/>
      <c r="M567" s="5"/>
      <c r="N567" s="5"/>
    </row>
    <row r="568" spans="1:14" ht="22.5" customHeight="1" x14ac:dyDescent="0.2">
      <c r="A568" s="21" t="s">
        <v>1152</v>
      </c>
      <c r="B568" s="3" t="s">
        <v>34</v>
      </c>
      <c r="C568" s="3" t="s">
        <v>35</v>
      </c>
      <c r="D568" s="14" t="s">
        <v>2604</v>
      </c>
      <c r="E568" s="3" t="s">
        <v>1061</v>
      </c>
      <c r="F568" s="9">
        <v>45422</v>
      </c>
      <c r="G568" s="5" t="s">
        <v>2095</v>
      </c>
      <c r="H568" s="5"/>
      <c r="I568" s="5" t="str">
        <f t="shared" si="2"/>
        <v>PROCESSO FOI ATUALIZADO</v>
      </c>
      <c r="J568" s="5"/>
      <c r="K568" s="5"/>
      <c r="L568" s="5"/>
      <c r="M568" s="5"/>
      <c r="N568" s="5"/>
    </row>
    <row r="569" spans="1:14" ht="22.5" customHeight="1" x14ac:dyDescent="0.2">
      <c r="A569" s="21" t="s">
        <v>1179</v>
      </c>
      <c r="B569" s="3" t="s">
        <v>34</v>
      </c>
      <c r="C569" s="3" t="s">
        <v>35</v>
      </c>
      <c r="D569" s="14" t="s">
        <v>2605</v>
      </c>
      <c r="E569" s="3" t="s">
        <v>1154</v>
      </c>
      <c r="F569" s="9">
        <v>45421</v>
      </c>
      <c r="G569" s="5" t="s">
        <v>2095</v>
      </c>
      <c r="H569" s="5"/>
      <c r="I569" s="5" t="str">
        <f t="shared" si="2"/>
        <v>PROCESSO FOI ATUALIZADO</v>
      </c>
      <c r="J569" s="5"/>
      <c r="K569" s="5"/>
      <c r="L569" s="5"/>
      <c r="M569" s="5"/>
      <c r="N569" s="5"/>
    </row>
    <row r="570" spans="1:14" ht="22.5" customHeight="1" x14ac:dyDescent="0.2">
      <c r="A570" s="21" t="s">
        <v>1180</v>
      </c>
      <c r="B570" s="3" t="s">
        <v>34</v>
      </c>
      <c r="C570" s="3" t="s">
        <v>35</v>
      </c>
      <c r="D570" s="14" t="s">
        <v>2606</v>
      </c>
      <c r="E570" s="3" t="s">
        <v>1181</v>
      </c>
      <c r="F570" s="9">
        <v>45421</v>
      </c>
      <c r="G570" s="5" t="s">
        <v>2095</v>
      </c>
      <c r="H570" s="5"/>
      <c r="I570" s="5" t="str">
        <f t="shared" si="2"/>
        <v>PROCESSO FOI ATUALIZADO</v>
      </c>
      <c r="J570" s="5"/>
      <c r="K570" s="5"/>
      <c r="L570" s="5"/>
      <c r="M570" s="5"/>
      <c r="N570" s="5"/>
    </row>
    <row r="571" spans="1:14" ht="22.5" customHeight="1" x14ac:dyDescent="0.2">
      <c r="A571" s="21" t="s">
        <v>1171</v>
      </c>
      <c r="B571" s="3" t="s">
        <v>34</v>
      </c>
      <c r="C571" s="3" t="s">
        <v>35</v>
      </c>
      <c r="D571" s="14" t="s">
        <v>2607</v>
      </c>
      <c r="E571" s="3" t="s">
        <v>875</v>
      </c>
      <c r="F571" s="9">
        <v>45420</v>
      </c>
      <c r="G571" s="5" t="s">
        <v>2095</v>
      </c>
      <c r="H571" s="5"/>
      <c r="I571" s="5" t="str">
        <f t="shared" si="2"/>
        <v>PROCESSO FOI ATUALIZADO</v>
      </c>
      <c r="J571" s="5"/>
      <c r="K571" s="5"/>
      <c r="L571" s="5"/>
      <c r="M571" s="5"/>
      <c r="N571" s="5"/>
    </row>
    <row r="572" spans="1:14" ht="22.5" customHeight="1" x14ac:dyDescent="0.2">
      <c r="A572" s="21" t="s">
        <v>1166</v>
      </c>
      <c r="B572" s="3" t="s">
        <v>34</v>
      </c>
      <c r="C572" s="3" t="s">
        <v>35</v>
      </c>
      <c r="D572" s="14" t="s">
        <v>2511</v>
      </c>
      <c r="E572" s="3" t="s">
        <v>743</v>
      </c>
      <c r="F572" s="9">
        <v>45419</v>
      </c>
      <c r="G572" s="5" t="s">
        <v>2095</v>
      </c>
      <c r="H572" s="5"/>
      <c r="I572" s="5" t="str">
        <f t="shared" si="2"/>
        <v>PROCESSO FOI ATUALIZADO</v>
      </c>
      <c r="J572" s="5"/>
      <c r="K572" s="5"/>
      <c r="L572" s="5"/>
      <c r="M572" s="5"/>
      <c r="N572" s="5"/>
    </row>
    <row r="573" spans="1:14" ht="22.5" customHeight="1" x14ac:dyDescent="0.2">
      <c r="A573" s="21" t="s">
        <v>1116</v>
      </c>
      <c r="B573" s="3" t="s">
        <v>34</v>
      </c>
      <c r="C573" s="3" t="s">
        <v>35</v>
      </c>
      <c r="D573" s="14" t="s">
        <v>2608</v>
      </c>
      <c r="E573" s="3" t="s">
        <v>1117</v>
      </c>
      <c r="F573" s="9">
        <v>45412</v>
      </c>
      <c r="G573" s="5" t="s">
        <v>37</v>
      </c>
      <c r="H573" s="5"/>
      <c r="I573" s="5" t="str">
        <f t="shared" si="2"/>
        <v>PROCESSO FOI ATUALIZADO</v>
      </c>
      <c r="J573" s="5"/>
      <c r="K573" s="5"/>
      <c r="L573" s="5"/>
      <c r="M573" s="5"/>
      <c r="N573" s="5"/>
    </row>
    <row r="574" spans="1:14" ht="22.5" customHeight="1" x14ac:dyDescent="0.2">
      <c r="A574" s="21" t="s">
        <v>1176</v>
      </c>
      <c r="B574" s="3" t="s">
        <v>34</v>
      </c>
      <c r="C574" s="3" t="s">
        <v>35</v>
      </c>
      <c r="D574" s="14" t="s">
        <v>2511</v>
      </c>
      <c r="E574" s="3" t="s">
        <v>743</v>
      </c>
      <c r="F574" s="9">
        <v>45407</v>
      </c>
      <c r="G574" s="5" t="s">
        <v>2095</v>
      </c>
      <c r="H574" s="5"/>
      <c r="I574" s="5" t="str">
        <f t="shared" si="2"/>
        <v>PROCESSO FOI ATUALIZADO</v>
      </c>
      <c r="J574" s="5"/>
      <c r="K574" s="5"/>
      <c r="L574" s="5"/>
      <c r="M574" s="5"/>
      <c r="N574" s="5"/>
    </row>
    <row r="575" spans="1:14" ht="22.5" customHeight="1" x14ac:dyDescent="0.2">
      <c r="A575" s="21" t="s">
        <v>1141</v>
      </c>
      <c r="B575" s="3" t="s">
        <v>34</v>
      </c>
      <c r="C575" s="3" t="s">
        <v>35</v>
      </c>
      <c r="D575" s="14" t="s">
        <v>2609</v>
      </c>
      <c r="E575" s="3" t="s">
        <v>1142</v>
      </c>
      <c r="F575" s="9">
        <v>45406</v>
      </c>
      <c r="G575" s="5" t="s">
        <v>2095</v>
      </c>
      <c r="H575" s="5"/>
      <c r="I575" s="5" t="str">
        <f t="shared" si="2"/>
        <v>PROCESSO FOI ATUALIZADO</v>
      </c>
      <c r="J575" s="5"/>
      <c r="K575" s="5"/>
      <c r="L575" s="5"/>
      <c r="M575" s="5"/>
      <c r="N575" s="5"/>
    </row>
    <row r="576" spans="1:14" ht="22.5" customHeight="1" x14ac:dyDescent="0.2">
      <c r="A576" s="21" t="s">
        <v>1158</v>
      </c>
      <c r="B576" s="3" t="s">
        <v>34</v>
      </c>
      <c r="C576" s="3" t="s">
        <v>35</v>
      </c>
      <c r="D576" s="14" t="s">
        <v>2610</v>
      </c>
      <c r="E576" s="3" t="s">
        <v>1159</v>
      </c>
      <c r="F576" s="9">
        <v>45406</v>
      </c>
      <c r="G576" s="5" t="s">
        <v>2095</v>
      </c>
      <c r="H576" s="5"/>
      <c r="I576" s="5" t="str">
        <f t="shared" si="2"/>
        <v>PROCESSO FOI ATUALIZADO</v>
      </c>
      <c r="J576" s="5"/>
      <c r="K576" s="5"/>
      <c r="L576" s="5"/>
      <c r="M576" s="5"/>
      <c r="N576" s="5"/>
    </row>
    <row r="577" spans="1:14" ht="22.5" customHeight="1" x14ac:dyDescent="0.2">
      <c r="A577" s="21" t="s">
        <v>1128</v>
      </c>
      <c r="B577" s="3" t="s">
        <v>34</v>
      </c>
      <c r="C577" s="3" t="s">
        <v>35</v>
      </c>
      <c r="D577" s="14" t="s">
        <v>2399</v>
      </c>
      <c r="E577" s="3" t="s">
        <v>494</v>
      </c>
      <c r="F577" s="9">
        <v>45405</v>
      </c>
      <c r="G577" s="5" t="s">
        <v>2095</v>
      </c>
      <c r="H577" s="5"/>
      <c r="I577" s="5" t="str">
        <f t="shared" si="2"/>
        <v>PROCESSO FOI ATUALIZADO</v>
      </c>
      <c r="J577" s="5"/>
      <c r="K577" s="5"/>
      <c r="L577" s="5"/>
      <c r="M577" s="5"/>
      <c r="N577" s="5"/>
    </row>
    <row r="578" spans="1:14" ht="22.5" customHeight="1" x14ac:dyDescent="0.2">
      <c r="A578" s="21" t="s">
        <v>1132</v>
      </c>
      <c r="B578" s="3" t="s">
        <v>34</v>
      </c>
      <c r="C578" s="3" t="s">
        <v>35</v>
      </c>
      <c r="D578" s="14" t="s">
        <v>2399</v>
      </c>
      <c r="E578" s="3" t="s">
        <v>494</v>
      </c>
      <c r="F578" s="9">
        <v>45405</v>
      </c>
      <c r="G578" s="5" t="s">
        <v>2095</v>
      </c>
      <c r="H578" s="5"/>
      <c r="I578" s="5" t="str">
        <f t="shared" si="2"/>
        <v>PROCESSO FOI ATUALIZADO</v>
      </c>
      <c r="J578" s="5"/>
      <c r="K578" s="5"/>
      <c r="L578" s="5"/>
      <c r="M578" s="5"/>
      <c r="N578" s="5"/>
    </row>
    <row r="579" spans="1:14" ht="22.5" customHeight="1" x14ac:dyDescent="0.2">
      <c r="A579" s="21" t="s">
        <v>1160</v>
      </c>
      <c r="B579" s="3" t="s">
        <v>34</v>
      </c>
      <c r="C579" s="3" t="s">
        <v>35</v>
      </c>
      <c r="D579" s="14" t="s">
        <v>2611</v>
      </c>
      <c r="E579" s="3" t="s">
        <v>79</v>
      </c>
      <c r="F579" s="9">
        <v>45404</v>
      </c>
      <c r="G579" s="5" t="s">
        <v>2095</v>
      </c>
      <c r="H579" s="5"/>
      <c r="I579" s="5" t="str">
        <f t="shared" si="2"/>
        <v>PROCESSO FOI ATUALIZADO</v>
      </c>
      <c r="J579" s="5"/>
      <c r="K579" s="5"/>
      <c r="L579" s="5"/>
      <c r="M579" s="5"/>
      <c r="N579" s="5"/>
    </row>
    <row r="580" spans="1:14" ht="22.5" customHeight="1" x14ac:dyDescent="0.2">
      <c r="A580" s="21" t="s">
        <v>1124</v>
      </c>
      <c r="B580" s="3" t="s">
        <v>34</v>
      </c>
      <c r="C580" s="3" t="s">
        <v>35</v>
      </c>
      <c r="D580" s="14" t="s">
        <v>2612</v>
      </c>
      <c r="E580" s="3" t="s">
        <v>1125</v>
      </c>
      <c r="F580" s="9">
        <v>45404</v>
      </c>
      <c r="G580" s="5" t="s">
        <v>2095</v>
      </c>
      <c r="H580" s="5"/>
      <c r="I580" s="5" t="str">
        <f t="shared" si="2"/>
        <v>PROCESSO FOI ATUALIZADO</v>
      </c>
      <c r="J580" s="5"/>
      <c r="K580" s="5"/>
      <c r="L580" s="5"/>
      <c r="M580" s="5"/>
      <c r="N580" s="5"/>
    </row>
    <row r="581" spans="1:14" ht="22.5" customHeight="1" x14ac:dyDescent="0.2">
      <c r="A581" s="21" t="s">
        <v>1173</v>
      </c>
      <c r="B581" s="3" t="s">
        <v>34</v>
      </c>
      <c r="C581" s="3" t="s">
        <v>35</v>
      </c>
      <c r="D581" s="14" t="s">
        <v>2613</v>
      </c>
      <c r="E581" s="3" t="s">
        <v>127</v>
      </c>
      <c r="F581" s="9">
        <v>45404</v>
      </c>
      <c r="G581" s="5" t="s">
        <v>2095</v>
      </c>
      <c r="H581" s="5"/>
      <c r="I581" s="5" t="str">
        <f t="shared" si="2"/>
        <v>PROCESSO FOI ATUALIZADO</v>
      </c>
      <c r="J581" s="5"/>
      <c r="K581" s="5"/>
      <c r="L581" s="5"/>
      <c r="M581" s="5"/>
      <c r="N581" s="5"/>
    </row>
    <row r="582" spans="1:14" ht="22.5" customHeight="1" x14ac:dyDescent="0.2">
      <c r="A582" s="21" t="s">
        <v>1163</v>
      </c>
      <c r="B582" s="3" t="s">
        <v>34</v>
      </c>
      <c r="C582" s="3" t="s">
        <v>35</v>
      </c>
      <c r="D582" s="14" t="s">
        <v>2614</v>
      </c>
      <c r="E582" s="3" t="s">
        <v>1164</v>
      </c>
      <c r="F582" s="9">
        <v>45404</v>
      </c>
      <c r="G582" s="5" t="s">
        <v>2095</v>
      </c>
      <c r="H582" s="5"/>
      <c r="I582" s="5" t="str">
        <f t="shared" si="2"/>
        <v>PROCESSO FOI ATUALIZADO</v>
      </c>
      <c r="J582" s="5"/>
      <c r="K582" s="5"/>
      <c r="L582" s="5"/>
      <c r="M582" s="5"/>
      <c r="N582" s="5"/>
    </row>
    <row r="583" spans="1:14" ht="22.5" customHeight="1" x14ac:dyDescent="0.2">
      <c r="A583" s="21" t="s">
        <v>1130</v>
      </c>
      <c r="B583" s="3" t="s">
        <v>34</v>
      </c>
      <c r="C583" s="3" t="s">
        <v>35</v>
      </c>
      <c r="D583" s="14" t="s">
        <v>2615</v>
      </c>
      <c r="E583" s="3" t="s">
        <v>1125</v>
      </c>
      <c r="F583" s="9">
        <v>45404</v>
      </c>
      <c r="G583" s="5" t="s">
        <v>2095</v>
      </c>
      <c r="H583" s="5"/>
      <c r="I583" s="5" t="str">
        <f t="shared" si="2"/>
        <v>PROCESSO FOI ATUALIZADO</v>
      </c>
      <c r="J583" s="5"/>
      <c r="K583" s="5"/>
      <c r="L583" s="5"/>
      <c r="M583" s="5"/>
      <c r="N583" s="5"/>
    </row>
    <row r="584" spans="1:14" ht="22.5" customHeight="1" x14ac:dyDescent="0.2">
      <c r="A584" s="21" t="s">
        <v>1131</v>
      </c>
      <c r="B584" s="3" t="s">
        <v>34</v>
      </c>
      <c r="C584" s="3" t="s">
        <v>35</v>
      </c>
      <c r="D584" s="14" t="s">
        <v>2616</v>
      </c>
      <c r="E584" s="3" t="s">
        <v>1125</v>
      </c>
      <c r="F584" s="9">
        <v>45404</v>
      </c>
      <c r="G584" s="5" t="s">
        <v>2095</v>
      </c>
      <c r="H584" s="5"/>
      <c r="I584" s="5" t="str">
        <f t="shared" si="2"/>
        <v>PROCESSO FOI ATUALIZADO</v>
      </c>
      <c r="J584" s="5"/>
      <c r="K584" s="5"/>
      <c r="L584" s="5"/>
      <c r="M584" s="5"/>
      <c r="N584" s="5"/>
    </row>
    <row r="585" spans="1:14" ht="22.5" customHeight="1" x14ac:dyDescent="0.2">
      <c r="A585" s="21" t="s">
        <v>1137</v>
      </c>
      <c r="B585" s="3" t="s">
        <v>34</v>
      </c>
      <c r="C585" s="3" t="s">
        <v>35</v>
      </c>
      <c r="D585" s="14" t="s">
        <v>2617</v>
      </c>
      <c r="E585" s="3" t="s">
        <v>1138</v>
      </c>
      <c r="F585" s="9">
        <v>45400</v>
      </c>
      <c r="G585" s="5" t="s">
        <v>2095</v>
      </c>
      <c r="H585" s="5"/>
      <c r="I585" s="5" t="str">
        <f t="shared" si="2"/>
        <v>PROCESSO FOI ATUALIZADO</v>
      </c>
      <c r="J585" s="5"/>
      <c r="K585" s="5"/>
      <c r="L585" s="5"/>
      <c r="M585" s="5"/>
      <c r="N585" s="5"/>
    </row>
    <row r="586" spans="1:14" ht="22.5" customHeight="1" x14ac:dyDescent="0.2">
      <c r="A586" s="21" t="s">
        <v>1172</v>
      </c>
      <c r="B586" s="3" t="s">
        <v>34</v>
      </c>
      <c r="C586" s="3" t="s">
        <v>35</v>
      </c>
      <c r="D586" s="14" t="s">
        <v>2618</v>
      </c>
      <c r="E586" s="3" t="s">
        <v>1148</v>
      </c>
      <c r="F586" s="9">
        <v>45400</v>
      </c>
      <c r="G586" s="5" t="s">
        <v>2095</v>
      </c>
      <c r="H586" s="5"/>
      <c r="I586" s="5" t="str">
        <f t="shared" si="2"/>
        <v>PROCESSO FOI ATUALIZADO</v>
      </c>
      <c r="J586" s="5"/>
      <c r="K586" s="5"/>
      <c r="L586" s="5"/>
      <c r="M586" s="5"/>
      <c r="N586" s="5"/>
    </row>
    <row r="587" spans="1:14" ht="22.5" customHeight="1" x14ac:dyDescent="0.2">
      <c r="A587" s="21" t="s">
        <v>1153</v>
      </c>
      <c r="B587" s="3" t="s">
        <v>34</v>
      </c>
      <c r="C587" s="3" t="s">
        <v>35</v>
      </c>
      <c r="D587" s="14" t="s">
        <v>2619</v>
      </c>
      <c r="E587" s="3" t="s">
        <v>1154</v>
      </c>
      <c r="F587" s="9">
        <v>45400</v>
      </c>
      <c r="G587" s="5" t="s">
        <v>2095</v>
      </c>
      <c r="H587" s="5"/>
      <c r="I587" s="5" t="str">
        <f t="shared" si="2"/>
        <v>PROCESSO FOI ATUALIZADO</v>
      </c>
      <c r="J587" s="5"/>
      <c r="K587" s="5"/>
      <c r="L587" s="5"/>
      <c r="M587" s="5"/>
      <c r="N587" s="5"/>
    </row>
    <row r="588" spans="1:14" ht="22.5" customHeight="1" x14ac:dyDescent="0.2">
      <c r="A588" s="21" t="s">
        <v>1122</v>
      </c>
      <c r="B588" s="3" t="s">
        <v>34</v>
      </c>
      <c r="C588" s="3" t="s">
        <v>35</v>
      </c>
      <c r="D588" s="14" t="s">
        <v>2620</v>
      </c>
      <c r="E588" s="3" t="s">
        <v>1123</v>
      </c>
      <c r="F588" s="9">
        <v>45399</v>
      </c>
      <c r="G588" s="5" t="s">
        <v>2095</v>
      </c>
      <c r="H588" s="5"/>
      <c r="I588" s="5" t="str">
        <f t="shared" si="2"/>
        <v>PROCESSO FOI ATUALIZADO</v>
      </c>
      <c r="J588" s="5"/>
      <c r="K588" s="5"/>
      <c r="L588" s="5"/>
      <c r="M588" s="5"/>
      <c r="N588" s="5"/>
    </row>
    <row r="589" spans="1:14" ht="22.5" customHeight="1" x14ac:dyDescent="0.2">
      <c r="A589" s="21" t="s">
        <v>1165</v>
      </c>
      <c r="B589" s="3" t="s">
        <v>34</v>
      </c>
      <c r="C589" s="3" t="s">
        <v>35</v>
      </c>
      <c r="D589" s="14" t="s">
        <v>2621</v>
      </c>
      <c r="E589" s="3" t="s">
        <v>955</v>
      </c>
      <c r="F589" s="9">
        <v>45399</v>
      </c>
      <c r="G589" s="5" t="s">
        <v>2095</v>
      </c>
      <c r="H589" s="5"/>
      <c r="I589" s="5" t="str">
        <f t="shared" si="2"/>
        <v>PROCESSO FOI ATUALIZADO</v>
      </c>
      <c r="J589" s="5"/>
      <c r="K589" s="5"/>
      <c r="L589" s="5"/>
      <c r="M589" s="5"/>
      <c r="N589" s="5"/>
    </row>
    <row r="590" spans="1:14" ht="22.5" customHeight="1" x14ac:dyDescent="0.2">
      <c r="A590" s="21" t="s">
        <v>1134</v>
      </c>
      <c r="B590" s="3" t="s">
        <v>34</v>
      </c>
      <c r="C590" s="3" t="s">
        <v>35</v>
      </c>
      <c r="D590" s="14" t="s">
        <v>2622</v>
      </c>
      <c r="E590" s="3" t="s">
        <v>725</v>
      </c>
      <c r="F590" s="9">
        <v>45398</v>
      </c>
      <c r="G590" s="5" t="s">
        <v>2095</v>
      </c>
      <c r="H590" s="5"/>
      <c r="I590" s="5" t="str">
        <f t="shared" si="2"/>
        <v>PROCESSO FOI ATUALIZADO</v>
      </c>
      <c r="J590" s="5"/>
      <c r="K590" s="5"/>
      <c r="L590" s="5"/>
      <c r="M590" s="5"/>
      <c r="N590" s="5"/>
    </row>
    <row r="591" spans="1:14" ht="22.5" customHeight="1" x14ac:dyDescent="0.2">
      <c r="A591" s="21" t="s">
        <v>1150</v>
      </c>
      <c r="B591" s="3" t="s">
        <v>34</v>
      </c>
      <c r="C591" s="3" t="s">
        <v>35</v>
      </c>
      <c r="D591" s="14" t="s">
        <v>2602</v>
      </c>
      <c r="E591" s="3" t="s">
        <v>1142</v>
      </c>
      <c r="F591" s="9">
        <v>45398</v>
      </c>
      <c r="G591" s="5" t="s">
        <v>37</v>
      </c>
      <c r="H591" s="5"/>
      <c r="I591" s="5" t="str">
        <f t="shared" si="2"/>
        <v>PROCESSO FOI ATUALIZADO</v>
      </c>
      <c r="J591" s="5"/>
      <c r="K591" s="5"/>
      <c r="L591" s="5"/>
      <c r="M591" s="5"/>
      <c r="N591" s="5"/>
    </row>
    <row r="592" spans="1:14" ht="22.5" customHeight="1" x14ac:dyDescent="0.2">
      <c r="A592" s="21" t="s">
        <v>1156</v>
      </c>
      <c r="B592" s="3" t="s">
        <v>34</v>
      </c>
      <c r="C592" s="3" t="s">
        <v>35</v>
      </c>
      <c r="D592" s="14" t="s">
        <v>2623</v>
      </c>
      <c r="E592" s="3" t="s">
        <v>1148</v>
      </c>
      <c r="F592" s="9">
        <v>45398</v>
      </c>
      <c r="G592" s="5" t="s">
        <v>2095</v>
      </c>
      <c r="H592" s="5"/>
      <c r="I592" s="5" t="str">
        <f t="shared" si="2"/>
        <v>PROCESSO FOI ATUALIZADO</v>
      </c>
      <c r="J592" s="5"/>
      <c r="K592" s="5"/>
      <c r="L592" s="5"/>
      <c r="M592" s="5"/>
      <c r="N592" s="5"/>
    </row>
    <row r="593" spans="1:14" ht="22.5" customHeight="1" x14ac:dyDescent="0.2">
      <c r="A593" s="21" t="s">
        <v>1162</v>
      </c>
      <c r="B593" s="3" t="s">
        <v>34</v>
      </c>
      <c r="C593" s="3" t="s">
        <v>35</v>
      </c>
      <c r="D593" s="14" t="s">
        <v>2623</v>
      </c>
      <c r="E593" s="3" t="s">
        <v>1148</v>
      </c>
      <c r="F593" s="9">
        <v>45398</v>
      </c>
      <c r="G593" s="5" t="s">
        <v>37</v>
      </c>
      <c r="H593" s="5"/>
      <c r="I593" s="5" t="str">
        <f t="shared" si="2"/>
        <v>PROCESSO FOI ATUALIZADO</v>
      </c>
      <c r="J593" s="5"/>
      <c r="K593" s="5"/>
      <c r="L593" s="5"/>
      <c r="M593" s="5"/>
      <c r="N593" s="5"/>
    </row>
    <row r="594" spans="1:14" ht="22.5" customHeight="1" x14ac:dyDescent="0.2">
      <c r="A594" s="21" t="s">
        <v>1155</v>
      </c>
      <c r="B594" s="3" t="s">
        <v>34</v>
      </c>
      <c r="C594" s="3" t="s">
        <v>35</v>
      </c>
      <c r="D594" s="14" t="s">
        <v>2624</v>
      </c>
      <c r="E594" s="3" t="s">
        <v>1148</v>
      </c>
      <c r="F594" s="9">
        <v>45397</v>
      </c>
      <c r="G594" s="5" t="s">
        <v>2095</v>
      </c>
      <c r="H594" s="5"/>
      <c r="I594" s="5" t="str">
        <f t="shared" si="2"/>
        <v>PROCESSO FOI ATUALIZADO</v>
      </c>
      <c r="J594" s="5"/>
      <c r="K594" s="5"/>
      <c r="L594" s="5"/>
      <c r="M594" s="5"/>
      <c r="N594" s="5"/>
    </row>
    <row r="595" spans="1:14" ht="22.5" customHeight="1" x14ac:dyDescent="0.2">
      <c r="A595" s="21" t="s">
        <v>1147</v>
      </c>
      <c r="B595" s="3" t="s">
        <v>34</v>
      </c>
      <c r="C595" s="3" t="s">
        <v>35</v>
      </c>
      <c r="D595" s="14" t="s">
        <v>2625</v>
      </c>
      <c r="E595" s="3" t="s">
        <v>1148</v>
      </c>
      <c r="F595" s="9">
        <v>45397</v>
      </c>
      <c r="G595" s="5" t="s">
        <v>37</v>
      </c>
      <c r="H595" s="5"/>
      <c r="I595" s="5" t="str">
        <f t="shared" si="2"/>
        <v>PROCESSO FOI ATUALIZADO</v>
      </c>
      <c r="J595" s="5"/>
      <c r="K595" s="5"/>
      <c r="L595" s="5"/>
      <c r="M595" s="5"/>
      <c r="N595" s="5"/>
    </row>
    <row r="596" spans="1:14" ht="22.5" customHeight="1" x14ac:dyDescent="0.2">
      <c r="A596" s="21" t="s">
        <v>1177</v>
      </c>
      <c r="B596" s="3" t="s">
        <v>34</v>
      </c>
      <c r="C596" s="3" t="s">
        <v>35</v>
      </c>
      <c r="D596" s="14" t="s">
        <v>2626</v>
      </c>
      <c r="E596" s="3" t="s">
        <v>1178</v>
      </c>
      <c r="F596" s="9">
        <v>45394</v>
      </c>
      <c r="G596" s="5" t="s">
        <v>2095</v>
      </c>
      <c r="H596" s="5"/>
      <c r="I596" s="5" t="str">
        <f t="shared" si="2"/>
        <v>PROCESSO FOI ATUALIZADO</v>
      </c>
      <c r="J596" s="5"/>
      <c r="K596" s="5"/>
      <c r="L596" s="5"/>
      <c r="M596" s="5"/>
      <c r="N596" s="5"/>
    </row>
    <row r="597" spans="1:14" ht="22.5" customHeight="1" x14ac:dyDescent="0.2">
      <c r="A597" s="21" t="s">
        <v>1139</v>
      </c>
      <c r="B597" s="3" t="s">
        <v>34</v>
      </c>
      <c r="C597" s="3" t="s">
        <v>35</v>
      </c>
      <c r="D597" s="14" t="s">
        <v>2469</v>
      </c>
      <c r="E597" s="3" t="s">
        <v>720</v>
      </c>
      <c r="F597" s="9">
        <v>45394</v>
      </c>
      <c r="G597" s="5" t="s">
        <v>2095</v>
      </c>
      <c r="H597" s="5"/>
      <c r="I597" s="5" t="str">
        <f t="shared" si="2"/>
        <v>PROCESSO FOI ATUALIZADO</v>
      </c>
      <c r="J597" s="5"/>
      <c r="K597" s="5"/>
      <c r="L597" s="5"/>
      <c r="M597" s="5"/>
      <c r="N597" s="5"/>
    </row>
    <row r="598" spans="1:14" ht="22.5" customHeight="1" x14ac:dyDescent="0.2">
      <c r="A598" s="21" t="s">
        <v>1135</v>
      </c>
      <c r="B598" s="3" t="s">
        <v>34</v>
      </c>
      <c r="C598" s="3" t="s">
        <v>35</v>
      </c>
      <c r="D598" s="14" t="s">
        <v>2449</v>
      </c>
      <c r="E598" s="3" t="s">
        <v>603</v>
      </c>
      <c r="F598" s="9">
        <v>45394</v>
      </c>
      <c r="G598" s="5" t="s">
        <v>2095</v>
      </c>
      <c r="H598" s="5"/>
      <c r="I598" s="5" t="str">
        <f t="shared" si="2"/>
        <v>PROCESSO FOI ATUALIZADO</v>
      </c>
      <c r="J598" s="5"/>
      <c r="K598" s="5"/>
      <c r="L598" s="5"/>
      <c r="M598" s="5"/>
      <c r="N598" s="5"/>
    </row>
    <row r="599" spans="1:14" ht="22.5" customHeight="1" x14ac:dyDescent="0.2">
      <c r="A599" s="21" t="s">
        <v>1161</v>
      </c>
      <c r="B599" s="3" t="s">
        <v>34</v>
      </c>
      <c r="C599" s="3" t="s">
        <v>35</v>
      </c>
      <c r="D599" s="14" t="s">
        <v>2627</v>
      </c>
      <c r="E599" s="3" t="s">
        <v>1079</v>
      </c>
      <c r="F599" s="9">
        <v>45393</v>
      </c>
      <c r="G599" s="5" t="s">
        <v>2095</v>
      </c>
      <c r="H599" s="5"/>
      <c r="I599" s="5" t="str">
        <f t="shared" si="2"/>
        <v>PROCESSO FOI ATUALIZADO</v>
      </c>
      <c r="J599" s="5"/>
      <c r="K599" s="5"/>
      <c r="L599" s="5"/>
      <c r="M599" s="5"/>
      <c r="N599" s="5"/>
    </row>
    <row r="600" spans="1:14" ht="22.5" customHeight="1" x14ac:dyDescent="0.2">
      <c r="A600" s="21" t="s">
        <v>1167</v>
      </c>
      <c r="B600" s="3" t="s">
        <v>34</v>
      </c>
      <c r="C600" s="3" t="s">
        <v>35</v>
      </c>
      <c r="D600" s="14" t="s">
        <v>2628</v>
      </c>
      <c r="E600" s="3" t="s">
        <v>1168</v>
      </c>
      <c r="F600" s="9">
        <v>45393</v>
      </c>
      <c r="G600" s="5" t="s">
        <v>2095</v>
      </c>
      <c r="H600" s="5"/>
      <c r="I600" s="5" t="str">
        <f t="shared" si="2"/>
        <v>PROCESSO FOI ATUALIZADO</v>
      </c>
      <c r="J600" s="5"/>
      <c r="K600" s="5"/>
      <c r="L600" s="5"/>
      <c r="M600" s="5"/>
      <c r="N600" s="5"/>
    </row>
    <row r="601" spans="1:14" ht="22.5" customHeight="1" x14ac:dyDescent="0.2">
      <c r="A601" s="21" t="s">
        <v>1149</v>
      </c>
      <c r="B601" s="3" t="s">
        <v>34</v>
      </c>
      <c r="C601" s="3" t="s">
        <v>35</v>
      </c>
      <c r="D601" s="14" t="s">
        <v>2629</v>
      </c>
      <c r="E601" s="3" t="s">
        <v>837</v>
      </c>
      <c r="F601" s="9">
        <v>45392</v>
      </c>
      <c r="G601" s="5" t="s">
        <v>2095</v>
      </c>
      <c r="H601" s="5"/>
      <c r="I601" s="5" t="str">
        <f t="shared" si="2"/>
        <v>PROCESSO FOI ATUALIZADO</v>
      </c>
      <c r="J601" s="5"/>
      <c r="K601" s="5"/>
      <c r="L601" s="5"/>
      <c r="M601" s="5"/>
      <c r="N601" s="5"/>
    </row>
    <row r="602" spans="1:14" ht="22.5" customHeight="1" x14ac:dyDescent="0.2">
      <c r="A602" s="21" t="s">
        <v>1169</v>
      </c>
      <c r="B602" s="3" t="s">
        <v>34</v>
      </c>
      <c r="C602" s="3" t="s">
        <v>35</v>
      </c>
      <c r="D602" s="14" t="s">
        <v>2630</v>
      </c>
      <c r="E602" s="3" t="s">
        <v>1170</v>
      </c>
      <c r="F602" s="9">
        <v>45385</v>
      </c>
      <c r="G602" s="5" t="s">
        <v>2095</v>
      </c>
      <c r="H602" s="5"/>
      <c r="I602" s="5" t="str">
        <f t="shared" si="2"/>
        <v>PROCESSO FOI ATUALIZADO</v>
      </c>
      <c r="J602" s="5"/>
      <c r="K602" s="5"/>
      <c r="L602" s="5"/>
      <c r="M602" s="5"/>
      <c r="N602" s="5"/>
    </row>
    <row r="603" spans="1:14" ht="22.5" customHeight="1" x14ac:dyDescent="0.2">
      <c r="A603" s="21" t="s">
        <v>1157</v>
      </c>
      <c r="B603" s="3" t="s">
        <v>34</v>
      </c>
      <c r="C603" s="3" t="s">
        <v>35</v>
      </c>
      <c r="D603" s="14" t="s">
        <v>2631</v>
      </c>
      <c r="E603" s="3" t="s">
        <v>952</v>
      </c>
      <c r="F603" s="9">
        <v>45383</v>
      </c>
      <c r="G603" s="5" t="s">
        <v>2095</v>
      </c>
      <c r="H603" s="5"/>
      <c r="I603" s="5" t="str">
        <f t="shared" si="2"/>
        <v>PROCESSO FOI ATUALIZADO</v>
      </c>
      <c r="J603" s="5"/>
      <c r="K603" s="5"/>
      <c r="L603" s="5"/>
      <c r="M603" s="5"/>
      <c r="N603" s="5"/>
    </row>
    <row r="604" spans="1:14" ht="22.5" customHeight="1" x14ac:dyDescent="0.2">
      <c r="A604" s="5" t="s">
        <v>1184</v>
      </c>
      <c r="B604" s="3" t="s">
        <v>34</v>
      </c>
      <c r="C604" s="3" t="s">
        <v>35</v>
      </c>
      <c r="D604" s="3" t="s">
        <v>2632</v>
      </c>
      <c r="E604" s="3" t="s">
        <v>1185</v>
      </c>
      <c r="F604" s="9">
        <v>45378</v>
      </c>
      <c r="G604" s="5" t="s">
        <v>2110</v>
      </c>
      <c r="H604" s="5"/>
      <c r="I604" s="5" t="str">
        <f t="shared" si="2"/>
        <v>PROCESSO FOI ATUALIZADO</v>
      </c>
      <c r="J604" s="5"/>
      <c r="K604" s="5"/>
      <c r="L604" s="5"/>
      <c r="M604" s="5"/>
      <c r="N604" s="5"/>
    </row>
    <row r="605" spans="1:14" ht="22.5" customHeight="1" x14ac:dyDescent="0.2">
      <c r="A605" s="21" t="s">
        <v>1118</v>
      </c>
      <c r="B605" s="3" t="s">
        <v>34</v>
      </c>
      <c r="C605" s="3" t="s">
        <v>35</v>
      </c>
      <c r="D605" s="14" t="s">
        <v>2633</v>
      </c>
      <c r="E605" s="3" t="s">
        <v>1119</v>
      </c>
      <c r="F605" s="9">
        <v>45376</v>
      </c>
      <c r="G605" s="5" t="s">
        <v>2095</v>
      </c>
      <c r="H605" s="5"/>
      <c r="I605" s="5" t="str">
        <f t="shared" si="2"/>
        <v>PROCESSO FOI ATUALIZADO</v>
      </c>
      <c r="J605" s="5"/>
      <c r="K605" s="5"/>
      <c r="L605" s="5"/>
      <c r="M605" s="5"/>
      <c r="N605" s="5"/>
    </row>
    <row r="606" spans="1:14" ht="22.5" customHeight="1" x14ac:dyDescent="0.2">
      <c r="A606" s="21" t="s">
        <v>1120</v>
      </c>
      <c r="B606" s="3" t="s">
        <v>34</v>
      </c>
      <c r="C606" s="3" t="s">
        <v>35</v>
      </c>
      <c r="D606" s="14" t="s">
        <v>2634</v>
      </c>
      <c r="E606" s="3" t="s">
        <v>1121</v>
      </c>
      <c r="F606" s="9">
        <v>45372</v>
      </c>
      <c r="G606" s="5" t="s">
        <v>2095</v>
      </c>
      <c r="H606" s="5"/>
      <c r="I606" s="5" t="str">
        <f t="shared" si="2"/>
        <v>PROCESSO FOI ATUALIZADO</v>
      </c>
      <c r="J606" s="5"/>
      <c r="K606" s="5"/>
      <c r="L606" s="5"/>
      <c r="M606" s="5"/>
      <c r="N606" s="5"/>
    </row>
    <row r="607" spans="1:14" ht="22.5" customHeight="1" x14ac:dyDescent="0.2">
      <c r="A607" s="21" t="s">
        <v>1145</v>
      </c>
      <c r="B607" s="3" t="s">
        <v>34</v>
      </c>
      <c r="C607" s="3" t="s">
        <v>35</v>
      </c>
      <c r="D607" s="14" t="s">
        <v>2635</v>
      </c>
      <c r="E607" s="3" t="s">
        <v>1146</v>
      </c>
      <c r="F607" s="9">
        <v>45370</v>
      </c>
      <c r="G607" s="5" t="s">
        <v>2095</v>
      </c>
      <c r="H607" s="5"/>
      <c r="I607" s="5" t="str">
        <f t="shared" si="2"/>
        <v>PROCESSO FOI ATUALIZADO</v>
      </c>
      <c r="J607" s="5"/>
      <c r="K607" s="5"/>
      <c r="L607" s="5"/>
      <c r="M607" s="5"/>
      <c r="N607" s="5"/>
    </row>
    <row r="608" spans="1:14" ht="22.5" customHeight="1" x14ac:dyDescent="0.2">
      <c r="A608" s="21" t="s">
        <v>1113</v>
      </c>
      <c r="B608" s="3" t="s">
        <v>34</v>
      </c>
      <c r="C608" s="3" t="s">
        <v>35</v>
      </c>
      <c r="D608" s="14" t="s">
        <v>2636</v>
      </c>
      <c r="E608" s="3" t="s">
        <v>1114</v>
      </c>
      <c r="F608" s="9">
        <v>45370</v>
      </c>
      <c r="G608" s="5" t="s">
        <v>2095</v>
      </c>
      <c r="H608" s="5"/>
      <c r="I608" s="5" t="str">
        <f t="shared" si="2"/>
        <v>PROCESSO FOI ATUALIZADO</v>
      </c>
      <c r="J608" s="5"/>
      <c r="K608" s="5"/>
      <c r="L608" s="5"/>
      <c r="M608" s="5"/>
      <c r="N608" s="5"/>
    </row>
    <row r="609" spans="1:14" ht="22.5" customHeight="1" x14ac:dyDescent="0.2">
      <c r="A609" s="21" t="s">
        <v>1151</v>
      </c>
      <c r="B609" s="3" t="s">
        <v>34</v>
      </c>
      <c r="C609" s="3" t="s">
        <v>35</v>
      </c>
      <c r="D609" s="14" t="s">
        <v>2637</v>
      </c>
      <c r="E609" s="3" t="s">
        <v>1121</v>
      </c>
      <c r="F609" s="9">
        <v>45363</v>
      </c>
      <c r="G609" s="5" t="s">
        <v>2095</v>
      </c>
      <c r="H609" s="5"/>
      <c r="I609" s="5" t="str">
        <f t="shared" si="2"/>
        <v>PROCESSO FOI ATUALIZADO</v>
      </c>
      <c r="J609" s="5"/>
      <c r="K609" s="5"/>
      <c r="L609" s="5"/>
      <c r="M609" s="5"/>
      <c r="N609" s="5"/>
    </row>
    <row r="610" spans="1:14" ht="22.5" customHeight="1" x14ac:dyDescent="0.2">
      <c r="A610" s="21" t="s">
        <v>1115</v>
      </c>
      <c r="B610" s="3" t="s">
        <v>34</v>
      </c>
      <c r="C610" s="3" t="s">
        <v>35</v>
      </c>
      <c r="D610" s="14" t="s">
        <v>2636</v>
      </c>
      <c r="E610" s="3" t="s">
        <v>1114</v>
      </c>
      <c r="F610" s="9">
        <v>45362</v>
      </c>
      <c r="G610" s="5" t="s">
        <v>2095</v>
      </c>
      <c r="H610" s="5"/>
      <c r="I610" s="5" t="str">
        <f t="shared" si="2"/>
        <v>PROCESSO FOI ATUALIZADO</v>
      </c>
      <c r="J610" s="5"/>
      <c r="K610" s="5"/>
      <c r="L610" s="5"/>
      <c r="M610" s="5"/>
      <c r="N610" s="5"/>
    </row>
    <row r="611" spans="1:14" ht="22.5" customHeight="1" x14ac:dyDescent="0.2">
      <c r="A611" s="21" t="s">
        <v>1191</v>
      </c>
      <c r="B611" s="3" t="s">
        <v>34</v>
      </c>
      <c r="C611" s="3" t="s">
        <v>35</v>
      </c>
      <c r="D611" s="14" t="s">
        <v>2638</v>
      </c>
      <c r="E611" s="3" t="s">
        <v>1192</v>
      </c>
      <c r="F611" s="9">
        <v>45358</v>
      </c>
      <c r="G611" s="5" t="s">
        <v>2095</v>
      </c>
      <c r="H611" s="5"/>
      <c r="I611" s="5" t="str">
        <f t="shared" si="2"/>
        <v>PROCESSO FOI ATUALIZADO</v>
      </c>
      <c r="J611" s="5"/>
      <c r="K611" s="5"/>
      <c r="L611" s="5"/>
      <c r="M611" s="5"/>
      <c r="N611" s="5"/>
    </row>
    <row r="612" spans="1:14" ht="22.5" customHeight="1" x14ac:dyDescent="0.2">
      <c r="A612" s="21" t="s">
        <v>1196</v>
      </c>
      <c r="B612" s="3" t="s">
        <v>34</v>
      </c>
      <c r="C612" s="3" t="s">
        <v>35</v>
      </c>
      <c r="D612" s="14" t="s">
        <v>2639</v>
      </c>
      <c r="E612" s="3" t="s">
        <v>1197</v>
      </c>
      <c r="F612" s="9">
        <v>45356</v>
      </c>
      <c r="G612" s="5" t="s">
        <v>2095</v>
      </c>
      <c r="H612" s="5"/>
      <c r="I612" s="5" t="str">
        <f t="shared" si="2"/>
        <v>PROCESSO FOI ATUALIZADO</v>
      </c>
      <c r="J612" s="5"/>
      <c r="K612" s="5"/>
      <c r="L612" s="5"/>
      <c r="M612" s="5"/>
      <c r="N612" s="5"/>
    </row>
    <row r="613" spans="1:14" ht="22.5" customHeight="1" x14ac:dyDescent="0.2">
      <c r="A613" s="21" t="s">
        <v>1201</v>
      </c>
      <c r="B613" s="3" t="s">
        <v>34</v>
      </c>
      <c r="C613" s="3" t="s">
        <v>35</v>
      </c>
      <c r="D613" s="14" t="s">
        <v>2637</v>
      </c>
      <c r="E613" s="3" t="s">
        <v>1121</v>
      </c>
      <c r="F613" s="9">
        <v>45356</v>
      </c>
      <c r="G613" s="5" t="s">
        <v>37</v>
      </c>
      <c r="H613" s="5"/>
      <c r="I613" s="5" t="str">
        <f t="shared" si="2"/>
        <v>PROCESSO FOI ATUALIZADO</v>
      </c>
      <c r="J613" s="5"/>
      <c r="K613" s="5"/>
      <c r="L613" s="5"/>
      <c r="M613" s="5"/>
      <c r="N613" s="5"/>
    </row>
    <row r="614" spans="1:14" ht="22.5" customHeight="1" x14ac:dyDescent="0.2">
      <c r="A614" s="21" t="s">
        <v>1195</v>
      </c>
      <c r="B614" s="3" t="s">
        <v>34</v>
      </c>
      <c r="C614" s="3" t="s">
        <v>35</v>
      </c>
      <c r="D614" s="14" t="s">
        <v>2640</v>
      </c>
      <c r="E614" s="3" t="s">
        <v>1192</v>
      </c>
      <c r="F614" s="9">
        <v>45349</v>
      </c>
      <c r="G614" s="5" t="s">
        <v>2095</v>
      </c>
      <c r="H614" s="5"/>
      <c r="I614" s="5" t="str">
        <f t="shared" si="2"/>
        <v>PROCESSO FOI ATUALIZADO</v>
      </c>
      <c r="J614" s="5"/>
      <c r="K614" s="5"/>
      <c r="L614" s="5"/>
      <c r="M614" s="5"/>
      <c r="N614" s="5"/>
    </row>
    <row r="615" spans="1:14" ht="22.5" customHeight="1" x14ac:dyDescent="0.2">
      <c r="A615" s="21" t="s">
        <v>1202</v>
      </c>
      <c r="B615" s="3" t="s">
        <v>34</v>
      </c>
      <c r="C615" s="3" t="s">
        <v>35</v>
      </c>
      <c r="D615" s="14" t="s">
        <v>2641</v>
      </c>
      <c r="E615" s="3" t="s">
        <v>1203</v>
      </c>
      <c r="F615" s="9">
        <v>45343</v>
      </c>
      <c r="G615" s="5" t="s">
        <v>2110</v>
      </c>
      <c r="H615" s="5"/>
      <c r="I615" s="5" t="str">
        <f t="shared" si="2"/>
        <v>PROCESSO FOI ATUALIZADO</v>
      </c>
      <c r="J615" s="5"/>
      <c r="K615" s="5"/>
      <c r="L615" s="5"/>
      <c r="M615" s="5"/>
      <c r="N615" s="5"/>
    </row>
    <row r="616" spans="1:14" ht="22.5" customHeight="1" x14ac:dyDescent="0.2">
      <c r="A616" s="21" t="s">
        <v>1200</v>
      </c>
      <c r="B616" s="3" t="s">
        <v>34</v>
      </c>
      <c r="C616" s="3" t="s">
        <v>35</v>
      </c>
      <c r="D616" s="14" t="s">
        <v>2642</v>
      </c>
      <c r="E616" s="3" t="s">
        <v>79</v>
      </c>
      <c r="F616" s="9">
        <v>45341</v>
      </c>
      <c r="G616" s="5" t="s">
        <v>2095</v>
      </c>
      <c r="H616" s="5"/>
      <c r="I616" s="5" t="str">
        <f t="shared" si="2"/>
        <v>PROCESSO FOI ATUALIZADO</v>
      </c>
      <c r="J616" s="5"/>
      <c r="K616" s="5"/>
      <c r="L616" s="5"/>
      <c r="M616" s="5"/>
      <c r="N616" s="5"/>
    </row>
    <row r="617" spans="1:14" ht="22.5" customHeight="1" x14ac:dyDescent="0.2">
      <c r="A617" s="21" t="s">
        <v>1204</v>
      </c>
      <c r="B617" s="3" t="s">
        <v>34</v>
      </c>
      <c r="C617" s="3" t="s">
        <v>35</v>
      </c>
      <c r="D617" s="14" t="s">
        <v>2643</v>
      </c>
      <c r="E617" s="3" t="s">
        <v>1205</v>
      </c>
      <c r="F617" s="9">
        <v>45341</v>
      </c>
      <c r="G617" s="5" t="s">
        <v>2095</v>
      </c>
      <c r="H617" s="5"/>
      <c r="I617" s="5" t="str">
        <f t="shared" si="2"/>
        <v>PROCESSO FOI ATUALIZADO</v>
      </c>
      <c r="J617" s="5"/>
      <c r="K617" s="5"/>
      <c r="L617" s="5"/>
      <c r="M617" s="5"/>
      <c r="N617" s="5"/>
    </row>
    <row r="618" spans="1:14" ht="22.5" customHeight="1" x14ac:dyDescent="0.2">
      <c r="A618" s="21" t="s">
        <v>1188</v>
      </c>
      <c r="B618" s="3" t="s">
        <v>34</v>
      </c>
      <c r="C618" s="3" t="s">
        <v>35</v>
      </c>
      <c r="D618" s="14" t="s">
        <v>2644</v>
      </c>
      <c r="E618" s="3" t="s">
        <v>127</v>
      </c>
      <c r="F618" s="9">
        <v>45341</v>
      </c>
      <c r="G618" s="5" t="s">
        <v>2095</v>
      </c>
      <c r="H618" s="5"/>
      <c r="I618" s="5" t="str">
        <f t="shared" si="2"/>
        <v>PROCESSO FOI ATUALIZADO</v>
      </c>
      <c r="J618" s="5"/>
      <c r="K618" s="5"/>
      <c r="L618" s="5"/>
      <c r="M618" s="5"/>
      <c r="N618" s="5"/>
    </row>
    <row r="619" spans="1:14" ht="22.5" customHeight="1" x14ac:dyDescent="0.2">
      <c r="A619" s="21" t="s">
        <v>1198</v>
      </c>
      <c r="B619" s="3" t="s">
        <v>34</v>
      </c>
      <c r="C619" s="3" t="s">
        <v>35</v>
      </c>
      <c r="D619" s="14" t="s">
        <v>2645</v>
      </c>
      <c r="E619" s="3" t="s">
        <v>1199</v>
      </c>
      <c r="F619" s="9">
        <v>45338</v>
      </c>
      <c r="G619" s="5" t="s">
        <v>2095</v>
      </c>
      <c r="H619" s="5"/>
      <c r="I619" s="5" t="str">
        <f t="shared" si="2"/>
        <v>PROCESSO FOI ATUALIZADO</v>
      </c>
      <c r="J619" s="5"/>
      <c r="K619" s="5"/>
      <c r="L619" s="5"/>
      <c r="M619" s="5"/>
      <c r="N619" s="5"/>
    </row>
    <row r="620" spans="1:14" ht="22.5" customHeight="1" x14ac:dyDescent="0.2">
      <c r="A620" s="21" t="s">
        <v>1206</v>
      </c>
      <c r="B620" s="3" t="s">
        <v>34</v>
      </c>
      <c r="C620" s="3" t="s">
        <v>35</v>
      </c>
      <c r="D620" s="14" t="s">
        <v>2646</v>
      </c>
      <c r="E620" s="3" t="s">
        <v>1207</v>
      </c>
      <c r="F620" s="9">
        <v>45338</v>
      </c>
      <c r="G620" s="5" t="s">
        <v>2095</v>
      </c>
      <c r="H620" s="5"/>
      <c r="I620" s="5" t="str">
        <f t="shared" si="2"/>
        <v>PROCESSO FOI ATUALIZADO</v>
      </c>
      <c r="J620" s="5"/>
      <c r="K620" s="5"/>
      <c r="L620" s="5"/>
      <c r="M620" s="5"/>
      <c r="N620" s="5"/>
    </row>
    <row r="621" spans="1:14" ht="22.5" customHeight="1" x14ac:dyDescent="0.2">
      <c r="A621" s="21" t="s">
        <v>1212</v>
      </c>
      <c r="B621" s="3" t="s">
        <v>34</v>
      </c>
      <c r="C621" s="3" t="s">
        <v>35</v>
      </c>
      <c r="D621" s="14" t="s">
        <v>2647</v>
      </c>
      <c r="E621" s="3" t="s">
        <v>1213</v>
      </c>
      <c r="F621" s="9">
        <v>45338</v>
      </c>
      <c r="G621" s="5" t="s">
        <v>2110</v>
      </c>
      <c r="H621" s="5"/>
      <c r="I621" s="5" t="str">
        <f t="shared" si="2"/>
        <v>PROCESSO FOI ATUALIZADO</v>
      </c>
      <c r="J621" s="5"/>
      <c r="K621" s="5"/>
      <c r="L621" s="5"/>
      <c r="M621" s="5"/>
      <c r="N621" s="5"/>
    </row>
    <row r="622" spans="1:14" ht="22.5" customHeight="1" x14ac:dyDescent="0.2">
      <c r="A622" s="21" t="s">
        <v>1211</v>
      </c>
      <c r="B622" s="3" t="s">
        <v>34</v>
      </c>
      <c r="C622" s="3" t="s">
        <v>35</v>
      </c>
      <c r="D622" s="14" t="s">
        <v>2641</v>
      </c>
      <c r="E622" s="3" t="s">
        <v>1203</v>
      </c>
      <c r="F622" s="9">
        <v>45330</v>
      </c>
      <c r="G622" s="5" t="s">
        <v>37</v>
      </c>
      <c r="H622" s="5"/>
      <c r="I622" s="5" t="str">
        <f t="shared" si="2"/>
        <v>PROCESSO FOI ATUALIZADO</v>
      </c>
      <c r="J622" s="5"/>
      <c r="K622" s="5"/>
      <c r="L622" s="5"/>
      <c r="M622" s="5"/>
      <c r="N622" s="5"/>
    </row>
    <row r="623" spans="1:14" ht="22.5" customHeight="1" x14ac:dyDescent="0.2">
      <c r="A623" s="21" t="s">
        <v>1214</v>
      </c>
      <c r="B623" s="3" t="s">
        <v>34</v>
      </c>
      <c r="C623" s="3" t="s">
        <v>35</v>
      </c>
      <c r="D623" s="14" t="s">
        <v>2641</v>
      </c>
      <c r="E623" s="3" t="s">
        <v>1203</v>
      </c>
      <c r="F623" s="9">
        <v>45327</v>
      </c>
      <c r="G623" s="5" t="s">
        <v>37</v>
      </c>
      <c r="H623" s="5"/>
      <c r="I623" s="5" t="str">
        <f t="shared" si="2"/>
        <v>PROCESSO FOI ATUALIZADO</v>
      </c>
      <c r="J623" s="5"/>
      <c r="K623" s="5"/>
      <c r="L623" s="5"/>
      <c r="M623" s="5"/>
      <c r="N623" s="5"/>
    </row>
    <row r="624" spans="1:14" ht="22.5" customHeight="1" x14ac:dyDescent="0.2">
      <c r="A624" s="21" t="s">
        <v>1208</v>
      </c>
      <c r="B624" s="3" t="s">
        <v>34</v>
      </c>
      <c r="C624" s="3" t="s">
        <v>35</v>
      </c>
      <c r="D624" s="14" t="s">
        <v>2648</v>
      </c>
      <c r="E624" s="3" t="s">
        <v>1190</v>
      </c>
      <c r="F624" s="9">
        <v>45324</v>
      </c>
      <c r="G624" s="5" t="s">
        <v>37</v>
      </c>
      <c r="H624" s="5"/>
      <c r="I624" s="5" t="str">
        <f t="shared" si="2"/>
        <v>PROCESSO FOI ATUALIZADO</v>
      </c>
      <c r="J624" s="5"/>
      <c r="K624" s="5"/>
      <c r="L624" s="5"/>
      <c r="M624" s="5"/>
      <c r="N624" s="5"/>
    </row>
    <row r="625" spans="1:14" ht="22.5" customHeight="1" x14ac:dyDescent="0.2">
      <c r="A625" s="21" t="s">
        <v>1189</v>
      </c>
      <c r="B625" s="3" t="s">
        <v>34</v>
      </c>
      <c r="C625" s="3" t="s">
        <v>35</v>
      </c>
      <c r="D625" s="14" t="s">
        <v>2649</v>
      </c>
      <c r="E625" s="3" t="s">
        <v>1190</v>
      </c>
      <c r="F625" s="9">
        <v>45324</v>
      </c>
      <c r="G625" s="5" t="s">
        <v>37</v>
      </c>
      <c r="H625" s="5"/>
      <c r="I625" s="5" t="str">
        <f t="shared" si="2"/>
        <v>PROCESSO FOI ATUALIZADO</v>
      </c>
      <c r="J625" s="5"/>
      <c r="K625" s="5"/>
      <c r="L625" s="5"/>
      <c r="M625" s="5"/>
      <c r="N625" s="5"/>
    </row>
    <row r="626" spans="1:14" ht="22.5" customHeight="1" x14ac:dyDescent="0.2">
      <c r="A626" s="21" t="s">
        <v>1209</v>
      </c>
      <c r="B626" s="3" t="s">
        <v>34</v>
      </c>
      <c r="C626" s="3" t="s">
        <v>35</v>
      </c>
      <c r="D626" s="14" t="s">
        <v>2650</v>
      </c>
      <c r="E626" s="3" t="s">
        <v>1210</v>
      </c>
      <c r="F626" s="9">
        <v>45322</v>
      </c>
      <c r="G626" s="5" t="s">
        <v>2095</v>
      </c>
      <c r="H626" s="5"/>
      <c r="I626" s="5" t="str">
        <f t="shared" si="2"/>
        <v>PROCESSO FOI ATUALIZADO</v>
      </c>
      <c r="J626" s="5"/>
      <c r="K626" s="5"/>
      <c r="L626" s="5"/>
      <c r="M626" s="5"/>
      <c r="N626" s="5"/>
    </row>
    <row r="627" spans="1:14" ht="22.5" customHeight="1" x14ac:dyDescent="0.2">
      <c r="A627" s="21" t="s">
        <v>1193</v>
      </c>
      <c r="B627" s="3" t="s">
        <v>34</v>
      </c>
      <c r="C627" s="3" t="s">
        <v>35</v>
      </c>
      <c r="D627" s="14" t="s">
        <v>2651</v>
      </c>
      <c r="E627" s="3" t="s">
        <v>1194</v>
      </c>
      <c r="F627" s="9">
        <v>45317</v>
      </c>
      <c r="G627" s="5" t="s">
        <v>2095</v>
      </c>
      <c r="H627" s="5"/>
      <c r="I627" s="5" t="str">
        <f t="shared" si="2"/>
        <v>PROCESSO FOI ATUALIZADO</v>
      </c>
      <c r="J627" s="5"/>
      <c r="K627" s="5"/>
      <c r="L627" s="5"/>
      <c r="M627" s="5"/>
      <c r="N627" s="5"/>
    </row>
    <row r="628" spans="1:14" ht="22.5" customHeight="1" x14ac:dyDescent="0.2">
      <c r="A628" s="21" t="s">
        <v>1186</v>
      </c>
      <c r="B628" s="3" t="s">
        <v>34</v>
      </c>
      <c r="C628" s="3" t="s">
        <v>35</v>
      </c>
      <c r="D628" s="14" t="s">
        <v>2652</v>
      </c>
      <c r="E628" s="3" t="s">
        <v>1187</v>
      </c>
      <c r="F628" s="9">
        <v>45295</v>
      </c>
      <c r="G628" s="5" t="s">
        <v>2095</v>
      </c>
      <c r="H628" s="5"/>
      <c r="I628" s="5" t="str">
        <f t="shared" si="2"/>
        <v>PROCESSO FOI ATUALIZADO</v>
      </c>
      <c r="J628" s="5"/>
      <c r="K628" s="5"/>
      <c r="L628" s="5"/>
      <c r="M628" s="5"/>
      <c r="N628" s="5"/>
    </row>
    <row r="629" spans="1:14" ht="22.5" customHeight="1" x14ac:dyDescent="0.2">
      <c r="A629" s="21" t="s">
        <v>2653</v>
      </c>
      <c r="B629" s="3" t="s">
        <v>34</v>
      </c>
      <c r="C629" s="3" t="s">
        <v>35</v>
      </c>
      <c r="D629" s="14" t="s">
        <v>2654</v>
      </c>
      <c r="E629" s="3" t="s">
        <v>2655</v>
      </c>
      <c r="F629" s="9">
        <v>45274</v>
      </c>
      <c r="G629" s="5" t="s">
        <v>37</v>
      </c>
      <c r="H629" s="5"/>
      <c r="I629" s="5" t="str">
        <f t="shared" si="2"/>
        <v>PROCESSO FOI ATUALIZADO</v>
      </c>
      <c r="J629" s="5"/>
      <c r="K629" s="5"/>
      <c r="L629" s="5"/>
      <c r="M629" s="5"/>
      <c r="N629" s="5"/>
    </row>
    <row r="630" spans="1:14" ht="22.5" customHeight="1" x14ac:dyDescent="0.2">
      <c r="A630" s="21" t="s">
        <v>2656</v>
      </c>
      <c r="B630" s="3" t="s">
        <v>34</v>
      </c>
      <c r="C630" s="3" t="s">
        <v>35</v>
      </c>
      <c r="D630" s="14" t="s">
        <v>2611</v>
      </c>
      <c r="E630" s="3" t="s">
        <v>79</v>
      </c>
      <c r="F630" s="9">
        <v>45273</v>
      </c>
      <c r="G630" s="5" t="s">
        <v>2443</v>
      </c>
      <c r="H630" s="5"/>
      <c r="I630" s="5" t="str">
        <f t="shared" si="2"/>
        <v>PROCESSO FOI ATUALIZADO</v>
      </c>
      <c r="J630" s="5"/>
      <c r="K630" s="5"/>
      <c r="L630" s="5"/>
      <c r="M630" s="5"/>
      <c r="N630" s="5"/>
    </row>
    <row r="631" spans="1:14" ht="22.5" customHeight="1" x14ac:dyDescent="0.2">
      <c r="A631" s="21" t="s">
        <v>2657</v>
      </c>
      <c r="B631" s="3" t="s">
        <v>34</v>
      </c>
      <c r="C631" s="3" t="s">
        <v>35</v>
      </c>
      <c r="D631" s="14" t="s">
        <v>2658</v>
      </c>
      <c r="E631" s="3" t="s">
        <v>2659</v>
      </c>
      <c r="F631" s="9">
        <v>45273</v>
      </c>
      <c r="G631" s="5" t="s">
        <v>2095</v>
      </c>
      <c r="H631" s="5"/>
      <c r="I631" s="5" t="str">
        <f t="shared" si="2"/>
        <v>PROCESSO FOI ATUALIZADO</v>
      </c>
      <c r="J631" s="5"/>
      <c r="K631" s="5"/>
      <c r="L631" s="5"/>
      <c r="M631" s="5"/>
      <c r="N631" s="5"/>
    </row>
    <row r="632" spans="1:14" ht="22.5" customHeight="1" x14ac:dyDescent="0.2">
      <c r="A632" s="21" t="s">
        <v>2660</v>
      </c>
      <c r="B632" s="3" t="s">
        <v>34</v>
      </c>
      <c r="C632" s="3" t="s">
        <v>35</v>
      </c>
      <c r="D632" s="14" t="s">
        <v>2631</v>
      </c>
      <c r="E632" s="3" t="s">
        <v>952</v>
      </c>
      <c r="F632" s="9">
        <v>45272</v>
      </c>
      <c r="G632" s="5" t="s">
        <v>2443</v>
      </c>
      <c r="H632" s="5"/>
      <c r="I632" s="5" t="str">
        <f t="shared" si="2"/>
        <v>PROCESSO FOI ATUALIZADO</v>
      </c>
      <c r="J632" s="5"/>
      <c r="K632" s="5"/>
      <c r="L632" s="5"/>
      <c r="M632" s="5"/>
      <c r="N632" s="5"/>
    </row>
    <row r="633" spans="1:14" ht="22.5" customHeight="1" x14ac:dyDescent="0.2">
      <c r="A633" s="21" t="s">
        <v>2661</v>
      </c>
      <c r="B633" s="3" t="s">
        <v>34</v>
      </c>
      <c r="C633" s="3" t="s">
        <v>35</v>
      </c>
      <c r="D633" s="14" t="s">
        <v>2662</v>
      </c>
      <c r="E633" s="3" t="s">
        <v>2663</v>
      </c>
      <c r="F633" s="9">
        <v>45271</v>
      </c>
      <c r="G633" s="5" t="s">
        <v>2095</v>
      </c>
      <c r="H633" s="5"/>
      <c r="I633" s="5" t="str">
        <f t="shared" si="2"/>
        <v>PROCESSO FOI ATUALIZADO</v>
      </c>
      <c r="J633" s="5"/>
      <c r="K633" s="5"/>
      <c r="L633" s="5"/>
      <c r="M633" s="5"/>
      <c r="N633" s="5"/>
    </row>
    <row r="634" spans="1:14" ht="22.5" customHeight="1" x14ac:dyDescent="0.2">
      <c r="A634" s="21" t="s">
        <v>2664</v>
      </c>
      <c r="B634" s="3" t="s">
        <v>34</v>
      </c>
      <c r="C634" s="3" t="s">
        <v>35</v>
      </c>
      <c r="D634" s="14" t="s">
        <v>2665</v>
      </c>
      <c r="E634" s="3" t="s">
        <v>2666</v>
      </c>
      <c r="F634" s="9">
        <v>45267</v>
      </c>
      <c r="G634" s="5" t="s">
        <v>2095</v>
      </c>
      <c r="H634" s="5"/>
      <c r="I634" s="5" t="str">
        <f t="shared" si="2"/>
        <v>PROCESSO FOI ATUALIZADO</v>
      </c>
      <c r="J634" s="5"/>
      <c r="K634" s="5"/>
      <c r="L634" s="5"/>
      <c r="M634" s="5"/>
      <c r="N634" s="5"/>
    </row>
    <row r="635" spans="1:14" ht="22.5" customHeight="1" x14ac:dyDescent="0.2">
      <c r="A635" s="21" t="s">
        <v>2667</v>
      </c>
      <c r="B635" s="3" t="s">
        <v>34</v>
      </c>
      <c r="C635" s="3" t="s">
        <v>35</v>
      </c>
      <c r="D635" s="14" t="s">
        <v>2668</v>
      </c>
      <c r="E635" s="3" t="s">
        <v>2659</v>
      </c>
      <c r="F635" s="9">
        <v>45265</v>
      </c>
      <c r="G635" s="5" t="s">
        <v>2095</v>
      </c>
      <c r="H635" s="5"/>
      <c r="I635" s="5" t="str">
        <f t="shared" si="2"/>
        <v>PROCESSO FOI ATUALIZADO</v>
      </c>
      <c r="J635" s="5"/>
      <c r="K635" s="5"/>
      <c r="L635" s="5"/>
      <c r="M635" s="5"/>
      <c r="N635" s="5"/>
    </row>
    <row r="636" spans="1:14" ht="22.5" customHeight="1" x14ac:dyDescent="0.2">
      <c r="A636" s="21" t="s">
        <v>2669</v>
      </c>
      <c r="B636" s="3" t="s">
        <v>34</v>
      </c>
      <c r="C636" s="3" t="s">
        <v>35</v>
      </c>
      <c r="D636" s="14" t="s">
        <v>2670</v>
      </c>
      <c r="E636" s="3" t="s">
        <v>2659</v>
      </c>
      <c r="F636" s="9">
        <v>45259</v>
      </c>
      <c r="G636" s="5" t="s">
        <v>2095</v>
      </c>
      <c r="H636" s="5"/>
      <c r="I636" s="5" t="str">
        <f t="shared" si="2"/>
        <v>PROCESSO FOI ATUALIZADO</v>
      </c>
      <c r="J636" s="5"/>
      <c r="K636" s="5"/>
      <c r="L636" s="5"/>
      <c r="M636" s="5"/>
      <c r="N636" s="5"/>
    </row>
    <row r="637" spans="1:14" ht="22.5" customHeight="1" x14ac:dyDescent="0.2">
      <c r="A637" s="21" t="s">
        <v>2671</v>
      </c>
      <c r="B637" s="3" t="s">
        <v>34</v>
      </c>
      <c r="C637" s="3" t="s">
        <v>35</v>
      </c>
      <c r="D637" s="14" t="s">
        <v>2672</v>
      </c>
      <c r="E637" s="3" t="s">
        <v>1192</v>
      </c>
      <c r="F637" s="9">
        <v>45258</v>
      </c>
      <c r="G637" s="5" t="s">
        <v>2095</v>
      </c>
      <c r="H637" s="5"/>
      <c r="I637" s="5" t="str">
        <f t="shared" si="2"/>
        <v>PROCESSO FOI ATUALIZADO</v>
      </c>
      <c r="J637" s="5"/>
      <c r="K637" s="5"/>
      <c r="L637" s="5"/>
      <c r="M637" s="5"/>
      <c r="N637" s="5"/>
    </row>
    <row r="638" spans="1:14" ht="22.5" customHeight="1" x14ac:dyDescent="0.2">
      <c r="A638" s="21" t="s">
        <v>2673</v>
      </c>
      <c r="B638" s="3" t="s">
        <v>34</v>
      </c>
      <c r="C638" s="3" t="s">
        <v>35</v>
      </c>
      <c r="D638" s="14" t="s">
        <v>2674</v>
      </c>
      <c r="E638" s="3" t="s">
        <v>127</v>
      </c>
      <c r="F638" s="9">
        <v>45258</v>
      </c>
      <c r="G638" s="5" t="s">
        <v>37</v>
      </c>
      <c r="H638" s="5"/>
      <c r="I638" s="5" t="str">
        <f t="shared" si="2"/>
        <v>PROCESSO FOI ATUALIZADO</v>
      </c>
      <c r="J638" s="5"/>
      <c r="K638" s="5"/>
      <c r="L638" s="5"/>
      <c r="M638" s="5"/>
      <c r="N638" s="5"/>
    </row>
    <row r="639" spans="1:14" ht="22.5" customHeight="1" x14ac:dyDescent="0.2">
      <c r="A639" s="21" t="s">
        <v>2675</v>
      </c>
      <c r="B639" s="3" t="s">
        <v>34</v>
      </c>
      <c r="C639" s="3" t="s">
        <v>35</v>
      </c>
      <c r="D639" s="14" t="s">
        <v>2622</v>
      </c>
      <c r="E639" s="3" t="s">
        <v>725</v>
      </c>
      <c r="F639" s="9">
        <v>45258</v>
      </c>
      <c r="G639" s="5" t="s">
        <v>2443</v>
      </c>
      <c r="H639" s="5"/>
      <c r="I639" s="5" t="str">
        <f t="shared" si="2"/>
        <v>PROCESSO FOI ATUALIZADO</v>
      </c>
      <c r="J639" s="5"/>
      <c r="K639" s="5"/>
      <c r="L639" s="5"/>
      <c r="M639" s="5"/>
      <c r="N639" s="5"/>
    </row>
    <row r="640" spans="1:14" ht="22.5" customHeight="1" x14ac:dyDescent="0.2">
      <c r="A640" s="21" t="s">
        <v>2676</v>
      </c>
      <c r="B640" s="3" t="s">
        <v>34</v>
      </c>
      <c r="C640" s="3" t="s">
        <v>35</v>
      </c>
      <c r="D640" s="14" t="s">
        <v>2622</v>
      </c>
      <c r="E640" s="3" t="s">
        <v>725</v>
      </c>
      <c r="F640" s="9">
        <v>45258</v>
      </c>
      <c r="G640" s="5" t="s">
        <v>37</v>
      </c>
      <c r="H640" s="5"/>
      <c r="I640" s="5" t="str">
        <f t="shared" si="2"/>
        <v>PROCESSO FOI ATUALIZADO</v>
      </c>
      <c r="J640" s="5"/>
      <c r="K640" s="5"/>
      <c r="L640" s="5"/>
      <c r="M640" s="5"/>
      <c r="N640" s="5"/>
    </row>
    <row r="641" spans="1:14" ht="22.5" customHeight="1" x14ac:dyDescent="0.2">
      <c r="A641" s="21" t="s">
        <v>2677</v>
      </c>
      <c r="B641" s="3" t="s">
        <v>34</v>
      </c>
      <c r="C641" s="3" t="s">
        <v>35</v>
      </c>
      <c r="D641" s="14" t="s">
        <v>2678</v>
      </c>
      <c r="E641" s="3" t="s">
        <v>725</v>
      </c>
      <c r="F641" s="9">
        <v>45258</v>
      </c>
      <c r="G641" s="5" t="s">
        <v>2095</v>
      </c>
      <c r="H641" s="5"/>
      <c r="I641" s="5" t="str">
        <f t="shared" si="2"/>
        <v>PROCESSO FOI ATUALIZADO</v>
      </c>
      <c r="J641" s="5"/>
      <c r="K641" s="5"/>
      <c r="L641" s="5"/>
      <c r="M641" s="5"/>
      <c r="N641" s="5"/>
    </row>
    <row r="642" spans="1:14" ht="22.5" customHeight="1" x14ac:dyDescent="0.2">
      <c r="A642" s="21" t="s">
        <v>2679</v>
      </c>
      <c r="B642" s="3" t="s">
        <v>34</v>
      </c>
      <c r="C642" s="3" t="s">
        <v>35</v>
      </c>
      <c r="D642" s="14" t="s">
        <v>2680</v>
      </c>
      <c r="E642" s="3" t="s">
        <v>2681</v>
      </c>
      <c r="F642" s="9">
        <v>45257</v>
      </c>
      <c r="G642" s="5" t="s">
        <v>2095</v>
      </c>
      <c r="H642" s="5"/>
      <c r="I642" s="5" t="str">
        <f t="shared" si="2"/>
        <v>PROCESSO FOI ATUALIZADO</v>
      </c>
      <c r="J642" s="5"/>
      <c r="K642" s="5"/>
      <c r="L642" s="5"/>
      <c r="M642" s="5"/>
      <c r="N642" s="5"/>
    </row>
    <row r="643" spans="1:14" ht="22.5" customHeight="1" x14ac:dyDescent="0.2">
      <c r="A643" s="21" t="s">
        <v>2682</v>
      </c>
      <c r="B643" s="3" t="s">
        <v>34</v>
      </c>
      <c r="C643" s="3" t="s">
        <v>35</v>
      </c>
      <c r="D643" s="14" t="s">
        <v>2683</v>
      </c>
      <c r="E643" s="3" t="s">
        <v>1192</v>
      </c>
      <c r="F643" s="9">
        <v>45252</v>
      </c>
      <c r="G643" s="5" t="s">
        <v>2095</v>
      </c>
      <c r="H643" s="5"/>
      <c r="I643" s="5" t="str">
        <f t="shared" si="2"/>
        <v>PROCESSO FOI ATUALIZADO</v>
      </c>
      <c r="J643" s="5"/>
      <c r="K643" s="5"/>
      <c r="L643" s="5"/>
      <c r="M643" s="5"/>
      <c r="N643" s="5"/>
    </row>
    <row r="644" spans="1:14" ht="22.5" customHeight="1" x14ac:dyDescent="0.2">
      <c r="A644" s="21" t="s">
        <v>2684</v>
      </c>
      <c r="B644" s="3" t="s">
        <v>34</v>
      </c>
      <c r="C644" s="3" t="s">
        <v>35</v>
      </c>
      <c r="D644" s="14" t="s">
        <v>2638</v>
      </c>
      <c r="E644" s="3" t="s">
        <v>1192</v>
      </c>
      <c r="F644" s="9">
        <v>45251</v>
      </c>
      <c r="G644" s="5" t="s">
        <v>37</v>
      </c>
      <c r="H644" s="5"/>
      <c r="I644" s="5" t="str">
        <f t="shared" si="2"/>
        <v>PROCESSO FOI ATUALIZADO</v>
      </c>
      <c r="J644" s="5"/>
      <c r="K644" s="5"/>
      <c r="L644" s="5"/>
      <c r="M644" s="5"/>
      <c r="N644" s="5"/>
    </row>
    <row r="645" spans="1:14" ht="22.5" customHeight="1" x14ac:dyDescent="0.2">
      <c r="A645" s="21" t="s">
        <v>2685</v>
      </c>
      <c r="B645" s="3" t="s">
        <v>34</v>
      </c>
      <c r="C645" s="3" t="s">
        <v>35</v>
      </c>
      <c r="D645" s="14" t="s">
        <v>2686</v>
      </c>
      <c r="E645" s="3" t="s">
        <v>1192</v>
      </c>
      <c r="F645" s="9">
        <v>45251</v>
      </c>
      <c r="G645" s="5" t="s">
        <v>2095</v>
      </c>
      <c r="H645" s="5"/>
      <c r="I645" s="5" t="str">
        <f t="shared" si="2"/>
        <v>PROCESSO FOI ATUALIZADO</v>
      </c>
      <c r="J645" s="5"/>
      <c r="K645" s="5"/>
      <c r="L645" s="5"/>
      <c r="M645" s="5"/>
      <c r="N645" s="5"/>
    </row>
    <row r="646" spans="1:14" ht="22.5" customHeight="1" x14ac:dyDescent="0.2">
      <c r="A646" s="21" t="s">
        <v>2687</v>
      </c>
      <c r="B646" s="3" t="s">
        <v>34</v>
      </c>
      <c r="C646" s="3" t="s">
        <v>35</v>
      </c>
      <c r="D646" s="14" t="s">
        <v>2688</v>
      </c>
      <c r="E646" s="3" t="s">
        <v>1192</v>
      </c>
      <c r="F646" s="9">
        <v>45251</v>
      </c>
      <c r="G646" s="5" t="s">
        <v>2095</v>
      </c>
      <c r="H646" s="5"/>
      <c r="I646" s="5" t="str">
        <f t="shared" si="2"/>
        <v>PROCESSO FOI ATUALIZADO</v>
      </c>
      <c r="J646" s="5"/>
      <c r="K646" s="5"/>
      <c r="L646" s="5"/>
      <c r="M646" s="5"/>
      <c r="N646" s="5"/>
    </row>
    <row r="647" spans="1:14" ht="22.5" customHeight="1" x14ac:dyDescent="0.2">
      <c r="A647" s="21" t="s">
        <v>2689</v>
      </c>
      <c r="B647" s="3" t="s">
        <v>34</v>
      </c>
      <c r="C647" s="3" t="s">
        <v>35</v>
      </c>
      <c r="D647" s="14" t="s">
        <v>2690</v>
      </c>
      <c r="E647" s="3" t="s">
        <v>725</v>
      </c>
      <c r="F647" s="9">
        <v>45251</v>
      </c>
      <c r="G647" s="5" t="s">
        <v>2095</v>
      </c>
      <c r="H647" s="5"/>
      <c r="I647" s="5" t="str">
        <f t="shared" si="2"/>
        <v>PROCESSO FOI ATUALIZADO</v>
      </c>
      <c r="J647" s="5"/>
      <c r="K647" s="5"/>
      <c r="L647" s="5"/>
      <c r="M647" s="5"/>
      <c r="N647" s="5"/>
    </row>
    <row r="648" spans="1:14" ht="22.5" customHeight="1" x14ac:dyDescent="0.2">
      <c r="A648" s="21" t="s">
        <v>2691</v>
      </c>
      <c r="B648" s="3" t="s">
        <v>34</v>
      </c>
      <c r="C648" s="3" t="s">
        <v>35</v>
      </c>
      <c r="D648" s="14" t="s">
        <v>2692</v>
      </c>
      <c r="E648" s="3" t="s">
        <v>2693</v>
      </c>
      <c r="F648" s="9">
        <v>45251</v>
      </c>
      <c r="G648" s="5" t="s">
        <v>2095</v>
      </c>
      <c r="H648" s="5"/>
      <c r="I648" s="5" t="str">
        <f t="shared" si="2"/>
        <v>PROCESSO FOI ATUALIZADO</v>
      </c>
      <c r="J648" s="5"/>
      <c r="K648" s="5"/>
      <c r="L648" s="5"/>
      <c r="M648" s="5"/>
      <c r="N648" s="5"/>
    </row>
    <row r="649" spans="1:14" ht="22.5" customHeight="1" x14ac:dyDescent="0.2">
      <c r="A649" s="21" t="s">
        <v>2694</v>
      </c>
      <c r="B649" s="3" t="s">
        <v>34</v>
      </c>
      <c r="C649" s="3" t="s">
        <v>35</v>
      </c>
      <c r="D649" s="14" t="s">
        <v>2695</v>
      </c>
      <c r="E649" s="3" t="s">
        <v>1192</v>
      </c>
      <c r="F649" s="9">
        <v>45251</v>
      </c>
      <c r="G649" s="5" t="s">
        <v>2095</v>
      </c>
      <c r="H649" s="5"/>
      <c r="I649" s="5" t="str">
        <f t="shared" si="2"/>
        <v>PROCESSO FOI ATUALIZADO</v>
      </c>
      <c r="J649" s="5"/>
      <c r="K649" s="5"/>
      <c r="L649" s="5"/>
      <c r="M649" s="5"/>
      <c r="N649" s="5"/>
    </row>
    <row r="650" spans="1:14" ht="22.5" customHeight="1" x14ac:dyDescent="0.2">
      <c r="A650" s="21" t="s">
        <v>2696</v>
      </c>
      <c r="B650" s="3" t="s">
        <v>34</v>
      </c>
      <c r="C650" s="3" t="s">
        <v>35</v>
      </c>
      <c r="D650" s="14" t="s">
        <v>2697</v>
      </c>
      <c r="E650" s="3" t="s">
        <v>1192</v>
      </c>
      <c r="F650" s="9">
        <v>45250</v>
      </c>
      <c r="G650" s="5" t="s">
        <v>2095</v>
      </c>
      <c r="H650" s="5"/>
      <c r="I650" s="5" t="str">
        <f t="shared" si="2"/>
        <v>PROCESSO FOI ATUALIZADO</v>
      </c>
      <c r="J650" s="5"/>
      <c r="K650" s="5"/>
      <c r="L650" s="5"/>
      <c r="M650" s="5"/>
      <c r="N650" s="5"/>
    </row>
    <row r="651" spans="1:14" ht="22.5" customHeight="1" x14ac:dyDescent="0.2">
      <c r="A651" s="21" t="s">
        <v>2698</v>
      </c>
      <c r="B651" s="3" t="s">
        <v>34</v>
      </c>
      <c r="C651" s="3" t="s">
        <v>35</v>
      </c>
      <c r="D651" s="14" t="s">
        <v>2699</v>
      </c>
      <c r="E651" s="3" t="s">
        <v>1192</v>
      </c>
      <c r="F651" s="9">
        <v>45250</v>
      </c>
      <c r="G651" s="5" t="s">
        <v>2095</v>
      </c>
      <c r="H651" s="5"/>
      <c r="I651" s="5" t="str">
        <f t="shared" si="2"/>
        <v>PROCESSO FOI ATUALIZADO</v>
      </c>
      <c r="J651" s="5"/>
      <c r="K651" s="5"/>
      <c r="L651" s="5"/>
      <c r="M651" s="5"/>
      <c r="N651" s="5"/>
    </row>
    <row r="652" spans="1:14" ht="22.5" customHeight="1" x14ac:dyDescent="0.2">
      <c r="A652" s="21" t="s">
        <v>2700</v>
      </c>
      <c r="B652" s="3" t="s">
        <v>34</v>
      </c>
      <c r="C652" s="3" t="s">
        <v>35</v>
      </c>
      <c r="D652" s="14" t="s">
        <v>2697</v>
      </c>
      <c r="E652" s="3" t="s">
        <v>1192</v>
      </c>
      <c r="F652" s="9">
        <v>45250</v>
      </c>
      <c r="G652" s="5" t="s">
        <v>2095</v>
      </c>
      <c r="H652" s="5"/>
      <c r="I652" s="5" t="str">
        <f t="shared" si="2"/>
        <v>PROCESSO FOI ATUALIZADO</v>
      </c>
      <c r="J652" s="5"/>
      <c r="K652" s="5"/>
      <c r="L652" s="5"/>
      <c r="M652" s="5"/>
      <c r="N652" s="5"/>
    </row>
    <row r="653" spans="1:14" ht="22.5" customHeight="1" x14ac:dyDescent="0.2">
      <c r="A653" s="21" t="s">
        <v>2701</v>
      </c>
      <c r="B653" s="3" t="s">
        <v>34</v>
      </c>
      <c r="C653" s="3" t="s">
        <v>35</v>
      </c>
      <c r="D653" s="14" t="s">
        <v>2688</v>
      </c>
      <c r="E653" s="3" t="s">
        <v>1192</v>
      </c>
      <c r="F653" s="9">
        <v>45250</v>
      </c>
      <c r="G653" s="5" t="s">
        <v>2095</v>
      </c>
      <c r="H653" s="5"/>
      <c r="I653" s="5" t="str">
        <f t="shared" si="2"/>
        <v>PROCESSO FOI ATUALIZADO</v>
      </c>
      <c r="J653" s="5"/>
      <c r="K653" s="5"/>
      <c r="L653" s="5"/>
      <c r="M653" s="5"/>
      <c r="N653" s="5"/>
    </row>
    <row r="654" spans="1:14" ht="22.5" customHeight="1" x14ac:dyDescent="0.2">
      <c r="A654" s="21" t="s">
        <v>2702</v>
      </c>
      <c r="B654" s="3" t="s">
        <v>34</v>
      </c>
      <c r="C654" s="3" t="s">
        <v>35</v>
      </c>
      <c r="D654" s="14" t="s">
        <v>2703</v>
      </c>
      <c r="E654" s="3" t="s">
        <v>1192</v>
      </c>
      <c r="F654" s="9">
        <v>45250</v>
      </c>
      <c r="G654" s="5" t="s">
        <v>37</v>
      </c>
      <c r="H654" s="5"/>
      <c r="I654" s="5" t="str">
        <f t="shared" si="2"/>
        <v>PROCESSO FOI ATUALIZADO</v>
      </c>
      <c r="J654" s="5"/>
      <c r="K654" s="5"/>
      <c r="L654" s="5"/>
      <c r="M654" s="5"/>
      <c r="N654" s="5"/>
    </row>
    <row r="655" spans="1:14" ht="22.5" customHeight="1" x14ac:dyDescent="0.2">
      <c r="A655" s="21" t="s">
        <v>2704</v>
      </c>
      <c r="B655" s="3" t="s">
        <v>34</v>
      </c>
      <c r="C655" s="3" t="s">
        <v>35</v>
      </c>
      <c r="D655" s="14" t="s">
        <v>2705</v>
      </c>
      <c r="E655" s="3" t="s">
        <v>2706</v>
      </c>
      <c r="F655" s="9">
        <v>45250</v>
      </c>
      <c r="G655" s="5" t="s">
        <v>2095</v>
      </c>
      <c r="H655" s="5"/>
      <c r="I655" s="5" t="str">
        <f t="shared" si="2"/>
        <v>PROCESSO FOI ATUALIZADO</v>
      </c>
      <c r="J655" s="5"/>
      <c r="K655" s="5"/>
      <c r="L655" s="5"/>
      <c r="M655" s="5"/>
      <c r="N655" s="5"/>
    </row>
    <row r="656" spans="1:14" ht="22.5" customHeight="1" x14ac:dyDescent="0.2">
      <c r="A656" s="21" t="s">
        <v>2707</v>
      </c>
      <c r="B656" s="3" t="s">
        <v>34</v>
      </c>
      <c r="C656" s="3" t="s">
        <v>35</v>
      </c>
      <c r="D656" s="14" t="s">
        <v>2708</v>
      </c>
      <c r="E656" s="3" t="s">
        <v>2709</v>
      </c>
      <c r="F656" s="9">
        <v>45250</v>
      </c>
      <c r="G656" s="5" t="s">
        <v>2095</v>
      </c>
      <c r="H656" s="5"/>
      <c r="I656" s="5" t="str">
        <f t="shared" si="2"/>
        <v>PROCESSO FOI ATUALIZADO</v>
      </c>
      <c r="J656" s="5"/>
      <c r="K656" s="5"/>
      <c r="L656" s="5"/>
      <c r="M656" s="5"/>
      <c r="N656" s="5"/>
    </row>
    <row r="657" spans="1:14" ht="22.5" customHeight="1" x14ac:dyDescent="0.2">
      <c r="A657" s="21" t="s">
        <v>2710</v>
      </c>
      <c r="B657" s="3" t="s">
        <v>34</v>
      </c>
      <c r="C657" s="3" t="s">
        <v>35</v>
      </c>
      <c r="D657" s="14" t="s">
        <v>2711</v>
      </c>
      <c r="E657" s="3" t="s">
        <v>2712</v>
      </c>
      <c r="F657" s="9">
        <v>45250</v>
      </c>
      <c r="G657" s="5" t="s">
        <v>2095</v>
      </c>
      <c r="H657" s="5"/>
      <c r="I657" s="5" t="str">
        <f t="shared" si="2"/>
        <v>PROCESSO FOI ATUALIZADO</v>
      </c>
      <c r="J657" s="5"/>
      <c r="K657" s="5"/>
      <c r="L657" s="5"/>
      <c r="M657" s="5"/>
      <c r="N657" s="5"/>
    </row>
    <row r="658" spans="1:14" ht="22.5" customHeight="1" x14ac:dyDescent="0.2">
      <c r="A658" s="21" t="s">
        <v>2713</v>
      </c>
      <c r="B658" s="3" t="s">
        <v>34</v>
      </c>
      <c r="C658" s="3" t="s">
        <v>35</v>
      </c>
      <c r="D658" s="14" t="s">
        <v>2714</v>
      </c>
      <c r="E658" s="3" t="s">
        <v>2715</v>
      </c>
      <c r="F658" s="9">
        <v>45247</v>
      </c>
      <c r="G658" s="5" t="s">
        <v>2095</v>
      </c>
      <c r="H658" s="5"/>
      <c r="I658" s="5" t="str">
        <f t="shared" si="2"/>
        <v>PROCESSO FOI ATUALIZADO</v>
      </c>
      <c r="J658" s="5"/>
      <c r="K658" s="5"/>
      <c r="L658" s="5"/>
      <c r="M658" s="5"/>
      <c r="N658" s="5"/>
    </row>
    <row r="659" spans="1:14" ht="22.5" customHeight="1" x14ac:dyDescent="0.2">
      <c r="A659" s="21" t="s">
        <v>2716</v>
      </c>
      <c r="B659" s="3" t="s">
        <v>34</v>
      </c>
      <c r="C659" s="3" t="s">
        <v>35</v>
      </c>
      <c r="D659" s="14" t="s">
        <v>2717</v>
      </c>
      <c r="E659" s="3" t="s">
        <v>2718</v>
      </c>
      <c r="F659" s="9">
        <v>45247</v>
      </c>
      <c r="G659" s="5" t="s">
        <v>2095</v>
      </c>
      <c r="H659" s="5"/>
      <c r="I659" s="5" t="str">
        <f t="shared" si="2"/>
        <v>PROCESSO FOI ATUALIZADO</v>
      </c>
      <c r="J659" s="5"/>
      <c r="K659" s="5"/>
      <c r="L659" s="5"/>
      <c r="M659" s="5"/>
      <c r="N659" s="5"/>
    </row>
    <row r="660" spans="1:14" ht="22.5" customHeight="1" x14ac:dyDescent="0.2">
      <c r="A660" s="21" t="s">
        <v>2719</v>
      </c>
      <c r="B660" s="3" t="s">
        <v>34</v>
      </c>
      <c r="C660" s="3" t="s">
        <v>35</v>
      </c>
      <c r="D660" s="14" t="s">
        <v>2720</v>
      </c>
      <c r="E660" s="3" t="s">
        <v>2721</v>
      </c>
      <c r="F660" s="9">
        <v>45244</v>
      </c>
      <c r="G660" s="5" t="s">
        <v>2095</v>
      </c>
      <c r="H660" s="5"/>
      <c r="I660" s="5" t="str">
        <f t="shared" si="2"/>
        <v>PROCESSO FOI ATUALIZADO</v>
      </c>
      <c r="J660" s="5"/>
      <c r="K660" s="5"/>
      <c r="L660" s="5"/>
      <c r="M660" s="5"/>
      <c r="N660" s="5"/>
    </row>
    <row r="661" spans="1:14" ht="22.5" customHeight="1" x14ac:dyDescent="0.2">
      <c r="A661" s="21" t="s">
        <v>2722</v>
      </c>
      <c r="B661" s="3" t="s">
        <v>34</v>
      </c>
      <c r="C661" s="3" t="s">
        <v>35</v>
      </c>
      <c r="D661" s="14" t="s">
        <v>2678</v>
      </c>
      <c r="E661" s="3" t="s">
        <v>725</v>
      </c>
      <c r="F661" s="9">
        <v>45244</v>
      </c>
      <c r="G661" s="5" t="s">
        <v>37</v>
      </c>
      <c r="H661" s="5"/>
      <c r="I661" s="5" t="str">
        <f t="shared" si="2"/>
        <v>PROCESSO FOI ATUALIZADO</v>
      </c>
      <c r="J661" s="5"/>
      <c r="K661" s="5"/>
      <c r="L661" s="5"/>
      <c r="M661" s="5"/>
      <c r="N661" s="5"/>
    </row>
    <row r="662" spans="1:14" ht="22.5" customHeight="1" x14ac:dyDescent="0.2">
      <c r="A662" s="21" t="s">
        <v>2723</v>
      </c>
      <c r="B662" s="3" t="s">
        <v>34</v>
      </c>
      <c r="C662" s="3" t="s">
        <v>35</v>
      </c>
      <c r="D662" s="14" t="s">
        <v>2724</v>
      </c>
      <c r="E662" s="3" t="s">
        <v>2725</v>
      </c>
      <c r="F662" s="9">
        <v>45239</v>
      </c>
      <c r="G662" s="5" t="s">
        <v>2095</v>
      </c>
      <c r="H662" s="5"/>
      <c r="I662" s="5" t="str">
        <f t="shared" si="2"/>
        <v>PROCESSO FOI ATUALIZADO</v>
      </c>
      <c r="J662" s="5"/>
      <c r="K662" s="5"/>
      <c r="L662" s="5"/>
      <c r="M662" s="5"/>
      <c r="N662" s="5"/>
    </row>
    <row r="663" spans="1:14" ht="22.5" customHeight="1" x14ac:dyDescent="0.2">
      <c r="A663" s="21" t="s">
        <v>2726</v>
      </c>
      <c r="B663" s="3" t="s">
        <v>34</v>
      </c>
      <c r="C663" s="3" t="s">
        <v>35</v>
      </c>
      <c r="D663" s="14" t="s">
        <v>2727</v>
      </c>
      <c r="E663" s="3" t="s">
        <v>2728</v>
      </c>
      <c r="F663" s="9">
        <v>45239</v>
      </c>
      <c r="G663" s="5" t="s">
        <v>2095</v>
      </c>
      <c r="H663" s="5"/>
      <c r="I663" s="5" t="str">
        <f t="shared" si="2"/>
        <v>PROCESSO FOI ATUALIZADO</v>
      </c>
      <c r="J663" s="5"/>
      <c r="K663" s="5"/>
      <c r="L663" s="5"/>
      <c r="M663" s="5"/>
      <c r="N663" s="5"/>
    </row>
    <row r="664" spans="1:14" ht="22.5" customHeight="1" x14ac:dyDescent="0.2">
      <c r="A664" s="21" t="s">
        <v>2729</v>
      </c>
      <c r="B664" s="3" t="s">
        <v>34</v>
      </c>
      <c r="C664" s="3" t="s">
        <v>35</v>
      </c>
      <c r="D664" s="14" t="s">
        <v>2674</v>
      </c>
      <c r="E664" s="3" t="s">
        <v>127</v>
      </c>
      <c r="F664" s="9">
        <v>45239</v>
      </c>
      <c r="G664" s="5" t="s">
        <v>2095</v>
      </c>
      <c r="H664" s="5"/>
      <c r="I664" s="5" t="str">
        <f t="shared" si="2"/>
        <v>PROCESSO FOI ATUALIZADO</v>
      </c>
      <c r="J664" s="5"/>
      <c r="K664" s="5"/>
      <c r="L664" s="5"/>
      <c r="M664" s="5"/>
      <c r="N664" s="5"/>
    </row>
    <row r="665" spans="1:14" ht="22.5" customHeight="1" x14ac:dyDescent="0.2">
      <c r="A665" s="21" t="s">
        <v>2730</v>
      </c>
      <c r="B665" s="3" t="s">
        <v>34</v>
      </c>
      <c r="C665" s="3" t="s">
        <v>35</v>
      </c>
      <c r="D665" s="14" t="s">
        <v>2731</v>
      </c>
      <c r="E665" s="3" t="s">
        <v>127</v>
      </c>
      <c r="F665" s="9">
        <v>45239</v>
      </c>
      <c r="G665" s="5" t="s">
        <v>2095</v>
      </c>
      <c r="H665" s="5"/>
      <c r="I665" s="5" t="str">
        <f t="shared" si="2"/>
        <v>PROCESSO FOI ATUALIZADO</v>
      </c>
      <c r="J665" s="5"/>
      <c r="K665" s="5"/>
      <c r="L665" s="5"/>
      <c r="M665" s="5"/>
      <c r="N665" s="5"/>
    </row>
    <row r="666" spans="1:14" ht="22.5" customHeight="1" x14ac:dyDescent="0.2">
      <c r="A666" s="21" t="s">
        <v>2732</v>
      </c>
      <c r="B666" s="3" t="s">
        <v>34</v>
      </c>
      <c r="C666" s="3" t="s">
        <v>35</v>
      </c>
      <c r="D666" s="14" t="s">
        <v>2074</v>
      </c>
      <c r="E666" s="3" t="s">
        <v>2733</v>
      </c>
      <c r="F666" s="9">
        <v>45239</v>
      </c>
      <c r="G666" s="5" t="s">
        <v>37</v>
      </c>
      <c r="H666" s="5"/>
      <c r="I666" s="5" t="str">
        <f t="shared" si="2"/>
        <v>PROCESSO FOI ATUALIZADO</v>
      </c>
      <c r="J666" s="5"/>
      <c r="K666" s="5"/>
      <c r="L666" s="5"/>
      <c r="M666" s="5"/>
      <c r="N666" s="5"/>
    </row>
    <row r="667" spans="1:14" ht="22.5" customHeight="1" x14ac:dyDescent="0.2">
      <c r="A667" s="21" t="s">
        <v>2734</v>
      </c>
      <c r="B667" s="3" t="s">
        <v>34</v>
      </c>
      <c r="C667" s="3" t="s">
        <v>35</v>
      </c>
      <c r="D667" s="14" t="s">
        <v>2735</v>
      </c>
      <c r="E667" s="3" t="s">
        <v>2736</v>
      </c>
      <c r="F667" s="9">
        <v>45239</v>
      </c>
      <c r="G667" s="5" t="s">
        <v>37</v>
      </c>
      <c r="H667" s="5"/>
      <c r="I667" s="5" t="str">
        <f t="shared" si="2"/>
        <v>PROCESSO FOI ATUALIZADO</v>
      </c>
      <c r="J667" s="5"/>
      <c r="K667" s="5"/>
      <c r="L667" s="5"/>
      <c r="M667" s="5"/>
      <c r="N667" s="5"/>
    </row>
    <row r="668" spans="1:14" ht="22.5" customHeight="1" x14ac:dyDescent="0.2">
      <c r="A668" s="21" t="s">
        <v>2737</v>
      </c>
      <c r="B668" s="3" t="s">
        <v>34</v>
      </c>
      <c r="C668" s="3" t="s">
        <v>35</v>
      </c>
      <c r="D668" s="14" t="s">
        <v>2738</v>
      </c>
      <c r="E668" s="3" t="s">
        <v>127</v>
      </c>
      <c r="F668" s="9">
        <v>45237</v>
      </c>
      <c r="G668" s="5" t="s">
        <v>2095</v>
      </c>
      <c r="H668" s="5"/>
      <c r="I668" s="5" t="str">
        <f t="shared" si="2"/>
        <v>PROCESSO FOI ATUALIZADO</v>
      </c>
      <c r="J668" s="5"/>
      <c r="K668" s="5"/>
      <c r="L668" s="5"/>
      <c r="M668" s="5"/>
      <c r="N668" s="5"/>
    </row>
    <row r="669" spans="1:14" ht="22.5" customHeight="1" x14ac:dyDescent="0.2">
      <c r="A669" s="21" t="s">
        <v>2739</v>
      </c>
      <c r="B669" s="3" t="s">
        <v>34</v>
      </c>
      <c r="C669" s="3" t="s">
        <v>35</v>
      </c>
      <c r="D669" s="14" t="s">
        <v>2740</v>
      </c>
      <c r="E669" s="3" t="s">
        <v>2655</v>
      </c>
      <c r="F669" s="9">
        <v>45237</v>
      </c>
      <c r="G669" s="5" t="s">
        <v>2095</v>
      </c>
      <c r="H669" s="5"/>
      <c r="I669" s="5" t="str">
        <f t="shared" si="2"/>
        <v>PROCESSO FOI ATUALIZADO</v>
      </c>
      <c r="J669" s="5"/>
      <c r="K669" s="5"/>
      <c r="L669" s="5"/>
      <c r="M669" s="5"/>
      <c r="N669" s="5"/>
    </row>
    <row r="670" spans="1:14" ht="22.5" customHeight="1" x14ac:dyDescent="0.2">
      <c r="A670" s="21" t="s">
        <v>2741</v>
      </c>
      <c r="B670" s="3" t="s">
        <v>34</v>
      </c>
      <c r="C670" s="3" t="s">
        <v>35</v>
      </c>
      <c r="D670" s="14" t="s">
        <v>2740</v>
      </c>
      <c r="E670" s="3" t="s">
        <v>2655</v>
      </c>
      <c r="F670" s="9">
        <v>45237</v>
      </c>
      <c r="G670" s="5" t="s">
        <v>37</v>
      </c>
      <c r="H670" s="5"/>
      <c r="I670" s="5" t="str">
        <f t="shared" si="2"/>
        <v>PROCESSO FOI ATUALIZADO</v>
      </c>
      <c r="J670" s="5"/>
      <c r="K670" s="5"/>
      <c r="L670" s="5"/>
      <c r="M670" s="5"/>
      <c r="N670" s="5"/>
    </row>
    <row r="671" spans="1:14" ht="22.5" customHeight="1" x14ac:dyDescent="0.2">
      <c r="A671" s="21" t="s">
        <v>2742</v>
      </c>
      <c r="B671" s="3" t="s">
        <v>34</v>
      </c>
      <c r="C671" s="3" t="s">
        <v>35</v>
      </c>
      <c r="D671" s="14" t="s">
        <v>2743</v>
      </c>
      <c r="E671" s="3" t="s">
        <v>127</v>
      </c>
      <c r="F671" s="9">
        <v>45237</v>
      </c>
      <c r="G671" s="5" t="s">
        <v>2095</v>
      </c>
      <c r="H671" s="5"/>
      <c r="I671" s="5" t="str">
        <f t="shared" si="2"/>
        <v>PROCESSO FOI ATUALIZADO</v>
      </c>
      <c r="J671" s="5"/>
      <c r="K671" s="5"/>
      <c r="L671" s="5"/>
      <c r="M671" s="5"/>
      <c r="N671" s="5"/>
    </row>
    <row r="672" spans="1:14" ht="22.5" customHeight="1" x14ac:dyDescent="0.2">
      <c r="A672" s="21" t="s">
        <v>2744</v>
      </c>
      <c r="B672" s="3" t="s">
        <v>34</v>
      </c>
      <c r="C672" s="3" t="s">
        <v>35</v>
      </c>
      <c r="D672" s="14" t="s">
        <v>2745</v>
      </c>
      <c r="E672" s="3" t="s">
        <v>127</v>
      </c>
      <c r="F672" s="9">
        <v>45237</v>
      </c>
      <c r="G672" s="5" t="s">
        <v>2095</v>
      </c>
      <c r="H672" s="5"/>
      <c r="I672" s="5" t="str">
        <f t="shared" si="2"/>
        <v>PROCESSO FOI ATUALIZADO</v>
      </c>
      <c r="J672" s="5"/>
      <c r="K672" s="5"/>
      <c r="L672" s="5"/>
      <c r="M672" s="5"/>
      <c r="N672" s="5"/>
    </row>
    <row r="673" spans="1:14" ht="22.5" customHeight="1" x14ac:dyDescent="0.2">
      <c r="A673" s="21" t="s">
        <v>2746</v>
      </c>
      <c r="B673" s="3" t="s">
        <v>34</v>
      </c>
      <c r="C673" s="3" t="s">
        <v>35</v>
      </c>
      <c r="D673" s="14" t="s">
        <v>2747</v>
      </c>
      <c r="E673" s="3" t="s">
        <v>2748</v>
      </c>
      <c r="F673" s="9">
        <v>45237</v>
      </c>
      <c r="G673" s="5" t="s">
        <v>2095</v>
      </c>
      <c r="H673" s="5"/>
      <c r="I673" s="5" t="str">
        <f t="shared" si="2"/>
        <v>PROCESSO FOI ATUALIZADO</v>
      </c>
      <c r="J673" s="5"/>
      <c r="K673" s="5"/>
      <c r="L673" s="5"/>
      <c r="M673" s="5"/>
      <c r="N673" s="5"/>
    </row>
    <row r="674" spans="1:14" ht="22.5" customHeight="1" x14ac:dyDescent="0.2">
      <c r="A674" s="21" t="s">
        <v>2749</v>
      </c>
      <c r="B674" s="3" t="s">
        <v>34</v>
      </c>
      <c r="C674" s="3" t="s">
        <v>35</v>
      </c>
      <c r="D674" s="14" t="s">
        <v>2750</v>
      </c>
      <c r="E674" s="3" t="s">
        <v>2751</v>
      </c>
      <c r="F674" s="9">
        <v>45237</v>
      </c>
      <c r="G674" s="5" t="s">
        <v>37</v>
      </c>
      <c r="H674" s="5"/>
      <c r="I674" s="5" t="str">
        <f t="shared" si="2"/>
        <v>PROCESSO FOI ATUALIZADO</v>
      </c>
      <c r="J674" s="5"/>
      <c r="K674" s="5"/>
      <c r="L674" s="5"/>
      <c r="M674" s="5"/>
      <c r="N674" s="5"/>
    </row>
    <row r="675" spans="1:14" ht="22.5" customHeight="1" x14ac:dyDescent="0.2">
      <c r="A675" s="21" t="s">
        <v>2752</v>
      </c>
      <c r="B675" s="3" t="s">
        <v>34</v>
      </c>
      <c r="C675" s="3" t="s">
        <v>35</v>
      </c>
      <c r="D675" s="14" t="s">
        <v>2753</v>
      </c>
      <c r="E675" s="3" t="s">
        <v>2754</v>
      </c>
      <c r="F675" s="9">
        <v>45236</v>
      </c>
      <c r="G675" s="5" t="s">
        <v>2095</v>
      </c>
      <c r="H675" s="5"/>
      <c r="I675" s="5" t="str">
        <f t="shared" si="2"/>
        <v>PROCESSO FOI ATUALIZADO</v>
      </c>
      <c r="J675" s="5"/>
      <c r="K675" s="5"/>
      <c r="L675" s="5"/>
      <c r="M675" s="5"/>
      <c r="N675" s="5"/>
    </row>
    <row r="676" spans="1:14" ht="22.5" customHeight="1" x14ac:dyDescent="0.2">
      <c r="A676" s="21" t="s">
        <v>2755</v>
      </c>
      <c r="B676" s="3" t="s">
        <v>34</v>
      </c>
      <c r="C676" s="3" t="s">
        <v>35</v>
      </c>
      <c r="D676" s="14" t="s">
        <v>2756</v>
      </c>
      <c r="E676" s="3" t="s">
        <v>2757</v>
      </c>
      <c r="F676" s="9">
        <v>45236</v>
      </c>
      <c r="G676" s="5" t="s">
        <v>2095</v>
      </c>
      <c r="H676" s="5"/>
      <c r="I676" s="5" t="str">
        <f t="shared" si="2"/>
        <v>PROCESSO FOI ATUALIZADO</v>
      </c>
      <c r="J676" s="5"/>
      <c r="K676" s="5"/>
      <c r="L676" s="5"/>
      <c r="M676" s="5"/>
      <c r="N676" s="5"/>
    </row>
    <row r="677" spans="1:14" ht="22.5" customHeight="1" x14ac:dyDescent="0.2">
      <c r="A677" s="21" t="s">
        <v>2758</v>
      </c>
      <c r="B677" s="3" t="s">
        <v>34</v>
      </c>
      <c r="C677" s="3" t="s">
        <v>35</v>
      </c>
      <c r="D677" s="14" t="s">
        <v>2658</v>
      </c>
      <c r="E677" s="3" t="s">
        <v>2659</v>
      </c>
      <c r="F677" s="9">
        <v>45231</v>
      </c>
      <c r="G677" s="5" t="s">
        <v>2095</v>
      </c>
      <c r="H677" s="5"/>
      <c r="I677" s="5" t="str">
        <f t="shared" si="2"/>
        <v>PROCESSO FOI ATUALIZADO</v>
      </c>
      <c r="J677" s="5"/>
      <c r="K677" s="5"/>
      <c r="L677" s="5"/>
      <c r="M677" s="5"/>
      <c r="N677" s="5"/>
    </row>
    <row r="678" spans="1:14" ht="22.5" customHeight="1" x14ac:dyDescent="0.2">
      <c r="A678" s="21" t="s">
        <v>2759</v>
      </c>
      <c r="B678" s="3" t="s">
        <v>34</v>
      </c>
      <c r="C678" s="3" t="s">
        <v>35</v>
      </c>
      <c r="D678" s="14" t="s">
        <v>2760</v>
      </c>
      <c r="E678" s="3" t="s">
        <v>2659</v>
      </c>
      <c r="F678" s="9">
        <v>45231</v>
      </c>
      <c r="G678" s="5" t="s">
        <v>2095</v>
      </c>
      <c r="H678" s="5"/>
      <c r="I678" s="5" t="str">
        <f t="shared" si="2"/>
        <v>PROCESSO FOI ATUALIZADO</v>
      </c>
      <c r="J678" s="5"/>
      <c r="K678" s="5"/>
      <c r="L678" s="5"/>
      <c r="M678" s="5"/>
      <c r="N678" s="5"/>
    </row>
    <row r="679" spans="1:14" ht="22.5" customHeight="1" x14ac:dyDescent="0.2">
      <c r="A679" s="21" t="s">
        <v>2761</v>
      </c>
      <c r="B679" s="3" t="s">
        <v>34</v>
      </c>
      <c r="C679" s="3" t="s">
        <v>35</v>
      </c>
      <c r="D679" s="14" t="s">
        <v>2762</v>
      </c>
      <c r="E679" s="3" t="s">
        <v>2659</v>
      </c>
      <c r="F679" s="9">
        <v>45230</v>
      </c>
      <c r="G679" s="5" t="s">
        <v>2095</v>
      </c>
      <c r="H679" s="5"/>
      <c r="I679" s="5" t="str">
        <f t="shared" si="2"/>
        <v>PROCESSO FOI ATUALIZADO</v>
      </c>
      <c r="J679" s="5"/>
      <c r="K679" s="5"/>
      <c r="L679" s="5"/>
      <c r="M679" s="5"/>
      <c r="N679" s="5"/>
    </row>
    <row r="680" spans="1:14" ht="22.5" customHeight="1" x14ac:dyDescent="0.2">
      <c r="A680" s="21" t="s">
        <v>2763</v>
      </c>
      <c r="B680" s="3" t="s">
        <v>34</v>
      </c>
      <c r="C680" s="3" t="s">
        <v>35</v>
      </c>
      <c r="D680" s="14" t="s">
        <v>2076</v>
      </c>
      <c r="E680" s="3" t="s">
        <v>2764</v>
      </c>
      <c r="F680" s="9">
        <v>45230</v>
      </c>
      <c r="G680" s="5" t="s">
        <v>37</v>
      </c>
      <c r="H680" s="5"/>
      <c r="I680" s="5" t="str">
        <f t="shared" si="2"/>
        <v>PROCESSO FOI ATUALIZADO</v>
      </c>
      <c r="J680" s="5"/>
      <c r="K680" s="5"/>
      <c r="L680" s="5"/>
      <c r="M680" s="5"/>
      <c r="N680" s="5"/>
    </row>
    <row r="681" spans="1:14" ht="22.5" customHeight="1" x14ac:dyDescent="0.2">
      <c r="A681" s="21" t="s">
        <v>2765</v>
      </c>
      <c r="B681" s="3" t="s">
        <v>34</v>
      </c>
      <c r="C681" s="3" t="s">
        <v>35</v>
      </c>
      <c r="D681" s="14" t="s">
        <v>2766</v>
      </c>
      <c r="E681" s="3" t="s">
        <v>2764</v>
      </c>
      <c r="F681" s="9">
        <v>45226</v>
      </c>
      <c r="G681" s="5" t="s">
        <v>2095</v>
      </c>
      <c r="H681" s="5"/>
      <c r="I681" s="5" t="str">
        <f t="shared" si="2"/>
        <v>PROCESSO FOI ATUALIZADO</v>
      </c>
      <c r="J681" s="5"/>
      <c r="K681" s="5"/>
      <c r="L681" s="5"/>
      <c r="M681" s="5"/>
      <c r="N681" s="5"/>
    </row>
    <row r="682" spans="1:14" ht="22.5" customHeight="1" x14ac:dyDescent="0.2">
      <c r="A682" s="21" t="s">
        <v>2767</v>
      </c>
      <c r="B682" s="3" t="s">
        <v>34</v>
      </c>
      <c r="C682" s="3" t="s">
        <v>35</v>
      </c>
      <c r="D682" s="14" t="s">
        <v>2768</v>
      </c>
      <c r="E682" s="3" t="s">
        <v>2764</v>
      </c>
      <c r="F682" s="9">
        <v>45223</v>
      </c>
      <c r="G682" s="5" t="s">
        <v>2095</v>
      </c>
      <c r="H682" s="5"/>
      <c r="I682" s="5" t="str">
        <f t="shared" si="2"/>
        <v>PROCESSO FOI ATUALIZADO</v>
      </c>
      <c r="J682" s="5"/>
      <c r="K682" s="5"/>
      <c r="L682" s="5"/>
      <c r="M682" s="5"/>
      <c r="N682" s="5"/>
    </row>
    <row r="683" spans="1:14" ht="22.5" customHeight="1" x14ac:dyDescent="0.2">
      <c r="A683" s="21" t="s">
        <v>2769</v>
      </c>
      <c r="B683" s="3" t="s">
        <v>34</v>
      </c>
      <c r="C683" s="3" t="s">
        <v>35</v>
      </c>
      <c r="D683" s="14" t="s">
        <v>2770</v>
      </c>
      <c r="E683" s="3" t="s">
        <v>2764</v>
      </c>
      <c r="F683" s="9">
        <v>45223</v>
      </c>
      <c r="G683" s="5" t="s">
        <v>2095</v>
      </c>
      <c r="H683" s="5"/>
      <c r="I683" s="5" t="str">
        <f t="shared" si="2"/>
        <v>PROCESSO FOI ATUALIZADO</v>
      </c>
      <c r="J683" s="5"/>
      <c r="K683" s="5"/>
      <c r="L683" s="5"/>
      <c r="M683" s="5"/>
      <c r="N683" s="5"/>
    </row>
    <row r="684" spans="1:14" ht="22.5" customHeight="1" x14ac:dyDescent="0.2">
      <c r="A684" s="21" t="s">
        <v>2771</v>
      </c>
      <c r="B684" s="3" t="s">
        <v>34</v>
      </c>
      <c r="C684" s="3" t="s">
        <v>35</v>
      </c>
      <c r="D684" s="14" t="s">
        <v>2772</v>
      </c>
      <c r="E684" s="3" t="s">
        <v>2773</v>
      </c>
      <c r="F684" s="9">
        <v>45222</v>
      </c>
      <c r="G684" s="5" t="s">
        <v>2095</v>
      </c>
      <c r="H684" s="5"/>
      <c r="I684" s="5" t="str">
        <f t="shared" si="2"/>
        <v>PROCESSO FOI ATUALIZADO</v>
      </c>
      <c r="J684" s="5"/>
      <c r="K684" s="5"/>
      <c r="L684" s="5"/>
      <c r="M684" s="5"/>
      <c r="N684" s="5"/>
    </row>
    <row r="685" spans="1:14" ht="22.5" customHeight="1" x14ac:dyDescent="0.2">
      <c r="A685" s="21" t="s">
        <v>2774</v>
      </c>
      <c r="B685" s="3" t="s">
        <v>34</v>
      </c>
      <c r="C685" s="3" t="s">
        <v>35</v>
      </c>
      <c r="D685" s="14" t="s">
        <v>2775</v>
      </c>
      <c r="E685" s="3" t="s">
        <v>2764</v>
      </c>
      <c r="F685" s="9">
        <v>45222</v>
      </c>
      <c r="G685" s="5" t="s">
        <v>2095</v>
      </c>
      <c r="H685" s="5"/>
      <c r="I685" s="5" t="str">
        <f t="shared" si="2"/>
        <v>PROCESSO FOI ATUALIZADO</v>
      </c>
      <c r="J685" s="5"/>
      <c r="K685" s="5"/>
      <c r="L685" s="5"/>
      <c r="M685" s="5"/>
      <c r="N685" s="5"/>
    </row>
    <row r="686" spans="1:14" ht="22.5" customHeight="1" x14ac:dyDescent="0.2">
      <c r="A686" s="21" t="s">
        <v>2776</v>
      </c>
      <c r="B686" s="3" t="s">
        <v>34</v>
      </c>
      <c r="C686" s="3" t="s">
        <v>35</v>
      </c>
      <c r="D686" s="14" t="s">
        <v>2777</v>
      </c>
      <c r="E686" s="3" t="s">
        <v>2778</v>
      </c>
      <c r="F686" s="9">
        <v>45222</v>
      </c>
      <c r="G686" s="5" t="s">
        <v>2095</v>
      </c>
      <c r="H686" s="5"/>
      <c r="I686" s="5" t="str">
        <f t="shared" si="2"/>
        <v>PROCESSO FOI ATUALIZADO</v>
      </c>
      <c r="J686" s="5"/>
      <c r="K686" s="5"/>
      <c r="L686" s="5"/>
      <c r="M686" s="5"/>
      <c r="N686" s="5"/>
    </row>
    <row r="687" spans="1:14" ht="22.5" customHeight="1" x14ac:dyDescent="0.2">
      <c r="A687" s="21" t="s">
        <v>2779</v>
      </c>
      <c r="B687" s="3" t="s">
        <v>34</v>
      </c>
      <c r="C687" s="3" t="s">
        <v>35</v>
      </c>
      <c r="D687" s="14" t="s">
        <v>2780</v>
      </c>
      <c r="E687" s="3" t="s">
        <v>2781</v>
      </c>
      <c r="F687" s="9">
        <v>45222</v>
      </c>
      <c r="G687" s="5" t="s">
        <v>37</v>
      </c>
      <c r="H687" s="5"/>
      <c r="I687" s="5" t="str">
        <f t="shared" si="2"/>
        <v>PROCESSO FOI ATUALIZADO</v>
      </c>
      <c r="J687" s="5"/>
      <c r="K687" s="5"/>
      <c r="L687" s="5"/>
      <c r="M687" s="5"/>
      <c r="N687" s="5"/>
    </row>
    <row r="688" spans="1:14" ht="22.5" customHeight="1" x14ac:dyDescent="0.2">
      <c r="A688" s="21" t="s">
        <v>2782</v>
      </c>
      <c r="B688" s="3" t="s">
        <v>34</v>
      </c>
      <c r="C688" s="3" t="s">
        <v>35</v>
      </c>
      <c r="D688" s="14" t="s">
        <v>2783</v>
      </c>
      <c r="E688" s="3" t="s">
        <v>1207</v>
      </c>
      <c r="F688" s="9">
        <v>45222</v>
      </c>
      <c r="G688" s="5" t="s">
        <v>2095</v>
      </c>
      <c r="H688" s="5"/>
      <c r="I688" s="5" t="str">
        <f t="shared" si="2"/>
        <v>PROCESSO FOI ATUALIZADO</v>
      </c>
      <c r="J688" s="5"/>
      <c r="K688" s="5"/>
      <c r="L688" s="5"/>
      <c r="M688" s="5"/>
      <c r="N688" s="5"/>
    </row>
    <row r="689" spans="1:14" ht="22.5" customHeight="1" x14ac:dyDescent="0.2">
      <c r="A689" s="21" t="s">
        <v>2784</v>
      </c>
      <c r="B689" s="3" t="s">
        <v>34</v>
      </c>
      <c r="C689" s="3" t="s">
        <v>35</v>
      </c>
      <c r="D689" s="14" t="s">
        <v>2697</v>
      </c>
      <c r="E689" s="3" t="s">
        <v>1192</v>
      </c>
      <c r="F689" s="9">
        <v>45215</v>
      </c>
      <c r="G689" s="5" t="s">
        <v>37</v>
      </c>
      <c r="H689" s="5"/>
      <c r="I689" s="5" t="str">
        <f t="shared" si="2"/>
        <v>PROCESSO FOI ATUALIZADO</v>
      </c>
      <c r="J689" s="5"/>
      <c r="K689" s="5"/>
      <c r="L689" s="5"/>
      <c r="M689" s="5"/>
      <c r="N689" s="5"/>
    </row>
    <row r="690" spans="1:14" ht="22.5" customHeight="1" x14ac:dyDescent="0.2">
      <c r="A690" s="21" t="s">
        <v>2785</v>
      </c>
      <c r="B690" s="3" t="s">
        <v>34</v>
      </c>
      <c r="C690" s="3" t="s">
        <v>35</v>
      </c>
      <c r="D690" s="14" t="s">
        <v>2786</v>
      </c>
      <c r="E690" s="3" t="s">
        <v>1213</v>
      </c>
      <c r="F690" s="9">
        <v>45215</v>
      </c>
      <c r="G690" s="5" t="s">
        <v>37</v>
      </c>
      <c r="H690" s="5"/>
      <c r="I690" s="5" t="str">
        <f t="shared" si="2"/>
        <v>PROCESSO FOI ATUALIZADO</v>
      </c>
      <c r="J690" s="5"/>
      <c r="K690" s="5"/>
      <c r="L690" s="5"/>
      <c r="M690" s="5"/>
      <c r="N690" s="5"/>
    </row>
    <row r="691" spans="1:14" ht="22.5" customHeight="1" x14ac:dyDescent="0.2">
      <c r="A691" s="21" t="s">
        <v>2787</v>
      </c>
      <c r="B691" s="3" t="s">
        <v>34</v>
      </c>
      <c r="C691" s="3" t="s">
        <v>35</v>
      </c>
      <c r="D691" s="14" t="s">
        <v>2788</v>
      </c>
      <c r="E691" s="3" t="s">
        <v>2764</v>
      </c>
      <c r="F691" s="9">
        <v>45215</v>
      </c>
      <c r="G691" s="5" t="s">
        <v>2095</v>
      </c>
      <c r="H691" s="5"/>
      <c r="I691" s="5" t="str">
        <f t="shared" si="2"/>
        <v>PROCESSO FOI ATUALIZADO</v>
      </c>
      <c r="J691" s="5"/>
      <c r="K691" s="5"/>
      <c r="L691" s="5"/>
      <c r="M691" s="5"/>
      <c r="N691" s="5"/>
    </row>
    <row r="692" spans="1:14" ht="22.5" customHeight="1" x14ac:dyDescent="0.2">
      <c r="A692" s="21" t="s">
        <v>2789</v>
      </c>
      <c r="B692" s="3" t="s">
        <v>34</v>
      </c>
      <c r="C692" s="3" t="s">
        <v>35</v>
      </c>
      <c r="D692" s="14" t="s">
        <v>2790</v>
      </c>
      <c r="E692" s="3" t="s">
        <v>2764</v>
      </c>
      <c r="F692" s="9">
        <v>45215</v>
      </c>
      <c r="G692" s="5" t="s">
        <v>2095</v>
      </c>
      <c r="H692" s="5"/>
      <c r="I692" s="5" t="str">
        <f t="shared" si="2"/>
        <v>PROCESSO FOI ATUALIZADO</v>
      </c>
      <c r="J692" s="5"/>
      <c r="K692" s="5"/>
      <c r="L692" s="5"/>
      <c r="M692" s="5"/>
      <c r="N692" s="5"/>
    </row>
    <row r="693" spans="1:14" ht="22.5" customHeight="1" x14ac:dyDescent="0.2">
      <c r="A693" s="21" t="s">
        <v>2791</v>
      </c>
      <c r="B693" s="3" t="s">
        <v>34</v>
      </c>
      <c r="C693" s="3" t="s">
        <v>35</v>
      </c>
      <c r="D693" s="14" t="s">
        <v>2792</v>
      </c>
      <c r="E693" s="3" t="s">
        <v>2764</v>
      </c>
      <c r="F693" s="9">
        <v>45215</v>
      </c>
      <c r="G693" s="5" t="s">
        <v>2095</v>
      </c>
      <c r="H693" s="5"/>
      <c r="I693" s="5" t="str">
        <f t="shared" si="2"/>
        <v>PROCESSO FOI ATUALIZADO</v>
      </c>
      <c r="J693" s="5"/>
      <c r="K693" s="5"/>
      <c r="L693" s="5"/>
      <c r="M693" s="5"/>
      <c r="N693" s="5"/>
    </row>
    <row r="694" spans="1:14" ht="22.5" customHeight="1" x14ac:dyDescent="0.2">
      <c r="A694" s="21" t="s">
        <v>2793</v>
      </c>
      <c r="B694" s="3" t="s">
        <v>34</v>
      </c>
      <c r="C694" s="3" t="s">
        <v>35</v>
      </c>
      <c r="D694" s="14" t="s">
        <v>2794</v>
      </c>
      <c r="E694" s="3" t="s">
        <v>2764</v>
      </c>
      <c r="F694" s="9">
        <v>45215</v>
      </c>
      <c r="G694" s="5" t="s">
        <v>2095</v>
      </c>
      <c r="H694" s="5"/>
      <c r="I694" s="5" t="str">
        <f t="shared" si="2"/>
        <v>PROCESSO FOI ATUALIZADO</v>
      </c>
      <c r="J694" s="5"/>
      <c r="K694" s="5"/>
      <c r="L694" s="5"/>
      <c r="M694" s="5"/>
      <c r="N694" s="5"/>
    </row>
    <row r="695" spans="1:14" ht="22.5" customHeight="1" x14ac:dyDescent="0.2">
      <c r="A695" s="21" t="s">
        <v>2795</v>
      </c>
      <c r="B695" s="3" t="s">
        <v>34</v>
      </c>
      <c r="C695" s="3" t="s">
        <v>35</v>
      </c>
      <c r="D695" s="14" t="s">
        <v>2796</v>
      </c>
      <c r="E695" s="3" t="s">
        <v>2797</v>
      </c>
      <c r="F695" s="9">
        <v>45215</v>
      </c>
      <c r="G695" s="5" t="s">
        <v>2095</v>
      </c>
      <c r="H695" s="5"/>
      <c r="I695" s="5" t="str">
        <f t="shared" si="2"/>
        <v>PROCESSO FOI ATUALIZADO</v>
      </c>
      <c r="J695" s="5"/>
      <c r="K695" s="5"/>
      <c r="L695" s="5"/>
      <c r="M695" s="5"/>
      <c r="N695" s="5"/>
    </row>
    <row r="696" spans="1:14" ht="22.5" customHeight="1" x14ac:dyDescent="0.2">
      <c r="A696" s="21" t="s">
        <v>2798</v>
      </c>
      <c r="B696" s="3" t="s">
        <v>34</v>
      </c>
      <c r="C696" s="3" t="s">
        <v>35</v>
      </c>
      <c r="D696" s="14" t="s">
        <v>2799</v>
      </c>
      <c r="E696" s="3" t="s">
        <v>2797</v>
      </c>
      <c r="F696" s="9">
        <v>45215</v>
      </c>
      <c r="G696" s="5" t="s">
        <v>2095</v>
      </c>
      <c r="H696" s="5"/>
      <c r="I696" s="5" t="str">
        <f t="shared" si="2"/>
        <v>PROCESSO FOI ATUALIZADO</v>
      </c>
      <c r="J696" s="5"/>
      <c r="K696" s="5"/>
      <c r="L696" s="5"/>
      <c r="M696" s="5"/>
      <c r="N696" s="5"/>
    </row>
    <row r="697" spans="1:14" ht="22.5" customHeight="1" x14ac:dyDescent="0.2">
      <c r="A697" s="21" t="s">
        <v>2800</v>
      </c>
      <c r="B697" s="3" t="s">
        <v>34</v>
      </c>
      <c r="C697" s="3" t="s">
        <v>35</v>
      </c>
      <c r="D697" s="14" t="s">
        <v>2801</v>
      </c>
      <c r="E697" s="3" t="s">
        <v>1207</v>
      </c>
      <c r="F697" s="9">
        <v>45215</v>
      </c>
      <c r="G697" s="5" t="s">
        <v>2095</v>
      </c>
      <c r="H697" s="5"/>
      <c r="I697" s="5" t="str">
        <f t="shared" si="2"/>
        <v>PROCESSO FOI ATUALIZADO</v>
      </c>
      <c r="J697" s="5"/>
      <c r="K697" s="5"/>
      <c r="L697" s="5"/>
      <c r="M697" s="5"/>
      <c r="N697" s="5"/>
    </row>
    <row r="698" spans="1:14" ht="22.5" customHeight="1" x14ac:dyDescent="0.2">
      <c r="A698" s="21" t="s">
        <v>2802</v>
      </c>
      <c r="B698" s="3" t="s">
        <v>34</v>
      </c>
      <c r="C698" s="3" t="s">
        <v>35</v>
      </c>
      <c r="D698" s="14" t="s">
        <v>2786</v>
      </c>
      <c r="E698" s="3" t="s">
        <v>1213</v>
      </c>
      <c r="F698" s="9">
        <v>45215</v>
      </c>
      <c r="G698" s="5" t="s">
        <v>37</v>
      </c>
      <c r="H698" s="5"/>
      <c r="I698" s="5" t="str">
        <f t="shared" si="2"/>
        <v>PROCESSO FOI ATUALIZADO</v>
      </c>
      <c r="J698" s="5"/>
      <c r="K698" s="5"/>
      <c r="L698" s="5"/>
      <c r="M698" s="5"/>
      <c r="N698" s="5"/>
    </row>
    <row r="699" spans="1:14" ht="22.5" customHeight="1" x14ac:dyDescent="0.2">
      <c r="A699" s="21" t="s">
        <v>2803</v>
      </c>
      <c r="B699" s="3" t="s">
        <v>34</v>
      </c>
      <c r="C699" s="3" t="s">
        <v>35</v>
      </c>
      <c r="D699" s="14" t="s">
        <v>2804</v>
      </c>
      <c r="E699" s="3" t="s">
        <v>2728</v>
      </c>
      <c r="F699" s="9">
        <v>45215</v>
      </c>
      <c r="G699" s="5" t="s">
        <v>2095</v>
      </c>
      <c r="H699" s="5"/>
      <c r="I699" s="5" t="str">
        <f t="shared" si="2"/>
        <v>PROCESSO FOI ATUALIZADO</v>
      </c>
      <c r="J699" s="5"/>
      <c r="K699" s="5"/>
      <c r="L699" s="5"/>
      <c r="M699" s="5"/>
      <c r="N699" s="5"/>
    </row>
    <row r="700" spans="1:14" ht="22.5" customHeight="1" x14ac:dyDescent="0.2">
      <c r="A700" s="21" t="s">
        <v>2805</v>
      </c>
      <c r="B700" s="3" t="s">
        <v>34</v>
      </c>
      <c r="C700" s="3" t="s">
        <v>35</v>
      </c>
      <c r="D700" s="14" t="s">
        <v>2806</v>
      </c>
      <c r="E700" s="3" t="s">
        <v>2807</v>
      </c>
      <c r="F700" s="9">
        <v>45215</v>
      </c>
      <c r="G700" s="5" t="s">
        <v>2095</v>
      </c>
      <c r="H700" s="5"/>
      <c r="I700" s="5" t="str">
        <f t="shared" si="2"/>
        <v>PROCESSO FOI ATUALIZADO</v>
      </c>
      <c r="J700" s="5"/>
      <c r="K700" s="5"/>
      <c r="L700" s="5"/>
      <c r="M700" s="5"/>
      <c r="N700" s="5"/>
    </row>
    <row r="701" spans="1:14" ht="22.5" customHeight="1" x14ac:dyDescent="0.2">
      <c r="A701" s="21" t="s">
        <v>2808</v>
      </c>
      <c r="B701" s="3" t="s">
        <v>34</v>
      </c>
      <c r="C701" s="3" t="s">
        <v>35</v>
      </c>
      <c r="D701" s="14" t="s">
        <v>2809</v>
      </c>
      <c r="E701" s="3" t="s">
        <v>2810</v>
      </c>
      <c r="F701" s="9">
        <v>45215</v>
      </c>
      <c r="G701" s="5" t="s">
        <v>2095</v>
      </c>
      <c r="H701" s="5"/>
      <c r="I701" s="5" t="str">
        <f t="shared" si="2"/>
        <v>PROCESSO FOI ATUALIZADO</v>
      </c>
      <c r="J701" s="5"/>
      <c r="K701" s="5"/>
      <c r="L701" s="5"/>
      <c r="M701" s="5"/>
      <c r="N701" s="5"/>
    </row>
    <row r="702" spans="1:14" ht="22.5" customHeight="1" x14ac:dyDescent="0.2">
      <c r="A702" s="21" t="s">
        <v>2811</v>
      </c>
      <c r="B702" s="3" t="s">
        <v>34</v>
      </c>
      <c r="C702" s="3" t="s">
        <v>35</v>
      </c>
      <c r="D702" s="14" t="s">
        <v>2812</v>
      </c>
      <c r="E702" s="3" t="s">
        <v>79</v>
      </c>
      <c r="F702" s="9">
        <v>45215</v>
      </c>
      <c r="G702" s="5" t="s">
        <v>2095</v>
      </c>
      <c r="H702" s="5"/>
      <c r="I702" s="5" t="str">
        <f t="shared" si="2"/>
        <v>PROCESSO FOI ATUALIZADO</v>
      </c>
      <c r="J702" s="5"/>
      <c r="K702" s="5"/>
      <c r="L702" s="5"/>
      <c r="M702" s="5"/>
      <c r="N702" s="5"/>
    </row>
    <row r="703" spans="1:14" ht="22.5" customHeight="1" x14ac:dyDescent="0.2">
      <c r="A703" s="21" t="s">
        <v>2813</v>
      </c>
      <c r="B703" s="3" t="s">
        <v>34</v>
      </c>
      <c r="C703" s="3" t="s">
        <v>35</v>
      </c>
      <c r="D703" s="14" t="s">
        <v>2814</v>
      </c>
      <c r="E703" s="3" t="s">
        <v>2764</v>
      </c>
      <c r="F703" s="9">
        <v>45213</v>
      </c>
      <c r="G703" s="5" t="s">
        <v>2095</v>
      </c>
      <c r="H703" s="5"/>
      <c r="I703" s="5" t="str">
        <f t="shared" si="2"/>
        <v>PROCESSO FOI ATUALIZADO</v>
      </c>
      <c r="J703" s="5"/>
      <c r="K703" s="5"/>
      <c r="L703" s="5"/>
      <c r="M703" s="5"/>
      <c r="N703" s="5"/>
    </row>
    <row r="704" spans="1:14" ht="22.5" customHeight="1" x14ac:dyDescent="0.2">
      <c r="A704" s="21" t="s">
        <v>2815</v>
      </c>
      <c r="B704" s="3" t="s">
        <v>34</v>
      </c>
      <c r="C704" s="3" t="s">
        <v>35</v>
      </c>
      <c r="D704" s="14" t="s">
        <v>2816</v>
      </c>
      <c r="E704" s="3" t="s">
        <v>2728</v>
      </c>
      <c r="F704" s="9">
        <v>45210</v>
      </c>
      <c r="G704" s="5" t="s">
        <v>2095</v>
      </c>
      <c r="H704" s="5"/>
      <c r="I704" s="5" t="str">
        <f t="shared" si="2"/>
        <v>PROCESSO FOI ATUALIZADO</v>
      </c>
      <c r="J704" s="5"/>
      <c r="K704" s="5"/>
      <c r="L704" s="5"/>
      <c r="M704" s="5"/>
      <c r="N704" s="5"/>
    </row>
    <row r="705" spans="1:14" ht="22.5" customHeight="1" x14ac:dyDescent="0.2">
      <c r="A705" s="21" t="s">
        <v>2817</v>
      </c>
      <c r="B705" s="3" t="s">
        <v>34</v>
      </c>
      <c r="C705" s="3" t="s">
        <v>35</v>
      </c>
      <c r="D705" s="14" t="s">
        <v>2818</v>
      </c>
      <c r="E705" s="3" t="s">
        <v>2819</v>
      </c>
      <c r="F705" s="9">
        <v>45209</v>
      </c>
      <c r="G705" s="5" t="s">
        <v>2095</v>
      </c>
      <c r="H705" s="5"/>
      <c r="I705" s="5" t="str">
        <f t="shared" si="2"/>
        <v>PROCESSO FOI ATUALIZADO</v>
      </c>
      <c r="J705" s="5"/>
      <c r="K705" s="5"/>
      <c r="L705" s="5"/>
      <c r="M705" s="5"/>
      <c r="N705" s="5"/>
    </row>
    <row r="706" spans="1:14" ht="22.5" customHeight="1" x14ac:dyDescent="0.2">
      <c r="A706" s="21" t="s">
        <v>2820</v>
      </c>
      <c r="B706" s="3" t="s">
        <v>34</v>
      </c>
      <c r="C706" s="3" t="s">
        <v>35</v>
      </c>
      <c r="D706" s="14" t="s">
        <v>2821</v>
      </c>
      <c r="E706" s="3" t="s">
        <v>1207</v>
      </c>
      <c r="F706" s="9">
        <v>45209</v>
      </c>
      <c r="G706" s="5" t="s">
        <v>2095</v>
      </c>
      <c r="H706" s="5"/>
      <c r="I706" s="5" t="str">
        <f t="shared" si="2"/>
        <v>PROCESSO FOI ATUALIZADO</v>
      </c>
      <c r="J706" s="5"/>
      <c r="K706" s="5"/>
      <c r="L706" s="5"/>
      <c r="M706" s="5"/>
      <c r="N706" s="5"/>
    </row>
    <row r="707" spans="1:14" ht="22.5" customHeight="1" x14ac:dyDescent="0.2">
      <c r="A707" s="21" t="s">
        <v>2822</v>
      </c>
      <c r="B707" s="3" t="s">
        <v>34</v>
      </c>
      <c r="C707" s="3" t="s">
        <v>35</v>
      </c>
      <c r="D707" s="14" t="s">
        <v>2823</v>
      </c>
      <c r="E707" s="3" t="s">
        <v>2810</v>
      </c>
      <c r="F707" s="9">
        <v>45209</v>
      </c>
      <c r="G707" s="5" t="s">
        <v>2095</v>
      </c>
      <c r="H707" s="5"/>
      <c r="I707" s="5" t="str">
        <f t="shared" si="2"/>
        <v>PROCESSO FOI ATUALIZADO</v>
      </c>
      <c r="J707" s="5"/>
      <c r="K707" s="5"/>
      <c r="L707" s="5"/>
      <c r="M707" s="5"/>
      <c r="N707" s="5"/>
    </row>
    <row r="708" spans="1:14" ht="22.5" customHeight="1" x14ac:dyDescent="0.2">
      <c r="A708" s="21" t="s">
        <v>2824</v>
      </c>
      <c r="B708" s="3" t="s">
        <v>34</v>
      </c>
      <c r="C708" s="3" t="s">
        <v>35</v>
      </c>
      <c r="D708" s="14" t="s">
        <v>2825</v>
      </c>
      <c r="E708" s="3" t="s">
        <v>2826</v>
      </c>
      <c r="F708" s="9">
        <v>45203</v>
      </c>
      <c r="G708" s="5" t="s">
        <v>2110</v>
      </c>
      <c r="H708" s="5"/>
      <c r="I708" s="5" t="str">
        <f t="shared" si="2"/>
        <v>PROCESSO FOI ATUALIZADO</v>
      </c>
      <c r="J708" s="5"/>
      <c r="K708" s="5"/>
      <c r="L708" s="5"/>
      <c r="M708" s="5"/>
      <c r="N708" s="5"/>
    </row>
    <row r="709" spans="1:14" ht="22.5" customHeight="1" x14ac:dyDescent="0.2">
      <c r="A709" s="21" t="s">
        <v>2827</v>
      </c>
      <c r="B709" s="3" t="s">
        <v>34</v>
      </c>
      <c r="C709" s="3" t="s">
        <v>35</v>
      </c>
      <c r="D709" s="14" t="s">
        <v>2828</v>
      </c>
      <c r="E709" s="3" t="s">
        <v>2810</v>
      </c>
      <c r="F709" s="9">
        <v>45188</v>
      </c>
      <c r="G709" s="5" t="s">
        <v>2095</v>
      </c>
      <c r="H709" s="5"/>
      <c r="I709" s="5" t="str">
        <f t="shared" si="2"/>
        <v>PROCESSO FOI ATUALIZADO</v>
      </c>
      <c r="J709" s="5"/>
      <c r="K709" s="5"/>
      <c r="L709" s="5"/>
      <c r="M709" s="5"/>
      <c r="N709" s="5"/>
    </row>
    <row r="710" spans="1:14" ht="22.5" customHeight="1" x14ac:dyDescent="0.2">
      <c r="A710" s="21" t="s">
        <v>2829</v>
      </c>
      <c r="B710" s="3" t="s">
        <v>34</v>
      </c>
      <c r="C710" s="3" t="s">
        <v>35</v>
      </c>
      <c r="D710" s="14" t="s">
        <v>2830</v>
      </c>
      <c r="E710" s="3" t="s">
        <v>2831</v>
      </c>
      <c r="F710" s="9">
        <v>45181</v>
      </c>
      <c r="G710" s="5" t="s">
        <v>37</v>
      </c>
      <c r="H710" s="5"/>
      <c r="I710" s="5" t="str">
        <f t="shared" si="2"/>
        <v>PROCESSO FOI ATUALIZADO</v>
      </c>
      <c r="J710" s="5"/>
      <c r="K710" s="5"/>
      <c r="L710" s="5"/>
      <c r="M710" s="5"/>
      <c r="N710" s="5"/>
    </row>
    <row r="711" spans="1:14" ht="22.5" customHeight="1" x14ac:dyDescent="0.2">
      <c r="A711" s="21" t="s">
        <v>2832</v>
      </c>
      <c r="B711" s="3" t="s">
        <v>34</v>
      </c>
      <c r="C711" s="3" t="s">
        <v>35</v>
      </c>
      <c r="D711" s="14" t="s">
        <v>2833</v>
      </c>
      <c r="E711" s="3" t="s">
        <v>79</v>
      </c>
      <c r="F711" s="9">
        <v>45159</v>
      </c>
      <c r="G711" s="5" t="s">
        <v>2095</v>
      </c>
      <c r="H711" s="5"/>
      <c r="I711" s="5" t="str">
        <f t="shared" si="2"/>
        <v>PROCESSO FOI ATUALIZADO</v>
      </c>
      <c r="J711" s="5"/>
      <c r="K711" s="5"/>
      <c r="L711" s="5"/>
      <c r="M711" s="5"/>
      <c r="N711" s="5"/>
    </row>
    <row r="712" spans="1:14" ht="22.5" customHeight="1" x14ac:dyDescent="0.2">
      <c r="A712" s="21" t="s">
        <v>2834</v>
      </c>
      <c r="B712" s="3" t="s">
        <v>34</v>
      </c>
      <c r="C712" s="3" t="s">
        <v>35</v>
      </c>
      <c r="D712" s="14" t="s">
        <v>2835</v>
      </c>
      <c r="E712" s="3" t="s">
        <v>2836</v>
      </c>
      <c r="F712" s="9">
        <v>45156</v>
      </c>
      <c r="G712" s="5" t="s">
        <v>2095</v>
      </c>
      <c r="H712" s="5"/>
      <c r="I712" s="5" t="str">
        <f t="shared" si="2"/>
        <v>PROCESSO FOI ATUALIZADO</v>
      </c>
      <c r="J712" s="5"/>
      <c r="K712" s="5"/>
      <c r="L712" s="5"/>
      <c r="M712" s="5"/>
      <c r="N712" s="5"/>
    </row>
    <row r="713" spans="1:14" ht="22.5" customHeight="1" x14ac:dyDescent="0.2">
      <c r="A713" s="21" t="s">
        <v>2837</v>
      </c>
      <c r="B713" s="3" t="s">
        <v>34</v>
      </c>
      <c r="C713" s="3" t="s">
        <v>35</v>
      </c>
      <c r="D713" s="14" t="s">
        <v>2838</v>
      </c>
      <c r="E713" s="3" t="s">
        <v>2839</v>
      </c>
      <c r="F713" s="9">
        <v>45156</v>
      </c>
      <c r="G713" s="5" t="s">
        <v>2110</v>
      </c>
      <c r="H713" s="5"/>
      <c r="I713" s="5" t="str">
        <f t="shared" si="2"/>
        <v>PROCESSO FOI ATUALIZADO</v>
      </c>
      <c r="J713" s="5"/>
      <c r="K713" s="5"/>
      <c r="L713" s="5"/>
      <c r="M713" s="5"/>
      <c r="N713" s="5"/>
    </row>
    <row r="714" spans="1:14" ht="22.5" customHeight="1" x14ac:dyDescent="0.2">
      <c r="A714" s="22" t="s">
        <v>2840</v>
      </c>
      <c r="B714" s="3" t="s">
        <v>34</v>
      </c>
      <c r="C714" s="3" t="s">
        <v>35</v>
      </c>
      <c r="D714" s="14" t="s">
        <v>2841</v>
      </c>
      <c r="E714" s="3" t="s">
        <v>2842</v>
      </c>
      <c r="F714" s="9">
        <v>45154</v>
      </c>
      <c r="G714" s="5" t="s">
        <v>2095</v>
      </c>
      <c r="H714" s="5"/>
      <c r="I714" s="5" t="e">
        <f t="shared" ref="I714:I968" si="3">IF(OR(H714="PROCESSO NÃO ENCONTRADO",#REF!= "PROCESSO NÃO ENCONTRADO"),
   "PROCESSO NÃO ENCONTRADO",
   IF(H714=#REF!,"PROCESSO AINDA NÃO FOI ATUALIZADO","PROCESSO FOI ATUALIZADO"))</f>
        <v>#REF!</v>
      </c>
      <c r="J714" s="5"/>
      <c r="K714" s="5"/>
      <c r="L714" s="5"/>
      <c r="M714" s="5"/>
      <c r="N714" s="5"/>
    </row>
    <row r="715" spans="1:14" ht="22.5" customHeight="1" x14ac:dyDescent="0.2">
      <c r="A715" s="22" t="s">
        <v>2843</v>
      </c>
      <c r="B715" s="3" t="s">
        <v>34</v>
      </c>
      <c r="C715" s="3" t="s">
        <v>35</v>
      </c>
      <c r="D715" s="14" t="s">
        <v>2823</v>
      </c>
      <c r="E715" s="3" t="s">
        <v>2810</v>
      </c>
      <c r="F715" s="9">
        <v>45154</v>
      </c>
      <c r="G715" s="5" t="s">
        <v>37</v>
      </c>
      <c r="H715" s="5"/>
      <c r="I715" s="5" t="e">
        <f t="shared" si="3"/>
        <v>#REF!</v>
      </c>
      <c r="J715" s="5"/>
      <c r="K715" s="5"/>
      <c r="L715" s="5"/>
      <c r="M715" s="5"/>
      <c r="N715" s="5"/>
    </row>
    <row r="716" spans="1:14" ht="22.5" customHeight="1" x14ac:dyDescent="0.2">
      <c r="A716" s="22" t="s">
        <v>2844</v>
      </c>
      <c r="B716" s="3" t="s">
        <v>34</v>
      </c>
      <c r="C716" s="3" t="s">
        <v>35</v>
      </c>
      <c r="D716" s="14" t="s">
        <v>2845</v>
      </c>
      <c r="E716" s="3" t="s">
        <v>2846</v>
      </c>
      <c r="F716" s="9">
        <v>45141</v>
      </c>
      <c r="G716" s="5" t="s">
        <v>2095</v>
      </c>
      <c r="H716" s="5"/>
      <c r="I716" s="5" t="e">
        <f t="shared" si="3"/>
        <v>#REF!</v>
      </c>
      <c r="J716" s="5"/>
      <c r="K716" s="5"/>
      <c r="L716" s="5"/>
      <c r="M716" s="5"/>
      <c r="N716" s="5"/>
    </row>
    <row r="717" spans="1:14" ht="22.5" customHeight="1" x14ac:dyDescent="0.2">
      <c r="A717" s="22" t="s">
        <v>2847</v>
      </c>
      <c r="B717" s="3" t="s">
        <v>34</v>
      </c>
      <c r="C717" s="3" t="s">
        <v>35</v>
      </c>
      <c r="D717" s="14" t="s">
        <v>2848</v>
      </c>
      <c r="E717" s="3" t="s">
        <v>79</v>
      </c>
      <c r="F717" s="9">
        <v>45141</v>
      </c>
      <c r="G717" s="5" t="s">
        <v>2095</v>
      </c>
      <c r="H717" s="5"/>
      <c r="I717" s="5" t="e">
        <f t="shared" si="3"/>
        <v>#REF!</v>
      </c>
      <c r="J717" s="5"/>
      <c r="K717" s="5"/>
      <c r="L717" s="5"/>
      <c r="M717" s="5"/>
      <c r="N717" s="5"/>
    </row>
    <row r="718" spans="1:14" ht="22.5" customHeight="1" x14ac:dyDescent="0.2">
      <c r="A718" s="22" t="s">
        <v>2849</v>
      </c>
      <c r="B718" s="3" t="s">
        <v>34</v>
      </c>
      <c r="C718" s="3" t="s">
        <v>35</v>
      </c>
      <c r="D718" s="14" t="s">
        <v>2850</v>
      </c>
      <c r="E718" s="3" t="s">
        <v>127</v>
      </c>
      <c r="F718" s="9">
        <v>45141</v>
      </c>
      <c r="G718" s="5" t="s">
        <v>2095</v>
      </c>
      <c r="H718" s="5"/>
      <c r="I718" s="5" t="e">
        <f t="shared" si="3"/>
        <v>#REF!</v>
      </c>
      <c r="J718" s="5"/>
      <c r="K718" s="5"/>
      <c r="L718" s="5"/>
      <c r="M718" s="5"/>
      <c r="N718" s="5"/>
    </row>
    <row r="719" spans="1:14" ht="22.5" customHeight="1" x14ac:dyDescent="0.2">
      <c r="A719" s="22" t="s">
        <v>2851</v>
      </c>
      <c r="B719" s="3" t="s">
        <v>34</v>
      </c>
      <c r="C719" s="3" t="s">
        <v>35</v>
      </c>
      <c r="D719" s="14" t="s">
        <v>2852</v>
      </c>
      <c r="E719" s="3" t="s">
        <v>2853</v>
      </c>
      <c r="F719" s="9">
        <v>45139</v>
      </c>
      <c r="G719" s="5" t="s">
        <v>2095</v>
      </c>
      <c r="H719" s="5"/>
      <c r="I719" s="5" t="e">
        <f t="shared" si="3"/>
        <v>#REF!</v>
      </c>
      <c r="J719" s="5"/>
      <c r="K719" s="5"/>
      <c r="L719" s="5"/>
      <c r="M719" s="5"/>
      <c r="N719" s="5"/>
    </row>
    <row r="720" spans="1:14" ht="22.5" customHeight="1" x14ac:dyDescent="0.2">
      <c r="A720" s="22" t="s">
        <v>2854</v>
      </c>
      <c r="B720" s="3" t="s">
        <v>34</v>
      </c>
      <c r="C720" s="3" t="s">
        <v>35</v>
      </c>
      <c r="D720" s="14" t="s">
        <v>2750</v>
      </c>
      <c r="E720" s="3" t="s">
        <v>2751</v>
      </c>
      <c r="F720" s="9">
        <v>45117</v>
      </c>
      <c r="G720" s="5" t="s">
        <v>2095</v>
      </c>
      <c r="H720" s="5"/>
      <c r="I720" s="5" t="e">
        <f t="shared" si="3"/>
        <v>#REF!</v>
      </c>
      <c r="J720" s="5"/>
      <c r="K720" s="5"/>
      <c r="L720" s="5"/>
      <c r="M720" s="5"/>
      <c r="N720" s="5"/>
    </row>
    <row r="721" spans="1:14" ht="22.5" customHeight="1" x14ac:dyDescent="0.2">
      <c r="A721" s="22" t="s">
        <v>2855</v>
      </c>
      <c r="B721" s="3" t="s">
        <v>34</v>
      </c>
      <c r="C721" s="3" t="s">
        <v>35</v>
      </c>
      <c r="D721" s="14" t="s">
        <v>2638</v>
      </c>
      <c r="E721" s="3" t="s">
        <v>1192</v>
      </c>
      <c r="F721" s="9">
        <v>45117</v>
      </c>
      <c r="G721" s="5" t="s">
        <v>37</v>
      </c>
      <c r="H721" s="5"/>
      <c r="I721" s="5" t="e">
        <f t="shared" si="3"/>
        <v>#REF!</v>
      </c>
      <c r="J721" s="5"/>
      <c r="K721" s="5"/>
      <c r="L721" s="5"/>
      <c r="M721" s="5"/>
      <c r="N721" s="5"/>
    </row>
    <row r="722" spans="1:14" ht="22.5" customHeight="1" x14ac:dyDescent="0.2">
      <c r="A722" s="22" t="s">
        <v>2856</v>
      </c>
      <c r="B722" s="3" t="s">
        <v>34</v>
      </c>
      <c r="C722" s="3" t="s">
        <v>35</v>
      </c>
      <c r="D722" s="14" t="s">
        <v>2857</v>
      </c>
      <c r="E722" s="3" t="s">
        <v>2858</v>
      </c>
      <c r="F722" s="9">
        <v>45117</v>
      </c>
      <c r="G722" s="5" t="s">
        <v>37</v>
      </c>
      <c r="H722" s="5"/>
      <c r="I722" s="5" t="e">
        <f t="shared" si="3"/>
        <v>#REF!</v>
      </c>
      <c r="J722" s="5"/>
      <c r="K722" s="5"/>
      <c r="L722" s="5"/>
      <c r="M722" s="5"/>
      <c r="N722" s="5"/>
    </row>
    <row r="723" spans="1:14" ht="22.5" customHeight="1" x14ac:dyDescent="0.2">
      <c r="A723" s="22" t="s">
        <v>2859</v>
      </c>
      <c r="B723" s="3" t="s">
        <v>34</v>
      </c>
      <c r="C723" s="3" t="s">
        <v>35</v>
      </c>
      <c r="D723" s="14" t="s">
        <v>2860</v>
      </c>
      <c r="E723" s="3" t="s">
        <v>2861</v>
      </c>
      <c r="F723" s="9">
        <v>45098</v>
      </c>
      <c r="G723" s="5" t="s">
        <v>2095</v>
      </c>
      <c r="H723" s="5"/>
      <c r="I723" s="5" t="e">
        <f t="shared" si="3"/>
        <v>#REF!</v>
      </c>
      <c r="J723" s="5"/>
      <c r="K723" s="5"/>
      <c r="L723" s="5"/>
      <c r="M723" s="5"/>
      <c r="N723" s="5"/>
    </row>
    <row r="724" spans="1:14" ht="22.5" customHeight="1" x14ac:dyDescent="0.2">
      <c r="A724" s="22" t="s">
        <v>2862</v>
      </c>
      <c r="B724" s="3" t="s">
        <v>34</v>
      </c>
      <c r="C724" s="3" t="s">
        <v>35</v>
      </c>
      <c r="D724" s="14" t="s">
        <v>2863</v>
      </c>
      <c r="E724" s="3" t="s">
        <v>2005</v>
      </c>
      <c r="F724" s="9">
        <v>45096</v>
      </c>
      <c r="G724" s="5" t="s">
        <v>37</v>
      </c>
      <c r="H724" s="5"/>
      <c r="I724" s="5" t="e">
        <f t="shared" si="3"/>
        <v>#REF!</v>
      </c>
      <c r="J724" s="5"/>
      <c r="K724" s="5"/>
      <c r="L724" s="5"/>
      <c r="M724" s="5"/>
      <c r="N724" s="5"/>
    </row>
    <row r="725" spans="1:14" ht="22.5" customHeight="1" x14ac:dyDescent="0.2">
      <c r="A725" s="22" t="s">
        <v>2864</v>
      </c>
      <c r="B725" s="3" t="s">
        <v>34</v>
      </c>
      <c r="C725" s="3" t="s">
        <v>35</v>
      </c>
      <c r="D725" s="14" t="s">
        <v>2863</v>
      </c>
      <c r="E725" s="3" t="s">
        <v>2005</v>
      </c>
      <c r="F725" s="9">
        <v>45096</v>
      </c>
      <c r="G725" s="5" t="s">
        <v>37</v>
      </c>
      <c r="H725" s="5"/>
      <c r="I725" s="5" t="e">
        <f t="shared" si="3"/>
        <v>#REF!</v>
      </c>
      <c r="J725" s="5"/>
      <c r="K725" s="5"/>
      <c r="L725" s="5"/>
      <c r="M725" s="5"/>
      <c r="N725" s="5"/>
    </row>
    <row r="726" spans="1:14" ht="22.5" customHeight="1" x14ac:dyDescent="0.2">
      <c r="A726" s="22" t="s">
        <v>2865</v>
      </c>
      <c r="B726" s="3" t="s">
        <v>34</v>
      </c>
      <c r="C726" s="3" t="s">
        <v>35</v>
      </c>
      <c r="D726" s="14" t="s">
        <v>2866</v>
      </c>
      <c r="E726" s="3" t="s">
        <v>2005</v>
      </c>
      <c r="F726" s="9">
        <v>45096</v>
      </c>
      <c r="G726" s="5" t="s">
        <v>37</v>
      </c>
      <c r="H726" s="5"/>
      <c r="I726" s="5" t="e">
        <f t="shared" si="3"/>
        <v>#REF!</v>
      </c>
      <c r="J726" s="5"/>
      <c r="K726" s="5"/>
      <c r="L726" s="5"/>
      <c r="M726" s="5"/>
      <c r="N726" s="5"/>
    </row>
    <row r="727" spans="1:14" ht="22.5" customHeight="1" x14ac:dyDescent="0.2">
      <c r="A727" s="22" t="s">
        <v>2867</v>
      </c>
      <c r="B727" s="3" t="s">
        <v>34</v>
      </c>
      <c r="C727" s="3" t="s">
        <v>35</v>
      </c>
      <c r="D727" s="14" t="s">
        <v>2868</v>
      </c>
      <c r="E727" s="3" t="s">
        <v>2005</v>
      </c>
      <c r="F727" s="9">
        <v>45096</v>
      </c>
      <c r="G727" s="5" t="s">
        <v>37</v>
      </c>
      <c r="H727" s="5"/>
      <c r="I727" s="5" t="e">
        <f t="shared" si="3"/>
        <v>#REF!</v>
      </c>
      <c r="J727" s="5"/>
      <c r="K727" s="5"/>
      <c r="L727" s="5"/>
      <c r="M727" s="5"/>
      <c r="N727" s="5"/>
    </row>
    <row r="728" spans="1:14" ht="22.5" customHeight="1" x14ac:dyDescent="0.2">
      <c r="A728" s="22" t="s">
        <v>2869</v>
      </c>
      <c r="B728" s="3" t="s">
        <v>34</v>
      </c>
      <c r="C728" s="3" t="s">
        <v>35</v>
      </c>
      <c r="D728" s="14" t="s">
        <v>2870</v>
      </c>
      <c r="E728" s="3" t="s">
        <v>2005</v>
      </c>
      <c r="F728" s="9">
        <v>45096</v>
      </c>
      <c r="G728" s="5" t="s">
        <v>37</v>
      </c>
      <c r="H728" s="5"/>
      <c r="I728" s="5" t="e">
        <f t="shared" si="3"/>
        <v>#REF!</v>
      </c>
      <c r="J728" s="5"/>
      <c r="K728" s="5"/>
      <c r="L728" s="5"/>
      <c r="M728" s="5"/>
      <c r="N728" s="5"/>
    </row>
    <row r="729" spans="1:14" ht="22.5" customHeight="1" x14ac:dyDescent="0.2">
      <c r="A729" s="22" t="s">
        <v>2871</v>
      </c>
      <c r="B729" s="3" t="s">
        <v>34</v>
      </c>
      <c r="C729" s="3" t="s">
        <v>35</v>
      </c>
      <c r="D729" s="14" t="s">
        <v>2872</v>
      </c>
      <c r="E729" s="3" t="s">
        <v>2005</v>
      </c>
      <c r="F729" s="9">
        <v>45096</v>
      </c>
      <c r="G729" s="5" t="s">
        <v>37</v>
      </c>
      <c r="H729" s="5"/>
      <c r="I729" s="5" t="e">
        <f t="shared" si="3"/>
        <v>#REF!</v>
      </c>
      <c r="J729" s="5"/>
      <c r="K729" s="5"/>
      <c r="L729" s="5"/>
      <c r="M729" s="5"/>
      <c r="N729" s="5"/>
    </row>
    <row r="730" spans="1:14" ht="22.5" customHeight="1" x14ac:dyDescent="0.2">
      <c r="A730" s="22" t="s">
        <v>2873</v>
      </c>
      <c r="B730" s="3" t="s">
        <v>34</v>
      </c>
      <c r="C730" s="3" t="s">
        <v>35</v>
      </c>
      <c r="D730" s="14" t="s">
        <v>2874</v>
      </c>
      <c r="E730" s="3" t="s">
        <v>2005</v>
      </c>
      <c r="F730" s="9">
        <v>45096</v>
      </c>
      <c r="G730" s="5" t="s">
        <v>37</v>
      </c>
      <c r="H730" s="5"/>
      <c r="I730" s="5" t="e">
        <f t="shared" si="3"/>
        <v>#REF!</v>
      </c>
      <c r="J730" s="5"/>
      <c r="K730" s="5"/>
      <c r="L730" s="5"/>
      <c r="M730" s="5"/>
      <c r="N730" s="5"/>
    </row>
    <row r="731" spans="1:14" ht="22.5" customHeight="1" x14ac:dyDescent="0.2">
      <c r="A731" s="22" t="s">
        <v>2875</v>
      </c>
      <c r="B731" s="3" t="s">
        <v>34</v>
      </c>
      <c r="C731" s="3" t="s">
        <v>35</v>
      </c>
      <c r="D731" s="14" t="s">
        <v>2876</v>
      </c>
      <c r="E731" s="3" t="s">
        <v>2005</v>
      </c>
      <c r="F731" s="9">
        <v>45096</v>
      </c>
      <c r="G731" s="5" t="s">
        <v>37</v>
      </c>
      <c r="H731" s="5"/>
      <c r="I731" s="5" t="e">
        <f t="shared" si="3"/>
        <v>#REF!</v>
      </c>
      <c r="J731" s="5"/>
      <c r="K731" s="5"/>
      <c r="L731" s="5"/>
      <c r="M731" s="5"/>
      <c r="N731" s="5"/>
    </row>
    <row r="732" spans="1:14" ht="22.5" customHeight="1" x14ac:dyDescent="0.2">
      <c r="A732" s="22" t="s">
        <v>2877</v>
      </c>
      <c r="B732" s="3" t="s">
        <v>34</v>
      </c>
      <c r="C732" s="3" t="s">
        <v>35</v>
      </c>
      <c r="D732" s="14" t="s">
        <v>2878</v>
      </c>
      <c r="E732" s="3" t="s">
        <v>2005</v>
      </c>
      <c r="F732" s="9">
        <v>45096</v>
      </c>
      <c r="G732" s="5" t="s">
        <v>37</v>
      </c>
      <c r="H732" s="5"/>
      <c r="I732" s="5" t="e">
        <f t="shared" si="3"/>
        <v>#REF!</v>
      </c>
      <c r="J732" s="5"/>
      <c r="K732" s="5"/>
      <c r="L732" s="5"/>
      <c r="M732" s="5"/>
      <c r="N732" s="5"/>
    </row>
    <row r="733" spans="1:14" ht="22.5" customHeight="1" x14ac:dyDescent="0.2">
      <c r="A733" s="22" t="s">
        <v>2879</v>
      </c>
      <c r="B733" s="3" t="s">
        <v>34</v>
      </c>
      <c r="C733" s="3" t="s">
        <v>35</v>
      </c>
      <c r="D733" s="14" t="s">
        <v>2880</v>
      </c>
      <c r="E733" s="3" t="s">
        <v>2881</v>
      </c>
      <c r="F733" s="9">
        <v>45071</v>
      </c>
      <c r="G733" s="5" t="s">
        <v>2443</v>
      </c>
      <c r="H733" s="5"/>
      <c r="I733" s="5" t="e">
        <f t="shared" si="3"/>
        <v>#REF!</v>
      </c>
      <c r="J733" s="5"/>
      <c r="K733" s="5"/>
      <c r="L733" s="5"/>
      <c r="M733" s="5"/>
      <c r="N733" s="5"/>
    </row>
    <row r="734" spans="1:14" ht="22.5" customHeight="1" x14ac:dyDescent="0.2">
      <c r="A734" s="22" t="s">
        <v>2882</v>
      </c>
      <c r="B734" s="3" t="s">
        <v>34</v>
      </c>
      <c r="C734" s="3" t="s">
        <v>35</v>
      </c>
      <c r="D734" s="14" t="s">
        <v>2883</v>
      </c>
      <c r="E734" s="3" t="s">
        <v>2884</v>
      </c>
      <c r="F734" s="9">
        <v>45071</v>
      </c>
      <c r="G734" s="5" t="s">
        <v>2095</v>
      </c>
      <c r="H734" s="5"/>
      <c r="I734" s="5" t="e">
        <f t="shared" si="3"/>
        <v>#REF!</v>
      </c>
      <c r="J734" s="5"/>
      <c r="K734" s="5"/>
      <c r="L734" s="5"/>
      <c r="M734" s="5"/>
      <c r="N734" s="5"/>
    </row>
    <row r="735" spans="1:14" ht="22.5" customHeight="1" x14ac:dyDescent="0.2">
      <c r="A735" s="22" t="s">
        <v>2885</v>
      </c>
      <c r="B735" s="3" t="s">
        <v>34</v>
      </c>
      <c r="C735" s="3" t="s">
        <v>35</v>
      </c>
      <c r="D735" s="14" t="s">
        <v>2886</v>
      </c>
      <c r="E735" s="3" t="s">
        <v>2887</v>
      </c>
      <c r="F735" s="9">
        <v>45071</v>
      </c>
      <c r="G735" s="5" t="s">
        <v>2095</v>
      </c>
      <c r="H735" s="5"/>
      <c r="I735" s="5" t="e">
        <f t="shared" si="3"/>
        <v>#REF!</v>
      </c>
      <c r="J735" s="5"/>
      <c r="K735" s="5"/>
      <c r="L735" s="5"/>
      <c r="M735" s="5"/>
      <c r="N735" s="5"/>
    </row>
    <row r="736" spans="1:14" ht="22.5" customHeight="1" x14ac:dyDescent="0.2">
      <c r="A736" s="22" t="s">
        <v>2888</v>
      </c>
      <c r="B736" s="3" t="s">
        <v>34</v>
      </c>
      <c r="C736" s="3" t="s">
        <v>35</v>
      </c>
      <c r="D736" s="14" t="s">
        <v>2883</v>
      </c>
      <c r="E736" s="3" t="s">
        <v>2884</v>
      </c>
      <c r="F736" s="9">
        <v>45054</v>
      </c>
      <c r="G736" s="5" t="s">
        <v>37</v>
      </c>
      <c r="H736" s="5"/>
      <c r="I736" s="5" t="e">
        <f t="shared" si="3"/>
        <v>#REF!</v>
      </c>
      <c r="J736" s="5"/>
      <c r="K736" s="5"/>
      <c r="L736" s="5"/>
      <c r="M736" s="5"/>
      <c r="N736" s="5"/>
    </row>
    <row r="737" spans="1:14" ht="22.5" customHeight="1" x14ac:dyDescent="0.2">
      <c r="A737" s="22" t="s">
        <v>2889</v>
      </c>
      <c r="B737" s="3" t="s">
        <v>34</v>
      </c>
      <c r="C737" s="3" t="s">
        <v>35</v>
      </c>
      <c r="D737" s="14" t="s">
        <v>2890</v>
      </c>
      <c r="E737" s="3" t="s">
        <v>2891</v>
      </c>
      <c r="F737" s="9">
        <v>45041</v>
      </c>
      <c r="G737" s="5" t="s">
        <v>2095</v>
      </c>
      <c r="H737" s="5"/>
      <c r="I737" s="5" t="e">
        <f t="shared" si="3"/>
        <v>#REF!</v>
      </c>
      <c r="J737" s="5"/>
      <c r="K737" s="5"/>
      <c r="L737" s="5"/>
      <c r="M737" s="5"/>
      <c r="N737" s="5"/>
    </row>
    <row r="738" spans="1:14" ht="22.5" customHeight="1" x14ac:dyDescent="0.2">
      <c r="A738" s="22" t="s">
        <v>2892</v>
      </c>
      <c r="B738" s="3" t="s">
        <v>34</v>
      </c>
      <c r="C738" s="3" t="s">
        <v>35</v>
      </c>
      <c r="D738" s="14" t="s">
        <v>2893</v>
      </c>
      <c r="E738" s="3" t="s">
        <v>2894</v>
      </c>
      <c r="F738" s="9">
        <v>45030</v>
      </c>
      <c r="G738" s="5" t="s">
        <v>2095</v>
      </c>
      <c r="H738" s="5"/>
      <c r="I738" s="5" t="e">
        <f t="shared" si="3"/>
        <v>#REF!</v>
      </c>
      <c r="J738" s="5"/>
      <c r="K738" s="5"/>
      <c r="L738" s="5"/>
      <c r="M738" s="5"/>
      <c r="N738" s="5"/>
    </row>
    <row r="739" spans="1:14" ht="22.5" customHeight="1" x14ac:dyDescent="0.2">
      <c r="A739" s="22" t="s">
        <v>2895</v>
      </c>
      <c r="B739" s="3" t="s">
        <v>34</v>
      </c>
      <c r="C739" s="3" t="s">
        <v>35</v>
      </c>
      <c r="D739" s="14" t="s">
        <v>2896</v>
      </c>
      <c r="E739" s="3" t="s">
        <v>2897</v>
      </c>
      <c r="F739" s="9">
        <v>45019</v>
      </c>
      <c r="G739" s="5" t="s">
        <v>2095</v>
      </c>
      <c r="H739" s="5"/>
      <c r="I739" s="5" t="e">
        <f t="shared" si="3"/>
        <v>#REF!</v>
      </c>
      <c r="J739" s="5"/>
      <c r="K739" s="5"/>
      <c r="L739" s="5"/>
      <c r="M739" s="5"/>
      <c r="N739" s="5"/>
    </row>
    <row r="740" spans="1:14" ht="22.5" customHeight="1" x14ac:dyDescent="0.2">
      <c r="A740" s="22" t="s">
        <v>2898</v>
      </c>
      <c r="B740" s="3" t="s">
        <v>34</v>
      </c>
      <c r="C740" s="3" t="s">
        <v>35</v>
      </c>
      <c r="D740" s="14" t="s">
        <v>2899</v>
      </c>
      <c r="E740" s="3" t="s">
        <v>2891</v>
      </c>
      <c r="F740" s="9">
        <v>45016</v>
      </c>
      <c r="G740" s="5" t="s">
        <v>2095</v>
      </c>
      <c r="H740" s="5"/>
      <c r="I740" s="5" t="e">
        <f t="shared" si="3"/>
        <v>#REF!</v>
      </c>
      <c r="J740" s="5"/>
      <c r="K740" s="5"/>
      <c r="L740" s="5"/>
      <c r="M740" s="5"/>
      <c r="N740" s="5"/>
    </row>
    <row r="741" spans="1:14" ht="22.5" customHeight="1" x14ac:dyDescent="0.2">
      <c r="A741" s="22" t="s">
        <v>2900</v>
      </c>
      <c r="B741" s="3" t="s">
        <v>34</v>
      </c>
      <c r="C741" s="3" t="s">
        <v>35</v>
      </c>
      <c r="D741" s="14" t="s">
        <v>2901</v>
      </c>
      <c r="E741" s="3" t="s">
        <v>2891</v>
      </c>
      <c r="F741" s="9">
        <v>45015</v>
      </c>
      <c r="G741" s="5" t="s">
        <v>2095</v>
      </c>
      <c r="H741" s="5"/>
      <c r="I741" s="5" t="e">
        <f t="shared" si="3"/>
        <v>#REF!</v>
      </c>
      <c r="J741" s="5"/>
      <c r="K741" s="5"/>
      <c r="L741" s="5"/>
      <c r="M741" s="5"/>
      <c r="N741" s="5"/>
    </row>
    <row r="742" spans="1:14" ht="22.5" customHeight="1" x14ac:dyDescent="0.2">
      <c r="A742" s="22" t="s">
        <v>2902</v>
      </c>
      <c r="B742" s="3" t="s">
        <v>34</v>
      </c>
      <c r="C742" s="3" t="s">
        <v>35</v>
      </c>
      <c r="D742" s="14" t="s">
        <v>2903</v>
      </c>
      <c r="E742" s="3" t="s">
        <v>2904</v>
      </c>
      <c r="F742" s="9">
        <v>45015</v>
      </c>
      <c r="G742" s="5" t="s">
        <v>2095</v>
      </c>
      <c r="H742" s="5"/>
      <c r="I742" s="5" t="e">
        <f t="shared" si="3"/>
        <v>#REF!</v>
      </c>
      <c r="J742" s="5"/>
      <c r="K742" s="5"/>
      <c r="L742" s="5"/>
      <c r="M742" s="5"/>
      <c r="N742" s="5"/>
    </row>
    <row r="743" spans="1:14" ht="22.5" customHeight="1" x14ac:dyDescent="0.2">
      <c r="A743" s="22" t="s">
        <v>2905</v>
      </c>
      <c r="B743" s="3" t="s">
        <v>34</v>
      </c>
      <c r="C743" s="3" t="s">
        <v>35</v>
      </c>
      <c r="D743" s="14" t="s">
        <v>2906</v>
      </c>
      <c r="E743" s="3" t="s">
        <v>2907</v>
      </c>
      <c r="F743" s="9">
        <v>45000</v>
      </c>
      <c r="G743" s="5" t="s">
        <v>2095</v>
      </c>
      <c r="H743" s="5"/>
      <c r="I743" s="5" t="e">
        <f t="shared" si="3"/>
        <v>#REF!</v>
      </c>
      <c r="J743" s="5"/>
      <c r="K743" s="5"/>
      <c r="L743" s="5"/>
      <c r="M743" s="5"/>
      <c r="N743" s="5"/>
    </row>
    <row r="744" spans="1:14" ht="22.5" customHeight="1" x14ac:dyDescent="0.2">
      <c r="A744" s="22" t="s">
        <v>2908</v>
      </c>
      <c r="B744" s="3" t="s">
        <v>34</v>
      </c>
      <c r="C744" s="3" t="s">
        <v>1216</v>
      </c>
      <c r="D744" s="14" t="s">
        <v>2909</v>
      </c>
      <c r="E744" s="3" t="s">
        <v>1352</v>
      </c>
      <c r="F744" s="9">
        <v>45973</v>
      </c>
      <c r="G744" s="5" t="s">
        <v>70</v>
      </c>
      <c r="H744" s="5"/>
      <c r="I744" s="5" t="e">
        <f t="shared" si="3"/>
        <v>#REF!</v>
      </c>
      <c r="J744" s="5"/>
      <c r="K744" s="5"/>
      <c r="L744" s="5"/>
      <c r="M744" s="5"/>
      <c r="N744" s="5"/>
    </row>
    <row r="745" spans="1:14" ht="22.5" customHeight="1" x14ac:dyDescent="0.2">
      <c r="A745" s="22" t="s">
        <v>2910</v>
      </c>
      <c r="B745" s="3" t="s">
        <v>34</v>
      </c>
      <c r="C745" s="3" t="s">
        <v>1216</v>
      </c>
      <c r="D745" s="14" t="s">
        <v>2911</v>
      </c>
      <c r="E745" s="3" t="s">
        <v>2912</v>
      </c>
      <c r="F745" s="9">
        <v>45971</v>
      </c>
      <c r="G745" s="5" t="s">
        <v>153</v>
      </c>
      <c r="H745" s="5"/>
      <c r="I745" s="5" t="e">
        <f t="shared" si="3"/>
        <v>#REF!</v>
      </c>
      <c r="J745" s="5"/>
      <c r="K745" s="5"/>
      <c r="L745" s="5"/>
      <c r="M745" s="5"/>
      <c r="N745" s="5"/>
    </row>
    <row r="746" spans="1:14" ht="22.5" customHeight="1" x14ac:dyDescent="0.2">
      <c r="A746" s="22" t="s">
        <v>2913</v>
      </c>
      <c r="B746" s="3" t="s">
        <v>34</v>
      </c>
      <c r="C746" s="3" t="s">
        <v>1216</v>
      </c>
      <c r="D746" s="14" t="s">
        <v>2914</v>
      </c>
      <c r="E746" s="3" t="s">
        <v>2915</v>
      </c>
      <c r="F746" s="9">
        <v>45971</v>
      </c>
      <c r="G746" s="5" t="s">
        <v>2422</v>
      </c>
      <c r="H746" s="5"/>
      <c r="I746" s="5" t="e">
        <f t="shared" si="3"/>
        <v>#REF!</v>
      </c>
      <c r="J746" s="5"/>
      <c r="K746" s="5"/>
      <c r="L746" s="5"/>
      <c r="M746" s="5"/>
      <c r="N746" s="5"/>
    </row>
    <row r="747" spans="1:14" ht="22.5" customHeight="1" x14ac:dyDescent="0.2">
      <c r="A747" s="22" t="s">
        <v>2916</v>
      </c>
      <c r="B747" s="3" t="s">
        <v>34</v>
      </c>
      <c r="C747" s="3" t="s">
        <v>1216</v>
      </c>
      <c r="D747" s="14" t="s">
        <v>2917</v>
      </c>
      <c r="E747" s="3" t="s">
        <v>2912</v>
      </c>
      <c r="F747" s="9">
        <v>45971</v>
      </c>
      <c r="G747" s="5" t="s">
        <v>2918</v>
      </c>
      <c r="H747" s="5"/>
      <c r="I747" s="5" t="e">
        <f t="shared" si="3"/>
        <v>#REF!</v>
      </c>
      <c r="J747" s="5"/>
      <c r="K747" s="5"/>
      <c r="L747" s="5"/>
      <c r="M747" s="5"/>
      <c r="N747" s="5"/>
    </row>
    <row r="748" spans="1:14" ht="22.5" customHeight="1" x14ac:dyDescent="0.2">
      <c r="A748" s="22" t="s">
        <v>2919</v>
      </c>
      <c r="B748" s="3" t="s">
        <v>34</v>
      </c>
      <c r="C748" s="3" t="s">
        <v>1216</v>
      </c>
      <c r="D748" s="14" t="s">
        <v>2920</v>
      </c>
      <c r="E748" s="3" t="s">
        <v>2912</v>
      </c>
      <c r="F748" s="9">
        <v>45971</v>
      </c>
      <c r="G748" s="5" t="s">
        <v>2422</v>
      </c>
      <c r="H748" s="5"/>
      <c r="I748" s="5" t="e">
        <f t="shared" si="3"/>
        <v>#REF!</v>
      </c>
      <c r="J748" s="5"/>
      <c r="K748" s="5"/>
      <c r="L748" s="5"/>
      <c r="M748" s="5"/>
      <c r="N748" s="5"/>
    </row>
    <row r="749" spans="1:14" ht="22.5" customHeight="1" x14ac:dyDescent="0.2">
      <c r="A749" s="22" t="s">
        <v>2921</v>
      </c>
      <c r="B749" s="3" t="s">
        <v>34</v>
      </c>
      <c r="C749" s="3" t="s">
        <v>1216</v>
      </c>
      <c r="D749" s="14" t="s">
        <v>2922</v>
      </c>
      <c r="E749" s="3" t="s">
        <v>2912</v>
      </c>
      <c r="F749" s="9">
        <v>45971</v>
      </c>
      <c r="G749" s="5" t="s">
        <v>2422</v>
      </c>
      <c r="H749" s="5"/>
      <c r="I749" s="5" t="e">
        <f t="shared" si="3"/>
        <v>#REF!</v>
      </c>
      <c r="J749" s="5"/>
      <c r="K749" s="5"/>
      <c r="L749" s="5"/>
      <c r="M749" s="5"/>
      <c r="N749" s="5"/>
    </row>
    <row r="750" spans="1:14" ht="22.5" customHeight="1" x14ac:dyDescent="0.2">
      <c r="A750" s="22" t="s">
        <v>2923</v>
      </c>
      <c r="B750" s="3" t="s">
        <v>34</v>
      </c>
      <c r="C750" s="3" t="s">
        <v>1216</v>
      </c>
      <c r="D750" s="14" t="s">
        <v>2924</v>
      </c>
      <c r="E750" s="3" t="s">
        <v>2912</v>
      </c>
      <c r="F750" s="9">
        <v>45971</v>
      </c>
      <c r="G750" s="5" t="s">
        <v>2918</v>
      </c>
      <c r="H750" s="5"/>
      <c r="I750" s="5" t="e">
        <f t="shared" si="3"/>
        <v>#REF!</v>
      </c>
      <c r="J750" s="5"/>
      <c r="K750" s="5"/>
      <c r="L750" s="5"/>
      <c r="M750" s="5"/>
      <c r="N750" s="5"/>
    </row>
    <row r="751" spans="1:14" ht="22.5" customHeight="1" x14ac:dyDescent="0.2">
      <c r="A751" s="22" t="s">
        <v>2061</v>
      </c>
      <c r="B751" s="3" t="s">
        <v>34</v>
      </c>
      <c r="C751" s="3" t="s">
        <v>1216</v>
      </c>
      <c r="D751" s="14" t="s">
        <v>2104</v>
      </c>
      <c r="E751" s="3" t="s">
        <v>1236</v>
      </c>
      <c r="F751" s="9">
        <v>45968</v>
      </c>
      <c r="G751" s="5" t="s">
        <v>1254</v>
      </c>
      <c r="H751" s="5"/>
      <c r="I751" s="5" t="e">
        <f t="shared" si="3"/>
        <v>#REF!</v>
      </c>
      <c r="J751" s="5"/>
      <c r="K751" s="5"/>
      <c r="L751" s="5"/>
      <c r="M751" s="5"/>
      <c r="N751" s="5"/>
    </row>
    <row r="752" spans="1:14" ht="22.5" customHeight="1" x14ac:dyDescent="0.2">
      <c r="A752" s="22" t="s">
        <v>2925</v>
      </c>
      <c r="B752" s="3" t="s">
        <v>34</v>
      </c>
      <c r="C752" s="3" t="s">
        <v>1216</v>
      </c>
      <c r="D752" s="14" t="s">
        <v>2926</v>
      </c>
      <c r="E752" s="3" t="s">
        <v>2927</v>
      </c>
      <c r="F752" s="9">
        <v>45967</v>
      </c>
      <c r="G752" s="5" t="s">
        <v>1254</v>
      </c>
      <c r="H752" s="5"/>
      <c r="I752" s="5" t="e">
        <f t="shared" si="3"/>
        <v>#REF!</v>
      </c>
      <c r="J752" s="5"/>
      <c r="K752" s="5"/>
      <c r="L752" s="5"/>
      <c r="M752" s="5"/>
      <c r="N752" s="5"/>
    </row>
    <row r="753" spans="1:14" ht="22.5" customHeight="1" x14ac:dyDescent="0.2">
      <c r="A753" s="22" t="s">
        <v>2928</v>
      </c>
      <c r="B753" s="3" t="s">
        <v>34</v>
      </c>
      <c r="C753" s="3" t="s">
        <v>1216</v>
      </c>
      <c r="D753" s="14" t="s">
        <v>2929</v>
      </c>
      <c r="E753" s="3" t="s">
        <v>1554</v>
      </c>
      <c r="F753" s="9">
        <v>45967</v>
      </c>
      <c r="G753" s="5" t="s">
        <v>1254</v>
      </c>
      <c r="H753" s="5"/>
      <c r="I753" s="5" t="e">
        <f t="shared" si="3"/>
        <v>#REF!</v>
      </c>
      <c r="J753" s="5"/>
      <c r="K753" s="5"/>
      <c r="L753" s="5"/>
      <c r="M753" s="5"/>
      <c r="N753" s="5"/>
    </row>
    <row r="754" spans="1:14" ht="22.5" customHeight="1" x14ac:dyDescent="0.2">
      <c r="A754" s="22" t="s">
        <v>2930</v>
      </c>
      <c r="B754" s="3" t="s">
        <v>34</v>
      </c>
      <c r="C754" s="3" t="s">
        <v>1216</v>
      </c>
      <c r="D754" s="14" t="s">
        <v>2108</v>
      </c>
      <c r="E754" s="3" t="s">
        <v>121</v>
      </c>
      <c r="F754" s="9">
        <v>45960</v>
      </c>
      <c r="G754" s="5" t="s">
        <v>70</v>
      </c>
      <c r="H754" s="5"/>
      <c r="I754" s="5" t="e">
        <f t="shared" si="3"/>
        <v>#REF!</v>
      </c>
      <c r="J754" s="5"/>
      <c r="K754" s="5"/>
      <c r="L754" s="5"/>
      <c r="M754" s="5"/>
      <c r="N754" s="5"/>
    </row>
    <row r="755" spans="1:14" ht="22.5" customHeight="1" x14ac:dyDescent="0.2">
      <c r="A755" s="22" t="s">
        <v>2041</v>
      </c>
      <c r="B755" s="3" t="s">
        <v>34</v>
      </c>
      <c r="C755" s="3" t="s">
        <v>1216</v>
      </c>
      <c r="D755" s="14" t="s">
        <v>2931</v>
      </c>
      <c r="E755" s="3" t="s">
        <v>1240</v>
      </c>
      <c r="F755" s="9">
        <v>45959</v>
      </c>
      <c r="G755" s="5" t="s">
        <v>2095</v>
      </c>
      <c r="H755" s="5"/>
      <c r="I755" s="5" t="e">
        <f t="shared" si="3"/>
        <v>#REF!</v>
      </c>
      <c r="J755" s="5"/>
      <c r="K755" s="5"/>
      <c r="L755" s="5"/>
      <c r="M755" s="5"/>
      <c r="N755" s="5"/>
    </row>
    <row r="756" spans="1:14" ht="22.5" customHeight="1" x14ac:dyDescent="0.2">
      <c r="A756" s="22" t="s">
        <v>2932</v>
      </c>
      <c r="B756" s="3" t="s">
        <v>34</v>
      </c>
      <c r="C756" s="3" t="s">
        <v>1216</v>
      </c>
      <c r="D756" s="14" t="s">
        <v>2128</v>
      </c>
      <c r="E756" s="3" t="s">
        <v>1240</v>
      </c>
      <c r="F756" s="9">
        <v>45959</v>
      </c>
      <c r="G756" s="5" t="s">
        <v>70</v>
      </c>
      <c r="H756" s="5"/>
      <c r="I756" s="5" t="e">
        <f t="shared" si="3"/>
        <v>#REF!</v>
      </c>
      <c r="J756" s="5"/>
      <c r="K756" s="5"/>
      <c r="L756" s="5"/>
      <c r="M756" s="5"/>
      <c r="N756" s="5"/>
    </row>
    <row r="757" spans="1:14" ht="22.5" customHeight="1" x14ac:dyDescent="0.2">
      <c r="A757" s="22" t="s">
        <v>2044</v>
      </c>
      <c r="B757" s="3" t="s">
        <v>34</v>
      </c>
      <c r="C757" s="3" t="s">
        <v>1216</v>
      </c>
      <c r="D757" s="14" t="s">
        <v>2223</v>
      </c>
      <c r="E757" s="3" t="s">
        <v>391</v>
      </c>
      <c r="F757" s="9">
        <v>45958</v>
      </c>
      <c r="G757" s="5" t="s">
        <v>2095</v>
      </c>
      <c r="H757" s="5"/>
      <c r="I757" s="5" t="e">
        <f t="shared" si="3"/>
        <v>#REF!</v>
      </c>
      <c r="J757" s="5"/>
      <c r="K757" s="5"/>
      <c r="L757" s="5"/>
      <c r="M757" s="5"/>
      <c r="N757" s="5"/>
    </row>
    <row r="758" spans="1:14" ht="22.5" customHeight="1" x14ac:dyDescent="0.2">
      <c r="A758" s="22" t="s">
        <v>2933</v>
      </c>
      <c r="B758" s="3" t="s">
        <v>34</v>
      </c>
      <c r="C758" s="3" t="s">
        <v>1216</v>
      </c>
      <c r="D758" s="14" t="s">
        <v>2136</v>
      </c>
      <c r="E758" s="3" t="s">
        <v>118</v>
      </c>
      <c r="F758" s="9">
        <v>45958</v>
      </c>
      <c r="G758" s="5" t="s">
        <v>1254</v>
      </c>
      <c r="H758" s="5"/>
      <c r="I758" s="5" t="e">
        <f t="shared" si="3"/>
        <v>#REF!</v>
      </c>
      <c r="J758" s="5"/>
      <c r="K758" s="5"/>
      <c r="L758" s="5"/>
      <c r="M758" s="5"/>
      <c r="N758" s="5"/>
    </row>
    <row r="759" spans="1:14" ht="22.5" customHeight="1" x14ac:dyDescent="0.2">
      <c r="A759" s="22" t="s">
        <v>1215</v>
      </c>
      <c r="B759" s="3" t="s">
        <v>34</v>
      </c>
      <c r="C759" s="3" t="s">
        <v>1216</v>
      </c>
      <c r="D759" s="14" t="s">
        <v>2191</v>
      </c>
      <c r="E759" s="3" t="s">
        <v>1217</v>
      </c>
      <c r="F759" s="9">
        <v>45945</v>
      </c>
      <c r="G759" s="5" t="s">
        <v>37</v>
      </c>
      <c r="H759" s="5"/>
      <c r="I759" s="5" t="e">
        <f t="shared" si="3"/>
        <v>#REF!</v>
      </c>
      <c r="J759" s="5"/>
      <c r="K759" s="5"/>
      <c r="L759" s="5"/>
      <c r="M759" s="5"/>
      <c r="N759" s="5"/>
    </row>
    <row r="760" spans="1:14" ht="22.5" customHeight="1" x14ac:dyDescent="0.2">
      <c r="A760" s="22" t="s">
        <v>1218</v>
      </c>
      <c r="B760" s="3" t="s">
        <v>34</v>
      </c>
      <c r="C760" s="3" t="s">
        <v>1216</v>
      </c>
      <c r="D760" s="14" t="s">
        <v>2094</v>
      </c>
      <c r="E760" s="3" t="s">
        <v>1219</v>
      </c>
      <c r="F760" s="9">
        <v>45940</v>
      </c>
      <c r="G760" s="5" t="s">
        <v>2095</v>
      </c>
      <c r="H760" s="5"/>
      <c r="I760" s="5" t="e">
        <f t="shared" si="3"/>
        <v>#REF!</v>
      </c>
      <c r="J760" s="5"/>
      <c r="K760" s="5"/>
      <c r="L760" s="5"/>
      <c r="M760" s="5"/>
      <c r="N760" s="5"/>
    </row>
    <row r="761" spans="1:14" ht="22.5" customHeight="1" x14ac:dyDescent="0.2">
      <c r="A761" s="22" t="s">
        <v>1221</v>
      </c>
      <c r="B761" s="3" t="s">
        <v>34</v>
      </c>
      <c r="C761" s="3" t="s">
        <v>1216</v>
      </c>
      <c r="D761" s="14" t="s">
        <v>2098</v>
      </c>
      <c r="E761" s="3" t="s">
        <v>1222</v>
      </c>
      <c r="F761" s="9">
        <v>45937</v>
      </c>
      <c r="G761" s="5" t="s">
        <v>2095</v>
      </c>
      <c r="H761" s="5"/>
      <c r="I761" s="5" t="e">
        <f t="shared" si="3"/>
        <v>#REF!</v>
      </c>
      <c r="J761" s="5"/>
      <c r="K761" s="5"/>
      <c r="L761" s="5"/>
      <c r="M761" s="5"/>
      <c r="N761" s="5"/>
    </row>
    <row r="762" spans="1:14" ht="22.5" customHeight="1" x14ac:dyDescent="0.2">
      <c r="A762" s="22" t="s">
        <v>1224</v>
      </c>
      <c r="B762" s="3" t="s">
        <v>34</v>
      </c>
      <c r="C762" s="3" t="s">
        <v>1216</v>
      </c>
      <c r="D762" s="14" t="s">
        <v>2934</v>
      </c>
      <c r="E762" s="3" t="s">
        <v>1225</v>
      </c>
      <c r="F762" s="9">
        <v>45926</v>
      </c>
      <c r="G762" s="5" t="s">
        <v>2095</v>
      </c>
      <c r="H762" s="5"/>
      <c r="I762" s="5" t="e">
        <f t="shared" si="3"/>
        <v>#REF!</v>
      </c>
      <c r="J762" s="5"/>
      <c r="K762" s="5"/>
      <c r="L762" s="5"/>
      <c r="M762" s="5"/>
      <c r="N762" s="5"/>
    </row>
    <row r="763" spans="1:14" ht="22.5" customHeight="1" x14ac:dyDescent="0.2">
      <c r="A763" s="22" t="s">
        <v>1227</v>
      </c>
      <c r="B763" s="3" t="s">
        <v>34</v>
      </c>
      <c r="C763" s="3" t="s">
        <v>1216</v>
      </c>
      <c r="D763" s="14" t="s">
        <v>2935</v>
      </c>
      <c r="E763" s="3" t="s">
        <v>1228</v>
      </c>
      <c r="F763" s="9">
        <v>45918</v>
      </c>
      <c r="G763" s="5" t="s">
        <v>37</v>
      </c>
      <c r="H763" s="5"/>
      <c r="I763" s="5" t="e">
        <f t="shared" si="3"/>
        <v>#REF!</v>
      </c>
      <c r="J763" s="5"/>
      <c r="K763" s="5"/>
      <c r="L763" s="5"/>
      <c r="M763" s="5"/>
      <c r="N763" s="5"/>
    </row>
    <row r="764" spans="1:14" ht="22.5" customHeight="1" x14ac:dyDescent="0.2">
      <c r="A764" s="22" t="s">
        <v>1229</v>
      </c>
      <c r="B764" s="3" t="s">
        <v>34</v>
      </c>
      <c r="C764" s="3" t="s">
        <v>1216</v>
      </c>
      <c r="D764" s="14" t="s">
        <v>2099</v>
      </c>
      <c r="E764" s="3" t="s">
        <v>1230</v>
      </c>
      <c r="F764" s="9">
        <v>45916</v>
      </c>
      <c r="G764" s="5" t="s">
        <v>2095</v>
      </c>
      <c r="H764" s="5"/>
      <c r="I764" s="5" t="e">
        <f t="shared" si="3"/>
        <v>#REF!</v>
      </c>
      <c r="J764" s="5"/>
      <c r="K764" s="5"/>
      <c r="L764" s="5"/>
      <c r="M764" s="5"/>
      <c r="N764" s="5"/>
    </row>
    <row r="765" spans="1:14" ht="22.5" customHeight="1" x14ac:dyDescent="0.2">
      <c r="A765" s="22" t="s">
        <v>1232</v>
      </c>
      <c r="B765" s="3" t="s">
        <v>34</v>
      </c>
      <c r="C765" s="3" t="s">
        <v>1216</v>
      </c>
      <c r="D765" s="14" t="s">
        <v>2101</v>
      </c>
      <c r="E765" s="3" t="s">
        <v>1230</v>
      </c>
      <c r="F765" s="9">
        <v>45911</v>
      </c>
      <c r="G765" s="5" t="s">
        <v>2095</v>
      </c>
      <c r="H765" s="5"/>
      <c r="I765" s="5" t="e">
        <f t="shared" si="3"/>
        <v>#REF!</v>
      </c>
      <c r="J765" s="5"/>
      <c r="K765" s="5"/>
      <c r="L765" s="5"/>
      <c r="M765" s="5"/>
      <c r="N765" s="5"/>
    </row>
    <row r="766" spans="1:14" ht="22.5" customHeight="1" x14ac:dyDescent="0.2">
      <c r="A766" s="22" t="s">
        <v>1234</v>
      </c>
      <c r="B766" s="3" t="s">
        <v>34</v>
      </c>
      <c r="C766" s="3" t="s">
        <v>1216</v>
      </c>
      <c r="D766" s="14" t="s">
        <v>2103</v>
      </c>
      <c r="E766" s="3" t="s">
        <v>1230</v>
      </c>
      <c r="F766" s="9">
        <v>45911</v>
      </c>
      <c r="G766" s="5" t="s">
        <v>2095</v>
      </c>
      <c r="H766" s="5"/>
      <c r="I766" s="5" t="e">
        <f t="shared" si="3"/>
        <v>#REF!</v>
      </c>
      <c r="J766" s="5"/>
      <c r="K766" s="5"/>
      <c r="L766" s="5"/>
      <c r="M766" s="5"/>
      <c r="N766" s="5"/>
    </row>
    <row r="767" spans="1:14" ht="22.5" customHeight="1" x14ac:dyDescent="0.2">
      <c r="A767" s="22" t="s">
        <v>1235</v>
      </c>
      <c r="B767" s="3" t="s">
        <v>34</v>
      </c>
      <c r="C767" s="3" t="s">
        <v>1216</v>
      </c>
      <c r="D767" s="14" t="s">
        <v>2104</v>
      </c>
      <c r="E767" s="3" t="s">
        <v>1236</v>
      </c>
      <c r="F767" s="9">
        <v>45908</v>
      </c>
      <c r="G767" s="5" t="s">
        <v>2095</v>
      </c>
      <c r="H767" s="5"/>
      <c r="I767" s="5" t="e">
        <f t="shared" si="3"/>
        <v>#REF!</v>
      </c>
      <c r="J767" s="5"/>
      <c r="K767" s="5"/>
      <c r="L767" s="5"/>
      <c r="M767" s="5"/>
      <c r="N767" s="5"/>
    </row>
    <row r="768" spans="1:14" ht="22.5" customHeight="1" x14ac:dyDescent="0.2">
      <c r="A768" s="22" t="s">
        <v>1237</v>
      </c>
      <c r="B768" s="3" t="s">
        <v>34</v>
      </c>
      <c r="C768" s="3" t="s">
        <v>1216</v>
      </c>
      <c r="D768" s="14" t="s">
        <v>2106</v>
      </c>
      <c r="E768" s="3" t="s">
        <v>1238</v>
      </c>
      <c r="F768" s="9">
        <v>45905</v>
      </c>
      <c r="G768" s="5" t="s">
        <v>2095</v>
      </c>
      <c r="H768" s="5"/>
      <c r="I768" s="5" t="e">
        <f t="shared" si="3"/>
        <v>#REF!</v>
      </c>
      <c r="J768" s="5"/>
      <c r="K768" s="5"/>
      <c r="L768" s="5"/>
      <c r="M768" s="5"/>
      <c r="N768" s="5"/>
    </row>
    <row r="769" spans="1:14" ht="22.5" customHeight="1" x14ac:dyDescent="0.2">
      <c r="A769" s="22" t="s">
        <v>1239</v>
      </c>
      <c r="B769" s="3" t="s">
        <v>34</v>
      </c>
      <c r="C769" s="3" t="s">
        <v>1216</v>
      </c>
      <c r="D769" s="14" t="s">
        <v>2107</v>
      </c>
      <c r="E769" s="3" t="s">
        <v>1240</v>
      </c>
      <c r="F769" s="9">
        <v>45904</v>
      </c>
      <c r="G769" s="5" t="s">
        <v>2095</v>
      </c>
      <c r="H769" s="5"/>
      <c r="I769" s="5" t="e">
        <f t="shared" si="3"/>
        <v>#REF!</v>
      </c>
      <c r="J769" s="5"/>
      <c r="K769" s="5"/>
      <c r="L769" s="5"/>
      <c r="M769" s="5"/>
      <c r="N769" s="5"/>
    </row>
    <row r="770" spans="1:14" ht="22.5" customHeight="1" x14ac:dyDescent="0.2">
      <c r="A770" s="22" t="s">
        <v>1241</v>
      </c>
      <c r="B770" s="3" t="s">
        <v>34</v>
      </c>
      <c r="C770" s="3" t="s">
        <v>1216</v>
      </c>
      <c r="D770" s="14" t="s">
        <v>2108</v>
      </c>
      <c r="E770" s="3" t="s">
        <v>121</v>
      </c>
      <c r="F770" s="9">
        <v>45904</v>
      </c>
      <c r="G770" s="5" t="s">
        <v>2095</v>
      </c>
      <c r="H770" s="5"/>
      <c r="I770" s="5" t="e">
        <f t="shared" si="3"/>
        <v>#REF!</v>
      </c>
      <c r="J770" s="5"/>
      <c r="K770" s="5"/>
      <c r="L770" s="5"/>
      <c r="M770" s="5"/>
      <c r="N770" s="5"/>
    </row>
    <row r="771" spans="1:14" ht="22.5" customHeight="1" x14ac:dyDescent="0.2">
      <c r="A771" s="22" t="s">
        <v>1243</v>
      </c>
      <c r="B771" s="3" t="s">
        <v>34</v>
      </c>
      <c r="C771" s="3" t="s">
        <v>1216</v>
      </c>
      <c r="D771" s="14" t="s">
        <v>2109</v>
      </c>
      <c r="E771" s="3" t="s">
        <v>121</v>
      </c>
      <c r="F771" s="9">
        <v>45904</v>
      </c>
      <c r="G771" s="5" t="s">
        <v>2110</v>
      </c>
      <c r="H771" s="5"/>
      <c r="I771" s="5" t="e">
        <f t="shared" si="3"/>
        <v>#REF!</v>
      </c>
      <c r="J771" s="5"/>
      <c r="K771" s="5"/>
      <c r="L771" s="5"/>
      <c r="M771" s="5"/>
      <c r="N771" s="5"/>
    </row>
    <row r="772" spans="1:14" ht="22.5" customHeight="1" x14ac:dyDescent="0.2">
      <c r="A772" s="22" t="s">
        <v>1245</v>
      </c>
      <c r="B772" s="3" t="s">
        <v>34</v>
      </c>
      <c r="C772" s="3" t="s">
        <v>1216</v>
      </c>
      <c r="D772" s="14" t="s">
        <v>2111</v>
      </c>
      <c r="E772" s="3" t="s">
        <v>1246</v>
      </c>
      <c r="F772" s="9">
        <v>45902</v>
      </c>
      <c r="G772" s="5" t="s">
        <v>2095</v>
      </c>
      <c r="H772" s="5"/>
      <c r="I772" s="5" t="e">
        <f t="shared" si="3"/>
        <v>#REF!</v>
      </c>
      <c r="J772" s="5"/>
      <c r="K772" s="5"/>
      <c r="L772" s="5"/>
      <c r="M772" s="5"/>
      <c r="N772" s="5"/>
    </row>
    <row r="773" spans="1:14" ht="22.5" customHeight="1" x14ac:dyDescent="0.2">
      <c r="A773" s="22" t="s">
        <v>1247</v>
      </c>
      <c r="B773" s="3" t="s">
        <v>34</v>
      </c>
      <c r="C773" s="3" t="s">
        <v>1216</v>
      </c>
      <c r="D773" s="14" t="s">
        <v>2112</v>
      </c>
      <c r="E773" s="3" t="s">
        <v>1248</v>
      </c>
      <c r="F773" s="9">
        <v>45898</v>
      </c>
      <c r="G773" s="5" t="s">
        <v>2095</v>
      </c>
      <c r="H773" s="5"/>
      <c r="I773" s="5" t="e">
        <f t="shared" si="3"/>
        <v>#REF!</v>
      </c>
      <c r="J773" s="5"/>
      <c r="K773" s="5"/>
      <c r="L773" s="5"/>
      <c r="M773" s="5"/>
      <c r="N773" s="5"/>
    </row>
    <row r="774" spans="1:14" ht="22.5" customHeight="1" x14ac:dyDescent="0.2">
      <c r="A774" s="22" t="s">
        <v>2936</v>
      </c>
      <c r="B774" s="3" t="s">
        <v>34</v>
      </c>
      <c r="C774" s="3" t="s">
        <v>1216</v>
      </c>
      <c r="D774" s="14" t="s">
        <v>2112</v>
      </c>
      <c r="E774" s="3" t="s">
        <v>1248</v>
      </c>
      <c r="F774" s="9">
        <v>45898</v>
      </c>
      <c r="G774" s="5" t="s">
        <v>2433</v>
      </c>
      <c r="H774" s="5"/>
      <c r="I774" s="5" t="e">
        <f t="shared" si="3"/>
        <v>#REF!</v>
      </c>
      <c r="J774" s="5"/>
      <c r="K774" s="5"/>
      <c r="L774" s="5"/>
      <c r="M774" s="5"/>
      <c r="N774" s="5"/>
    </row>
    <row r="775" spans="1:14" ht="22.5" customHeight="1" x14ac:dyDescent="0.2">
      <c r="A775" s="22" t="s">
        <v>1250</v>
      </c>
      <c r="B775" s="3" t="s">
        <v>34</v>
      </c>
      <c r="C775" s="3" t="s">
        <v>1216</v>
      </c>
      <c r="D775" s="14" t="s">
        <v>2147</v>
      </c>
      <c r="E775" s="3" t="s">
        <v>184</v>
      </c>
      <c r="F775" s="9">
        <v>45897</v>
      </c>
      <c r="G775" s="5" t="s">
        <v>2095</v>
      </c>
      <c r="H775" s="5"/>
      <c r="I775" s="5" t="e">
        <f t="shared" si="3"/>
        <v>#REF!</v>
      </c>
      <c r="J775" s="5"/>
      <c r="K775" s="5"/>
      <c r="L775" s="5"/>
      <c r="M775" s="5"/>
      <c r="N775" s="5"/>
    </row>
    <row r="776" spans="1:14" ht="22.5" customHeight="1" x14ac:dyDescent="0.2">
      <c r="A776" s="22" t="s">
        <v>1252</v>
      </c>
      <c r="B776" s="3" t="s">
        <v>34</v>
      </c>
      <c r="C776" s="3" t="s">
        <v>1216</v>
      </c>
      <c r="D776" s="14" t="s">
        <v>2937</v>
      </c>
      <c r="E776" s="3" t="s">
        <v>1253</v>
      </c>
      <c r="F776" s="9">
        <v>45896</v>
      </c>
      <c r="G776" s="5" t="s">
        <v>1254</v>
      </c>
      <c r="H776" s="5"/>
      <c r="I776" s="5" t="e">
        <f t="shared" si="3"/>
        <v>#REF!</v>
      </c>
      <c r="J776" s="5"/>
      <c r="K776" s="5"/>
      <c r="L776" s="5"/>
      <c r="M776" s="5"/>
      <c r="N776" s="5"/>
    </row>
    <row r="777" spans="1:14" ht="22.5" customHeight="1" x14ac:dyDescent="0.2">
      <c r="A777" s="22" t="s">
        <v>1256</v>
      </c>
      <c r="B777" s="3" t="s">
        <v>34</v>
      </c>
      <c r="C777" s="3" t="s">
        <v>1216</v>
      </c>
      <c r="D777" s="14" t="s">
        <v>2170</v>
      </c>
      <c r="E777" s="3" t="s">
        <v>228</v>
      </c>
      <c r="F777" s="9">
        <v>45894</v>
      </c>
      <c r="G777" s="5" t="s">
        <v>37</v>
      </c>
      <c r="H777" s="5"/>
      <c r="I777" s="5" t="e">
        <f t="shared" si="3"/>
        <v>#REF!</v>
      </c>
      <c r="J777" s="5"/>
      <c r="K777" s="5"/>
      <c r="L777" s="5"/>
      <c r="M777" s="5"/>
      <c r="N777" s="5"/>
    </row>
    <row r="778" spans="1:14" ht="22.5" customHeight="1" x14ac:dyDescent="0.2">
      <c r="A778" s="22" t="s">
        <v>1257</v>
      </c>
      <c r="B778" s="3" t="s">
        <v>34</v>
      </c>
      <c r="C778" s="3" t="s">
        <v>1216</v>
      </c>
      <c r="D778" s="14" t="s">
        <v>2113</v>
      </c>
      <c r="E778" s="3" t="s">
        <v>1253</v>
      </c>
      <c r="F778" s="9">
        <v>45891</v>
      </c>
      <c r="G778" s="5" t="s">
        <v>2095</v>
      </c>
      <c r="H778" s="5"/>
      <c r="I778" s="5" t="e">
        <f t="shared" si="3"/>
        <v>#REF!</v>
      </c>
      <c r="J778" s="5"/>
      <c r="K778" s="5"/>
      <c r="L778" s="5"/>
      <c r="M778" s="5"/>
      <c r="N778" s="5"/>
    </row>
    <row r="779" spans="1:14" ht="22.5" customHeight="1" x14ac:dyDescent="0.2">
      <c r="A779" s="22" t="s">
        <v>1258</v>
      </c>
      <c r="B779" s="3" t="s">
        <v>34</v>
      </c>
      <c r="C779" s="3" t="s">
        <v>1216</v>
      </c>
      <c r="D779" s="14" t="s">
        <v>2114</v>
      </c>
      <c r="E779" s="3" t="s">
        <v>1259</v>
      </c>
      <c r="F779" s="9">
        <v>45891</v>
      </c>
      <c r="G779" s="5" t="s">
        <v>2095</v>
      </c>
      <c r="H779" s="5"/>
      <c r="I779" s="5" t="e">
        <f t="shared" si="3"/>
        <v>#REF!</v>
      </c>
      <c r="J779" s="5"/>
      <c r="K779" s="5"/>
      <c r="L779" s="5"/>
      <c r="M779" s="5"/>
      <c r="N779" s="5"/>
    </row>
    <row r="780" spans="1:14" ht="22.5" customHeight="1" x14ac:dyDescent="0.2">
      <c r="A780" s="22" t="s">
        <v>1260</v>
      </c>
      <c r="B780" s="3" t="s">
        <v>34</v>
      </c>
      <c r="C780" s="3" t="s">
        <v>1216</v>
      </c>
      <c r="D780" s="14" t="s">
        <v>2115</v>
      </c>
      <c r="E780" s="3" t="s">
        <v>1259</v>
      </c>
      <c r="F780" s="9">
        <v>45891</v>
      </c>
      <c r="G780" s="5" t="s">
        <v>2095</v>
      </c>
      <c r="H780" s="5"/>
      <c r="I780" s="5" t="e">
        <f t="shared" si="3"/>
        <v>#REF!</v>
      </c>
      <c r="J780" s="5"/>
      <c r="K780" s="5"/>
      <c r="L780" s="5"/>
      <c r="M780" s="5"/>
      <c r="N780" s="5"/>
    </row>
    <row r="781" spans="1:14" ht="22.5" customHeight="1" x14ac:dyDescent="0.2">
      <c r="A781" s="22" t="s">
        <v>1262</v>
      </c>
      <c r="B781" s="3" t="s">
        <v>34</v>
      </c>
      <c r="C781" s="3" t="s">
        <v>1216</v>
      </c>
      <c r="D781" s="14" t="s">
        <v>2938</v>
      </c>
      <c r="E781" s="3" t="s">
        <v>1253</v>
      </c>
      <c r="F781" s="9">
        <v>45890</v>
      </c>
      <c r="G781" s="5" t="s">
        <v>1254</v>
      </c>
      <c r="H781" s="5"/>
      <c r="I781" s="5" t="e">
        <f t="shared" si="3"/>
        <v>#REF!</v>
      </c>
      <c r="J781" s="5"/>
      <c r="K781" s="5"/>
      <c r="L781" s="5"/>
      <c r="M781" s="5"/>
      <c r="N781" s="5"/>
    </row>
    <row r="782" spans="1:14" ht="22.5" customHeight="1" x14ac:dyDescent="0.2">
      <c r="A782" s="22" t="s">
        <v>1264</v>
      </c>
      <c r="B782" s="3" t="s">
        <v>34</v>
      </c>
      <c r="C782" s="3" t="s">
        <v>1216</v>
      </c>
      <c r="D782" s="14" t="s">
        <v>2138</v>
      </c>
      <c r="E782" s="3" t="s">
        <v>1265</v>
      </c>
      <c r="F782" s="9">
        <v>45889</v>
      </c>
      <c r="G782" s="5" t="s">
        <v>2095</v>
      </c>
      <c r="H782" s="5"/>
      <c r="I782" s="5" t="e">
        <f t="shared" si="3"/>
        <v>#REF!</v>
      </c>
      <c r="J782" s="5"/>
      <c r="K782" s="5"/>
      <c r="L782" s="5"/>
      <c r="M782" s="5"/>
      <c r="N782" s="5"/>
    </row>
    <row r="783" spans="1:14" ht="22.5" customHeight="1" x14ac:dyDescent="0.2">
      <c r="A783" s="22" t="s">
        <v>1267</v>
      </c>
      <c r="B783" s="3" t="s">
        <v>34</v>
      </c>
      <c r="C783" s="3" t="s">
        <v>1216</v>
      </c>
      <c r="D783" s="14" t="s">
        <v>2939</v>
      </c>
      <c r="E783" s="3" t="s">
        <v>1265</v>
      </c>
      <c r="F783" s="9">
        <v>45889</v>
      </c>
      <c r="G783" s="5" t="s">
        <v>37</v>
      </c>
      <c r="H783" s="5"/>
      <c r="I783" s="5" t="e">
        <f t="shared" si="3"/>
        <v>#REF!</v>
      </c>
      <c r="J783" s="5"/>
      <c r="K783" s="5"/>
      <c r="L783" s="5"/>
      <c r="M783" s="5"/>
      <c r="N783" s="5"/>
    </row>
    <row r="784" spans="1:14" ht="22.5" customHeight="1" x14ac:dyDescent="0.2">
      <c r="A784" s="22" t="s">
        <v>1268</v>
      </c>
      <c r="B784" s="3" t="s">
        <v>34</v>
      </c>
      <c r="C784" s="3" t="s">
        <v>1216</v>
      </c>
      <c r="D784" s="14" t="s">
        <v>2938</v>
      </c>
      <c r="E784" s="3" t="s">
        <v>1253</v>
      </c>
      <c r="F784" s="9">
        <v>45888</v>
      </c>
      <c r="G784" s="5" t="s">
        <v>37</v>
      </c>
      <c r="H784" s="5"/>
      <c r="I784" s="5" t="e">
        <f t="shared" si="3"/>
        <v>#REF!</v>
      </c>
      <c r="J784" s="5"/>
      <c r="K784" s="5"/>
      <c r="L784" s="5"/>
      <c r="M784" s="5"/>
      <c r="N784" s="5"/>
    </row>
    <row r="785" spans="1:14" ht="22.5" customHeight="1" x14ac:dyDescent="0.2">
      <c r="A785" s="22" t="s">
        <v>1269</v>
      </c>
      <c r="B785" s="3" t="s">
        <v>34</v>
      </c>
      <c r="C785" s="3" t="s">
        <v>1216</v>
      </c>
      <c r="D785" s="14" t="s">
        <v>2301</v>
      </c>
      <c r="E785" s="3" t="s">
        <v>323</v>
      </c>
      <c r="F785" s="9">
        <v>45888</v>
      </c>
      <c r="G785" s="5" t="s">
        <v>37</v>
      </c>
      <c r="H785" s="5"/>
      <c r="I785" s="5" t="e">
        <f t="shared" si="3"/>
        <v>#REF!</v>
      </c>
      <c r="J785" s="5"/>
      <c r="K785" s="5"/>
      <c r="L785" s="5"/>
      <c r="M785" s="5"/>
      <c r="N785" s="5"/>
    </row>
    <row r="786" spans="1:14" ht="22.5" customHeight="1" x14ac:dyDescent="0.2">
      <c r="A786" s="22" t="s">
        <v>1270</v>
      </c>
      <c r="B786" s="3" t="s">
        <v>34</v>
      </c>
      <c r="C786" s="3" t="s">
        <v>1216</v>
      </c>
      <c r="D786" s="14" t="s">
        <v>2139</v>
      </c>
      <c r="E786" s="3" t="s">
        <v>195</v>
      </c>
      <c r="F786" s="9">
        <v>45888</v>
      </c>
      <c r="G786" s="5" t="s">
        <v>37</v>
      </c>
      <c r="H786" s="5"/>
      <c r="I786" s="5" t="e">
        <f t="shared" si="3"/>
        <v>#REF!</v>
      </c>
      <c r="J786" s="5"/>
      <c r="K786" s="5"/>
      <c r="L786" s="5"/>
      <c r="M786" s="5"/>
      <c r="N786" s="5"/>
    </row>
    <row r="787" spans="1:14" ht="22.5" customHeight="1" x14ac:dyDescent="0.2">
      <c r="A787" s="22" t="s">
        <v>1271</v>
      </c>
      <c r="B787" s="3" t="s">
        <v>34</v>
      </c>
      <c r="C787" s="3" t="s">
        <v>1216</v>
      </c>
      <c r="D787" s="14" t="s">
        <v>2117</v>
      </c>
      <c r="E787" s="3" t="s">
        <v>138</v>
      </c>
      <c r="F787" s="9">
        <v>45882</v>
      </c>
      <c r="G787" s="5" t="s">
        <v>2095</v>
      </c>
      <c r="H787" s="5"/>
      <c r="I787" s="5" t="e">
        <f t="shared" si="3"/>
        <v>#REF!</v>
      </c>
      <c r="J787" s="5"/>
      <c r="K787" s="5"/>
      <c r="L787" s="5"/>
      <c r="M787" s="5"/>
      <c r="N787" s="5"/>
    </row>
    <row r="788" spans="1:14" ht="22.5" customHeight="1" x14ac:dyDescent="0.2">
      <c r="A788" s="22" t="s">
        <v>1273</v>
      </c>
      <c r="B788" s="3" t="s">
        <v>34</v>
      </c>
      <c r="C788" s="3" t="s">
        <v>1216</v>
      </c>
      <c r="D788" s="14" t="s">
        <v>2139</v>
      </c>
      <c r="E788" s="3" t="s">
        <v>195</v>
      </c>
      <c r="F788" s="9">
        <v>45882</v>
      </c>
      <c r="G788" s="5" t="s">
        <v>37</v>
      </c>
      <c r="H788" s="5"/>
      <c r="I788" s="5" t="e">
        <f t="shared" si="3"/>
        <v>#REF!</v>
      </c>
      <c r="J788" s="5"/>
      <c r="K788" s="5"/>
      <c r="L788" s="5"/>
      <c r="M788" s="5"/>
      <c r="N788" s="5"/>
    </row>
    <row r="789" spans="1:14" ht="22.5" customHeight="1" x14ac:dyDescent="0.2">
      <c r="A789" s="22" t="s">
        <v>1274</v>
      </c>
      <c r="B789" s="3" t="s">
        <v>34</v>
      </c>
      <c r="C789" s="3" t="s">
        <v>1216</v>
      </c>
      <c r="D789" s="14" t="s">
        <v>2104</v>
      </c>
      <c r="E789" s="3" t="s">
        <v>1236</v>
      </c>
      <c r="F789" s="9">
        <v>45882</v>
      </c>
      <c r="G789" s="5" t="s">
        <v>2095</v>
      </c>
      <c r="H789" s="5"/>
      <c r="I789" s="5" t="e">
        <f t="shared" si="3"/>
        <v>#REF!</v>
      </c>
      <c r="J789" s="5"/>
      <c r="K789" s="5"/>
      <c r="L789" s="5"/>
      <c r="M789" s="5"/>
      <c r="N789" s="5"/>
    </row>
    <row r="790" spans="1:14" ht="22.5" customHeight="1" x14ac:dyDescent="0.2">
      <c r="A790" s="22" t="s">
        <v>1275</v>
      </c>
      <c r="B790" s="3" t="s">
        <v>34</v>
      </c>
      <c r="C790" s="3" t="s">
        <v>1216</v>
      </c>
      <c r="D790" s="14" t="s">
        <v>2123</v>
      </c>
      <c r="E790" s="3" t="s">
        <v>121</v>
      </c>
      <c r="F790" s="9">
        <v>45881</v>
      </c>
      <c r="G790" s="5" t="s">
        <v>1254</v>
      </c>
      <c r="H790" s="5"/>
      <c r="I790" s="5" t="e">
        <f t="shared" si="3"/>
        <v>#REF!</v>
      </c>
      <c r="J790" s="5"/>
      <c r="K790" s="5"/>
      <c r="L790" s="5"/>
      <c r="M790" s="5"/>
      <c r="N790" s="5"/>
    </row>
    <row r="791" spans="1:14" ht="22.5" customHeight="1" x14ac:dyDescent="0.2">
      <c r="A791" s="22" t="s">
        <v>1276</v>
      </c>
      <c r="B791" s="3" t="s">
        <v>34</v>
      </c>
      <c r="C791" s="3" t="s">
        <v>1216</v>
      </c>
      <c r="D791" s="14" t="s">
        <v>2222</v>
      </c>
      <c r="E791" s="3" t="s">
        <v>1265</v>
      </c>
      <c r="F791" s="9">
        <v>45880</v>
      </c>
      <c r="G791" s="5" t="s">
        <v>37</v>
      </c>
      <c r="H791" s="5"/>
      <c r="I791" s="5" t="e">
        <f t="shared" si="3"/>
        <v>#REF!</v>
      </c>
      <c r="J791" s="5"/>
      <c r="K791" s="5"/>
      <c r="L791" s="5"/>
      <c r="M791" s="5"/>
      <c r="N791" s="5"/>
    </row>
    <row r="792" spans="1:14" ht="22.5" customHeight="1" x14ac:dyDescent="0.2">
      <c r="A792" s="22" t="s">
        <v>1277</v>
      </c>
      <c r="B792" s="3" t="s">
        <v>34</v>
      </c>
      <c r="C792" s="3" t="s">
        <v>1216</v>
      </c>
      <c r="D792" s="14" t="s">
        <v>2222</v>
      </c>
      <c r="E792" s="3" t="s">
        <v>1265</v>
      </c>
      <c r="F792" s="9">
        <v>45880</v>
      </c>
      <c r="G792" s="5" t="s">
        <v>37</v>
      </c>
      <c r="H792" s="5"/>
      <c r="I792" s="5" t="e">
        <f t="shared" si="3"/>
        <v>#REF!</v>
      </c>
      <c r="J792" s="5"/>
      <c r="K792" s="5"/>
      <c r="L792" s="5"/>
      <c r="M792" s="5"/>
      <c r="N792" s="5"/>
    </row>
    <row r="793" spans="1:14" ht="22.5" customHeight="1" x14ac:dyDescent="0.2">
      <c r="A793" s="22" t="s">
        <v>1278</v>
      </c>
      <c r="B793" s="3" t="s">
        <v>34</v>
      </c>
      <c r="C793" s="3" t="s">
        <v>1216</v>
      </c>
      <c r="D793" s="14" t="s">
        <v>2116</v>
      </c>
      <c r="E793" s="3" t="s">
        <v>1259</v>
      </c>
      <c r="F793" s="9">
        <v>45880</v>
      </c>
      <c r="G793" s="5" t="s">
        <v>2095</v>
      </c>
      <c r="H793" s="5"/>
      <c r="I793" s="5" t="e">
        <f t="shared" si="3"/>
        <v>#REF!</v>
      </c>
      <c r="J793" s="5"/>
      <c r="K793" s="5"/>
      <c r="L793" s="5"/>
      <c r="M793" s="5"/>
      <c r="N793" s="5"/>
    </row>
    <row r="794" spans="1:14" ht="22.5" customHeight="1" x14ac:dyDescent="0.2">
      <c r="A794" s="22" t="s">
        <v>1280</v>
      </c>
      <c r="B794" s="3" t="s">
        <v>34</v>
      </c>
      <c r="C794" s="3" t="s">
        <v>1216</v>
      </c>
      <c r="D794" s="14" t="s">
        <v>2119</v>
      </c>
      <c r="E794" s="3" t="s">
        <v>138</v>
      </c>
      <c r="F794" s="9">
        <v>45876</v>
      </c>
      <c r="G794" s="5" t="s">
        <v>1254</v>
      </c>
      <c r="H794" s="5"/>
      <c r="I794" s="5" t="e">
        <f t="shared" si="3"/>
        <v>#REF!</v>
      </c>
      <c r="J794" s="5"/>
      <c r="K794" s="5"/>
      <c r="L794" s="5"/>
      <c r="M794" s="5"/>
      <c r="N794" s="5"/>
    </row>
    <row r="795" spans="1:14" ht="22.5" customHeight="1" x14ac:dyDescent="0.2">
      <c r="A795" s="22" t="s">
        <v>1281</v>
      </c>
      <c r="B795" s="3" t="s">
        <v>34</v>
      </c>
      <c r="C795" s="3" t="s">
        <v>1216</v>
      </c>
      <c r="D795" s="14" t="s">
        <v>2117</v>
      </c>
      <c r="E795" s="3" t="s">
        <v>138</v>
      </c>
      <c r="F795" s="9">
        <v>45874</v>
      </c>
      <c r="G795" s="5" t="s">
        <v>2095</v>
      </c>
      <c r="H795" s="5"/>
      <c r="I795" s="5" t="e">
        <f t="shared" si="3"/>
        <v>#REF!</v>
      </c>
      <c r="J795" s="5"/>
      <c r="K795" s="5"/>
      <c r="L795" s="5"/>
      <c r="M795" s="5"/>
      <c r="N795" s="5"/>
    </row>
    <row r="796" spans="1:14" ht="22.5" customHeight="1" x14ac:dyDescent="0.2">
      <c r="A796" s="22" t="s">
        <v>1283</v>
      </c>
      <c r="B796" s="3" t="s">
        <v>34</v>
      </c>
      <c r="C796" s="3" t="s">
        <v>1216</v>
      </c>
      <c r="D796" s="14" t="s">
        <v>2118</v>
      </c>
      <c r="E796" s="3" t="s">
        <v>138</v>
      </c>
      <c r="F796" s="9">
        <v>45874</v>
      </c>
      <c r="G796" s="5" t="s">
        <v>1254</v>
      </c>
      <c r="H796" s="5"/>
      <c r="I796" s="5" t="e">
        <f t="shared" si="3"/>
        <v>#REF!</v>
      </c>
      <c r="J796" s="5"/>
      <c r="K796" s="5"/>
      <c r="L796" s="5"/>
      <c r="M796" s="5"/>
      <c r="N796" s="5"/>
    </row>
    <row r="797" spans="1:14" ht="22.5" customHeight="1" x14ac:dyDescent="0.2">
      <c r="A797" s="22" t="s">
        <v>1284</v>
      </c>
      <c r="B797" s="3" t="s">
        <v>34</v>
      </c>
      <c r="C797" s="3" t="s">
        <v>1216</v>
      </c>
      <c r="D797" s="14" t="s">
        <v>2118</v>
      </c>
      <c r="E797" s="3" t="s">
        <v>138</v>
      </c>
      <c r="F797" s="9">
        <v>45874</v>
      </c>
      <c r="G797" s="5" t="s">
        <v>2095</v>
      </c>
      <c r="H797" s="5"/>
      <c r="I797" s="5" t="e">
        <f t="shared" si="3"/>
        <v>#REF!</v>
      </c>
      <c r="J797" s="5"/>
      <c r="K797" s="5"/>
      <c r="L797" s="5"/>
      <c r="M797" s="5"/>
      <c r="N797" s="5"/>
    </row>
    <row r="798" spans="1:14" ht="22.5" customHeight="1" x14ac:dyDescent="0.2">
      <c r="A798" s="22" t="s">
        <v>1286</v>
      </c>
      <c r="B798" s="3" t="s">
        <v>34</v>
      </c>
      <c r="C798" s="3" t="s">
        <v>1216</v>
      </c>
      <c r="D798" s="14" t="s">
        <v>2119</v>
      </c>
      <c r="E798" s="3" t="s">
        <v>138</v>
      </c>
      <c r="F798" s="9">
        <v>45874</v>
      </c>
      <c r="G798" s="5" t="s">
        <v>2095</v>
      </c>
      <c r="H798" s="5"/>
      <c r="I798" s="5" t="e">
        <f t="shared" si="3"/>
        <v>#REF!</v>
      </c>
      <c r="J798" s="5"/>
      <c r="K798" s="5"/>
      <c r="L798" s="5"/>
      <c r="M798" s="5"/>
      <c r="N798" s="5"/>
    </row>
    <row r="799" spans="1:14" ht="22.5" customHeight="1" x14ac:dyDescent="0.2">
      <c r="A799" s="22" t="s">
        <v>1288</v>
      </c>
      <c r="B799" s="3" t="s">
        <v>34</v>
      </c>
      <c r="C799" s="3" t="s">
        <v>1216</v>
      </c>
      <c r="D799" s="14" t="s">
        <v>2120</v>
      </c>
      <c r="E799" s="3" t="s">
        <v>165</v>
      </c>
      <c r="F799" s="9">
        <v>45874</v>
      </c>
      <c r="G799" s="5" t="s">
        <v>2095</v>
      </c>
      <c r="H799" s="5"/>
      <c r="I799" s="5" t="e">
        <f t="shared" si="3"/>
        <v>#REF!</v>
      </c>
      <c r="J799" s="5"/>
      <c r="K799" s="5"/>
      <c r="L799" s="5"/>
      <c r="M799" s="5"/>
      <c r="N799" s="5"/>
    </row>
    <row r="800" spans="1:14" ht="22.5" customHeight="1" x14ac:dyDescent="0.2">
      <c r="A800" s="22" t="s">
        <v>2053</v>
      </c>
      <c r="B800" s="3" t="s">
        <v>34</v>
      </c>
      <c r="C800" s="3" t="s">
        <v>1216</v>
      </c>
      <c r="D800" s="14" t="s">
        <v>2940</v>
      </c>
      <c r="E800" s="3" t="s">
        <v>2941</v>
      </c>
      <c r="F800" s="9">
        <v>45873</v>
      </c>
      <c r="G800" s="5" t="s">
        <v>2095</v>
      </c>
      <c r="H800" s="5"/>
      <c r="I800" s="5" t="e">
        <f t="shared" si="3"/>
        <v>#REF!</v>
      </c>
      <c r="J800" s="5"/>
      <c r="K800" s="5"/>
      <c r="L800" s="5"/>
      <c r="M800" s="5"/>
      <c r="N800" s="5"/>
    </row>
    <row r="801" spans="1:14" ht="22.5" customHeight="1" x14ac:dyDescent="0.2">
      <c r="A801" s="22" t="s">
        <v>1290</v>
      </c>
      <c r="B801" s="3" t="s">
        <v>34</v>
      </c>
      <c r="C801" s="3" t="s">
        <v>1216</v>
      </c>
      <c r="D801" s="14" t="s">
        <v>2122</v>
      </c>
      <c r="E801" s="3" t="s">
        <v>1259</v>
      </c>
      <c r="F801" s="9">
        <v>45869</v>
      </c>
      <c r="G801" s="5" t="s">
        <v>2095</v>
      </c>
      <c r="H801" s="5"/>
      <c r="I801" s="5" t="e">
        <f t="shared" si="3"/>
        <v>#REF!</v>
      </c>
      <c r="J801" s="5"/>
      <c r="K801" s="5"/>
      <c r="L801" s="5"/>
      <c r="M801" s="5"/>
      <c r="N801" s="5"/>
    </row>
    <row r="802" spans="1:14" ht="22.5" customHeight="1" x14ac:dyDescent="0.2">
      <c r="A802" s="22" t="s">
        <v>1292</v>
      </c>
      <c r="B802" s="3" t="s">
        <v>34</v>
      </c>
      <c r="C802" s="3" t="s">
        <v>1216</v>
      </c>
      <c r="D802" s="14" t="s">
        <v>2942</v>
      </c>
      <c r="E802" s="3" t="s">
        <v>1293</v>
      </c>
      <c r="F802" s="9">
        <v>45867</v>
      </c>
      <c r="G802" s="5" t="s">
        <v>37</v>
      </c>
      <c r="H802" s="5"/>
      <c r="I802" s="5" t="e">
        <f t="shared" si="3"/>
        <v>#REF!</v>
      </c>
      <c r="J802" s="5"/>
      <c r="K802" s="5"/>
      <c r="L802" s="5"/>
      <c r="M802" s="5"/>
      <c r="N802" s="5"/>
    </row>
    <row r="803" spans="1:14" ht="22.5" customHeight="1" x14ac:dyDescent="0.2">
      <c r="A803" s="22" t="s">
        <v>1294</v>
      </c>
      <c r="B803" s="3" t="s">
        <v>34</v>
      </c>
      <c r="C803" s="3" t="s">
        <v>1216</v>
      </c>
      <c r="D803" s="14" t="s">
        <v>2123</v>
      </c>
      <c r="E803" s="3" t="s">
        <v>121</v>
      </c>
      <c r="F803" s="9">
        <v>45863</v>
      </c>
      <c r="G803" s="5" t="s">
        <v>2095</v>
      </c>
      <c r="H803" s="5"/>
      <c r="I803" s="5" t="e">
        <f t="shared" si="3"/>
        <v>#REF!</v>
      </c>
      <c r="J803" s="5"/>
      <c r="K803" s="5"/>
      <c r="L803" s="5"/>
      <c r="M803" s="5"/>
      <c r="N803" s="5"/>
    </row>
    <row r="804" spans="1:14" ht="22.5" customHeight="1" x14ac:dyDescent="0.2">
      <c r="A804" s="22" t="s">
        <v>1295</v>
      </c>
      <c r="B804" s="3" t="s">
        <v>34</v>
      </c>
      <c r="C804" s="3" t="s">
        <v>1216</v>
      </c>
      <c r="D804" s="14" t="s">
        <v>2123</v>
      </c>
      <c r="E804" s="3" t="s">
        <v>121</v>
      </c>
      <c r="F804" s="9">
        <v>45863</v>
      </c>
      <c r="G804" s="5" t="s">
        <v>37</v>
      </c>
      <c r="H804" s="5"/>
      <c r="I804" s="5" t="e">
        <f t="shared" si="3"/>
        <v>#REF!</v>
      </c>
      <c r="J804" s="5"/>
      <c r="K804" s="5"/>
      <c r="L804" s="5"/>
      <c r="M804" s="5"/>
      <c r="N804" s="5"/>
    </row>
    <row r="805" spans="1:14" ht="22.5" customHeight="1" x14ac:dyDescent="0.2">
      <c r="A805" s="22" t="s">
        <v>1296</v>
      </c>
      <c r="B805" s="3" t="s">
        <v>34</v>
      </c>
      <c r="C805" s="3" t="s">
        <v>1216</v>
      </c>
      <c r="D805" s="14" t="s">
        <v>2123</v>
      </c>
      <c r="E805" s="3" t="s">
        <v>121</v>
      </c>
      <c r="F805" s="9">
        <v>45863</v>
      </c>
      <c r="G805" s="5" t="s">
        <v>37</v>
      </c>
      <c r="H805" s="5"/>
      <c r="I805" s="5" t="e">
        <f t="shared" si="3"/>
        <v>#REF!</v>
      </c>
      <c r="J805" s="5"/>
      <c r="K805" s="5"/>
      <c r="L805" s="5"/>
      <c r="M805" s="5"/>
      <c r="N805" s="5"/>
    </row>
    <row r="806" spans="1:14" ht="22.5" customHeight="1" x14ac:dyDescent="0.2">
      <c r="A806" s="22" t="s">
        <v>1297</v>
      </c>
      <c r="B806" s="3" t="s">
        <v>34</v>
      </c>
      <c r="C806" s="3" t="s">
        <v>1216</v>
      </c>
      <c r="D806" s="14" t="s">
        <v>2124</v>
      </c>
      <c r="E806" s="3" t="s">
        <v>1298</v>
      </c>
      <c r="F806" s="9">
        <v>45862</v>
      </c>
      <c r="G806" s="5" t="s">
        <v>2095</v>
      </c>
      <c r="H806" s="5"/>
      <c r="I806" s="5" t="e">
        <f t="shared" si="3"/>
        <v>#REF!</v>
      </c>
      <c r="J806" s="5"/>
      <c r="K806" s="5"/>
      <c r="L806" s="5"/>
      <c r="M806" s="5"/>
      <c r="N806" s="5"/>
    </row>
    <row r="807" spans="1:14" ht="22.5" customHeight="1" x14ac:dyDescent="0.2">
      <c r="A807" s="22" t="s">
        <v>1299</v>
      </c>
      <c r="B807" s="3" t="s">
        <v>34</v>
      </c>
      <c r="C807" s="3" t="s">
        <v>1216</v>
      </c>
      <c r="D807" s="14" t="s">
        <v>2224</v>
      </c>
      <c r="E807" s="3" t="s">
        <v>1300</v>
      </c>
      <c r="F807" s="9">
        <v>45861</v>
      </c>
      <c r="G807" s="5" t="s">
        <v>2433</v>
      </c>
      <c r="H807" s="5"/>
      <c r="I807" s="5" t="e">
        <f t="shared" si="3"/>
        <v>#REF!</v>
      </c>
      <c r="J807" s="5"/>
      <c r="K807" s="5"/>
      <c r="L807" s="5"/>
      <c r="M807" s="5"/>
      <c r="N807" s="5"/>
    </row>
    <row r="808" spans="1:14" ht="22.5" customHeight="1" x14ac:dyDescent="0.2">
      <c r="A808" s="22" t="s">
        <v>1301</v>
      </c>
      <c r="B808" s="3" t="s">
        <v>34</v>
      </c>
      <c r="C808" s="3" t="s">
        <v>1216</v>
      </c>
      <c r="D808" s="14" t="s">
        <v>2125</v>
      </c>
      <c r="E808" s="3" t="s">
        <v>74</v>
      </c>
      <c r="F808" s="9">
        <v>45861</v>
      </c>
      <c r="G808" s="5" t="s">
        <v>2095</v>
      </c>
      <c r="H808" s="5"/>
      <c r="I808" s="5" t="e">
        <f t="shared" si="3"/>
        <v>#REF!</v>
      </c>
      <c r="J808" s="5"/>
      <c r="K808" s="5"/>
      <c r="L808" s="5"/>
      <c r="M808" s="5"/>
      <c r="N808" s="5"/>
    </row>
    <row r="809" spans="1:14" ht="22.5" customHeight="1" x14ac:dyDescent="0.2">
      <c r="A809" s="22" t="s">
        <v>1303</v>
      </c>
      <c r="B809" s="3" t="s">
        <v>34</v>
      </c>
      <c r="C809" s="3" t="s">
        <v>1216</v>
      </c>
      <c r="D809" s="14" t="s">
        <v>2127</v>
      </c>
      <c r="E809" s="3" t="s">
        <v>165</v>
      </c>
      <c r="F809" s="9">
        <v>45860</v>
      </c>
      <c r="G809" s="5" t="s">
        <v>2095</v>
      </c>
      <c r="H809" s="5"/>
      <c r="I809" s="5" t="e">
        <f t="shared" si="3"/>
        <v>#REF!</v>
      </c>
      <c r="J809" s="5"/>
      <c r="K809" s="5"/>
      <c r="L809" s="5"/>
      <c r="M809" s="5"/>
      <c r="N809" s="5"/>
    </row>
    <row r="810" spans="1:14" ht="22.5" customHeight="1" x14ac:dyDescent="0.2">
      <c r="A810" s="22" t="s">
        <v>1304</v>
      </c>
      <c r="B810" s="3" t="s">
        <v>34</v>
      </c>
      <c r="C810" s="3" t="s">
        <v>1216</v>
      </c>
      <c r="D810" s="14" t="s">
        <v>2128</v>
      </c>
      <c r="E810" s="3" t="s">
        <v>1240</v>
      </c>
      <c r="F810" s="9">
        <v>45859</v>
      </c>
      <c r="G810" s="5" t="s">
        <v>2095</v>
      </c>
      <c r="H810" s="5"/>
      <c r="I810" s="5" t="e">
        <f t="shared" si="3"/>
        <v>#REF!</v>
      </c>
      <c r="J810" s="5"/>
      <c r="K810" s="5"/>
      <c r="L810" s="5"/>
      <c r="M810" s="5"/>
      <c r="N810" s="5"/>
    </row>
    <row r="811" spans="1:14" ht="22.5" customHeight="1" x14ac:dyDescent="0.2">
      <c r="A811" s="22" t="s">
        <v>1305</v>
      </c>
      <c r="B811" s="3" t="s">
        <v>34</v>
      </c>
      <c r="C811" s="3" t="s">
        <v>1216</v>
      </c>
      <c r="D811" s="14" t="s">
        <v>2943</v>
      </c>
      <c r="E811" s="3" t="s">
        <v>1306</v>
      </c>
      <c r="F811" s="9">
        <v>45856</v>
      </c>
      <c r="G811" s="5" t="s">
        <v>1254</v>
      </c>
      <c r="H811" s="5"/>
      <c r="I811" s="5" t="e">
        <f t="shared" si="3"/>
        <v>#REF!</v>
      </c>
      <c r="J811" s="5"/>
      <c r="K811" s="5"/>
      <c r="L811" s="5"/>
      <c r="M811" s="5"/>
      <c r="N811" s="5"/>
    </row>
    <row r="812" spans="1:14" ht="22.5" customHeight="1" x14ac:dyDescent="0.2">
      <c r="A812" s="22" t="s">
        <v>1307</v>
      </c>
      <c r="B812" s="3" t="s">
        <v>34</v>
      </c>
      <c r="C812" s="3" t="s">
        <v>1216</v>
      </c>
      <c r="D812" s="14" t="s">
        <v>2129</v>
      </c>
      <c r="E812" s="3" t="s">
        <v>1308</v>
      </c>
      <c r="F812" s="9">
        <v>45853</v>
      </c>
      <c r="G812" s="5" t="s">
        <v>2095</v>
      </c>
      <c r="H812" s="5"/>
      <c r="I812" s="5" t="e">
        <f t="shared" si="3"/>
        <v>#REF!</v>
      </c>
      <c r="J812" s="5"/>
      <c r="K812" s="5"/>
      <c r="L812" s="5"/>
      <c r="M812" s="5"/>
      <c r="N812" s="5"/>
    </row>
    <row r="813" spans="1:14" ht="22.5" customHeight="1" x14ac:dyDescent="0.2">
      <c r="A813" s="22" t="s">
        <v>1309</v>
      </c>
      <c r="B813" s="3" t="s">
        <v>34</v>
      </c>
      <c r="C813" s="3" t="s">
        <v>1216</v>
      </c>
      <c r="D813" s="14" t="s">
        <v>2104</v>
      </c>
      <c r="E813" s="3" t="s">
        <v>1236</v>
      </c>
      <c r="F813" s="9">
        <v>45849</v>
      </c>
      <c r="G813" s="5" t="s">
        <v>2095</v>
      </c>
      <c r="H813" s="5"/>
      <c r="I813" s="5" t="e">
        <f t="shared" si="3"/>
        <v>#REF!</v>
      </c>
      <c r="J813" s="5"/>
      <c r="K813" s="5"/>
      <c r="L813" s="5"/>
      <c r="M813" s="5"/>
      <c r="N813" s="5"/>
    </row>
    <row r="814" spans="1:14" ht="22.5" customHeight="1" x14ac:dyDescent="0.2">
      <c r="A814" s="22" t="s">
        <v>1310</v>
      </c>
      <c r="B814" s="3" t="s">
        <v>34</v>
      </c>
      <c r="C814" s="3" t="s">
        <v>1216</v>
      </c>
      <c r="D814" s="14" t="s">
        <v>2113</v>
      </c>
      <c r="E814" s="3" t="s">
        <v>1253</v>
      </c>
      <c r="F814" s="9">
        <v>45848</v>
      </c>
      <c r="G814" s="5" t="s">
        <v>2095</v>
      </c>
      <c r="H814" s="5"/>
      <c r="I814" s="5" t="e">
        <f t="shared" si="3"/>
        <v>#REF!</v>
      </c>
      <c r="J814" s="5"/>
      <c r="K814" s="5"/>
      <c r="L814" s="5"/>
      <c r="M814" s="5"/>
      <c r="N814" s="5"/>
    </row>
    <row r="815" spans="1:14" ht="22.5" customHeight="1" x14ac:dyDescent="0.2">
      <c r="A815" s="22" t="s">
        <v>1311</v>
      </c>
      <c r="B815" s="3" t="s">
        <v>34</v>
      </c>
      <c r="C815" s="3" t="s">
        <v>1216</v>
      </c>
      <c r="D815" s="14" t="s">
        <v>2186</v>
      </c>
      <c r="E815" s="3" t="s">
        <v>348</v>
      </c>
      <c r="F815" s="9">
        <v>45846</v>
      </c>
      <c r="G815" s="5" t="s">
        <v>37</v>
      </c>
      <c r="H815" s="5"/>
      <c r="I815" s="5" t="e">
        <f t="shared" si="3"/>
        <v>#REF!</v>
      </c>
      <c r="J815" s="5"/>
      <c r="K815" s="5"/>
      <c r="L815" s="5"/>
      <c r="M815" s="5"/>
      <c r="N815" s="5"/>
    </row>
    <row r="816" spans="1:14" ht="22.5" customHeight="1" x14ac:dyDescent="0.2">
      <c r="A816" s="22" t="s">
        <v>1312</v>
      </c>
      <c r="B816" s="3" t="s">
        <v>34</v>
      </c>
      <c r="C816" s="3" t="s">
        <v>1216</v>
      </c>
      <c r="D816" s="14" t="s">
        <v>2191</v>
      </c>
      <c r="E816" s="3" t="s">
        <v>1217</v>
      </c>
      <c r="F816" s="9">
        <v>45842</v>
      </c>
      <c r="G816" s="5" t="s">
        <v>37</v>
      </c>
      <c r="H816" s="5"/>
      <c r="I816" s="5" t="e">
        <f t="shared" si="3"/>
        <v>#REF!</v>
      </c>
      <c r="J816" s="5"/>
      <c r="K816" s="5"/>
      <c r="L816" s="5"/>
      <c r="M816" s="5"/>
      <c r="N816" s="5"/>
    </row>
    <row r="817" spans="1:14" ht="22.5" customHeight="1" x14ac:dyDescent="0.2">
      <c r="A817" s="22" t="s">
        <v>1313</v>
      </c>
      <c r="B817" s="3" t="s">
        <v>34</v>
      </c>
      <c r="C817" s="3" t="s">
        <v>1216</v>
      </c>
      <c r="D817" s="14" t="s">
        <v>2442</v>
      </c>
      <c r="E817" s="3" t="s">
        <v>311</v>
      </c>
      <c r="F817" s="9">
        <v>45841</v>
      </c>
      <c r="G817" s="5" t="s">
        <v>37</v>
      </c>
      <c r="H817" s="5"/>
      <c r="I817" s="5" t="e">
        <f t="shared" si="3"/>
        <v>#REF!</v>
      </c>
      <c r="J817" s="5"/>
      <c r="K817" s="5"/>
      <c r="L817" s="5"/>
      <c r="M817" s="5"/>
      <c r="N817" s="5"/>
    </row>
    <row r="818" spans="1:14" ht="22.5" customHeight="1" x14ac:dyDescent="0.2">
      <c r="A818" s="22" t="s">
        <v>1314</v>
      </c>
      <c r="B818" s="3" t="s">
        <v>34</v>
      </c>
      <c r="C818" s="3" t="s">
        <v>1216</v>
      </c>
      <c r="D818" s="14" t="s">
        <v>2215</v>
      </c>
      <c r="E818" s="3" t="s">
        <v>1265</v>
      </c>
      <c r="F818" s="9">
        <v>45840</v>
      </c>
      <c r="G818" s="5" t="s">
        <v>1254</v>
      </c>
      <c r="H818" s="5"/>
      <c r="I818" s="5" t="e">
        <f t="shared" si="3"/>
        <v>#REF!</v>
      </c>
      <c r="J818" s="5"/>
      <c r="K818" s="5"/>
      <c r="L818" s="5"/>
      <c r="M818" s="5"/>
      <c r="N818" s="5"/>
    </row>
    <row r="819" spans="1:14" ht="22.5" customHeight="1" x14ac:dyDescent="0.2">
      <c r="A819" s="22" t="s">
        <v>1315</v>
      </c>
      <c r="B819" s="3" t="s">
        <v>34</v>
      </c>
      <c r="C819" s="3" t="s">
        <v>1216</v>
      </c>
      <c r="D819" s="14" t="s">
        <v>2130</v>
      </c>
      <c r="E819" s="3" t="s">
        <v>165</v>
      </c>
      <c r="F819" s="9">
        <v>45838</v>
      </c>
      <c r="G819" s="5" t="s">
        <v>2095</v>
      </c>
      <c r="H819" s="5"/>
      <c r="I819" s="5" t="e">
        <f t="shared" si="3"/>
        <v>#REF!</v>
      </c>
      <c r="J819" s="5"/>
      <c r="K819" s="5"/>
      <c r="L819" s="5"/>
      <c r="M819" s="5"/>
      <c r="N819" s="5"/>
    </row>
    <row r="820" spans="1:14" ht="22.5" customHeight="1" x14ac:dyDescent="0.2">
      <c r="A820" s="22" t="s">
        <v>1317</v>
      </c>
      <c r="B820" s="3" t="s">
        <v>34</v>
      </c>
      <c r="C820" s="3" t="s">
        <v>1216</v>
      </c>
      <c r="D820" s="14" t="s">
        <v>2131</v>
      </c>
      <c r="E820" s="3" t="s">
        <v>1318</v>
      </c>
      <c r="F820" s="9">
        <v>45833</v>
      </c>
      <c r="G820" s="5" t="s">
        <v>2095</v>
      </c>
      <c r="H820" s="5"/>
      <c r="I820" s="5" t="e">
        <f t="shared" si="3"/>
        <v>#REF!</v>
      </c>
      <c r="J820" s="5"/>
      <c r="K820" s="5"/>
      <c r="L820" s="5"/>
      <c r="M820" s="5"/>
      <c r="N820" s="5"/>
    </row>
    <row r="821" spans="1:14" ht="22.5" customHeight="1" x14ac:dyDescent="0.2">
      <c r="A821" s="22" t="s">
        <v>1320</v>
      </c>
      <c r="B821" s="3" t="s">
        <v>34</v>
      </c>
      <c r="C821" s="3" t="s">
        <v>1216</v>
      </c>
      <c r="D821" s="14" t="s">
        <v>2944</v>
      </c>
      <c r="E821" s="3" t="s">
        <v>1321</v>
      </c>
      <c r="F821" s="9">
        <v>45833</v>
      </c>
      <c r="G821" s="5" t="s">
        <v>2433</v>
      </c>
      <c r="H821" s="5"/>
      <c r="I821" s="5" t="e">
        <f t="shared" si="3"/>
        <v>#REF!</v>
      </c>
      <c r="J821" s="5"/>
      <c r="K821" s="5"/>
      <c r="L821" s="5"/>
      <c r="M821" s="5"/>
      <c r="N821" s="5"/>
    </row>
    <row r="822" spans="1:14" ht="22.5" customHeight="1" x14ac:dyDescent="0.2">
      <c r="A822" s="22" t="s">
        <v>1322</v>
      </c>
      <c r="B822" s="3" t="s">
        <v>34</v>
      </c>
      <c r="C822" s="3" t="s">
        <v>1216</v>
      </c>
      <c r="D822" s="14" t="s">
        <v>2323</v>
      </c>
      <c r="E822" s="3" t="s">
        <v>391</v>
      </c>
      <c r="F822" s="9">
        <v>45828</v>
      </c>
      <c r="G822" s="5" t="s">
        <v>37</v>
      </c>
      <c r="H822" s="5"/>
      <c r="I822" s="5" t="e">
        <f t="shared" si="3"/>
        <v>#REF!</v>
      </c>
      <c r="J822" s="5"/>
      <c r="K822" s="5"/>
      <c r="L822" s="5"/>
      <c r="M822" s="5"/>
      <c r="N822" s="5"/>
    </row>
    <row r="823" spans="1:14" ht="22.5" customHeight="1" x14ac:dyDescent="0.2">
      <c r="A823" s="22" t="s">
        <v>1323</v>
      </c>
      <c r="B823" s="3" t="s">
        <v>34</v>
      </c>
      <c r="C823" s="3" t="s">
        <v>1216</v>
      </c>
      <c r="D823" s="14" t="s">
        <v>2133</v>
      </c>
      <c r="E823" s="3" t="s">
        <v>1324</v>
      </c>
      <c r="F823" s="9">
        <v>45826</v>
      </c>
      <c r="G823" s="5" t="s">
        <v>2095</v>
      </c>
      <c r="H823" s="5"/>
      <c r="I823" s="5" t="e">
        <f t="shared" si="3"/>
        <v>#REF!</v>
      </c>
      <c r="J823" s="5"/>
      <c r="K823" s="5"/>
      <c r="L823" s="5"/>
      <c r="M823" s="5"/>
      <c r="N823" s="5"/>
    </row>
    <row r="824" spans="1:14" ht="22.5" customHeight="1" x14ac:dyDescent="0.2">
      <c r="A824" s="22" t="s">
        <v>1326</v>
      </c>
      <c r="B824" s="3" t="s">
        <v>34</v>
      </c>
      <c r="C824" s="3" t="s">
        <v>1216</v>
      </c>
      <c r="D824" s="14" t="s">
        <v>2133</v>
      </c>
      <c r="E824" s="3" t="s">
        <v>1324</v>
      </c>
      <c r="F824" s="9">
        <v>45826</v>
      </c>
      <c r="G824" s="5" t="s">
        <v>37</v>
      </c>
      <c r="H824" s="5"/>
      <c r="I824" s="5" t="e">
        <f t="shared" si="3"/>
        <v>#REF!</v>
      </c>
      <c r="J824" s="5"/>
      <c r="K824" s="5"/>
      <c r="L824" s="5"/>
      <c r="M824" s="5"/>
      <c r="N824" s="5"/>
    </row>
    <row r="825" spans="1:14" ht="22.5" customHeight="1" x14ac:dyDescent="0.2">
      <c r="A825" s="22" t="s">
        <v>1327</v>
      </c>
      <c r="B825" s="3" t="s">
        <v>34</v>
      </c>
      <c r="C825" s="3" t="s">
        <v>1216</v>
      </c>
      <c r="D825" s="14" t="s">
        <v>2125</v>
      </c>
      <c r="E825" s="3" t="s">
        <v>74</v>
      </c>
      <c r="F825" s="9">
        <v>45826</v>
      </c>
      <c r="G825" s="5" t="s">
        <v>37</v>
      </c>
      <c r="H825" s="5"/>
      <c r="I825" s="5" t="e">
        <f t="shared" si="3"/>
        <v>#REF!</v>
      </c>
      <c r="J825" s="5"/>
      <c r="K825" s="5"/>
      <c r="L825" s="5"/>
      <c r="M825" s="5"/>
      <c r="N825" s="5"/>
    </row>
    <row r="826" spans="1:14" ht="22.5" customHeight="1" x14ac:dyDescent="0.2">
      <c r="A826" s="22" t="s">
        <v>1328</v>
      </c>
      <c r="B826" s="3" t="s">
        <v>34</v>
      </c>
      <c r="C826" s="3" t="s">
        <v>1216</v>
      </c>
      <c r="D826" s="14" t="s">
        <v>2104</v>
      </c>
      <c r="E826" s="3" t="s">
        <v>1236</v>
      </c>
      <c r="F826" s="9">
        <v>45824</v>
      </c>
      <c r="G826" s="5" t="s">
        <v>2095</v>
      </c>
      <c r="H826" s="5"/>
      <c r="I826" s="5" t="e">
        <f t="shared" si="3"/>
        <v>#REF!</v>
      </c>
      <c r="J826" s="5"/>
      <c r="K826" s="5"/>
      <c r="L826" s="5"/>
      <c r="M826" s="5"/>
      <c r="N826" s="5"/>
    </row>
    <row r="827" spans="1:14" ht="22.5" customHeight="1" x14ac:dyDescent="0.2">
      <c r="A827" s="22" t="s">
        <v>1329</v>
      </c>
      <c r="B827" s="3" t="s">
        <v>34</v>
      </c>
      <c r="C827" s="3" t="s">
        <v>1216</v>
      </c>
      <c r="D827" s="14" t="s">
        <v>2134</v>
      </c>
      <c r="E827" s="3" t="s">
        <v>1330</v>
      </c>
      <c r="F827" s="9">
        <v>45819</v>
      </c>
      <c r="G827" s="5" t="s">
        <v>2095</v>
      </c>
      <c r="H827" s="5"/>
      <c r="I827" s="5" t="e">
        <f t="shared" si="3"/>
        <v>#REF!</v>
      </c>
      <c r="J827" s="5"/>
      <c r="K827" s="5"/>
      <c r="L827" s="5"/>
      <c r="M827" s="5"/>
      <c r="N827" s="5"/>
    </row>
    <row r="828" spans="1:14" ht="22.5" customHeight="1" x14ac:dyDescent="0.2">
      <c r="A828" s="22" t="s">
        <v>1331</v>
      </c>
      <c r="B828" s="3" t="s">
        <v>34</v>
      </c>
      <c r="C828" s="3" t="s">
        <v>1216</v>
      </c>
      <c r="D828" s="14" t="s">
        <v>2135</v>
      </c>
      <c r="E828" s="3" t="s">
        <v>118</v>
      </c>
      <c r="F828" s="9">
        <v>45818</v>
      </c>
      <c r="G828" s="5" t="s">
        <v>2095</v>
      </c>
      <c r="H828" s="5"/>
      <c r="I828" s="5" t="e">
        <f t="shared" si="3"/>
        <v>#REF!</v>
      </c>
      <c r="J828" s="5"/>
      <c r="K828" s="5"/>
      <c r="L828" s="5"/>
      <c r="M828" s="5"/>
      <c r="N828" s="5"/>
    </row>
    <row r="829" spans="1:14" ht="22.5" customHeight="1" x14ac:dyDescent="0.2">
      <c r="A829" s="22" t="s">
        <v>1332</v>
      </c>
      <c r="B829" s="3" t="s">
        <v>34</v>
      </c>
      <c r="C829" s="3" t="s">
        <v>1216</v>
      </c>
      <c r="D829" s="14" t="s">
        <v>2136</v>
      </c>
      <c r="E829" s="3" t="s">
        <v>118</v>
      </c>
      <c r="F829" s="9">
        <v>45818</v>
      </c>
      <c r="G829" s="5" t="s">
        <v>2095</v>
      </c>
      <c r="H829" s="5"/>
      <c r="I829" s="5" t="e">
        <f t="shared" si="3"/>
        <v>#REF!</v>
      </c>
      <c r="J829" s="5"/>
      <c r="K829" s="5"/>
      <c r="L829" s="5"/>
      <c r="M829" s="5"/>
      <c r="N829" s="5"/>
    </row>
    <row r="830" spans="1:14" ht="22.5" customHeight="1" x14ac:dyDescent="0.2">
      <c r="A830" s="22" t="s">
        <v>1333</v>
      </c>
      <c r="B830" s="3" t="s">
        <v>34</v>
      </c>
      <c r="C830" s="3" t="s">
        <v>1216</v>
      </c>
      <c r="D830" s="14" t="s">
        <v>2945</v>
      </c>
      <c r="E830" s="3" t="s">
        <v>1334</v>
      </c>
      <c r="F830" s="9">
        <v>45818</v>
      </c>
      <c r="G830" s="5" t="s">
        <v>37</v>
      </c>
      <c r="H830" s="5"/>
      <c r="I830" s="5" t="e">
        <f t="shared" si="3"/>
        <v>#REF!</v>
      </c>
      <c r="J830" s="5"/>
      <c r="K830" s="5"/>
      <c r="L830" s="5"/>
      <c r="M830" s="5"/>
      <c r="N830" s="5"/>
    </row>
    <row r="831" spans="1:14" ht="22.5" customHeight="1" x14ac:dyDescent="0.2">
      <c r="A831" s="22" t="s">
        <v>1335</v>
      </c>
      <c r="B831" s="3" t="s">
        <v>34</v>
      </c>
      <c r="C831" s="3" t="s">
        <v>1216</v>
      </c>
      <c r="D831" s="14" t="s">
        <v>2334</v>
      </c>
      <c r="E831" s="3" t="s">
        <v>471</v>
      </c>
      <c r="F831" s="9">
        <v>45817</v>
      </c>
      <c r="G831" s="5" t="s">
        <v>2433</v>
      </c>
      <c r="H831" s="5"/>
      <c r="I831" s="5" t="e">
        <f t="shared" si="3"/>
        <v>#REF!</v>
      </c>
      <c r="J831" s="5"/>
      <c r="K831" s="5"/>
      <c r="L831" s="5"/>
      <c r="M831" s="5"/>
      <c r="N831" s="5"/>
    </row>
    <row r="832" spans="1:14" ht="22.5" customHeight="1" x14ac:dyDescent="0.2">
      <c r="A832" s="22" t="s">
        <v>1336</v>
      </c>
      <c r="B832" s="3" t="s">
        <v>34</v>
      </c>
      <c r="C832" s="3" t="s">
        <v>1216</v>
      </c>
      <c r="D832" s="14" t="s">
        <v>2334</v>
      </c>
      <c r="E832" s="3" t="s">
        <v>471</v>
      </c>
      <c r="F832" s="9">
        <v>45817</v>
      </c>
      <c r="G832" s="5" t="s">
        <v>2433</v>
      </c>
      <c r="H832" s="5"/>
      <c r="I832" s="5" t="e">
        <f t="shared" si="3"/>
        <v>#REF!</v>
      </c>
      <c r="J832" s="5"/>
      <c r="K832" s="5"/>
      <c r="L832" s="5"/>
      <c r="M832" s="5"/>
      <c r="N832" s="5"/>
    </row>
    <row r="833" spans="1:14" ht="22.5" customHeight="1" x14ac:dyDescent="0.2">
      <c r="A833" s="22" t="s">
        <v>1337</v>
      </c>
      <c r="B833" s="3" t="s">
        <v>34</v>
      </c>
      <c r="C833" s="3" t="s">
        <v>1216</v>
      </c>
      <c r="D833" s="14" t="s">
        <v>2137</v>
      </c>
      <c r="E833" s="3" t="s">
        <v>1338</v>
      </c>
      <c r="F833" s="9">
        <v>45813</v>
      </c>
      <c r="G833" s="5" t="s">
        <v>2095</v>
      </c>
      <c r="H833" s="5"/>
      <c r="I833" s="5" t="e">
        <f t="shared" si="3"/>
        <v>#REF!</v>
      </c>
      <c r="J833" s="5"/>
      <c r="K833" s="5"/>
      <c r="L833" s="5"/>
      <c r="M833" s="5"/>
      <c r="N833" s="5"/>
    </row>
    <row r="834" spans="1:14" ht="22.5" customHeight="1" x14ac:dyDescent="0.2">
      <c r="A834" s="22" t="s">
        <v>1339</v>
      </c>
      <c r="B834" s="3" t="s">
        <v>34</v>
      </c>
      <c r="C834" s="3" t="s">
        <v>1216</v>
      </c>
      <c r="D834" s="14" t="s">
        <v>2113</v>
      </c>
      <c r="E834" s="3" t="s">
        <v>1253</v>
      </c>
      <c r="F834" s="9">
        <v>45812</v>
      </c>
      <c r="G834" s="5" t="s">
        <v>2095</v>
      </c>
      <c r="H834" s="5"/>
      <c r="I834" s="5" t="e">
        <f t="shared" si="3"/>
        <v>#REF!</v>
      </c>
      <c r="J834" s="5"/>
      <c r="K834" s="5"/>
      <c r="L834" s="5"/>
      <c r="M834" s="5"/>
      <c r="N834" s="5"/>
    </row>
    <row r="835" spans="1:14" ht="22.5" customHeight="1" x14ac:dyDescent="0.2">
      <c r="A835" s="22" t="s">
        <v>1340</v>
      </c>
      <c r="B835" s="3" t="s">
        <v>34</v>
      </c>
      <c r="C835" s="3" t="s">
        <v>1216</v>
      </c>
      <c r="D835" s="14" t="s">
        <v>2946</v>
      </c>
      <c r="E835" s="3" t="s">
        <v>348</v>
      </c>
      <c r="F835" s="9">
        <v>45807</v>
      </c>
      <c r="G835" s="5" t="s">
        <v>2095</v>
      </c>
      <c r="H835" s="5"/>
      <c r="I835" s="5" t="e">
        <f t="shared" si="3"/>
        <v>#REF!</v>
      </c>
      <c r="J835" s="5"/>
      <c r="K835" s="5"/>
      <c r="L835" s="5"/>
      <c r="M835" s="5"/>
      <c r="N835" s="5"/>
    </row>
    <row r="836" spans="1:14" ht="22.5" customHeight="1" x14ac:dyDescent="0.2">
      <c r="A836" s="22" t="s">
        <v>1342</v>
      </c>
      <c r="B836" s="3" t="s">
        <v>34</v>
      </c>
      <c r="C836" s="3" t="s">
        <v>1216</v>
      </c>
      <c r="D836" s="14" t="s">
        <v>2186</v>
      </c>
      <c r="E836" s="3" t="s">
        <v>348</v>
      </c>
      <c r="F836" s="9">
        <v>45807</v>
      </c>
      <c r="G836" s="5" t="s">
        <v>37</v>
      </c>
      <c r="H836" s="5"/>
      <c r="I836" s="5" t="e">
        <f t="shared" si="3"/>
        <v>#REF!</v>
      </c>
      <c r="J836" s="5"/>
      <c r="K836" s="5"/>
      <c r="L836" s="5"/>
      <c r="M836" s="5"/>
      <c r="N836" s="5"/>
    </row>
    <row r="837" spans="1:14" ht="22.5" customHeight="1" x14ac:dyDescent="0.2">
      <c r="A837" s="22" t="s">
        <v>1343</v>
      </c>
      <c r="B837" s="3" t="s">
        <v>34</v>
      </c>
      <c r="C837" s="3" t="s">
        <v>1216</v>
      </c>
      <c r="D837" s="14" t="s">
        <v>2138</v>
      </c>
      <c r="E837" s="3" t="s">
        <v>1265</v>
      </c>
      <c r="F837" s="9">
        <v>45806</v>
      </c>
      <c r="G837" s="5" t="s">
        <v>2095</v>
      </c>
      <c r="H837" s="5"/>
      <c r="I837" s="5" t="e">
        <f t="shared" si="3"/>
        <v>#REF!</v>
      </c>
      <c r="J837" s="5"/>
      <c r="K837" s="5"/>
      <c r="L837" s="5"/>
      <c r="M837" s="5"/>
      <c r="N837" s="5"/>
    </row>
    <row r="838" spans="1:14" ht="22.5" customHeight="1" x14ac:dyDescent="0.2">
      <c r="A838" s="22" t="s">
        <v>1344</v>
      </c>
      <c r="B838" s="3" t="s">
        <v>34</v>
      </c>
      <c r="C838" s="3" t="s">
        <v>1216</v>
      </c>
      <c r="D838" s="14" t="s">
        <v>2139</v>
      </c>
      <c r="E838" s="3" t="s">
        <v>195</v>
      </c>
      <c r="F838" s="9">
        <v>45806</v>
      </c>
      <c r="G838" s="5" t="s">
        <v>2095</v>
      </c>
      <c r="H838" s="5"/>
      <c r="I838" s="5" t="e">
        <f t="shared" si="3"/>
        <v>#REF!</v>
      </c>
      <c r="J838" s="5"/>
      <c r="K838" s="5"/>
      <c r="L838" s="5"/>
      <c r="M838" s="5"/>
      <c r="N838" s="5"/>
    </row>
    <row r="839" spans="1:14" ht="22.5" customHeight="1" x14ac:dyDescent="0.2">
      <c r="A839" s="22" t="s">
        <v>1345</v>
      </c>
      <c r="B839" s="3" t="s">
        <v>34</v>
      </c>
      <c r="C839" s="3" t="s">
        <v>1216</v>
      </c>
      <c r="D839" s="14" t="s">
        <v>2140</v>
      </c>
      <c r="E839" s="3" t="s">
        <v>1238</v>
      </c>
      <c r="F839" s="9">
        <v>45806</v>
      </c>
      <c r="G839" s="5" t="s">
        <v>2095</v>
      </c>
      <c r="H839" s="5"/>
      <c r="I839" s="5" t="e">
        <f t="shared" si="3"/>
        <v>#REF!</v>
      </c>
      <c r="J839" s="5"/>
      <c r="K839" s="5"/>
      <c r="L839" s="5"/>
      <c r="M839" s="5"/>
      <c r="N839" s="5"/>
    </row>
    <row r="840" spans="1:14" ht="22.5" customHeight="1" x14ac:dyDescent="0.2">
      <c r="A840" s="22" t="s">
        <v>1346</v>
      </c>
      <c r="B840" s="3" t="s">
        <v>34</v>
      </c>
      <c r="C840" s="3" t="s">
        <v>1216</v>
      </c>
      <c r="D840" s="14" t="s">
        <v>2165</v>
      </c>
      <c r="E840" s="3" t="s">
        <v>1347</v>
      </c>
      <c r="F840" s="9">
        <v>45804</v>
      </c>
      <c r="G840" s="5" t="s">
        <v>2433</v>
      </c>
      <c r="H840" s="5"/>
      <c r="I840" s="5" t="e">
        <f t="shared" si="3"/>
        <v>#REF!</v>
      </c>
      <c r="J840" s="5"/>
      <c r="K840" s="5"/>
      <c r="L840" s="5"/>
      <c r="M840" s="5"/>
      <c r="N840" s="5"/>
    </row>
    <row r="841" spans="1:14" ht="22.5" customHeight="1" x14ac:dyDescent="0.2">
      <c r="A841" s="22" t="s">
        <v>1348</v>
      </c>
      <c r="B841" s="3" t="s">
        <v>34</v>
      </c>
      <c r="C841" s="3" t="s">
        <v>1216</v>
      </c>
      <c r="D841" s="14" t="s">
        <v>2947</v>
      </c>
      <c r="E841" s="3" t="s">
        <v>1349</v>
      </c>
      <c r="F841" s="9">
        <v>45804</v>
      </c>
      <c r="G841" s="5" t="s">
        <v>37</v>
      </c>
      <c r="H841" s="5"/>
      <c r="I841" s="5" t="e">
        <f t="shared" si="3"/>
        <v>#REF!</v>
      </c>
      <c r="J841" s="5"/>
      <c r="K841" s="5"/>
      <c r="L841" s="5"/>
      <c r="M841" s="5"/>
      <c r="N841" s="5"/>
    </row>
    <row r="842" spans="1:14" ht="22.5" customHeight="1" x14ac:dyDescent="0.2">
      <c r="A842" s="22" t="s">
        <v>1350</v>
      </c>
      <c r="B842" s="3" t="s">
        <v>34</v>
      </c>
      <c r="C842" s="3" t="s">
        <v>1216</v>
      </c>
      <c r="D842" s="14" t="s">
        <v>2141</v>
      </c>
      <c r="E842" s="3" t="s">
        <v>1230</v>
      </c>
      <c r="F842" s="9">
        <v>45803</v>
      </c>
      <c r="G842" s="5" t="s">
        <v>2095</v>
      </c>
      <c r="H842" s="5"/>
      <c r="I842" s="5" t="e">
        <f t="shared" si="3"/>
        <v>#REF!</v>
      </c>
      <c r="J842" s="5"/>
      <c r="K842" s="5"/>
      <c r="L842" s="5"/>
      <c r="M842" s="5"/>
      <c r="N842" s="5"/>
    </row>
    <row r="843" spans="1:14" ht="22.5" customHeight="1" x14ac:dyDescent="0.2">
      <c r="A843" s="22" t="s">
        <v>1351</v>
      </c>
      <c r="B843" s="3" t="s">
        <v>34</v>
      </c>
      <c r="C843" s="3" t="s">
        <v>1216</v>
      </c>
      <c r="D843" s="14" t="s">
        <v>2948</v>
      </c>
      <c r="E843" s="3" t="s">
        <v>1352</v>
      </c>
      <c r="F843" s="9">
        <v>45803</v>
      </c>
      <c r="G843" s="5" t="s">
        <v>37</v>
      </c>
      <c r="H843" s="5"/>
      <c r="I843" s="5" t="e">
        <f t="shared" si="3"/>
        <v>#REF!</v>
      </c>
      <c r="J843" s="5"/>
      <c r="K843" s="5"/>
      <c r="L843" s="5"/>
      <c r="M843" s="5"/>
      <c r="N843" s="5"/>
    </row>
    <row r="844" spans="1:14" ht="22.5" customHeight="1" x14ac:dyDescent="0.2">
      <c r="A844" s="22" t="s">
        <v>1353</v>
      </c>
      <c r="B844" s="3" t="s">
        <v>34</v>
      </c>
      <c r="C844" s="3" t="s">
        <v>1216</v>
      </c>
      <c r="D844" s="14" t="s">
        <v>2142</v>
      </c>
      <c r="E844" s="3" t="s">
        <v>1238</v>
      </c>
      <c r="F844" s="9">
        <v>45803</v>
      </c>
      <c r="G844" s="5" t="s">
        <v>2095</v>
      </c>
      <c r="H844" s="5"/>
      <c r="I844" s="5" t="e">
        <f t="shared" si="3"/>
        <v>#REF!</v>
      </c>
      <c r="J844" s="5"/>
      <c r="K844" s="5"/>
      <c r="L844" s="5"/>
      <c r="M844" s="5"/>
      <c r="N844" s="5"/>
    </row>
    <row r="845" spans="1:14" ht="22.5" customHeight="1" x14ac:dyDescent="0.2">
      <c r="A845" s="22" t="s">
        <v>1354</v>
      </c>
      <c r="B845" s="3" t="s">
        <v>34</v>
      </c>
      <c r="C845" s="3" t="s">
        <v>1216</v>
      </c>
      <c r="D845" s="14" t="s">
        <v>2142</v>
      </c>
      <c r="E845" s="3" t="s">
        <v>1238</v>
      </c>
      <c r="F845" s="9">
        <v>45803</v>
      </c>
      <c r="G845" s="5" t="s">
        <v>37</v>
      </c>
      <c r="H845" s="5"/>
      <c r="I845" s="5" t="e">
        <f t="shared" si="3"/>
        <v>#REF!</v>
      </c>
      <c r="J845" s="5"/>
      <c r="K845" s="5"/>
      <c r="L845" s="5"/>
      <c r="M845" s="5"/>
      <c r="N845" s="5"/>
    </row>
    <row r="846" spans="1:14" ht="22.5" customHeight="1" x14ac:dyDescent="0.2">
      <c r="A846" s="22" t="s">
        <v>1355</v>
      </c>
      <c r="B846" s="3" t="s">
        <v>34</v>
      </c>
      <c r="C846" s="3" t="s">
        <v>1216</v>
      </c>
      <c r="D846" s="14" t="s">
        <v>2106</v>
      </c>
      <c r="E846" s="3" t="s">
        <v>1238</v>
      </c>
      <c r="F846" s="9">
        <v>45803</v>
      </c>
      <c r="G846" s="5" t="s">
        <v>2095</v>
      </c>
      <c r="H846" s="5"/>
      <c r="I846" s="5" t="e">
        <f t="shared" si="3"/>
        <v>#REF!</v>
      </c>
      <c r="J846" s="5"/>
      <c r="K846" s="5"/>
      <c r="L846" s="5"/>
      <c r="M846" s="5"/>
      <c r="N846" s="5"/>
    </row>
    <row r="847" spans="1:14" ht="22.5" customHeight="1" x14ac:dyDescent="0.2">
      <c r="A847" s="22" t="s">
        <v>1356</v>
      </c>
      <c r="B847" s="3" t="s">
        <v>34</v>
      </c>
      <c r="C847" s="3" t="s">
        <v>1216</v>
      </c>
      <c r="D847" s="14" t="s">
        <v>2143</v>
      </c>
      <c r="E847" s="3" t="s">
        <v>391</v>
      </c>
      <c r="F847" s="9">
        <v>45800</v>
      </c>
      <c r="G847" s="5" t="s">
        <v>2095</v>
      </c>
      <c r="H847" s="5"/>
      <c r="I847" s="5" t="e">
        <f t="shared" si="3"/>
        <v>#REF!</v>
      </c>
      <c r="J847" s="5"/>
      <c r="K847" s="5"/>
      <c r="L847" s="5"/>
      <c r="M847" s="5"/>
      <c r="N847" s="5"/>
    </row>
    <row r="848" spans="1:14" ht="22.5" customHeight="1" x14ac:dyDescent="0.2">
      <c r="A848" s="22" t="s">
        <v>1357</v>
      </c>
      <c r="B848" s="3" t="s">
        <v>34</v>
      </c>
      <c r="C848" s="3" t="s">
        <v>1216</v>
      </c>
      <c r="D848" s="14" t="s">
        <v>2144</v>
      </c>
      <c r="E848" s="3" t="s">
        <v>1324</v>
      </c>
      <c r="F848" s="9">
        <v>45799</v>
      </c>
      <c r="G848" s="5" t="s">
        <v>2095</v>
      </c>
      <c r="H848" s="5"/>
      <c r="I848" s="5" t="e">
        <f t="shared" si="3"/>
        <v>#REF!</v>
      </c>
      <c r="J848" s="5"/>
      <c r="K848" s="5"/>
      <c r="L848" s="5"/>
      <c r="M848" s="5"/>
      <c r="N848" s="5"/>
    </row>
    <row r="849" spans="1:14" ht="22.5" customHeight="1" x14ac:dyDescent="0.2">
      <c r="A849" s="22" t="s">
        <v>1359</v>
      </c>
      <c r="B849" s="3" t="s">
        <v>34</v>
      </c>
      <c r="C849" s="3" t="s">
        <v>1216</v>
      </c>
      <c r="D849" s="14" t="s">
        <v>2146</v>
      </c>
      <c r="E849" s="3" t="s">
        <v>1324</v>
      </c>
      <c r="F849" s="9">
        <v>45799</v>
      </c>
      <c r="G849" s="5" t="s">
        <v>2095</v>
      </c>
      <c r="H849" s="5"/>
      <c r="I849" s="5" t="e">
        <f t="shared" si="3"/>
        <v>#REF!</v>
      </c>
      <c r="J849" s="5"/>
      <c r="K849" s="5"/>
      <c r="L849" s="5"/>
      <c r="M849" s="5"/>
      <c r="N849" s="5"/>
    </row>
    <row r="850" spans="1:14" ht="22.5" customHeight="1" x14ac:dyDescent="0.2">
      <c r="A850" s="22" t="s">
        <v>1361</v>
      </c>
      <c r="B850" s="3" t="s">
        <v>34</v>
      </c>
      <c r="C850" s="3" t="s">
        <v>1216</v>
      </c>
      <c r="D850" s="14" t="s">
        <v>2147</v>
      </c>
      <c r="E850" s="3" t="s">
        <v>184</v>
      </c>
      <c r="F850" s="9">
        <v>45798</v>
      </c>
      <c r="G850" s="5" t="s">
        <v>2095</v>
      </c>
      <c r="H850" s="5"/>
      <c r="I850" s="5" t="e">
        <f t="shared" si="3"/>
        <v>#REF!</v>
      </c>
      <c r="J850" s="5"/>
      <c r="K850" s="5"/>
      <c r="L850" s="5"/>
      <c r="M850" s="5"/>
      <c r="N850" s="5"/>
    </row>
    <row r="851" spans="1:14" ht="22.5" customHeight="1" x14ac:dyDescent="0.2">
      <c r="A851" s="22" t="s">
        <v>1363</v>
      </c>
      <c r="B851" s="3" t="s">
        <v>34</v>
      </c>
      <c r="C851" s="3" t="s">
        <v>1216</v>
      </c>
      <c r="D851" s="14" t="s">
        <v>2147</v>
      </c>
      <c r="E851" s="3" t="s">
        <v>184</v>
      </c>
      <c r="F851" s="9">
        <v>45798</v>
      </c>
      <c r="G851" s="5" t="s">
        <v>70</v>
      </c>
      <c r="H851" s="5"/>
      <c r="I851" s="5" t="e">
        <f t="shared" si="3"/>
        <v>#REF!</v>
      </c>
      <c r="J851" s="5"/>
      <c r="K851" s="5"/>
      <c r="L851" s="5"/>
      <c r="M851" s="5"/>
      <c r="N851" s="5"/>
    </row>
    <row r="852" spans="1:14" ht="22.5" customHeight="1" x14ac:dyDescent="0.2">
      <c r="A852" s="22" t="s">
        <v>1364</v>
      </c>
      <c r="B852" s="3" t="s">
        <v>34</v>
      </c>
      <c r="C852" s="3" t="s">
        <v>1216</v>
      </c>
      <c r="D852" s="14" t="s">
        <v>2149</v>
      </c>
      <c r="E852" s="3" t="s">
        <v>1365</v>
      </c>
      <c r="F852" s="9">
        <v>45797</v>
      </c>
      <c r="G852" s="5" t="s">
        <v>2095</v>
      </c>
      <c r="H852" s="5"/>
      <c r="I852" s="5" t="e">
        <f t="shared" si="3"/>
        <v>#REF!</v>
      </c>
      <c r="J852" s="5"/>
      <c r="K852" s="5"/>
      <c r="L852" s="5"/>
      <c r="M852" s="5"/>
      <c r="N852" s="5"/>
    </row>
    <row r="853" spans="1:14" ht="22.5" customHeight="1" x14ac:dyDescent="0.2">
      <c r="A853" s="22" t="s">
        <v>1366</v>
      </c>
      <c r="B853" s="3" t="s">
        <v>34</v>
      </c>
      <c r="C853" s="3" t="s">
        <v>1216</v>
      </c>
      <c r="D853" s="14" t="s">
        <v>2151</v>
      </c>
      <c r="E853" s="3" t="s">
        <v>184</v>
      </c>
      <c r="F853" s="9">
        <v>45797</v>
      </c>
      <c r="G853" s="5" t="s">
        <v>2095</v>
      </c>
      <c r="H853" s="5"/>
      <c r="I853" s="5" t="e">
        <f t="shared" si="3"/>
        <v>#REF!</v>
      </c>
      <c r="J853" s="5"/>
      <c r="K853" s="5"/>
      <c r="L853" s="5"/>
      <c r="M853" s="5"/>
      <c r="N853" s="5"/>
    </row>
    <row r="854" spans="1:14" ht="22.5" customHeight="1" x14ac:dyDescent="0.2">
      <c r="A854" s="22" t="s">
        <v>1367</v>
      </c>
      <c r="B854" s="3" t="s">
        <v>34</v>
      </c>
      <c r="C854" s="3" t="s">
        <v>1216</v>
      </c>
      <c r="D854" s="14" t="s">
        <v>2152</v>
      </c>
      <c r="E854" s="3" t="s">
        <v>184</v>
      </c>
      <c r="F854" s="9">
        <v>45797</v>
      </c>
      <c r="G854" s="5" t="s">
        <v>2095</v>
      </c>
      <c r="H854" s="5"/>
      <c r="I854" s="5" t="e">
        <f t="shared" si="3"/>
        <v>#REF!</v>
      </c>
      <c r="J854" s="5"/>
      <c r="K854" s="5"/>
      <c r="L854" s="5"/>
      <c r="M854" s="5"/>
      <c r="N854" s="5"/>
    </row>
    <row r="855" spans="1:14" ht="22.5" customHeight="1" x14ac:dyDescent="0.2">
      <c r="A855" s="22" t="s">
        <v>1368</v>
      </c>
      <c r="B855" s="3" t="s">
        <v>34</v>
      </c>
      <c r="C855" s="3" t="s">
        <v>1216</v>
      </c>
      <c r="D855" s="14" t="s">
        <v>2152</v>
      </c>
      <c r="E855" s="3" t="s">
        <v>184</v>
      </c>
      <c r="F855" s="9">
        <v>45797</v>
      </c>
      <c r="G855" s="5" t="s">
        <v>70</v>
      </c>
      <c r="H855" s="5"/>
      <c r="I855" s="5" t="e">
        <f t="shared" si="3"/>
        <v>#REF!</v>
      </c>
      <c r="J855" s="5"/>
      <c r="K855" s="5"/>
      <c r="L855" s="5"/>
      <c r="M855" s="5"/>
      <c r="N855" s="5"/>
    </row>
    <row r="856" spans="1:14" ht="22.5" customHeight="1" x14ac:dyDescent="0.2">
      <c r="A856" s="22" t="s">
        <v>1369</v>
      </c>
      <c r="B856" s="3" t="s">
        <v>34</v>
      </c>
      <c r="C856" s="3" t="s">
        <v>1216</v>
      </c>
      <c r="D856" s="14" t="s">
        <v>2152</v>
      </c>
      <c r="E856" s="3" t="s">
        <v>184</v>
      </c>
      <c r="F856" s="9">
        <v>45797</v>
      </c>
      <c r="G856" s="5" t="s">
        <v>70</v>
      </c>
      <c r="H856" s="5"/>
      <c r="I856" s="5" t="e">
        <f t="shared" si="3"/>
        <v>#REF!</v>
      </c>
      <c r="J856" s="5"/>
      <c r="K856" s="5"/>
      <c r="L856" s="5"/>
      <c r="M856" s="5"/>
      <c r="N856" s="5"/>
    </row>
    <row r="857" spans="1:14" ht="22.5" customHeight="1" x14ac:dyDescent="0.2">
      <c r="A857" s="22" t="s">
        <v>1370</v>
      </c>
      <c r="B857" s="3" t="s">
        <v>34</v>
      </c>
      <c r="C857" s="3" t="s">
        <v>1216</v>
      </c>
      <c r="D857" s="14" t="s">
        <v>2140</v>
      </c>
      <c r="E857" s="3" t="s">
        <v>1238</v>
      </c>
      <c r="F857" s="9">
        <v>45797</v>
      </c>
      <c r="G857" s="5" t="s">
        <v>2095</v>
      </c>
      <c r="H857" s="5"/>
      <c r="I857" s="5" t="e">
        <f t="shared" si="3"/>
        <v>#REF!</v>
      </c>
      <c r="J857" s="5"/>
      <c r="K857" s="5"/>
      <c r="L857" s="5"/>
      <c r="M857" s="5"/>
      <c r="N857" s="5"/>
    </row>
    <row r="858" spans="1:14" ht="22.5" customHeight="1" x14ac:dyDescent="0.2">
      <c r="A858" s="22" t="s">
        <v>1371</v>
      </c>
      <c r="B858" s="3" t="s">
        <v>34</v>
      </c>
      <c r="C858" s="3" t="s">
        <v>1216</v>
      </c>
      <c r="D858" s="14" t="s">
        <v>2949</v>
      </c>
      <c r="E858" s="3" t="s">
        <v>1372</v>
      </c>
      <c r="F858" s="9">
        <v>45796</v>
      </c>
      <c r="G858" s="5" t="s">
        <v>37</v>
      </c>
      <c r="H858" s="5"/>
      <c r="I858" s="5" t="e">
        <f t="shared" si="3"/>
        <v>#REF!</v>
      </c>
      <c r="J858" s="5"/>
      <c r="K858" s="5"/>
      <c r="L858" s="5"/>
      <c r="M858" s="5"/>
      <c r="N858" s="5"/>
    </row>
    <row r="859" spans="1:14" ht="22.5" customHeight="1" x14ac:dyDescent="0.2">
      <c r="A859" s="22" t="s">
        <v>1373</v>
      </c>
      <c r="B859" s="3" t="s">
        <v>34</v>
      </c>
      <c r="C859" s="3" t="s">
        <v>1216</v>
      </c>
      <c r="D859" s="14" t="s">
        <v>2153</v>
      </c>
      <c r="E859" s="3" t="s">
        <v>74</v>
      </c>
      <c r="F859" s="9">
        <v>45796</v>
      </c>
      <c r="G859" s="5" t="s">
        <v>2095</v>
      </c>
      <c r="H859" s="5"/>
      <c r="I859" s="5" t="e">
        <f t="shared" si="3"/>
        <v>#REF!</v>
      </c>
      <c r="J859" s="5"/>
      <c r="K859" s="5"/>
      <c r="L859" s="5"/>
      <c r="M859" s="5"/>
      <c r="N859" s="5"/>
    </row>
    <row r="860" spans="1:14" ht="22.5" customHeight="1" x14ac:dyDescent="0.2">
      <c r="A860" s="22" t="s">
        <v>1374</v>
      </c>
      <c r="B860" s="3" t="s">
        <v>34</v>
      </c>
      <c r="C860" s="3" t="s">
        <v>1216</v>
      </c>
      <c r="D860" s="14" t="s">
        <v>2129</v>
      </c>
      <c r="E860" s="3" t="s">
        <v>1308</v>
      </c>
      <c r="F860" s="9">
        <v>45796</v>
      </c>
      <c r="G860" s="5" t="s">
        <v>2095</v>
      </c>
      <c r="H860" s="5"/>
      <c r="I860" s="5" t="e">
        <f t="shared" si="3"/>
        <v>#REF!</v>
      </c>
      <c r="J860" s="5"/>
      <c r="K860" s="5"/>
      <c r="L860" s="5"/>
      <c r="M860" s="5"/>
      <c r="N860" s="5"/>
    </row>
    <row r="861" spans="1:14" ht="22.5" customHeight="1" x14ac:dyDescent="0.2">
      <c r="A861" s="22" t="s">
        <v>1375</v>
      </c>
      <c r="B861" s="3" t="s">
        <v>34</v>
      </c>
      <c r="C861" s="3" t="s">
        <v>1216</v>
      </c>
      <c r="D861" s="14" t="s">
        <v>2950</v>
      </c>
      <c r="E861" s="3" t="s">
        <v>1376</v>
      </c>
      <c r="F861" s="9">
        <v>45796</v>
      </c>
      <c r="G861" s="5" t="s">
        <v>37</v>
      </c>
      <c r="H861" s="5"/>
      <c r="I861" s="5" t="e">
        <f t="shared" si="3"/>
        <v>#REF!</v>
      </c>
      <c r="J861" s="5"/>
      <c r="K861" s="5"/>
      <c r="L861" s="5"/>
      <c r="M861" s="5"/>
      <c r="N861" s="5"/>
    </row>
    <row r="862" spans="1:14" ht="22.5" customHeight="1" x14ac:dyDescent="0.2">
      <c r="A862" s="22" t="s">
        <v>1377</v>
      </c>
      <c r="B862" s="3" t="s">
        <v>34</v>
      </c>
      <c r="C862" s="3" t="s">
        <v>1216</v>
      </c>
      <c r="D862" s="14" t="s">
        <v>2950</v>
      </c>
      <c r="E862" s="3" t="s">
        <v>1376</v>
      </c>
      <c r="F862" s="9">
        <v>45796</v>
      </c>
      <c r="G862" s="5" t="s">
        <v>37</v>
      </c>
      <c r="H862" s="5"/>
      <c r="I862" s="5" t="e">
        <f t="shared" si="3"/>
        <v>#REF!</v>
      </c>
      <c r="J862" s="5"/>
      <c r="K862" s="5"/>
      <c r="L862" s="5"/>
      <c r="M862" s="5"/>
      <c r="N862" s="5"/>
    </row>
    <row r="863" spans="1:14" ht="22.5" customHeight="1" x14ac:dyDescent="0.2">
      <c r="A863" s="22" t="s">
        <v>1378</v>
      </c>
      <c r="B863" s="3" t="s">
        <v>34</v>
      </c>
      <c r="C863" s="3" t="s">
        <v>1216</v>
      </c>
      <c r="D863" s="14" t="s">
        <v>2950</v>
      </c>
      <c r="E863" s="3" t="s">
        <v>1376</v>
      </c>
      <c r="F863" s="9">
        <v>45796</v>
      </c>
      <c r="G863" s="5" t="s">
        <v>37</v>
      </c>
      <c r="H863" s="5"/>
      <c r="I863" s="5" t="e">
        <f t="shared" si="3"/>
        <v>#REF!</v>
      </c>
      <c r="J863" s="5"/>
      <c r="K863" s="5"/>
      <c r="L863" s="5"/>
      <c r="M863" s="5"/>
      <c r="N863" s="5"/>
    </row>
    <row r="864" spans="1:14" ht="22.5" customHeight="1" x14ac:dyDescent="0.2">
      <c r="A864" s="22" t="s">
        <v>1379</v>
      </c>
      <c r="B864" s="3" t="s">
        <v>34</v>
      </c>
      <c r="C864" s="3" t="s">
        <v>1216</v>
      </c>
      <c r="D864" s="14" t="s">
        <v>2154</v>
      </c>
      <c r="E864" s="3" t="s">
        <v>1365</v>
      </c>
      <c r="F864" s="9">
        <v>45796</v>
      </c>
      <c r="G864" s="5" t="s">
        <v>37</v>
      </c>
      <c r="H864" s="5"/>
      <c r="I864" s="5" t="e">
        <f t="shared" si="3"/>
        <v>#REF!</v>
      </c>
      <c r="J864" s="5"/>
      <c r="K864" s="5"/>
      <c r="L864" s="5"/>
      <c r="M864" s="5"/>
      <c r="N864" s="5"/>
    </row>
    <row r="865" spans="1:14" ht="22.5" customHeight="1" x14ac:dyDescent="0.2">
      <c r="A865" s="22" t="s">
        <v>1380</v>
      </c>
      <c r="B865" s="3" t="s">
        <v>34</v>
      </c>
      <c r="C865" s="3" t="s">
        <v>1216</v>
      </c>
      <c r="D865" s="14" t="s">
        <v>2154</v>
      </c>
      <c r="E865" s="3" t="s">
        <v>1365</v>
      </c>
      <c r="F865" s="9">
        <v>45796</v>
      </c>
      <c r="G865" s="5" t="s">
        <v>37</v>
      </c>
      <c r="H865" s="5"/>
      <c r="I865" s="5" t="e">
        <f t="shared" si="3"/>
        <v>#REF!</v>
      </c>
      <c r="J865" s="5"/>
      <c r="K865" s="5"/>
      <c r="L865" s="5"/>
      <c r="M865" s="5"/>
      <c r="N865" s="5"/>
    </row>
    <row r="866" spans="1:14" ht="22.5" customHeight="1" x14ac:dyDescent="0.2">
      <c r="A866" s="22" t="s">
        <v>1381</v>
      </c>
      <c r="B866" s="3" t="s">
        <v>34</v>
      </c>
      <c r="C866" s="3" t="s">
        <v>1216</v>
      </c>
      <c r="D866" s="14" t="s">
        <v>2154</v>
      </c>
      <c r="E866" s="3" t="s">
        <v>1365</v>
      </c>
      <c r="F866" s="9">
        <v>45796</v>
      </c>
      <c r="G866" s="5" t="s">
        <v>37</v>
      </c>
      <c r="H866" s="5"/>
      <c r="I866" s="5" t="e">
        <f t="shared" si="3"/>
        <v>#REF!</v>
      </c>
      <c r="J866" s="5"/>
      <c r="K866" s="5"/>
      <c r="L866" s="5"/>
      <c r="M866" s="5"/>
      <c r="N866" s="5"/>
    </row>
    <row r="867" spans="1:14" ht="22.5" customHeight="1" x14ac:dyDescent="0.2">
      <c r="A867" s="22" t="s">
        <v>1382</v>
      </c>
      <c r="B867" s="3" t="s">
        <v>34</v>
      </c>
      <c r="C867" s="3" t="s">
        <v>1216</v>
      </c>
      <c r="D867" s="14" t="s">
        <v>2154</v>
      </c>
      <c r="E867" s="3" t="s">
        <v>1365</v>
      </c>
      <c r="F867" s="9">
        <v>45796</v>
      </c>
      <c r="G867" s="5" t="s">
        <v>2095</v>
      </c>
      <c r="H867" s="5"/>
      <c r="I867" s="5" t="e">
        <f t="shared" si="3"/>
        <v>#REF!</v>
      </c>
      <c r="J867" s="5"/>
      <c r="K867" s="5"/>
      <c r="L867" s="5"/>
      <c r="M867" s="5"/>
      <c r="N867" s="5"/>
    </row>
    <row r="868" spans="1:14" ht="22.5" customHeight="1" x14ac:dyDescent="0.2">
      <c r="A868" s="22" t="s">
        <v>1383</v>
      </c>
      <c r="B868" s="3" t="s">
        <v>34</v>
      </c>
      <c r="C868" s="3" t="s">
        <v>1216</v>
      </c>
      <c r="D868" s="14" t="s">
        <v>2951</v>
      </c>
      <c r="E868" s="3" t="s">
        <v>1384</v>
      </c>
      <c r="F868" s="9">
        <v>45796</v>
      </c>
      <c r="G868" s="5" t="s">
        <v>37</v>
      </c>
      <c r="H868" s="5"/>
      <c r="I868" s="5" t="e">
        <f t="shared" si="3"/>
        <v>#REF!</v>
      </c>
      <c r="J868" s="5"/>
      <c r="K868" s="5"/>
      <c r="L868" s="5"/>
      <c r="M868" s="5"/>
      <c r="N868" s="5"/>
    </row>
    <row r="869" spans="1:14" ht="22.5" customHeight="1" x14ac:dyDescent="0.2">
      <c r="A869" s="22" t="s">
        <v>1385</v>
      </c>
      <c r="B869" s="3" t="s">
        <v>34</v>
      </c>
      <c r="C869" s="3" t="s">
        <v>1216</v>
      </c>
      <c r="D869" s="14" t="s">
        <v>2155</v>
      </c>
      <c r="E869" s="3" t="s">
        <v>1386</v>
      </c>
      <c r="F869" s="9">
        <v>45796</v>
      </c>
      <c r="G869" s="5" t="s">
        <v>2095</v>
      </c>
      <c r="H869" s="5"/>
      <c r="I869" s="5" t="e">
        <f t="shared" si="3"/>
        <v>#REF!</v>
      </c>
      <c r="J869" s="5"/>
      <c r="K869" s="5"/>
      <c r="L869" s="5"/>
      <c r="M869" s="5"/>
      <c r="N869" s="5"/>
    </row>
    <row r="870" spans="1:14" ht="22.5" customHeight="1" x14ac:dyDescent="0.2">
      <c r="A870" s="22" t="s">
        <v>1387</v>
      </c>
      <c r="B870" s="3" t="s">
        <v>34</v>
      </c>
      <c r="C870" s="3" t="s">
        <v>1216</v>
      </c>
      <c r="D870" s="14" t="s">
        <v>2143</v>
      </c>
      <c r="E870" s="3" t="s">
        <v>391</v>
      </c>
      <c r="F870" s="9">
        <v>45793</v>
      </c>
      <c r="G870" s="5" t="s">
        <v>37</v>
      </c>
      <c r="H870" s="5"/>
      <c r="I870" s="5" t="e">
        <f t="shared" si="3"/>
        <v>#REF!</v>
      </c>
      <c r="J870" s="5"/>
      <c r="K870" s="5"/>
      <c r="L870" s="5"/>
      <c r="M870" s="5"/>
      <c r="N870" s="5"/>
    </row>
    <row r="871" spans="1:14" ht="22.5" customHeight="1" x14ac:dyDescent="0.2">
      <c r="A871" s="22" t="s">
        <v>1388</v>
      </c>
      <c r="B871" s="3" t="s">
        <v>34</v>
      </c>
      <c r="C871" s="3" t="s">
        <v>1216</v>
      </c>
      <c r="D871" s="14" t="s">
        <v>2949</v>
      </c>
      <c r="E871" s="3" t="s">
        <v>1372</v>
      </c>
      <c r="F871" s="9">
        <v>45793</v>
      </c>
      <c r="G871" s="5" t="s">
        <v>37</v>
      </c>
      <c r="H871" s="5"/>
      <c r="I871" s="5" t="e">
        <f t="shared" si="3"/>
        <v>#REF!</v>
      </c>
      <c r="J871" s="5"/>
      <c r="K871" s="5"/>
      <c r="L871" s="5"/>
      <c r="M871" s="5"/>
      <c r="N871" s="5"/>
    </row>
    <row r="872" spans="1:14" ht="22.5" customHeight="1" x14ac:dyDescent="0.2">
      <c r="A872" s="22" t="s">
        <v>1389</v>
      </c>
      <c r="B872" s="3" t="s">
        <v>34</v>
      </c>
      <c r="C872" s="3" t="s">
        <v>1216</v>
      </c>
      <c r="D872" s="14" t="s">
        <v>2952</v>
      </c>
      <c r="E872" s="3" t="s">
        <v>1390</v>
      </c>
      <c r="F872" s="9">
        <v>45793</v>
      </c>
      <c r="G872" s="5" t="s">
        <v>37</v>
      </c>
      <c r="H872" s="5"/>
      <c r="I872" s="5" t="e">
        <f t="shared" si="3"/>
        <v>#REF!</v>
      </c>
      <c r="J872" s="5"/>
      <c r="K872" s="5"/>
      <c r="L872" s="5"/>
      <c r="M872" s="5"/>
      <c r="N872" s="5"/>
    </row>
    <row r="873" spans="1:14" ht="22.5" customHeight="1" x14ac:dyDescent="0.2">
      <c r="A873" s="22" t="s">
        <v>1391</v>
      </c>
      <c r="B873" s="3" t="s">
        <v>34</v>
      </c>
      <c r="C873" s="3" t="s">
        <v>1216</v>
      </c>
      <c r="D873" s="14" t="s">
        <v>2156</v>
      </c>
      <c r="E873" s="3" t="s">
        <v>1392</v>
      </c>
      <c r="F873" s="9">
        <v>45793</v>
      </c>
      <c r="G873" s="5" t="s">
        <v>2095</v>
      </c>
      <c r="H873" s="5"/>
      <c r="I873" s="5" t="e">
        <f t="shared" si="3"/>
        <v>#REF!</v>
      </c>
      <c r="J873" s="5"/>
      <c r="K873" s="5"/>
      <c r="L873" s="5"/>
      <c r="M873" s="5"/>
      <c r="N873" s="5"/>
    </row>
    <row r="874" spans="1:14" ht="22.5" customHeight="1" x14ac:dyDescent="0.2">
      <c r="A874" s="22" t="s">
        <v>1393</v>
      </c>
      <c r="B874" s="3" t="s">
        <v>34</v>
      </c>
      <c r="C874" s="3" t="s">
        <v>1216</v>
      </c>
      <c r="D874" s="14" t="s">
        <v>2173</v>
      </c>
      <c r="E874" s="3" t="s">
        <v>184</v>
      </c>
      <c r="F874" s="9">
        <v>45792</v>
      </c>
      <c r="G874" s="5" t="s">
        <v>70</v>
      </c>
      <c r="H874" s="5"/>
      <c r="I874" s="5" t="e">
        <f t="shared" si="3"/>
        <v>#REF!</v>
      </c>
      <c r="J874" s="5"/>
      <c r="K874" s="5"/>
      <c r="L874" s="5"/>
      <c r="M874" s="5"/>
      <c r="N874" s="5"/>
    </row>
    <row r="875" spans="1:14" ht="22.5" customHeight="1" x14ac:dyDescent="0.2">
      <c r="A875" s="22" t="s">
        <v>1394</v>
      </c>
      <c r="B875" s="3" t="s">
        <v>34</v>
      </c>
      <c r="C875" s="3" t="s">
        <v>1216</v>
      </c>
      <c r="D875" s="14" t="s">
        <v>2213</v>
      </c>
      <c r="E875" s="3" t="s">
        <v>391</v>
      </c>
      <c r="F875" s="9">
        <v>45792</v>
      </c>
      <c r="G875" s="5" t="s">
        <v>1254</v>
      </c>
      <c r="H875" s="5"/>
      <c r="I875" s="5" t="e">
        <f t="shared" si="3"/>
        <v>#REF!</v>
      </c>
      <c r="J875" s="5"/>
      <c r="K875" s="5"/>
      <c r="L875" s="5"/>
      <c r="M875" s="5"/>
      <c r="N875" s="5"/>
    </row>
    <row r="876" spans="1:14" ht="22.5" customHeight="1" x14ac:dyDescent="0.2">
      <c r="A876" s="22" t="s">
        <v>1395</v>
      </c>
      <c r="B876" s="3" t="s">
        <v>34</v>
      </c>
      <c r="C876" s="3" t="s">
        <v>1216</v>
      </c>
      <c r="D876" s="14" t="s">
        <v>2323</v>
      </c>
      <c r="E876" s="3" t="s">
        <v>391</v>
      </c>
      <c r="F876" s="9">
        <v>45792</v>
      </c>
      <c r="G876" s="5" t="s">
        <v>1254</v>
      </c>
      <c r="H876" s="5"/>
      <c r="I876" s="5" t="e">
        <f t="shared" si="3"/>
        <v>#REF!</v>
      </c>
      <c r="J876" s="5"/>
      <c r="K876" s="5"/>
      <c r="L876" s="5"/>
      <c r="M876" s="5"/>
      <c r="N876" s="5"/>
    </row>
    <row r="877" spans="1:14" ht="22.5" customHeight="1" x14ac:dyDescent="0.2">
      <c r="A877" s="22" t="s">
        <v>1396</v>
      </c>
      <c r="B877" s="3" t="s">
        <v>34</v>
      </c>
      <c r="C877" s="3" t="s">
        <v>1216</v>
      </c>
      <c r="D877" s="14" t="s">
        <v>2143</v>
      </c>
      <c r="E877" s="3" t="s">
        <v>391</v>
      </c>
      <c r="F877" s="9">
        <v>45791</v>
      </c>
      <c r="G877" s="5" t="s">
        <v>37</v>
      </c>
      <c r="H877" s="5"/>
      <c r="I877" s="5" t="e">
        <f t="shared" si="3"/>
        <v>#REF!</v>
      </c>
      <c r="J877" s="5"/>
      <c r="K877" s="5"/>
      <c r="L877" s="5"/>
      <c r="M877" s="5"/>
      <c r="N877" s="5"/>
    </row>
    <row r="878" spans="1:14" ht="22.5" customHeight="1" x14ac:dyDescent="0.2">
      <c r="A878" s="22" t="s">
        <v>1397</v>
      </c>
      <c r="B878" s="3" t="s">
        <v>34</v>
      </c>
      <c r="C878" s="3" t="s">
        <v>1216</v>
      </c>
      <c r="D878" s="14" t="s">
        <v>2157</v>
      </c>
      <c r="E878" s="3" t="s">
        <v>1386</v>
      </c>
      <c r="F878" s="9">
        <v>45785</v>
      </c>
      <c r="G878" s="5" t="s">
        <v>2095</v>
      </c>
      <c r="H878" s="5"/>
      <c r="I878" s="5" t="e">
        <f t="shared" si="3"/>
        <v>#REF!</v>
      </c>
      <c r="J878" s="5"/>
      <c r="K878" s="5"/>
      <c r="L878" s="5"/>
      <c r="M878" s="5"/>
      <c r="N878" s="5"/>
    </row>
    <row r="879" spans="1:14" ht="22.5" customHeight="1" x14ac:dyDescent="0.2">
      <c r="A879" s="22" t="s">
        <v>1398</v>
      </c>
      <c r="B879" s="3" t="s">
        <v>34</v>
      </c>
      <c r="C879" s="3" t="s">
        <v>1216</v>
      </c>
      <c r="D879" s="14" t="s">
        <v>2140</v>
      </c>
      <c r="E879" s="3" t="s">
        <v>1238</v>
      </c>
      <c r="F879" s="9">
        <v>45784</v>
      </c>
      <c r="G879" s="5" t="s">
        <v>37</v>
      </c>
      <c r="H879" s="5"/>
      <c r="I879" s="5" t="e">
        <f t="shared" si="3"/>
        <v>#REF!</v>
      </c>
      <c r="J879" s="5"/>
      <c r="K879" s="5"/>
      <c r="L879" s="5"/>
      <c r="M879" s="5"/>
      <c r="N879" s="5"/>
    </row>
    <row r="880" spans="1:14" ht="22.5" customHeight="1" x14ac:dyDescent="0.2">
      <c r="A880" s="22" t="s">
        <v>1399</v>
      </c>
      <c r="B880" s="3" t="s">
        <v>34</v>
      </c>
      <c r="C880" s="3" t="s">
        <v>1216</v>
      </c>
      <c r="D880" s="14" t="s">
        <v>2334</v>
      </c>
      <c r="E880" s="3" t="s">
        <v>471</v>
      </c>
      <c r="F880" s="9">
        <v>45784</v>
      </c>
      <c r="G880" s="5" t="s">
        <v>2433</v>
      </c>
      <c r="H880" s="5"/>
      <c r="I880" s="5" t="e">
        <f t="shared" si="3"/>
        <v>#REF!</v>
      </c>
      <c r="J880" s="5"/>
      <c r="K880" s="5"/>
      <c r="L880" s="5"/>
      <c r="M880" s="5"/>
      <c r="N880" s="5"/>
    </row>
    <row r="881" spans="1:14" ht="22.5" customHeight="1" x14ac:dyDescent="0.2">
      <c r="A881" s="22" t="s">
        <v>1400</v>
      </c>
      <c r="B881" s="3" t="s">
        <v>34</v>
      </c>
      <c r="C881" s="3" t="s">
        <v>1216</v>
      </c>
      <c r="D881" s="14" t="s">
        <v>2140</v>
      </c>
      <c r="E881" s="3" t="s">
        <v>1238</v>
      </c>
      <c r="F881" s="9">
        <v>45784</v>
      </c>
      <c r="G881" s="5" t="s">
        <v>37</v>
      </c>
      <c r="H881" s="5"/>
      <c r="I881" s="5" t="e">
        <f t="shared" si="3"/>
        <v>#REF!</v>
      </c>
      <c r="J881" s="5"/>
      <c r="K881" s="5"/>
      <c r="L881" s="5"/>
      <c r="M881" s="5"/>
      <c r="N881" s="5"/>
    </row>
    <row r="882" spans="1:14" ht="22.5" customHeight="1" x14ac:dyDescent="0.2">
      <c r="A882" s="22" t="s">
        <v>1401</v>
      </c>
      <c r="B882" s="3" t="s">
        <v>34</v>
      </c>
      <c r="C882" s="3" t="s">
        <v>1216</v>
      </c>
      <c r="D882" s="14" t="s">
        <v>2158</v>
      </c>
      <c r="E882" s="3" t="s">
        <v>1402</v>
      </c>
      <c r="F882" s="9">
        <v>45783</v>
      </c>
      <c r="G882" s="5" t="s">
        <v>2095</v>
      </c>
      <c r="H882" s="5"/>
      <c r="I882" s="5" t="e">
        <f t="shared" si="3"/>
        <v>#REF!</v>
      </c>
      <c r="J882" s="5"/>
      <c r="K882" s="5"/>
      <c r="L882" s="5"/>
      <c r="M882" s="5"/>
      <c r="N882" s="5"/>
    </row>
    <row r="883" spans="1:14" ht="22.5" customHeight="1" x14ac:dyDescent="0.2">
      <c r="A883" s="22" t="s">
        <v>1403</v>
      </c>
      <c r="B883" s="3" t="s">
        <v>34</v>
      </c>
      <c r="C883" s="3" t="s">
        <v>1216</v>
      </c>
      <c r="D883" s="14" t="s">
        <v>2159</v>
      </c>
      <c r="E883" s="3" t="s">
        <v>1392</v>
      </c>
      <c r="F883" s="9">
        <v>45783</v>
      </c>
      <c r="G883" s="5" t="s">
        <v>2095</v>
      </c>
      <c r="H883" s="5"/>
      <c r="I883" s="5" t="e">
        <f t="shared" si="3"/>
        <v>#REF!</v>
      </c>
      <c r="J883" s="5"/>
      <c r="K883" s="5"/>
      <c r="L883" s="5"/>
      <c r="M883" s="5"/>
      <c r="N883" s="5"/>
    </row>
    <row r="884" spans="1:14" ht="22.5" customHeight="1" x14ac:dyDescent="0.2">
      <c r="A884" s="22" t="s">
        <v>1404</v>
      </c>
      <c r="B884" s="3" t="s">
        <v>34</v>
      </c>
      <c r="C884" s="3" t="s">
        <v>1216</v>
      </c>
      <c r="D884" s="14" t="s">
        <v>2159</v>
      </c>
      <c r="E884" s="3" t="s">
        <v>1392</v>
      </c>
      <c r="F884" s="9">
        <v>45783</v>
      </c>
      <c r="G884" s="5" t="s">
        <v>37</v>
      </c>
      <c r="H884" s="5"/>
      <c r="I884" s="5" t="e">
        <f t="shared" si="3"/>
        <v>#REF!</v>
      </c>
      <c r="J884" s="5"/>
      <c r="K884" s="5"/>
      <c r="L884" s="5"/>
      <c r="M884" s="5"/>
      <c r="N884" s="5"/>
    </row>
    <row r="885" spans="1:14" ht="22.5" customHeight="1" x14ac:dyDescent="0.2">
      <c r="A885" s="22" t="s">
        <v>1405</v>
      </c>
      <c r="B885" s="3" t="s">
        <v>34</v>
      </c>
      <c r="C885" s="3" t="s">
        <v>1216</v>
      </c>
      <c r="D885" s="14" t="s">
        <v>2160</v>
      </c>
      <c r="E885" s="3" t="s">
        <v>1406</v>
      </c>
      <c r="F885" s="9">
        <v>45783</v>
      </c>
      <c r="G885" s="5" t="s">
        <v>2095</v>
      </c>
      <c r="H885" s="5"/>
      <c r="I885" s="5" t="e">
        <f t="shared" si="3"/>
        <v>#REF!</v>
      </c>
      <c r="J885" s="5"/>
      <c r="K885" s="5"/>
      <c r="L885" s="5"/>
      <c r="M885" s="5"/>
      <c r="N885" s="5"/>
    </row>
    <row r="886" spans="1:14" ht="22.5" customHeight="1" x14ac:dyDescent="0.2">
      <c r="A886" s="22" t="s">
        <v>1408</v>
      </c>
      <c r="B886" s="3" t="s">
        <v>34</v>
      </c>
      <c r="C886" s="3" t="s">
        <v>1216</v>
      </c>
      <c r="D886" s="14" t="s">
        <v>2161</v>
      </c>
      <c r="E886" s="3" t="s">
        <v>1409</v>
      </c>
      <c r="F886" s="9">
        <v>45783</v>
      </c>
      <c r="G886" s="5" t="s">
        <v>2095</v>
      </c>
      <c r="H886" s="5"/>
      <c r="I886" s="5" t="e">
        <f t="shared" si="3"/>
        <v>#REF!</v>
      </c>
      <c r="J886" s="5"/>
      <c r="K886" s="5"/>
      <c r="L886" s="5"/>
      <c r="M886" s="5"/>
      <c r="N886" s="5"/>
    </row>
    <row r="887" spans="1:14" ht="22.5" customHeight="1" x14ac:dyDescent="0.2">
      <c r="A887" s="22" t="s">
        <v>1410</v>
      </c>
      <c r="B887" s="3" t="s">
        <v>34</v>
      </c>
      <c r="C887" s="3" t="s">
        <v>1216</v>
      </c>
      <c r="D887" s="14" t="s">
        <v>2147</v>
      </c>
      <c r="E887" s="3" t="s">
        <v>184</v>
      </c>
      <c r="F887" s="9">
        <v>45782</v>
      </c>
      <c r="G887" s="5" t="s">
        <v>70</v>
      </c>
      <c r="H887" s="5"/>
      <c r="I887" s="5" t="e">
        <f t="shared" si="3"/>
        <v>#REF!</v>
      </c>
      <c r="J887" s="5"/>
      <c r="K887" s="5"/>
      <c r="L887" s="5"/>
      <c r="M887" s="5"/>
      <c r="N887" s="5"/>
    </row>
    <row r="888" spans="1:14" ht="22.5" customHeight="1" x14ac:dyDescent="0.2">
      <c r="A888" s="22" t="s">
        <v>1411</v>
      </c>
      <c r="B888" s="3" t="s">
        <v>34</v>
      </c>
      <c r="C888" s="3" t="s">
        <v>1216</v>
      </c>
      <c r="D888" s="14" t="s">
        <v>2162</v>
      </c>
      <c r="E888" s="3" t="s">
        <v>1412</v>
      </c>
      <c r="F888" s="9">
        <v>45782</v>
      </c>
      <c r="G888" s="5" t="s">
        <v>2095</v>
      </c>
      <c r="H888" s="5"/>
      <c r="I888" s="5" t="e">
        <f t="shared" si="3"/>
        <v>#REF!</v>
      </c>
      <c r="J888" s="5"/>
      <c r="K888" s="5"/>
      <c r="L888" s="5"/>
      <c r="M888" s="5"/>
      <c r="N888" s="5"/>
    </row>
    <row r="889" spans="1:14" ht="22.5" customHeight="1" x14ac:dyDescent="0.2">
      <c r="A889" s="22" t="s">
        <v>1413</v>
      </c>
      <c r="B889" s="3" t="s">
        <v>34</v>
      </c>
      <c r="C889" s="3" t="s">
        <v>1216</v>
      </c>
      <c r="D889" s="14" t="s">
        <v>2453</v>
      </c>
      <c r="E889" s="3" t="s">
        <v>662</v>
      </c>
      <c r="F889" s="9">
        <v>45776</v>
      </c>
      <c r="G889" s="5" t="s">
        <v>2433</v>
      </c>
      <c r="H889" s="5"/>
      <c r="I889" s="5" t="e">
        <f t="shared" si="3"/>
        <v>#REF!</v>
      </c>
      <c r="J889" s="5"/>
      <c r="K889" s="5"/>
      <c r="L889" s="5"/>
      <c r="M889" s="5"/>
      <c r="N889" s="5"/>
    </row>
    <row r="890" spans="1:14" ht="22.5" customHeight="1" x14ac:dyDescent="0.2">
      <c r="A890" s="22" t="s">
        <v>1414</v>
      </c>
      <c r="B890" s="3" t="s">
        <v>34</v>
      </c>
      <c r="C890" s="3" t="s">
        <v>1216</v>
      </c>
      <c r="D890" s="14" t="s">
        <v>2163</v>
      </c>
      <c r="E890" s="3" t="s">
        <v>1415</v>
      </c>
      <c r="F890" s="9">
        <v>45774</v>
      </c>
      <c r="G890" s="5" t="s">
        <v>2095</v>
      </c>
      <c r="H890" s="5"/>
      <c r="I890" s="5" t="e">
        <f t="shared" si="3"/>
        <v>#REF!</v>
      </c>
      <c r="J890" s="5"/>
      <c r="K890" s="5"/>
      <c r="L890" s="5"/>
      <c r="M890" s="5"/>
      <c r="N890" s="5"/>
    </row>
    <row r="891" spans="1:14" ht="22.5" customHeight="1" x14ac:dyDescent="0.2">
      <c r="A891" s="22" t="s">
        <v>1416</v>
      </c>
      <c r="B891" s="3" t="s">
        <v>34</v>
      </c>
      <c r="C891" s="3" t="s">
        <v>1216</v>
      </c>
      <c r="D891" s="14" t="s">
        <v>2164</v>
      </c>
      <c r="E891" s="3" t="s">
        <v>1347</v>
      </c>
      <c r="F891" s="9">
        <v>45774</v>
      </c>
      <c r="G891" s="5" t="s">
        <v>2095</v>
      </c>
      <c r="H891" s="5"/>
      <c r="I891" s="5" t="e">
        <f t="shared" si="3"/>
        <v>#REF!</v>
      </c>
      <c r="J891" s="5"/>
      <c r="K891" s="5"/>
      <c r="L891" s="5"/>
      <c r="M891" s="5"/>
      <c r="N891" s="5"/>
    </row>
    <row r="892" spans="1:14" ht="22.5" customHeight="1" x14ac:dyDescent="0.2">
      <c r="A892" s="22" t="s">
        <v>1418</v>
      </c>
      <c r="B892" s="3" t="s">
        <v>34</v>
      </c>
      <c r="C892" s="3" t="s">
        <v>1216</v>
      </c>
      <c r="D892" s="14" t="s">
        <v>2953</v>
      </c>
      <c r="E892" s="3" t="s">
        <v>1419</v>
      </c>
      <c r="F892" s="9">
        <v>45774</v>
      </c>
      <c r="G892" s="5" t="s">
        <v>1254</v>
      </c>
      <c r="H892" s="5"/>
      <c r="I892" s="5" t="e">
        <f t="shared" si="3"/>
        <v>#REF!</v>
      </c>
      <c r="J892" s="5"/>
      <c r="K892" s="5"/>
      <c r="L892" s="5"/>
      <c r="M892" s="5"/>
      <c r="N892" s="5"/>
    </row>
    <row r="893" spans="1:14" ht="22.5" customHeight="1" x14ac:dyDescent="0.2">
      <c r="A893" s="22" t="s">
        <v>1420</v>
      </c>
      <c r="B893" s="3" t="s">
        <v>34</v>
      </c>
      <c r="C893" s="3" t="s">
        <v>1216</v>
      </c>
      <c r="D893" s="14" t="s">
        <v>2943</v>
      </c>
      <c r="E893" s="3" t="s">
        <v>1306</v>
      </c>
      <c r="F893" s="9">
        <v>45770</v>
      </c>
      <c r="G893" s="5" t="s">
        <v>1254</v>
      </c>
      <c r="H893" s="5"/>
      <c r="I893" s="5" t="e">
        <f t="shared" si="3"/>
        <v>#REF!</v>
      </c>
      <c r="J893" s="5"/>
      <c r="K893" s="5"/>
      <c r="L893" s="5"/>
      <c r="M893" s="5"/>
      <c r="N893" s="5"/>
    </row>
    <row r="894" spans="1:14" ht="22.5" customHeight="1" x14ac:dyDescent="0.2">
      <c r="A894" s="22" t="s">
        <v>1421</v>
      </c>
      <c r="B894" s="3" t="s">
        <v>34</v>
      </c>
      <c r="C894" s="3" t="s">
        <v>1216</v>
      </c>
      <c r="D894" s="14" t="s">
        <v>2165</v>
      </c>
      <c r="E894" s="3" t="s">
        <v>1347</v>
      </c>
      <c r="F894" s="9">
        <v>45770</v>
      </c>
      <c r="G894" s="5" t="s">
        <v>2095</v>
      </c>
      <c r="H894" s="5"/>
      <c r="I894" s="5" t="e">
        <f t="shared" si="3"/>
        <v>#REF!</v>
      </c>
      <c r="J894" s="5"/>
      <c r="K894" s="5"/>
      <c r="L894" s="5"/>
      <c r="M894" s="5"/>
      <c r="N894" s="5"/>
    </row>
    <row r="895" spans="1:14" ht="22.5" customHeight="1" x14ac:dyDescent="0.2">
      <c r="A895" s="22" t="s">
        <v>1422</v>
      </c>
      <c r="B895" s="3" t="s">
        <v>34</v>
      </c>
      <c r="C895" s="3" t="s">
        <v>1216</v>
      </c>
      <c r="D895" s="14" t="s">
        <v>2165</v>
      </c>
      <c r="E895" s="3" t="s">
        <v>1347</v>
      </c>
      <c r="F895" s="9">
        <v>45770</v>
      </c>
      <c r="G895" s="5" t="s">
        <v>2095</v>
      </c>
      <c r="H895" s="5"/>
      <c r="I895" s="5" t="e">
        <f t="shared" si="3"/>
        <v>#REF!</v>
      </c>
      <c r="J895" s="5"/>
      <c r="K895" s="5"/>
      <c r="L895" s="5"/>
      <c r="M895" s="5"/>
      <c r="N895" s="5"/>
    </row>
    <row r="896" spans="1:14" ht="22.5" customHeight="1" x14ac:dyDescent="0.2">
      <c r="A896" s="22" t="s">
        <v>1423</v>
      </c>
      <c r="B896" s="3" t="s">
        <v>34</v>
      </c>
      <c r="C896" s="3" t="s">
        <v>1216</v>
      </c>
      <c r="D896" s="14" t="s">
        <v>2954</v>
      </c>
      <c r="E896" s="3" t="s">
        <v>1424</v>
      </c>
      <c r="F896" s="9">
        <v>45770</v>
      </c>
      <c r="G896" s="5" t="s">
        <v>37</v>
      </c>
      <c r="H896" s="5"/>
      <c r="I896" s="5" t="e">
        <f t="shared" si="3"/>
        <v>#REF!</v>
      </c>
      <c r="J896" s="5"/>
      <c r="K896" s="5"/>
      <c r="L896" s="5"/>
      <c r="M896" s="5"/>
      <c r="N896" s="5"/>
    </row>
    <row r="897" spans="1:14" ht="22.5" customHeight="1" x14ac:dyDescent="0.2">
      <c r="A897" s="22" t="s">
        <v>1425</v>
      </c>
      <c r="B897" s="3" t="s">
        <v>34</v>
      </c>
      <c r="C897" s="3" t="s">
        <v>1216</v>
      </c>
      <c r="D897" s="14" t="s">
        <v>2155</v>
      </c>
      <c r="E897" s="3" t="s">
        <v>1386</v>
      </c>
      <c r="F897" s="9">
        <v>45763</v>
      </c>
      <c r="G897" s="5" t="s">
        <v>2433</v>
      </c>
      <c r="H897" s="5"/>
      <c r="I897" s="5" t="e">
        <f t="shared" si="3"/>
        <v>#REF!</v>
      </c>
      <c r="J897" s="5"/>
      <c r="K897" s="5"/>
      <c r="L897" s="5"/>
      <c r="M897" s="5"/>
      <c r="N897" s="5"/>
    </row>
    <row r="898" spans="1:14" ht="22.5" customHeight="1" x14ac:dyDescent="0.2">
      <c r="A898" s="22" t="s">
        <v>1426</v>
      </c>
      <c r="B898" s="3" t="s">
        <v>34</v>
      </c>
      <c r="C898" s="3" t="s">
        <v>1216</v>
      </c>
      <c r="D898" s="14" t="s">
        <v>2166</v>
      </c>
      <c r="E898" s="3" t="s">
        <v>184</v>
      </c>
      <c r="F898" s="9">
        <v>45763</v>
      </c>
      <c r="G898" s="5" t="s">
        <v>2095</v>
      </c>
      <c r="H898" s="5"/>
      <c r="I898" s="5" t="e">
        <f t="shared" si="3"/>
        <v>#REF!</v>
      </c>
      <c r="J898" s="5"/>
      <c r="K898" s="5"/>
      <c r="L898" s="5"/>
      <c r="M898" s="5"/>
      <c r="N898" s="5"/>
    </row>
    <row r="899" spans="1:14" ht="22.5" customHeight="1" x14ac:dyDescent="0.2">
      <c r="A899" s="22" t="s">
        <v>1428</v>
      </c>
      <c r="B899" s="3" t="s">
        <v>34</v>
      </c>
      <c r="C899" s="3" t="s">
        <v>1216</v>
      </c>
      <c r="D899" s="14" t="s">
        <v>2955</v>
      </c>
      <c r="E899" s="3" t="s">
        <v>1429</v>
      </c>
      <c r="F899" s="9">
        <v>45762</v>
      </c>
      <c r="G899" s="5" t="s">
        <v>37</v>
      </c>
      <c r="H899" s="5"/>
      <c r="I899" s="5" t="e">
        <f t="shared" si="3"/>
        <v>#REF!</v>
      </c>
      <c r="J899" s="5"/>
      <c r="K899" s="5"/>
      <c r="L899" s="5"/>
      <c r="M899" s="5"/>
      <c r="N899" s="5"/>
    </row>
    <row r="900" spans="1:14" ht="22.5" customHeight="1" x14ac:dyDescent="0.2">
      <c r="A900" s="22" t="s">
        <v>1430</v>
      </c>
      <c r="B900" s="3" t="s">
        <v>34</v>
      </c>
      <c r="C900" s="3" t="s">
        <v>1216</v>
      </c>
      <c r="D900" s="14" t="s">
        <v>2956</v>
      </c>
      <c r="E900" s="3" t="s">
        <v>1308</v>
      </c>
      <c r="F900" s="9">
        <v>45762</v>
      </c>
      <c r="G900" s="5" t="s">
        <v>1254</v>
      </c>
      <c r="H900" s="5"/>
      <c r="I900" s="5" t="e">
        <f t="shared" si="3"/>
        <v>#REF!</v>
      </c>
      <c r="J900" s="5"/>
      <c r="K900" s="5"/>
      <c r="L900" s="5"/>
      <c r="M900" s="5"/>
      <c r="N900" s="5"/>
    </row>
    <row r="901" spans="1:14" ht="22.5" customHeight="1" x14ac:dyDescent="0.2">
      <c r="A901" s="22" t="s">
        <v>1431</v>
      </c>
      <c r="B901" s="3" t="s">
        <v>34</v>
      </c>
      <c r="C901" s="3" t="s">
        <v>1216</v>
      </c>
      <c r="D901" s="14" t="s">
        <v>2957</v>
      </c>
      <c r="E901" s="3" t="s">
        <v>1432</v>
      </c>
      <c r="F901" s="9">
        <v>45761</v>
      </c>
      <c r="G901" s="5" t="s">
        <v>37</v>
      </c>
      <c r="H901" s="5"/>
      <c r="I901" s="5" t="e">
        <f t="shared" si="3"/>
        <v>#REF!</v>
      </c>
      <c r="J901" s="5"/>
      <c r="K901" s="5"/>
      <c r="L901" s="5"/>
      <c r="M901" s="5"/>
      <c r="N901" s="5"/>
    </row>
    <row r="902" spans="1:14" ht="22.5" customHeight="1" x14ac:dyDescent="0.2">
      <c r="A902" s="22" t="s">
        <v>1433</v>
      </c>
      <c r="B902" s="3" t="s">
        <v>34</v>
      </c>
      <c r="C902" s="3" t="s">
        <v>1216</v>
      </c>
      <c r="D902" s="14" t="s">
        <v>2167</v>
      </c>
      <c r="E902" s="3" t="s">
        <v>1434</v>
      </c>
      <c r="F902" s="9">
        <v>45761</v>
      </c>
      <c r="G902" s="5" t="s">
        <v>2095</v>
      </c>
      <c r="H902" s="5"/>
      <c r="I902" s="5" t="e">
        <f t="shared" si="3"/>
        <v>#REF!</v>
      </c>
      <c r="J902" s="5"/>
      <c r="K902" s="5"/>
      <c r="L902" s="5"/>
      <c r="M902" s="5"/>
      <c r="N902" s="5"/>
    </row>
    <row r="903" spans="1:14" ht="22.5" customHeight="1" x14ac:dyDescent="0.2">
      <c r="A903" s="22" t="s">
        <v>1435</v>
      </c>
      <c r="B903" s="3" t="s">
        <v>34</v>
      </c>
      <c r="C903" s="3" t="s">
        <v>1216</v>
      </c>
      <c r="D903" s="14" t="s">
        <v>2168</v>
      </c>
      <c r="E903" s="3" t="s">
        <v>1436</v>
      </c>
      <c r="F903" s="9">
        <v>45761</v>
      </c>
      <c r="G903" s="5" t="s">
        <v>2095</v>
      </c>
      <c r="H903" s="5"/>
      <c r="I903" s="5" t="e">
        <f t="shared" si="3"/>
        <v>#REF!</v>
      </c>
      <c r="J903" s="5"/>
      <c r="K903" s="5"/>
      <c r="L903" s="5"/>
      <c r="M903" s="5"/>
      <c r="N903" s="5"/>
    </row>
    <row r="904" spans="1:14" ht="22.5" customHeight="1" x14ac:dyDescent="0.2">
      <c r="A904" s="22" t="s">
        <v>1437</v>
      </c>
      <c r="B904" s="3" t="s">
        <v>34</v>
      </c>
      <c r="C904" s="3" t="s">
        <v>1216</v>
      </c>
      <c r="D904" s="14" t="s">
        <v>2169</v>
      </c>
      <c r="E904" s="3" t="s">
        <v>1436</v>
      </c>
      <c r="F904" s="9">
        <v>45761</v>
      </c>
      <c r="G904" s="5" t="s">
        <v>2095</v>
      </c>
      <c r="H904" s="5"/>
      <c r="I904" s="5" t="e">
        <f t="shared" si="3"/>
        <v>#REF!</v>
      </c>
      <c r="J904" s="5"/>
      <c r="K904" s="5"/>
      <c r="L904" s="5"/>
      <c r="M904" s="5"/>
      <c r="N904" s="5"/>
    </row>
    <row r="905" spans="1:14" ht="22.5" customHeight="1" x14ac:dyDescent="0.2">
      <c r="A905" s="22" t="s">
        <v>1438</v>
      </c>
      <c r="B905" s="3" t="s">
        <v>34</v>
      </c>
      <c r="C905" s="3" t="s">
        <v>1216</v>
      </c>
      <c r="D905" s="14" t="s">
        <v>2108</v>
      </c>
      <c r="E905" s="3" t="s">
        <v>121</v>
      </c>
      <c r="F905" s="9">
        <v>45761</v>
      </c>
      <c r="G905" s="5" t="s">
        <v>2095</v>
      </c>
      <c r="H905" s="5"/>
      <c r="I905" s="5" t="e">
        <f t="shared" si="3"/>
        <v>#REF!</v>
      </c>
      <c r="J905" s="5"/>
      <c r="K905" s="5"/>
      <c r="L905" s="5"/>
      <c r="M905" s="5"/>
      <c r="N905" s="5"/>
    </row>
    <row r="906" spans="1:14" ht="22.5" customHeight="1" x14ac:dyDescent="0.2">
      <c r="A906" s="22" t="s">
        <v>1439</v>
      </c>
      <c r="B906" s="3" t="s">
        <v>34</v>
      </c>
      <c r="C906" s="3" t="s">
        <v>1216</v>
      </c>
      <c r="D906" s="14" t="s">
        <v>2170</v>
      </c>
      <c r="E906" s="3" t="s">
        <v>228</v>
      </c>
      <c r="F906" s="9">
        <v>45757</v>
      </c>
      <c r="G906" s="5" t="s">
        <v>2095</v>
      </c>
      <c r="H906" s="5"/>
      <c r="I906" s="5" t="e">
        <f t="shared" si="3"/>
        <v>#REF!</v>
      </c>
      <c r="J906" s="5"/>
      <c r="K906" s="5"/>
      <c r="L906" s="5"/>
      <c r="M906" s="5"/>
      <c r="N906" s="5"/>
    </row>
    <row r="907" spans="1:14" ht="22.5" customHeight="1" x14ac:dyDescent="0.2">
      <c r="A907" s="22" t="s">
        <v>1441</v>
      </c>
      <c r="B907" s="3" t="s">
        <v>34</v>
      </c>
      <c r="C907" s="3" t="s">
        <v>1216</v>
      </c>
      <c r="D907" s="14" t="s">
        <v>2167</v>
      </c>
      <c r="E907" s="3" t="s">
        <v>1434</v>
      </c>
      <c r="F907" s="9">
        <v>45756</v>
      </c>
      <c r="G907" s="5" t="s">
        <v>70</v>
      </c>
      <c r="H907" s="5"/>
      <c r="I907" s="5" t="e">
        <f t="shared" si="3"/>
        <v>#REF!</v>
      </c>
      <c r="J907" s="5"/>
      <c r="K907" s="5"/>
      <c r="L907" s="5"/>
      <c r="M907" s="5"/>
      <c r="N907" s="5"/>
    </row>
    <row r="908" spans="1:14" ht="22.5" customHeight="1" x14ac:dyDescent="0.2">
      <c r="A908" s="22" t="s">
        <v>1442</v>
      </c>
      <c r="B908" s="3" t="s">
        <v>34</v>
      </c>
      <c r="C908" s="3" t="s">
        <v>1216</v>
      </c>
      <c r="D908" s="14" t="s">
        <v>2171</v>
      </c>
      <c r="E908" s="3" t="s">
        <v>228</v>
      </c>
      <c r="F908" s="9">
        <v>45756</v>
      </c>
      <c r="G908" s="5" t="s">
        <v>2095</v>
      </c>
      <c r="H908" s="5"/>
      <c r="I908" s="5" t="e">
        <f t="shared" si="3"/>
        <v>#REF!</v>
      </c>
      <c r="J908" s="5"/>
      <c r="K908" s="5"/>
      <c r="L908" s="5"/>
      <c r="M908" s="5"/>
      <c r="N908" s="5"/>
    </row>
    <row r="909" spans="1:14" ht="22.5" customHeight="1" x14ac:dyDescent="0.2">
      <c r="A909" s="22" t="s">
        <v>1444</v>
      </c>
      <c r="B909" s="3" t="s">
        <v>34</v>
      </c>
      <c r="C909" s="3" t="s">
        <v>1216</v>
      </c>
      <c r="D909" s="14" t="s">
        <v>2172</v>
      </c>
      <c r="E909" s="3" t="s">
        <v>184</v>
      </c>
      <c r="F909" s="9">
        <v>45756</v>
      </c>
      <c r="G909" s="5" t="s">
        <v>2095</v>
      </c>
      <c r="H909" s="5"/>
      <c r="I909" s="5" t="e">
        <f t="shared" si="3"/>
        <v>#REF!</v>
      </c>
      <c r="J909" s="5"/>
      <c r="K909" s="5"/>
      <c r="L909" s="5"/>
      <c r="M909" s="5"/>
      <c r="N909" s="5"/>
    </row>
    <row r="910" spans="1:14" ht="22.5" customHeight="1" x14ac:dyDescent="0.2">
      <c r="A910" s="22" t="s">
        <v>1445</v>
      </c>
      <c r="B910" s="3" t="s">
        <v>34</v>
      </c>
      <c r="C910" s="3" t="s">
        <v>1216</v>
      </c>
      <c r="D910" s="14" t="s">
        <v>2143</v>
      </c>
      <c r="E910" s="3" t="s">
        <v>391</v>
      </c>
      <c r="F910" s="9">
        <v>45756</v>
      </c>
      <c r="G910" s="5" t="s">
        <v>2095</v>
      </c>
      <c r="H910" s="5"/>
      <c r="I910" s="5" t="e">
        <f t="shared" si="3"/>
        <v>#REF!</v>
      </c>
      <c r="J910" s="5"/>
      <c r="K910" s="5"/>
      <c r="L910" s="5"/>
      <c r="M910" s="5"/>
      <c r="N910" s="5"/>
    </row>
    <row r="911" spans="1:14" ht="22.5" customHeight="1" x14ac:dyDescent="0.2">
      <c r="A911" s="22" t="s">
        <v>1446</v>
      </c>
      <c r="B911" s="3" t="s">
        <v>34</v>
      </c>
      <c r="C911" s="3" t="s">
        <v>1216</v>
      </c>
      <c r="D911" s="14" t="s">
        <v>2958</v>
      </c>
      <c r="E911" s="3" t="s">
        <v>391</v>
      </c>
      <c r="F911" s="9">
        <v>45756</v>
      </c>
      <c r="G911" s="5" t="s">
        <v>37</v>
      </c>
      <c r="H911" s="5"/>
      <c r="I911" s="5" t="e">
        <f t="shared" si="3"/>
        <v>#REF!</v>
      </c>
      <c r="J911" s="5"/>
      <c r="K911" s="5"/>
      <c r="L911" s="5"/>
      <c r="M911" s="5"/>
      <c r="N911" s="5"/>
    </row>
    <row r="912" spans="1:14" ht="22.5" customHeight="1" x14ac:dyDescent="0.2">
      <c r="A912" s="22" t="s">
        <v>1447</v>
      </c>
      <c r="B912" s="3" t="s">
        <v>34</v>
      </c>
      <c r="C912" s="3" t="s">
        <v>1216</v>
      </c>
      <c r="D912" s="14" t="s">
        <v>2173</v>
      </c>
      <c r="E912" s="3" t="s">
        <v>184</v>
      </c>
      <c r="F912" s="9">
        <v>45756</v>
      </c>
      <c r="G912" s="5" t="s">
        <v>2095</v>
      </c>
      <c r="H912" s="5"/>
      <c r="I912" s="5" t="e">
        <f t="shared" si="3"/>
        <v>#REF!</v>
      </c>
      <c r="J912" s="5"/>
      <c r="K912" s="5"/>
      <c r="L912" s="5"/>
      <c r="M912" s="5"/>
      <c r="N912" s="5"/>
    </row>
    <row r="913" spans="1:14" ht="22.5" customHeight="1" x14ac:dyDescent="0.2">
      <c r="A913" s="22" t="s">
        <v>1449</v>
      </c>
      <c r="B913" s="3" t="s">
        <v>34</v>
      </c>
      <c r="C913" s="3" t="s">
        <v>1216</v>
      </c>
      <c r="D913" s="14" t="s">
        <v>2959</v>
      </c>
      <c r="E913" s="3" t="s">
        <v>1450</v>
      </c>
      <c r="F913" s="9">
        <v>45755</v>
      </c>
      <c r="G913" s="5" t="s">
        <v>153</v>
      </c>
      <c r="H913" s="5"/>
      <c r="I913" s="5" t="e">
        <f t="shared" si="3"/>
        <v>#REF!</v>
      </c>
      <c r="J913" s="5"/>
      <c r="K913" s="5"/>
      <c r="L913" s="5"/>
      <c r="M913" s="5"/>
      <c r="N913" s="5"/>
    </row>
    <row r="914" spans="1:14" ht="22.5" customHeight="1" x14ac:dyDescent="0.2">
      <c r="A914" s="22" t="s">
        <v>1451</v>
      </c>
      <c r="B914" s="3" t="s">
        <v>34</v>
      </c>
      <c r="C914" s="3" t="s">
        <v>1216</v>
      </c>
      <c r="D914" s="14" t="s">
        <v>2960</v>
      </c>
      <c r="E914" s="3" t="s">
        <v>1452</v>
      </c>
      <c r="F914" s="9">
        <v>45751</v>
      </c>
      <c r="G914" s="5" t="s">
        <v>1254</v>
      </c>
      <c r="H914" s="5"/>
      <c r="I914" s="5" t="e">
        <f t="shared" si="3"/>
        <v>#REF!</v>
      </c>
      <c r="J914" s="5"/>
      <c r="K914" s="5"/>
      <c r="L914" s="5"/>
      <c r="M914" s="5"/>
      <c r="N914" s="5"/>
    </row>
    <row r="915" spans="1:14" ht="22.5" customHeight="1" x14ac:dyDescent="0.2">
      <c r="A915" s="22" t="s">
        <v>1453</v>
      </c>
      <c r="B915" s="3" t="s">
        <v>34</v>
      </c>
      <c r="C915" s="3" t="s">
        <v>1216</v>
      </c>
      <c r="D915" s="14" t="s">
        <v>2961</v>
      </c>
      <c r="E915" s="3" t="s">
        <v>1452</v>
      </c>
      <c r="F915" s="9">
        <v>45751</v>
      </c>
      <c r="G915" s="5" t="s">
        <v>153</v>
      </c>
      <c r="H915" s="5"/>
      <c r="I915" s="5" t="e">
        <f t="shared" si="3"/>
        <v>#REF!</v>
      </c>
      <c r="J915" s="5"/>
      <c r="K915" s="5"/>
      <c r="L915" s="5"/>
      <c r="M915" s="5"/>
      <c r="N915" s="5"/>
    </row>
    <row r="916" spans="1:14" ht="22.5" customHeight="1" x14ac:dyDescent="0.2">
      <c r="A916" s="22" t="s">
        <v>1454</v>
      </c>
      <c r="B916" s="3" t="s">
        <v>34</v>
      </c>
      <c r="C916" s="3" t="s">
        <v>1216</v>
      </c>
      <c r="D916" s="14" t="s">
        <v>2962</v>
      </c>
      <c r="E916" s="3" t="s">
        <v>1452</v>
      </c>
      <c r="F916" s="9">
        <v>45751</v>
      </c>
      <c r="G916" s="5" t="s">
        <v>37</v>
      </c>
      <c r="H916" s="5"/>
      <c r="I916" s="5" t="e">
        <f t="shared" si="3"/>
        <v>#REF!</v>
      </c>
      <c r="J916" s="5"/>
      <c r="K916" s="5"/>
      <c r="L916" s="5"/>
      <c r="M916" s="5"/>
      <c r="N916" s="5"/>
    </row>
    <row r="917" spans="1:14" ht="22.5" customHeight="1" x14ac:dyDescent="0.2">
      <c r="A917" s="22" t="s">
        <v>1455</v>
      </c>
      <c r="B917" s="3" t="s">
        <v>34</v>
      </c>
      <c r="C917" s="3" t="s">
        <v>1216</v>
      </c>
      <c r="D917" s="14" t="s">
        <v>2963</v>
      </c>
      <c r="E917" s="3" t="s">
        <v>1452</v>
      </c>
      <c r="F917" s="9">
        <v>45751</v>
      </c>
      <c r="G917" s="5" t="s">
        <v>37</v>
      </c>
      <c r="H917" s="5"/>
      <c r="I917" s="5" t="e">
        <f t="shared" si="3"/>
        <v>#REF!</v>
      </c>
      <c r="J917" s="5"/>
      <c r="K917" s="5"/>
      <c r="L917" s="5"/>
      <c r="M917" s="5"/>
      <c r="N917" s="5"/>
    </row>
    <row r="918" spans="1:14" ht="22.5" customHeight="1" x14ac:dyDescent="0.2">
      <c r="A918" s="22" t="s">
        <v>1456</v>
      </c>
      <c r="B918" s="3" t="s">
        <v>34</v>
      </c>
      <c r="C918" s="3" t="s">
        <v>1216</v>
      </c>
      <c r="D918" s="14" t="s">
        <v>2964</v>
      </c>
      <c r="E918" s="3" t="s">
        <v>1452</v>
      </c>
      <c r="F918" s="9">
        <v>45751</v>
      </c>
      <c r="G918" s="5" t="s">
        <v>37</v>
      </c>
      <c r="H918" s="5"/>
      <c r="I918" s="5" t="e">
        <f t="shared" si="3"/>
        <v>#REF!</v>
      </c>
      <c r="J918" s="5"/>
      <c r="K918" s="5"/>
      <c r="L918" s="5"/>
      <c r="M918" s="5"/>
      <c r="N918" s="5"/>
    </row>
    <row r="919" spans="1:14" ht="22.5" customHeight="1" x14ac:dyDescent="0.2">
      <c r="A919" s="22" t="s">
        <v>1457</v>
      </c>
      <c r="B919" s="3" t="s">
        <v>34</v>
      </c>
      <c r="C919" s="3" t="s">
        <v>1216</v>
      </c>
      <c r="D919" s="14" t="s">
        <v>2965</v>
      </c>
      <c r="E919" s="3" t="s">
        <v>1452</v>
      </c>
      <c r="F919" s="9">
        <v>45751</v>
      </c>
      <c r="G919" s="5" t="s">
        <v>37</v>
      </c>
      <c r="H919" s="5"/>
      <c r="I919" s="5" t="e">
        <f t="shared" si="3"/>
        <v>#REF!</v>
      </c>
      <c r="J919" s="5"/>
      <c r="K919" s="5"/>
      <c r="L919" s="5"/>
      <c r="M919" s="5"/>
      <c r="N919" s="5"/>
    </row>
    <row r="920" spans="1:14" ht="22.5" customHeight="1" x14ac:dyDescent="0.2">
      <c r="A920" s="22" t="s">
        <v>1458</v>
      </c>
      <c r="B920" s="3" t="s">
        <v>34</v>
      </c>
      <c r="C920" s="3" t="s">
        <v>1216</v>
      </c>
      <c r="D920" s="14" t="s">
        <v>2966</v>
      </c>
      <c r="E920" s="3" t="s">
        <v>1452</v>
      </c>
      <c r="F920" s="9">
        <v>45751</v>
      </c>
      <c r="G920" s="5" t="s">
        <v>153</v>
      </c>
      <c r="H920" s="5"/>
      <c r="I920" s="5" t="e">
        <f t="shared" si="3"/>
        <v>#REF!</v>
      </c>
      <c r="J920" s="5"/>
      <c r="K920" s="5"/>
      <c r="L920" s="5"/>
      <c r="M920" s="5"/>
      <c r="N920" s="5"/>
    </row>
    <row r="921" spans="1:14" ht="22.5" customHeight="1" x14ac:dyDescent="0.2">
      <c r="A921" s="22" t="s">
        <v>1459</v>
      </c>
      <c r="B921" s="3" t="s">
        <v>34</v>
      </c>
      <c r="C921" s="3" t="s">
        <v>1216</v>
      </c>
      <c r="D921" s="14" t="s">
        <v>2967</v>
      </c>
      <c r="E921" s="3" t="s">
        <v>1452</v>
      </c>
      <c r="F921" s="9">
        <v>45751</v>
      </c>
      <c r="G921" s="5" t="s">
        <v>37</v>
      </c>
      <c r="H921" s="5"/>
      <c r="I921" s="5" t="e">
        <f t="shared" si="3"/>
        <v>#REF!</v>
      </c>
      <c r="J921" s="5"/>
      <c r="K921" s="5"/>
      <c r="L921" s="5"/>
      <c r="M921" s="5"/>
      <c r="N921" s="5"/>
    </row>
    <row r="922" spans="1:14" ht="22.5" customHeight="1" x14ac:dyDescent="0.2">
      <c r="A922" s="22" t="s">
        <v>1460</v>
      </c>
      <c r="B922" s="3" t="s">
        <v>34</v>
      </c>
      <c r="C922" s="3" t="s">
        <v>1216</v>
      </c>
      <c r="D922" s="14" t="s">
        <v>2968</v>
      </c>
      <c r="E922" s="3" t="s">
        <v>1461</v>
      </c>
      <c r="F922" s="9">
        <v>45751</v>
      </c>
      <c r="G922" s="5" t="s">
        <v>153</v>
      </c>
      <c r="H922" s="5"/>
      <c r="I922" s="5" t="e">
        <f t="shared" si="3"/>
        <v>#REF!</v>
      </c>
      <c r="J922" s="5"/>
      <c r="K922" s="5"/>
      <c r="L922" s="5"/>
      <c r="M922" s="5"/>
      <c r="N922" s="5"/>
    </row>
    <row r="923" spans="1:14" ht="22.5" customHeight="1" x14ac:dyDescent="0.2">
      <c r="A923" s="22" t="s">
        <v>1462</v>
      </c>
      <c r="B923" s="3" t="s">
        <v>34</v>
      </c>
      <c r="C923" s="3" t="s">
        <v>1216</v>
      </c>
      <c r="D923" s="14" t="s">
        <v>2969</v>
      </c>
      <c r="E923" s="3" t="s">
        <v>1461</v>
      </c>
      <c r="F923" s="9">
        <v>45751</v>
      </c>
      <c r="G923" s="5" t="s">
        <v>153</v>
      </c>
      <c r="H923" s="5"/>
      <c r="I923" s="5" t="e">
        <f t="shared" si="3"/>
        <v>#REF!</v>
      </c>
      <c r="J923" s="5"/>
      <c r="K923" s="5"/>
      <c r="L923" s="5"/>
      <c r="M923" s="5"/>
      <c r="N923" s="5"/>
    </row>
    <row r="924" spans="1:14" ht="22.5" customHeight="1" x14ac:dyDescent="0.2">
      <c r="A924" s="22" t="s">
        <v>1463</v>
      </c>
      <c r="B924" s="3" t="s">
        <v>34</v>
      </c>
      <c r="C924" s="3" t="s">
        <v>1216</v>
      </c>
      <c r="D924" s="14" t="s">
        <v>2970</v>
      </c>
      <c r="E924" s="3" t="s">
        <v>1461</v>
      </c>
      <c r="F924" s="9">
        <v>45751</v>
      </c>
      <c r="G924" s="5" t="s">
        <v>153</v>
      </c>
      <c r="H924" s="5"/>
      <c r="I924" s="5" t="e">
        <f t="shared" si="3"/>
        <v>#REF!</v>
      </c>
      <c r="J924" s="5"/>
      <c r="K924" s="5"/>
      <c r="L924" s="5"/>
      <c r="M924" s="5"/>
      <c r="N924" s="5"/>
    </row>
    <row r="925" spans="1:14" ht="22.5" customHeight="1" x14ac:dyDescent="0.2">
      <c r="A925" s="22" t="s">
        <v>1464</v>
      </c>
      <c r="B925" s="3" t="s">
        <v>34</v>
      </c>
      <c r="C925" s="3" t="s">
        <v>1216</v>
      </c>
      <c r="D925" s="14" t="s">
        <v>2971</v>
      </c>
      <c r="E925" s="3" t="s">
        <v>1461</v>
      </c>
      <c r="F925" s="9">
        <v>45751</v>
      </c>
      <c r="G925" s="5" t="s">
        <v>153</v>
      </c>
      <c r="H925" s="5"/>
      <c r="I925" s="5" t="e">
        <f t="shared" si="3"/>
        <v>#REF!</v>
      </c>
      <c r="J925" s="5"/>
      <c r="K925" s="5"/>
      <c r="L925" s="5"/>
      <c r="M925" s="5"/>
      <c r="N925" s="5"/>
    </row>
    <row r="926" spans="1:14" ht="22.5" customHeight="1" x14ac:dyDescent="0.2">
      <c r="A926" s="22" t="s">
        <v>1465</v>
      </c>
      <c r="B926" s="3" t="s">
        <v>34</v>
      </c>
      <c r="C926" s="3" t="s">
        <v>1216</v>
      </c>
      <c r="D926" s="14" t="s">
        <v>2972</v>
      </c>
      <c r="E926" s="3" t="s">
        <v>1461</v>
      </c>
      <c r="F926" s="9">
        <v>45751</v>
      </c>
      <c r="G926" s="5" t="s">
        <v>37</v>
      </c>
      <c r="H926" s="5"/>
      <c r="I926" s="5" t="e">
        <f t="shared" si="3"/>
        <v>#REF!</v>
      </c>
      <c r="J926" s="5"/>
      <c r="K926" s="5"/>
      <c r="L926" s="5"/>
      <c r="M926" s="5"/>
      <c r="N926" s="5"/>
    </row>
    <row r="927" spans="1:14" ht="22.5" customHeight="1" x14ac:dyDescent="0.2">
      <c r="A927" s="22" t="s">
        <v>1466</v>
      </c>
      <c r="B927" s="3" t="s">
        <v>34</v>
      </c>
      <c r="C927" s="3" t="s">
        <v>1216</v>
      </c>
      <c r="D927" s="14" t="s">
        <v>2224</v>
      </c>
      <c r="E927" s="3" t="s">
        <v>1300</v>
      </c>
      <c r="F927" s="9">
        <v>45751</v>
      </c>
      <c r="G927" s="5" t="s">
        <v>2433</v>
      </c>
      <c r="H927" s="5"/>
      <c r="I927" s="5" t="e">
        <f t="shared" si="3"/>
        <v>#REF!</v>
      </c>
      <c r="J927" s="5"/>
      <c r="K927" s="5"/>
      <c r="L927" s="5"/>
      <c r="M927" s="5"/>
      <c r="N927" s="5"/>
    </row>
    <row r="928" spans="1:14" ht="22.5" customHeight="1" x14ac:dyDescent="0.2">
      <c r="A928" s="22" t="s">
        <v>1467</v>
      </c>
      <c r="B928" s="3" t="s">
        <v>34</v>
      </c>
      <c r="C928" s="3" t="s">
        <v>1216</v>
      </c>
      <c r="D928" s="14" t="s">
        <v>2174</v>
      </c>
      <c r="E928" s="3" t="s">
        <v>1352</v>
      </c>
      <c r="F928" s="9">
        <v>45750</v>
      </c>
      <c r="G928" s="5" t="s">
        <v>2095</v>
      </c>
      <c r="H928" s="5"/>
      <c r="I928" s="5" t="e">
        <f t="shared" si="3"/>
        <v>#REF!</v>
      </c>
      <c r="J928" s="5"/>
      <c r="K928" s="5"/>
      <c r="L928" s="5"/>
      <c r="M928" s="5"/>
      <c r="N928" s="5"/>
    </row>
    <row r="929" spans="1:14" ht="22.5" customHeight="1" x14ac:dyDescent="0.2">
      <c r="A929" s="22" t="s">
        <v>1468</v>
      </c>
      <c r="B929" s="3" t="s">
        <v>34</v>
      </c>
      <c r="C929" s="3" t="s">
        <v>1216</v>
      </c>
      <c r="D929" s="14" t="s">
        <v>2973</v>
      </c>
      <c r="E929" s="3" t="s">
        <v>1352</v>
      </c>
      <c r="F929" s="9">
        <v>45750</v>
      </c>
      <c r="G929" s="5" t="s">
        <v>37</v>
      </c>
      <c r="H929" s="5"/>
      <c r="I929" s="5" t="e">
        <f t="shared" si="3"/>
        <v>#REF!</v>
      </c>
      <c r="J929" s="5"/>
      <c r="K929" s="5"/>
      <c r="L929" s="5"/>
      <c r="M929" s="5"/>
      <c r="N929" s="5"/>
    </row>
    <row r="930" spans="1:14" ht="22.5" customHeight="1" x14ac:dyDescent="0.2">
      <c r="A930" s="22" t="s">
        <v>1469</v>
      </c>
      <c r="B930" s="3" t="s">
        <v>34</v>
      </c>
      <c r="C930" s="3" t="s">
        <v>1216</v>
      </c>
      <c r="D930" s="14" t="s">
        <v>2974</v>
      </c>
      <c r="E930" s="3" t="s">
        <v>1352</v>
      </c>
      <c r="F930" s="9">
        <v>45750</v>
      </c>
      <c r="G930" s="5" t="s">
        <v>37</v>
      </c>
      <c r="H930" s="5"/>
      <c r="I930" s="5" t="e">
        <f t="shared" si="3"/>
        <v>#REF!</v>
      </c>
      <c r="J930" s="5"/>
      <c r="K930" s="5"/>
      <c r="L930" s="5"/>
      <c r="M930" s="5"/>
      <c r="N930" s="5"/>
    </row>
    <row r="931" spans="1:14" ht="22.5" customHeight="1" x14ac:dyDescent="0.2">
      <c r="A931" s="22" t="s">
        <v>1470</v>
      </c>
      <c r="B931" s="3" t="s">
        <v>34</v>
      </c>
      <c r="C931" s="3" t="s">
        <v>1216</v>
      </c>
      <c r="D931" s="14" t="s">
        <v>2948</v>
      </c>
      <c r="E931" s="3" t="s">
        <v>1352</v>
      </c>
      <c r="F931" s="9">
        <v>45750</v>
      </c>
      <c r="G931" s="5" t="s">
        <v>153</v>
      </c>
      <c r="H931" s="5"/>
      <c r="I931" s="5" t="e">
        <f t="shared" si="3"/>
        <v>#REF!</v>
      </c>
      <c r="J931" s="5"/>
      <c r="K931" s="5"/>
      <c r="L931" s="5"/>
      <c r="M931" s="5"/>
      <c r="N931" s="5"/>
    </row>
    <row r="932" spans="1:14" ht="22.5" customHeight="1" x14ac:dyDescent="0.2">
      <c r="A932" s="22" t="s">
        <v>1471</v>
      </c>
      <c r="B932" s="3" t="s">
        <v>34</v>
      </c>
      <c r="C932" s="3" t="s">
        <v>1216</v>
      </c>
      <c r="D932" s="14" t="s">
        <v>2975</v>
      </c>
      <c r="E932" s="3" t="s">
        <v>1352</v>
      </c>
      <c r="F932" s="9">
        <v>45750</v>
      </c>
      <c r="G932" s="5" t="s">
        <v>153</v>
      </c>
      <c r="H932" s="5"/>
      <c r="I932" s="5" t="e">
        <f t="shared" si="3"/>
        <v>#REF!</v>
      </c>
      <c r="J932" s="5"/>
      <c r="K932" s="5"/>
      <c r="L932" s="5"/>
      <c r="M932" s="5"/>
      <c r="N932" s="5"/>
    </row>
    <row r="933" spans="1:14" ht="22.5" customHeight="1" x14ac:dyDescent="0.2">
      <c r="A933" s="22" t="s">
        <v>1472</v>
      </c>
      <c r="B933" s="3" t="s">
        <v>34</v>
      </c>
      <c r="C933" s="3" t="s">
        <v>1216</v>
      </c>
      <c r="D933" s="14" t="s">
        <v>2909</v>
      </c>
      <c r="E933" s="3" t="s">
        <v>1352</v>
      </c>
      <c r="F933" s="9">
        <v>45750</v>
      </c>
      <c r="G933" s="5" t="s">
        <v>153</v>
      </c>
      <c r="H933" s="5"/>
      <c r="I933" s="5" t="e">
        <f t="shared" si="3"/>
        <v>#REF!</v>
      </c>
      <c r="J933" s="5"/>
      <c r="K933" s="5"/>
      <c r="L933" s="5"/>
      <c r="M933" s="5"/>
      <c r="N933" s="5"/>
    </row>
    <row r="934" spans="1:14" ht="22.5" customHeight="1" x14ac:dyDescent="0.2">
      <c r="A934" s="22" t="s">
        <v>1473</v>
      </c>
      <c r="B934" s="3" t="s">
        <v>34</v>
      </c>
      <c r="C934" s="3" t="s">
        <v>1216</v>
      </c>
      <c r="D934" s="14" t="s">
        <v>2976</v>
      </c>
      <c r="E934" s="3" t="s">
        <v>1352</v>
      </c>
      <c r="F934" s="9">
        <v>45750</v>
      </c>
      <c r="G934" s="5" t="s">
        <v>153</v>
      </c>
      <c r="H934" s="5"/>
      <c r="I934" s="5" t="e">
        <f t="shared" si="3"/>
        <v>#REF!</v>
      </c>
      <c r="J934" s="5"/>
      <c r="K934" s="5"/>
      <c r="L934" s="5"/>
      <c r="M934" s="5"/>
      <c r="N934" s="5"/>
    </row>
    <row r="935" spans="1:14" ht="22.5" customHeight="1" x14ac:dyDescent="0.2">
      <c r="A935" s="22" t="s">
        <v>1474</v>
      </c>
      <c r="B935" s="3" t="s">
        <v>34</v>
      </c>
      <c r="C935" s="3" t="s">
        <v>1216</v>
      </c>
      <c r="D935" s="14" t="s">
        <v>2977</v>
      </c>
      <c r="E935" s="3" t="s">
        <v>1352</v>
      </c>
      <c r="F935" s="9">
        <v>45750</v>
      </c>
      <c r="G935" s="5" t="s">
        <v>153</v>
      </c>
      <c r="H935" s="5"/>
      <c r="I935" s="5" t="e">
        <f t="shared" si="3"/>
        <v>#REF!</v>
      </c>
      <c r="J935" s="5"/>
      <c r="K935" s="5"/>
      <c r="L935" s="5"/>
      <c r="M935" s="5"/>
      <c r="N935" s="5"/>
    </row>
    <row r="936" spans="1:14" ht="22.5" customHeight="1" x14ac:dyDescent="0.2">
      <c r="A936" s="22" t="s">
        <v>1475</v>
      </c>
      <c r="B936" s="3" t="s">
        <v>34</v>
      </c>
      <c r="C936" s="3" t="s">
        <v>1216</v>
      </c>
      <c r="D936" s="14" t="s">
        <v>2978</v>
      </c>
      <c r="E936" s="3" t="s">
        <v>1476</v>
      </c>
      <c r="F936" s="9">
        <v>45750</v>
      </c>
      <c r="G936" s="5" t="s">
        <v>153</v>
      </c>
      <c r="H936" s="5"/>
      <c r="I936" s="5" t="e">
        <f t="shared" si="3"/>
        <v>#REF!</v>
      </c>
      <c r="J936" s="5"/>
      <c r="K936" s="5"/>
      <c r="L936" s="5"/>
      <c r="M936" s="5"/>
      <c r="N936" s="5"/>
    </row>
    <row r="937" spans="1:14" ht="22.5" customHeight="1" x14ac:dyDescent="0.2">
      <c r="A937" s="22" t="s">
        <v>1477</v>
      </c>
      <c r="B937" s="3" t="s">
        <v>34</v>
      </c>
      <c r="C937" s="3" t="s">
        <v>1216</v>
      </c>
      <c r="D937" s="14" t="s">
        <v>2979</v>
      </c>
      <c r="E937" s="3" t="s">
        <v>1476</v>
      </c>
      <c r="F937" s="9">
        <v>45750</v>
      </c>
      <c r="G937" s="5" t="s">
        <v>153</v>
      </c>
      <c r="H937" s="5"/>
      <c r="I937" s="5" t="e">
        <f t="shared" si="3"/>
        <v>#REF!</v>
      </c>
      <c r="J937" s="5"/>
      <c r="K937" s="5"/>
      <c r="L937" s="5"/>
      <c r="M937" s="5"/>
      <c r="N937" s="5"/>
    </row>
    <row r="938" spans="1:14" ht="22.5" customHeight="1" x14ac:dyDescent="0.2">
      <c r="A938" s="22" t="s">
        <v>1478</v>
      </c>
      <c r="B938" s="3" t="s">
        <v>34</v>
      </c>
      <c r="C938" s="3" t="s">
        <v>1216</v>
      </c>
      <c r="D938" s="14" t="s">
        <v>2980</v>
      </c>
      <c r="E938" s="3" t="s">
        <v>1476</v>
      </c>
      <c r="F938" s="9">
        <v>45750</v>
      </c>
      <c r="G938" s="5" t="s">
        <v>153</v>
      </c>
      <c r="H938" s="5"/>
      <c r="I938" s="5" t="e">
        <f t="shared" si="3"/>
        <v>#REF!</v>
      </c>
      <c r="J938" s="5"/>
      <c r="K938" s="5"/>
      <c r="L938" s="5"/>
      <c r="M938" s="5"/>
      <c r="N938" s="5"/>
    </row>
    <row r="939" spans="1:14" ht="22.5" customHeight="1" x14ac:dyDescent="0.2">
      <c r="A939" s="22" t="s">
        <v>1479</v>
      </c>
      <c r="B939" s="3" t="s">
        <v>34</v>
      </c>
      <c r="C939" s="3" t="s">
        <v>1216</v>
      </c>
      <c r="D939" s="14" t="s">
        <v>2981</v>
      </c>
      <c r="E939" s="3" t="s">
        <v>1476</v>
      </c>
      <c r="F939" s="9">
        <v>45750</v>
      </c>
      <c r="G939" s="5" t="s">
        <v>153</v>
      </c>
      <c r="H939" s="5"/>
      <c r="I939" s="5" t="e">
        <f t="shared" si="3"/>
        <v>#REF!</v>
      </c>
      <c r="J939" s="5"/>
      <c r="K939" s="5"/>
      <c r="L939" s="5"/>
      <c r="M939" s="5"/>
      <c r="N939" s="5"/>
    </row>
    <row r="940" spans="1:14" ht="22.5" customHeight="1" x14ac:dyDescent="0.2">
      <c r="A940" s="22" t="s">
        <v>1480</v>
      </c>
      <c r="B940" s="3" t="s">
        <v>34</v>
      </c>
      <c r="C940" s="3" t="s">
        <v>1216</v>
      </c>
      <c r="D940" s="14" t="s">
        <v>2982</v>
      </c>
      <c r="E940" s="3" t="s">
        <v>1476</v>
      </c>
      <c r="F940" s="9">
        <v>45750</v>
      </c>
      <c r="G940" s="5" t="s">
        <v>153</v>
      </c>
      <c r="H940" s="5"/>
      <c r="I940" s="5" t="e">
        <f t="shared" si="3"/>
        <v>#REF!</v>
      </c>
      <c r="J940" s="5"/>
      <c r="K940" s="5"/>
      <c r="L940" s="5"/>
      <c r="M940" s="5"/>
      <c r="N940" s="5"/>
    </row>
    <row r="941" spans="1:14" ht="22.5" customHeight="1" x14ac:dyDescent="0.2">
      <c r="A941" s="22" t="s">
        <v>1481</v>
      </c>
      <c r="B941" s="3" t="s">
        <v>34</v>
      </c>
      <c r="C941" s="3" t="s">
        <v>1216</v>
      </c>
      <c r="D941" s="14" t="s">
        <v>2983</v>
      </c>
      <c r="E941" s="3" t="s">
        <v>1476</v>
      </c>
      <c r="F941" s="9">
        <v>45750</v>
      </c>
      <c r="G941" s="5" t="s">
        <v>153</v>
      </c>
      <c r="H941" s="5"/>
      <c r="I941" s="5" t="e">
        <f t="shared" si="3"/>
        <v>#REF!</v>
      </c>
      <c r="J941" s="5"/>
      <c r="K941" s="5"/>
      <c r="L941" s="5"/>
      <c r="M941" s="5"/>
      <c r="N941" s="5"/>
    </row>
    <row r="942" spans="1:14" ht="22.5" customHeight="1" x14ac:dyDescent="0.2">
      <c r="A942" s="22" t="s">
        <v>1482</v>
      </c>
      <c r="B942" s="3" t="s">
        <v>34</v>
      </c>
      <c r="C942" s="3" t="s">
        <v>1216</v>
      </c>
      <c r="D942" s="14" t="s">
        <v>2984</v>
      </c>
      <c r="E942" s="3" t="s">
        <v>1483</v>
      </c>
      <c r="F942" s="9">
        <v>45750</v>
      </c>
      <c r="G942" s="5" t="s">
        <v>37</v>
      </c>
      <c r="H942" s="5"/>
      <c r="I942" s="5" t="e">
        <f t="shared" si="3"/>
        <v>#REF!</v>
      </c>
      <c r="J942" s="5"/>
      <c r="K942" s="5"/>
      <c r="L942" s="5"/>
      <c r="M942" s="5"/>
      <c r="N942" s="5"/>
    </row>
    <row r="943" spans="1:14" ht="22.5" customHeight="1" x14ac:dyDescent="0.2">
      <c r="A943" s="22" t="s">
        <v>1484</v>
      </c>
      <c r="B943" s="3" t="s">
        <v>34</v>
      </c>
      <c r="C943" s="3" t="s">
        <v>1216</v>
      </c>
      <c r="D943" s="14" t="s">
        <v>2985</v>
      </c>
      <c r="E943" s="3" t="s">
        <v>1483</v>
      </c>
      <c r="F943" s="9">
        <v>45750</v>
      </c>
      <c r="G943" s="5" t="s">
        <v>153</v>
      </c>
      <c r="H943" s="5"/>
      <c r="I943" s="5" t="e">
        <f t="shared" si="3"/>
        <v>#REF!</v>
      </c>
      <c r="J943" s="5"/>
      <c r="K943" s="5"/>
      <c r="L943" s="5"/>
      <c r="M943" s="5"/>
      <c r="N943" s="5"/>
    </row>
    <row r="944" spans="1:14" ht="22.5" customHeight="1" x14ac:dyDescent="0.2">
      <c r="A944" s="22" t="s">
        <v>1485</v>
      </c>
      <c r="B944" s="3" t="s">
        <v>34</v>
      </c>
      <c r="C944" s="3" t="s">
        <v>1216</v>
      </c>
      <c r="D944" s="14" t="s">
        <v>2986</v>
      </c>
      <c r="E944" s="3" t="s">
        <v>1483</v>
      </c>
      <c r="F944" s="9">
        <v>45750</v>
      </c>
      <c r="G944" s="5" t="s">
        <v>153</v>
      </c>
      <c r="H944" s="5"/>
      <c r="I944" s="5" t="e">
        <f t="shared" si="3"/>
        <v>#REF!</v>
      </c>
      <c r="J944" s="5"/>
      <c r="K944" s="5"/>
      <c r="L944" s="5"/>
      <c r="M944" s="5"/>
      <c r="N944" s="5"/>
    </row>
    <row r="945" spans="1:14" ht="22.5" customHeight="1" x14ac:dyDescent="0.2">
      <c r="A945" s="22" t="s">
        <v>1486</v>
      </c>
      <c r="B945" s="3" t="s">
        <v>34</v>
      </c>
      <c r="C945" s="3" t="s">
        <v>1216</v>
      </c>
      <c r="D945" s="14" t="s">
        <v>2175</v>
      </c>
      <c r="E945" s="3" t="s">
        <v>1483</v>
      </c>
      <c r="F945" s="9">
        <v>45750</v>
      </c>
      <c r="G945" s="5" t="s">
        <v>2095</v>
      </c>
      <c r="H945" s="5"/>
      <c r="I945" s="5" t="e">
        <f t="shared" si="3"/>
        <v>#REF!</v>
      </c>
      <c r="J945" s="5"/>
      <c r="K945" s="5"/>
      <c r="L945" s="5"/>
      <c r="M945" s="5"/>
      <c r="N945" s="5"/>
    </row>
    <row r="946" spans="1:14" ht="22.5" customHeight="1" x14ac:dyDescent="0.2">
      <c r="A946" s="22" t="s">
        <v>1487</v>
      </c>
      <c r="B946" s="3" t="s">
        <v>34</v>
      </c>
      <c r="C946" s="3" t="s">
        <v>1216</v>
      </c>
      <c r="D946" s="14" t="s">
        <v>2987</v>
      </c>
      <c r="E946" s="3" t="s">
        <v>1483</v>
      </c>
      <c r="F946" s="9">
        <v>45750</v>
      </c>
      <c r="G946" s="5" t="s">
        <v>37</v>
      </c>
      <c r="H946" s="5"/>
      <c r="I946" s="5" t="e">
        <f t="shared" si="3"/>
        <v>#REF!</v>
      </c>
      <c r="J946" s="5"/>
      <c r="K946" s="5"/>
      <c r="L946" s="5"/>
      <c r="M946" s="5"/>
      <c r="N946" s="5"/>
    </row>
    <row r="947" spans="1:14" ht="22.5" customHeight="1" x14ac:dyDescent="0.2">
      <c r="A947" s="22" t="s">
        <v>1488</v>
      </c>
      <c r="B947" s="3" t="s">
        <v>34</v>
      </c>
      <c r="C947" s="3" t="s">
        <v>1216</v>
      </c>
      <c r="D947" s="14" t="s">
        <v>2988</v>
      </c>
      <c r="E947" s="3" t="s">
        <v>1483</v>
      </c>
      <c r="F947" s="9">
        <v>45750</v>
      </c>
      <c r="G947" s="5" t="s">
        <v>153</v>
      </c>
      <c r="H947" s="5"/>
      <c r="I947" s="5" t="e">
        <f t="shared" si="3"/>
        <v>#REF!</v>
      </c>
      <c r="J947" s="5"/>
      <c r="K947" s="5"/>
      <c r="L947" s="5"/>
      <c r="M947" s="5"/>
      <c r="N947" s="5"/>
    </row>
    <row r="948" spans="1:14" ht="22.5" customHeight="1" x14ac:dyDescent="0.2">
      <c r="A948" s="22" t="s">
        <v>1489</v>
      </c>
      <c r="B948" s="3" t="s">
        <v>34</v>
      </c>
      <c r="C948" s="3" t="s">
        <v>1216</v>
      </c>
      <c r="D948" s="14" t="s">
        <v>2989</v>
      </c>
      <c r="E948" s="3" t="s">
        <v>1490</v>
      </c>
      <c r="F948" s="9">
        <v>45750</v>
      </c>
      <c r="G948" s="5" t="s">
        <v>1254</v>
      </c>
      <c r="H948" s="5"/>
      <c r="I948" s="5" t="e">
        <f t="shared" si="3"/>
        <v>#REF!</v>
      </c>
      <c r="J948" s="5"/>
      <c r="K948" s="5"/>
      <c r="L948" s="5"/>
      <c r="M948" s="5"/>
      <c r="N948" s="5"/>
    </row>
    <row r="949" spans="1:14" ht="22.5" customHeight="1" x14ac:dyDescent="0.2">
      <c r="A949" s="22" t="s">
        <v>1492</v>
      </c>
      <c r="B949" s="3" t="s">
        <v>34</v>
      </c>
      <c r="C949" s="3" t="s">
        <v>1216</v>
      </c>
      <c r="D949" s="14" t="s">
        <v>2990</v>
      </c>
      <c r="E949" s="3" t="s">
        <v>1490</v>
      </c>
      <c r="F949" s="9">
        <v>45750</v>
      </c>
      <c r="G949" s="5" t="s">
        <v>1254</v>
      </c>
      <c r="H949" s="5"/>
      <c r="I949" s="5" t="e">
        <f t="shared" si="3"/>
        <v>#REF!</v>
      </c>
      <c r="J949" s="5"/>
      <c r="K949" s="5"/>
      <c r="L949" s="5"/>
      <c r="M949" s="5"/>
      <c r="N949" s="5"/>
    </row>
    <row r="950" spans="1:14" ht="22.5" customHeight="1" x14ac:dyDescent="0.2">
      <c r="A950" s="22" t="s">
        <v>1493</v>
      </c>
      <c r="B950" s="3" t="s">
        <v>34</v>
      </c>
      <c r="C950" s="3" t="s">
        <v>1216</v>
      </c>
      <c r="D950" s="14" t="s">
        <v>2991</v>
      </c>
      <c r="E950" s="3" t="s">
        <v>1490</v>
      </c>
      <c r="F950" s="9">
        <v>45750</v>
      </c>
      <c r="G950" s="5" t="s">
        <v>1254</v>
      </c>
      <c r="H950" s="5"/>
      <c r="I950" s="5" t="e">
        <f t="shared" si="3"/>
        <v>#REF!</v>
      </c>
      <c r="J950" s="5"/>
      <c r="K950" s="5"/>
      <c r="L950" s="5"/>
      <c r="M950" s="5"/>
      <c r="N950" s="5"/>
    </row>
    <row r="951" spans="1:14" ht="22.5" customHeight="1" x14ac:dyDescent="0.2">
      <c r="A951" s="22" t="s">
        <v>1496</v>
      </c>
      <c r="B951" s="3" t="s">
        <v>34</v>
      </c>
      <c r="C951" s="3" t="s">
        <v>1216</v>
      </c>
      <c r="D951" s="14" t="s">
        <v>2453</v>
      </c>
      <c r="E951" s="3" t="s">
        <v>662</v>
      </c>
      <c r="F951" s="9">
        <v>45750</v>
      </c>
      <c r="G951" s="5" t="s">
        <v>2433</v>
      </c>
      <c r="H951" s="5"/>
      <c r="I951" s="5" t="e">
        <f t="shared" si="3"/>
        <v>#REF!</v>
      </c>
      <c r="J951" s="5"/>
      <c r="K951" s="5"/>
      <c r="L951" s="5"/>
      <c r="M951" s="5"/>
      <c r="N951" s="5"/>
    </row>
    <row r="952" spans="1:14" ht="22.5" customHeight="1" x14ac:dyDescent="0.2">
      <c r="A952" s="22" t="s">
        <v>1497</v>
      </c>
      <c r="B952" s="3" t="s">
        <v>34</v>
      </c>
      <c r="C952" s="3" t="s">
        <v>1216</v>
      </c>
      <c r="D952" s="14" t="s">
        <v>2453</v>
      </c>
      <c r="E952" s="3" t="s">
        <v>662</v>
      </c>
      <c r="F952" s="9">
        <v>45750</v>
      </c>
      <c r="G952" s="5" t="s">
        <v>2433</v>
      </c>
      <c r="H952" s="5"/>
      <c r="I952" s="5" t="e">
        <f t="shared" si="3"/>
        <v>#REF!</v>
      </c>
      <c r="J952" s="5"/>
      <c r="K952" s="5"/>
      <c r="L952" s="5"/>
      <c r="M952" s="5"/>
      <c r="N952" s="5"/>
    </row>
    <row r="953" spans="1:14" ht="22.5" customHeight="1" x14ac:dyDescent="0.2">
      <c r="A953" s="22" t="s">
        <v>1498</v>
      </c>
      <c r="B953" s="3" t="s">
        <v>34</v>
      </c>
      <c r="C953" s="3" t="s">
        <v>1216</v>
      </c>
      <c r="D953" s="14" t="s">
        <v>2992</v>
      </c>
      <c r="E953" s="3" t="s">
        <v>1490</v>
      </c>
      <c r="F953" s="9">
        <v>45750</v>
      </c>
      <c r="G953" s="5" t="s">
        <v>1254</v>
      </c>
      <c r="H953" s="5"/>
      <c r="I953" s="5" t="e">
        <f t="shared" si="3"/>
        <v>#REF!</v>
      </c>
      <c r="J953" s="5"/>
      <c r="K953" s="5"/>
      <c r="L953" s="5"/>
      <c r="M953" s="5"/>
      <c r="N953" s="5"/>
    </row>
    <row r="954" spans="1:14" ht="22.5" customHeight="1" x14ac:dyDescent="0.2">
      <c r="A954" s="22" t="s">
        <v>1499</v>
      </c>
      <c r="B954" s="3" t="s">
        <v>34</v>
      </c>
      <c r="C954" s="3" t="s">
        <v>1216</v>
      </c>
      <c r="D954" s="14" t="s">
        <v>2993</v>
      </c>
      <c r="E954" s="3" t="s">
        <v>1500</v>
      </c>
      <c r="F954" s="9">
        <v>45750</v>
      </c>
      <c r="G954" s="5" t="s">
        <v>1254</v>
      </c>
      <c r="H954" s="5"/>
      <c r="I954" s="5" t="e">
        <f t="shared" si="3"/>
        <v>#REF!</v>
      </c>
      <c r="J954" s="5"/>
      <c r="K954" s="5"/>
      <c r="L954" s="5"/>
      <c r="M954" s="5"/>
      <c r="N954" s="5"/>
    </row>
    <row r="955" spans="1:14" ht="22.5" customHeight="1" x14ac:dyDescent="0.2">
      <c r="A955" s="22" t="s">
        <v>1501</v>
      </c>
      <c r="B955" s="3" t="s">
        <v>34</v>
      </c>
      <c r="C955" s="3" t="s">
        <v>1216</v>
      </c>
      <c r="D955" s="14" t="s">
        <v>2993</v>
      </c>
      <c r="E955" s="3" t="s">
        <v>1500</v>
      </c>
      <c r="F955" s="9">
        <v>45750</v>
      </c>
      <c r="G955" s="5" t="s">
        <v>37</v>
      </c>
      <c r="H955" s="5"/>
      <c r="I955" s="5" t="e">
        <f t="shared" si="3"/>
        <v>#REF!</v>
      </c>
      <c r="J955" s="5"/>
      <c r="K955" s="5"/>
      <c r="L955" s="5"/>
      <c r="M955" s="5"/>
      <c r="N955" s="5"/>
    </row>
    <row r="956" spans="1:14" ht="22.5" customHeight="1" x14ac:dyDescent="0.2">
      <c r="A956" s="22" t="s">
        <v>1502</v>
      </c>
      <c r="B956" s="3" t="s">
        <v>34</v>
      </c>
      <c r="C956" s="3" t="s">
        <v>1216</v>
      </c>
      <c r="D956" s="14" t="s">
        <v>2994</v>
      </c>
      <c r="E956" s="3" t="s">
        <v>1500</v>
      </c>
      <c r="F956" s="9">
        <v>45750</v>
      </c>
      <c r="G956" s="5" t="s">
        <v>1254</v>
      </c>
      <c r="H956" s="5"/>
      <c r="I956" s="5" t="e">
        <f t="shared" si="3"/>
        <v>#REF!</v>
      </c>
      <c r="J956" s="5"/>
      <c r="K956" s="5"/>
      <c r="L956" s="5"/>
      <c r="M956" s="5"/>
      <c r="N956" s="5"/>
    </row>
    <row r="957" spans="1:14" ht="22.5" customHeight="1" x14ac:dyDescent="0.2">
      <c r="A957" s="22" t="s">
        <v>1503</v>
      </c>
      <c r="B957" s="3" t="s">
        <v>34</v>
      </c>
      <c r="C957" s="3" t="s">
        <v>1216</v>
      </c>
      <c r="D957" s="14" t="s">
        <v>2995</v>
      </c>
      <c r="E957" s="3" t="s">
        <v>1500</v>
      </c>
      <c r="F957" s="9">
        <v>45750</v>
      </c>
      <c r="G957" s="5" t="s">
        <v>1254</v>
      </c>
      <c r="H957" s="5"/>
      <c r="I957" s="5" t="e">
        <f t="shared" si="3"/>
        <v>#REF!</v>
      </c>
      <c r="J957" s="5"/>
      <c r="K957" s="5"/>
      <c r="L957" s="5"/>
      <c r="M957" s="5"/>
      <c r="N957" s="5"/>
    </row>
    <row r="958" spans="1:14" ht="22.5" customHeight="1" x14ac:dyDescent="0.2">
      <c r="A958" s="22" t="s">
        <v>1504</v>
      </c>
      <c r="B958" s="3" t="s">
        <v>34</v>
      </c>
      <c r="C958" s="3" t="s">
        <v>1216</v>
      </c>
      <c r="D958" s="14" t="s">
        <v>2996</v>
      </c>
      <c r="E958" s="3" t="s">
        <v>1500</v>
      </c>
      <c r="F958" s="9">
        <v>45750</v>
      </c>
      <c r="G958" s="5" t="s">
        <v>1254</v>
      </c>
      <c r="H958" s="5"/>
      <c r="I958" s="5" t="e">
        <f t="shared" si="3"/>
        <v>#REF!</v>
      </c>
      <c r="J958" s="5"/>
      <c r="K958" s="5"/>
      <c r="L958" s="5"/>
      <c r="M958" s="5"/>
      <c r="N958" s="5"/>
    </row>
    <row r="959" spans="1:14" ht="22.5" customHeight="1" x14ac:dyDescent="0.2">
      <c r="A959" s="22" t="s">
        <v>1505</v>
      </c>
      <c r="B959" s="3" t="s">
        <v>34</v>
      </c>
      <c r="C959" s="3" t="s">
        <v>1216</v>
      </c>
      <c r="D959" s="14" t="s">
        <v>2997</v>
      </c>
      <c r="E959" s="3" t="s">
        <v>1500</v>
      </c>
      <c r="F959" s="9">
        <v>45750</v>
      </c>
      <c r="G959" s="5" t="s">
        <v>37</v>
      </c>
      <c r="H959" s="5"/>
      <c r="I959" s="5" t="e">
        <f t="shared" si="3"/>
        <v>#REF!</v>
      </c>
      <c r="J959" s="5"/>
      <c r="K959" s="5"/>
      <c r="L959" s="5"/>
      <c r="M959" s="5"/>
      <c r="N959" s="5"/>
    </row>
    <row r="960" spans="1:14" ht="22.5" customHeight="1" x14ac:dyDescent="0.2">
      <c r="A960" s="22" t="s">
        <v>1506</v>
      </c>
      <c r="B960" s="3" t="s">
        <v>34</v>
      </c>
      <c r="C960" s="3" t="s">
        <v>1216</v>
      </c>
      <c r="D960" s="14" t="s">
        <v>2176</v>
      </c>
      <c r="E960" s="3" t="s">
        <v>1419</v>
      </c>
      <c r="F960" s="9">
        <v>45749</v>
      </c>
      <c r="G960" s="5" t="s">
        <v>2095</v>
      </c>
      <c r="H960" s="5"/>
      <c r="I960" s="5" t="e">
        <f t="shared" si="3"/>
        <v>#REF!</v>
      </c>
      <c r="J960" s="5"/>
      <c r="K960" s="5"/>
      <c r="L960" s="5"/>
      <c r="M960" s="5"/>
      <c r="N960" s="5"/>
    </row>
    <row r="961" spans="1:14" ht="22.5" customHeight="1" x14ac:dyDescent="0.2">
      <c r="A961" s="22" t="s">
        <v>1507</v>
      </c>
      <c r="B961" s="3" t="s">
        <v>34</v>
      </c>
      <c r="C961" s="3" t="s">
        <v>1216</v>
      </c>
      <c r="D961" s="14" t="s">
        <v>2125</v>
      </c>
      <c r="E961" s="3" t="s">
        <v>74</v>
      </c>
      <c r="F961" s="9">
        <v>45748</v>
      </c>
      <c r="G961" s="5" t="s">
        <v>2095</v>
      </c>
      <c r="H961" s="5"/>
      <c r="I961" s="5" t="e">
        <f t="shared" si="3"/>
        <v>#REF!</v>
      </c>
      <c r="J961" s="5"/>
      <c r="K961" s="5"/>
      <c r="L961" s="5"/>
      <c r="M961" s="5"/>
      <c r="N961" s="5"/>
    </row>
    <row r="962" spans="1:14" ht="22.5" customHeight="1" x14ac:dyDescent="0.2">
      <c r="A962" s="22" t="s">
        <v>1508</v>
      </c>
      <c r="B962" s="3" t="s">
        <v>34</v>
      </c>
      <c r="C962" s="3" t="s">
        <v>1216</v>
      </c>
      <c r="D962" s="14" t="s">
        <v>2153</v>
      </c>
      <c r="E962" s="3" t="s">
        <v>74</v>
      </c>
      <c r="F962" s="9">
        <v>45748</v>
      </c>
      <c r="G962" s="5" t="s">
        <v>37</v>
      </c>
      <c r="H962" s="5"/>
      <c r="I962" s="5" t="e">
        <f t="shared" si="3"/>
        <v>#REF!</v>
      </c>
      <c r="J962" s="5"/>
      <c r="K962" s="5"/>
      <c r="L962" s="5"/>
      <c r="M962" s="5"/>
      <c r="N962" s="5"/>
    </row>
    <row r="963" spans="1:14" ht="22.5" customHeight="1" x14ac:dyDescent="0.2">
      <c r="A963" s="22" t="s">
        <v>1509</v>
      </c>
      <c r="B963" s="3" t="s">
        <v>34</v>
      </c>
      <c r="C963" s="3" t="s">
        <v>1216</v>
      </c>
      <c r="D963" s="14" t="s">
        <v>2177</v>
      </c>
      <c r="E963" s="3" t="s">
        <v>74</v>
      </c>
      <c r="F963" s="9">
        <v>45748</v>
      </c>
      <c r="G963" s="5" t="s">
        <v>2095</v>
      </c>
      <c r="H963" s="5"/>
      <c r="I963" s="5" t="e">
        <f t="shared" si="3"/>
        <v>#REF!</v>
      </c>
      <c r="J963" s="5"/>
      <c r="K963" s="5"/>
      <c r="L963" s="5"/>
      <c r="M963" s="5"/>
      <c r="N963" s="5"/>
    </row>
    <row r="964" spans="1:14" ht="22.5" customHeight="1" x14ac:dyDescent="0.2">
      <c r="A964" s="22" t="s">
        <v>1510</v>
      </c>
      <c r="B964" s="3" t="s">
        <v>34</v>
      </c>
      <c r="C964" s="3" t="s">
        <v>1216</v>
      </c>
      <c r="D964" s="14" t="s">
        <v>2155</v>
      </c>
      <c r="E964" s="3" t="s">
        <v>1386</v>
      </c>
      <c r="F964" s="9">
        <v>45747</v>
      </c>
      <c r="G964" s="5" t="s">
        <v>2095</v>
      </c>
      <c r="H964" s="5"/>
      <c r="I964" s="5" t="e">
        <f t="shared" si="3"/>
        <v>#REF!</v>
      </c>
      <c r="J964" s="5"/>
      <c r="K964" s="5"/>
      <c r="L964" s="5"/>
      <c r="M964" s="5"/>
      <c r="N964" s="5"/>
    </row>
    <row r="965" spans="1:14" ht="22.5" customHeight="1" x14ac:dyDescent="0.2">
      <c r="A965" s="22" t="s">
        <v>1511</v>
      </c>
      <c r="B965" s="3" t="s">
        <v>34</v>
      </c>
      <c r="C965" s="3" t="s">
        <v>1216</v>
      </c>
      <c r="D965" s="14" t="s">
        <v>2178</v>
      </c>
      <c r="E965" s="3" t="s">
        <v>1330</v>
      </c>
      <c r="F965" s="9">
        <v>45747</v>
      </c>
      <c r="G965" s="5" t="s">
        <v>2095</v>
      </c>
      <c r="H965" s="5"/>
      <c r="I965" s="5" t="e">
        <f t="shared" si="3"/>
        <v>#REF!</v>
      </c>
      <c r="J965" s="5"/>
      <c r="K965" s="5"/>
      <c r="L965" s="5"/>
      <c r="M965" s="5"/>
      <c r="N965" s="5"/>
    </row>
    <row r="966" spans="1:14" ht="22.5" customHeight="1" x14ac:dyDescent="0.2">
      <c r="A966" s="22" t="s">
        <v>1512</v>
      </c>
      <c r="B966" s="3" t="s">
        <v>34</v>
      </c>
      <c r="C966" s="3" t="s">
        <v>1216</v>
      </c>
      <c r="D966" s="14" t="s">
        <v>2210</v>
      </c>
      <c r="E966" s="3" t="s">
        <v>1513</v>
      </c>
      <c r="F966" s="9">
        <v>45747</v>
      </c>
      <c r="G966" s="5" t="s">
        <v>37</v>
      </c>
      <c r="H966" s="5"/>
      <c r="I966" s="5" t="e">
        <f t="shared" si="3"/>
        <v>#REF!</v>
      </c>
      <c r="J966" s="5"/>
      <c r="K966" s="5"/>
      <c r="L966" s="5"/>
      <c r="M966" s="5"/>
      <c r="N966" s="5"/>
    </row>
    <row r="967" spans="1:14" ht="22.5" customHeight="1" x14ac:dyDescent="0.2">
      <c r="A967" s="22" t="s">
        <v>1514</v>
      </c>
      <c r="B967" s="3" t="s">
        <v>34</v>
      </c>
      <c r="C967" s="3" t="s">
        <v>1216</v>
      </c>
      <c r="D967" s="14" t="s">
        <v>2179</v>
      </c>
      <c r="E967" s="3" t="s">
        <v>1515</v>
      </c>
      <c r="F967" s="9">
        <v>45742</v>
      </c>
      <c r="G967" s="5" t="s">
        <v>2095</v>
      </c>
      <c r="H967" s="5"/>
      <c r="I967" s="5" t="e">
        <f t="shared" si="3"/>
        <v>#REF!</v>
      </c>
      <c r="J967" s="5"/>
      <c r="K967" s="5"/>
      <c r="L967" s="5"/>
      <c r="M967" s="5"/>
      <c r="N967" s="5"/>
    </row>
    <row r="968" spans="1:14" ht="22.5" customHeight="1" x14ac:dyDescent="0.2">
      <c r="A968" s="22" t="s">
        <v>1516</v>
      </c>
      <c r="B968" s="3" t="s">
        <v>34</v>
      </c>
      <c r="C968" s="3" t="s">
        <v>1216</v>
      </c>
      <c r="D968" s="14" t="s">
        <v>2955</v>
      </c>
      <c r="E968" s="3" t="s">
        <v>1429</v>
      </c>
      <c r="F968" s="9">
        <v>45741</v>
      </c>
      <c r="G968" s="5" t="s">
        <v>37</v>
      </c>
      <c r="H968" s="5"/>
      <c r="I968" s="5" t="e">
        <f t="shared" si="3"/>
        <v>#REF!</v>
      </c>
      <c r="J968" s="5"/>
      <c r="K968" s="5"/>
      <c r="L968" s="5"/>
      <c r="M968" s="5"/>
      <c r="N968" s="5"/>
    </row>
    <row r="969" spans="1:14" ht="22.5" customHeight="1" x14ac:dyDescent="0.2">
      <c r="A969" s="22" t="s">
        <v>1517</v>
      </c>
      <c r="B969" s="3" t="s">
        <v>34</v>
      </c>
      <c r="C969" s="3" t="s">
        <v>1216</v>
      </c>
      <c r="D969" s="14" t="s">
        <v>2998</v>
      </c>
      <c r="E969" s="3" t="s">
        <v>1518</v>
      </c>
      <c r="F969" s="9">
        <v>45737</v>
      </c>
      <c r="G969" s="5" t="s">
        <v>37</v>
      </c>
      <c r="H969" s="5"/>
      <c r="I969" s="5" t="e">
        <f t="shared" ref="I969:I1094" si="4">IF(OR(H969="PROCESSO NÃO ENCONTRADO",#REF!= "PROCESSO NÃO ENCONTRADO"),
   "PROCESSO NÃO ENCONTRADO",
   IF(H969=#REF!,"PROCESSO AINDA NÃO FOI ATUALIZADO","PROCESSO FOI ATUALIZADO"))</f>
        <v>#REF!</v>
      </c>
      <c r="J969" s="5"/>
      <c r="K969" s="5"/>
      <c r="L969" s="5"/>
      <c r="M969" s="5"/>
      <c r="N969" s="5"/>
    </row>
    <row r="970" spans="1:14" ht="22.5" customHeight="1" x14ac:dyDescent="0.2">
      <c r="A970" s="22" t="s">
        <v>1519</v>
      </c>
      <c r="B970" s="3" t="s">
        <v>34</v>
      </c>
      <c r="C970" s="3" t="s">
        <v>1216</v>
      </c>
      <c r="D970" s="14" t="s">
        <v>2999</v>
      </c>
      <c r="E970" s="3" t="s">
        <v>1518</v>
      </c>
      <c r="F970" s="9">
        <v>45737</v>
      </c>
      <c r="G970" s="5" t="s">
        <v>37</v>
      </c>
      <c r="H970" s="5"/>
      <c r="I970" s="5" t="e">
        <f t="shared" si="4"/>
        <v>#REF!</v>
      </c>
      <c r="J970" s="5"/>
      <c r="K970" s="5"/>
      <c r="L970" s="5"/>
      <c r="M970" s="5"/>
      <c r="N970" s="5"/>
    </row>
    <row r="971" spans="1:14" ht="22.5" customHeight="1" x14ac:dyDescent="0.2">
      <c r="A971" s="22" t="s">
        <v>1520</v>
      </c>
      <c r="B971" s="3" t="s">
        <v>34</v>
      </c>
      <c r="C971" s="3" t="s">
        <v>1216</v>
      </c>
      <c r="D971" s="14" t="s">
        <v>2180</v>
      </c>
      <c r="E971" s="3" t="s">
        <v>1518</v>
      </c>
      <c r="F971" s="9">
        <v>45737</v>
      </c>
      <c r="G971" s="5" t="s">
        <v>2095</v>
      </c>
      <c r="H971" s="5"/>
      <c r="I971" s="5" t="e">
        <f t="shared" si="4"/>
        <v>#REF!</v>
      </c>
      <c r="J971" s="5"/>
      <c r="K971" s="5"/>
      <c r="L971" s="5"/>
      <c r="M971" s="5"/>
      <c r="N971" s="5"/>
    </row>
    <row r="972" spans="1:14" ht="22.5" customHeight="1" x14ac:dyDescent="0.2">
      <c r="A972" s="22" t="s">
        <v>1522</v>
      </c>
      <c r="B972" s="3" t="s">
        <v>34</v>
      </c>
      <c r="C972" s="3" t="s">
        <v>1216</v>
      </c>
      <c r="D972" s="14" t="s">
        <v>2955</v>
      </c>
      <c r="E972" s="3" t="s">
        <v>1429</v>
      </c>
      <c r="F972" s="9">
        <v>45736</v>
      </c>
      <c r="G972" s="5" t="s">
        <v>70</v>
      </c>
      <c r="H972" s="5"/>
      <c r="I972" s="5" t="e">
        <f t="shared" si="4"/>
        <v>#REF!</v>
      </c>
      <c r="J972" s="5"/>
      <c r="K972" s="5"/>
      <c r="L972" s="5"/>
      <c r="M972" s="5"/>
      <c r="N972" s="5"/>
    </row>
    <row r="973" spans="1:14" ht="22.5" customHeight="1" x14ac:dyDescent="0.2">
      <c r="A973" s="22" t="s">
        <v>1523</v>
      </c>
      <c r="B973" s="3" t="s">
        <v>34</v>
      </c>
      <c r="C973" s="3" t="s">
        <v>1216</v>
      </c>
      <c r="D973" s="14" t="s">
        <v>2181</v>
      </c>
      <c r="E973" s="3" t="s">
        <v>1524</v>
      </c>
      <c r="F973" s="9">
        <v>45736</v>
      </c>
      <c r="G973" s="5" t="s">
        <v>2095</v>
      </c>
      <c r="H973" s="5"/>
      <c r="I973" s="5" t="e">
        <f t="shared" si="4"/>
        <v>#REF!</v>
      </c>
      <c r="J973" s="5"/>
      <c r="K973" s="5"/>
      <c r="L973" s="5"/>
      <c r="M973" s="5"/>
      <c r="N973" s="5"/>
    </row>
    <row r="974" spans="1:14" ht="22.5" customHeight="1" x14ac:dyDescent="0.2">
      <c r="A974" s="22" t="s">
        <v>1526</v>
      </c>
      <c r="B974" s="3" t="s">
        <v>34</v>
      </c>
      <c r="C974" s="3" t="s">
        <v>1216</v>
      </c>
      <c r="D974" s="14" t="s">
        <v>2182</v>
      </c>
      <c r="E974" s="3" t="s">
        <v>1524</v>
      </c>
      <c r="F974" s="9">
        <v>45736</v>
      </c>
      <c r="G974" s="5" t="s">
        <v>37</v>
      </c>
      <c r="H974" s="5"/>
      <c r="I974" s="5" t="e">
        <f t="shared" si="4"/>
        <v>#REF!</v>
      </c>
      <c r="J974" s="5"/>
      <c r="K974" s="5"/>
      <c r="L974" s="5"/>
      <c r="M974" s="5"/>
      <c r="N974" s="5"/>
    </row>
    <row r="975" spans="1:14" ht="22.5" customHeight="1" x14ac:dyDescent="0.2">
      <c r="A975" s="22" t="s">
        <v>1527</v>
      </c>
      <c r="B975" s="3" t="s">
        <v>34</v>
      </c>
      <c r="C975" s="3" t="s">
        <v>1216</v>
      </c>
      <c r="D975" s="14" t="s">
        <v>2182</v>
      </c>
      <c r="E975" s="3" t="s">
        <v>1524</v>
      </c>
      <c r="F975" s="9">
        <v>45736</v>
      </c>
      <c r="G975" s="5" t="s">
        <v>2095</v>
      </c>
      <c r="H975" s="5"/>
      <c r="I975" s="5" t="e">
        <f t="shared" si="4"/>
        <v>#REF!</v>
      </c>
      <c r="J975" s="5"/>
      <c r="K975" s="5"/>
      <c r="L975" s="5"/>
      <c r="M975" s="5"/>
      <c r="N975" s="5"/>
    </row>
    <row r="976" spans="1:14" ht="22.5" customHeight="1" x14ac:dyDescent="0.2">
      <c r="A976" s="22" t="s">
        <v>1529</v>
      </c>
      <c r="B976" s="3" t="s">
        <v>34</v>
      </c>
      <c r="C976" s="3" t="s">
        <v>1216</v>
      </c>
      <c r="D976" s="14" t="s">
        <v>2183</v>
      </c>
      <c r="E976" s="3" t="s">
        <v>1530</v>
      </c>
      <c r="F976" s="9">
        <v>45735</v>
      </c>
      <c r="G976" s="5" t="s">
        <v>2095</v>
      </c>
      <c r="H976" s="5"/>
      <c r="I976" s="5" t="e">
        <f t="shared" si="4"/>
        <v>#REF!</v>
      </c>
      <c r="J976" s="5"/>
      <c r="K976" s="5"/>
      <c r="L976" s="5"/>
      <c r="M976" s="5"/>
      <c r="N976" s="5"/>
    </row>
    <row r="977" spans="1:14" ht="22.5" customHeight="1" x14ac:dyDescent="0.2">
      <c r="A977" s="22" t="s">
        <v>1532</v>
      </c>
      <c r="B977" s="3" t="s">
        <v>34</v>
      </c>
      <c r="C977" s="3" t="s">
        <v>1216</v>
      </c>
      <c r="D977" s="14" t="s">
        <v>2184</v>
      </c>
      <c r="E977" s="3" t="s">
        <v>1524</v>
      </c>
      <c r="F977" s="9">
        <v>45733</v>
      </c>
      <c r="G977" s="5" t="s">
        <v>2095</v>
      </c>
      <c r="H977" s="5"/>
      <c r="I977" s="5" t="e">
        <f t="shared" si="4"/>
        <v>#REF!</v>
      </c>
      <c r="J977" s="5"/>
      <c r="K977" s="5"/>
      <c r="L977" s="5"/>
      <c r="M977" s="5"/>
      <c r="N977" s="5"/>
    </row>
    <row r="978" spans="1:14" ht="22.5" customHeight="1" x14ac:dyDescent="0.2">
      <c r="A978" s="22" t="s">
        <v>1534</v>
      </c>
      <c r="B978" s="3" t="s">
        <v>34</v>
      </c>
      <c r="C978" s="3" t="s">
        <v>1216</v>
      </c>
      <c r="D978" s="14" t="s">
        <v>2185</v>
      </c>
      <c r="E978" s="3" t="s">
        <v>1524</v>
      </c>
      <c r="F978" s="9">
        <v>45733</v>
      </c>
      <c r="G978" s="5" t="s">
        <v>2095</v>
      </c>
      <c r="H978" s="5"/>
      <c r="I978" s="5" t="e">
        <f t="shared" si="4"/>
        <v>#REF!</v>
      </c>
      <c r="J978" s="5"/>
      <c r="K978" s="5"/>
      <c r="L978" s="5"/>
      <c r="M978" s="5"/>
      <c r="N978" s="5"/>
    </row>
    <row r="979" spans="1:14" ht="22.5" customHeight="1" x14ac:dyDescent="0.2">
      <c r="A979" s="22" t="s">
        <v>1536</v>
      </c>
      <c r="B979" s="3" t="s">
        <v>34</v>
      </c>
      <c r="C979" s="3" t="s">
        <v>1216</v>
      </c>
      <c r="D979" s="14" t="s">
        <v>2177</v>
      </c>
      <c r="E979" s="3" t="s">
        <v>74</v>
      </c>
      <c r="F979" s="9">
        <v>45728</v>
      </c>
      <c r="G979" s="5" t="s">
        <v>2095</v>
      </c>
      <c r="H979" s="5"/>
      <c r="I979" s="5" t="e">
        <f t="shared" si="4"/>
        <v>#REF!</v>
      </c>
      <c r="J979" s="5"/>
      <c r="K979" s="5"/>
      <c r="L979" s="5"/>
      <c r="M979" s="5"/>
      <c r="N979" s="5"/>
    </row>
    <row r="980" spans="1:14" ht="22.5" customHeight="1" x14ac:dyDescent="0.2">
      <c r="A980" s="22" t="s">
        <v>1537</v>
      </c>
      <c r="B980" s="3" t="s">
        <v>34</v>
      </c>
      <c r="C980" s="3" t="s">
        <v>1216</v>
      </c>
      <c r="D980" s="14" t="s">
        <v>2186</v>
      </c>
      <c r="E980" s="3" t="s">
        <v>348</v>
      </c>
      <c r="F980" s="9">
        <v>45728</v>
      </c>
      <c r="G980" s="5" t="s">
        <v>2095</v>
      </c>
      <c r="H980" s="5"/>
      <c r="I980" s="5" t="e">
        <f t="shared" si="4"/>
        <v>#REF!</v>
      </c>
      <c r="J980" s="5"/>
      <c r="K980" s="5"/>
      <c r="L980" s="5"/>
      <c r="M980" s="5"/>
      <c r="N980" s="5"/>
    </row>
    <row r="981" spans="1:14" ht="22.5" customHeight="1" x14ac:dyDescent="0.2">
      <c r="A981" s="22" t="s">
        <v>1538</v>
      </c>
      <c r="B981" s="3" t="s">
        <v>34</v>
      </c>
      <c r="C981" s="3" t="s">
        <v>1216</v>
      </c>
      <c r="D981" s="14" t="s">
        <v>2187</v>
      </c>
      <c r="E981" s="3" t="s">
        <v>1539</v>
      </c>
      <c r="F981" s="9">
        <v>45728</v>
      </c>
      <c r="G981" s="5" t="s">
        <v>2095</v>
      </c>
      <c r="H981" s="5"/>
      <c r="I981" s="5" t="e">
        <f t="shared" si="4"/>
        <v>#REF!</v>
      </c>
      <c r="J981" s="5"/>
      <c r="K981" s="5"/>
      <c r="L981" s="5"/>
      <c r="M981" s="5"/>
      <c r="N981" s="5"/>
    </row>
    <row r="982" spans="1:14" ht="22.5" customHeight="1" x14ac:dyDescent="0.2">
      <c r="A982" s="22" t="s">
        <v>1541</v>
      </c>
      <c r="B982" s="3" t="s">
        <v>34</v>
      </c>
      <c r="C982" s="3" t="s">
        <v>1216</v>
      </c>
      <c r="D982" s="14" t="s">
        <v>2188</v>
      </c>
      <c r="E982" s="3" t="s">
        <v>1542</v>
      </c>
      <c r="F982" s="9">
        <v>45728</v>
      </c>
      <c r="G982" s="5" t="s">
        <v>2095</v>
      </c>
      <c r="H982" s="5"/>
      <c r="I982" s="5" t="e">
        <f t="shared" si="4"/>
        <v>#REF!</v>
      </c>
      <c r="J982" s="5"/>
      <c r="K982" s="5"/>
      <c r="L982" s="5"/>
      <c r="M982" s="5"/>
      <c r="N982" s="5"/>
    </row>
    <row r="983" spans="1:14" ht="22.5" customHeight="1" x14ac:dyDescent="0.2">
      <c r="A983" s="22" t="s">
        <v>1544</v>
      </c>
      <c r="B983" s="3" t="s">
        <v>34</v>
      </c>
      <c r="C983" s="3" t="s">
        <v>1216</v>
      </c>
      <c r="D983" s="14" t="s">
        <v>2189</v>
      </c>
      <c r="E983" s="3" t="s">
        <v>1545</v>
      </c>
      <c r="F983" s="9">
        <v>45727</v>
      </c>
      <c r="G983" s="5" t="s">
        <v>2095</v>
      </c>
      <c r="H983" s="5"/>
      <c r="I983" s="5" t="e">
        <f t="shared" si="4"/>
        <v>#REF!</v>
      </c>
      <c r="J983" s="5"/>
      <c r="K983" s="5"/>
      <c r="L983" s="5"/>
      <c r="M983" s="5"/>
      <c r="N983" s="5"/>
    </row>
    <row r="984" spans="1:14" ht="22.5" customHeight="1" x14ac:dyDescent="0.2">
      <c r="A984" s="22" t="s">
        <v>1547</v>
      </c>
      <c r="B984" s="3" t="s">
        <v>34</v>
      </c>
      <c r="C984" s="3" t="s">
        <v>1216</v>
      </c>
      <c r="D984" s="14" t="s">
        <v>2190</v>
      </c>
      <c r="E984" s="3" t="s">
        <v>1548</v>
      </c>
      <c r="F984" s="9">
        <v>45718</v>
      </c>
      <c r="G984" s="5" t="s">
        <v>2095</v>
      </c>
      <c r="H984" s="5"/>
      <c r="I984" s="5" t="e">
        <f t="shared" si="4"/>
        <v>#REF!</v>
      </c>
      <c r="J984" s="5"/>
      <c r="K984" s="5"/>
      <c r="L984" s="5"/>
      <c r="M984" s="5"/>
      <c r="N984" s="5"/>
    </row>
    <row r="985" spans="1:14" ht="22.5" customHeight="1" x14ac:dyDescent="0.2">
      <c r="A985" s="22" t="s">
        <v>1550</v>
      </c>
      <c r="B985" s="3" t="s">
        <v>34</v>
      </c>
      <c r="C985" s="3" t="s">
        <v>1216</v>
      </c>
      <c r="D985" s="14" t="s">
        <v>3000</v>
      </c>
      <c r="E985" s="3" t="s">
        <v>1548</v>
      </c>
      <c r="F985" s="9">
        <v>45718</v>
      </c>
      <c r="G985" s="5" t="s">
        <v>37</v>
      </c>
      <c r="H985" s="5"/>
      <c r="I985" s="5" t="e">
        <f t="shared" si="4"/>
        <v>#REF!</v>
      </c>
      <c r="J985" s="5"/>
      <c r="K985" s="5"/>
      <c r="L985" s="5"/>
      <c r="M985" s="5"/>
      <c r="N985" s="5"/>
    </row>
    <row r="986" spans="1:14" ht="22.5" customHeight="1" x14ac:dyDescent="0.2">
      <c r="A986" s="22" t="s">
        <v>1551</v>
      </c>
      <c r="B986" s="3" t="s">
        <v>34</v>
      </c>
      <c r="C986" s="3" t="s">
        <v>1216</v>
      </c>
      <c r="D986" s="14" t="s">
        <v>3001</v>
      </c>
      <c r="E986" s="3" t="s">
        <v>1552</v>
      </c>
      <c r="F986" s="9">
        <v>45718</v>
      </c>
      <c r="G986" s="5" t="s">
        <v>37</v>
      </c>
      <c r="H986" s="5"/>
      <c r="I986" s="5" t="e">
        <f t="shared" si="4"/>
        <v>#REF!</v>
      </c>
      <c r="J986" s="5"/>
      <c r="K986" s="5"/>
      <c r="L986" s="5"/>
      <c r="M986" s="5"/>
      <c r="N986" s="5"/>
    </row>
    <row r="987" spans="1:14" ht="22.5" customHeight="1" x14ac:dyDescent="0.2">
      <c r="A987" s="22" t="s">
        <v>1553</v>
      </c>
      <c r="B987" s="3" t="s">
        <v>34</v>
      </c>
      <c r="C987" s="3" t="s">
        <v>1216</v>
      </c>
      <c r="D987" s="14" t="s">
        <v>3002</v>
      </c>
      <c r="E987" s="3" t="s">
        <v>1554</v>
      </c>
      <c r="F987" s="9">
        <v>45718</v>
      </c>
      <c r="G987" s="5" t="s">
        <v>37</v>
      </c>
      <c r="H987" s="5"/>
      <c r="I987" s="5" t="e">
        <f t="shared" si="4"/>
        <v>#REF!</v>
      </c>
      <c r="J987" s="5"/>
      <c r="K987" s="5"/>
      <c r="L987" s="5"/>
      <c r="M987" s="5"/>
      <c r="N987" s="5"/>
    </row>
    <row r="988" spans="1:14" ht="22.5" customHeight="1" x14ac:dyDescent="0.2">
      <c r="A988" s="22" t="s">
        <v>1555</v>
      </c>
      <c r="B988" s="3" t="s">
        <v>34</v>
      </c>
      <c r="C988" s="3" t="s">
        <v>1216</v>
      </c>
      <c r="D988" s="14" t="s">
        <v>3003</v>
      </c>
      <c r="E988" s="3" t="s">
        <v>1554</v>
      </c>
      <c r="F988" s="9">
        <v>45718</v>
      </c>
      <c r="G988" s="5" t="s">
        <v>37</v>
      </c>
      <c r="H988" s="5"/>
      <c r="I988" s="5" t="e">
        <f t="shared" si="4"/>
        <v>#REF!</v>
      </c>
      <c r="J988" s="5"/>
      <c r="K988" s="5"/>
      <c r="L988" s="5"/>
      <c r="M988" s="5"/>
      <c r="N988" s="5"/>
    </row>
    <row r="989" spans="1:14" ht="22.5" customHeight="1" x14ac:dyDescent="0.2">
      <c r="A989" s="22" t="s">
        <v>1556</v>
      </c>
      <c r="B989" s="3" t="s">
        <v>34</v>
      </c>
      <c r="C989" s="3" t="s">
        <v>1216</v>
      </c>
      <c r="D989" s="14" t="s">
        <v>2191</v>
      </c>
      <c r="E989" s="3" t="s">
        <v>1217</v>
      </c>
      <c r="F989" s="9">
        <v>45715</v>
      </c>
      <c r="G989" s="5" t="s">
        <v>2095</v>
      </c>
      <c r="H989" s="5"/>
      <c r="I989" s="5" t="e">
        <f t="shared" si="4"/>
        <v>#REF!</v>
      </c>
      <c r="J989" s="5"/>
      <c r="K989" s="5"/>
      <c r="L989" s="5"/>
      <c r="M989" s="5"/>
      <c r="N989" s="5"/>
    </row>
    <row r="990" spans="1:14" ht="22.5" customHeight="1" x14ac:dyDescent="0.2">
      <c r="A990" s="22" t="s">
        <v>1557</v>
      </c>
      <c r="B990" s="3" t="s">
        <v>34</v>
      </c>
      <c r="C990" s="3" t="s">
        <v>1216</v>
      </c>
      <c r="D990" s="14" t="s">
        <v>2186</v>
      </c>
      <c r="E990" s="3" t="s">
        <v>348</v>
      </c>
      <c r="F990" s="9">
        <v>45714</v>
      </c>
      <c r="G990" s="5" t="s">
        <v>3004</v>
      </c>
      <c r="H990" s="5"/>
      <c r="I990" s="5" t="e">
        <f t="shared" si="4"/>
        <v>#REF!</v>
      </c>
      <c r="J990" s="5"/>
      <c r="K990" s="5"/>
      <c r="L990" s="5"/>
      <c r="M990" s="5"/>
      <c r="N990" s="5"/>
    </row>
    <row r="991" spans="1:14" ht="22.5" customHeight="1" x14ac:dyDescent="0.2">
      <c r="A991" s="22" t="s">
        <v>1558</v>
      </c>
      <c r="B991" s="3" t="s">
        <v>34</v>
      </c>
      <c r="C991" s="3" t="s">
        <v>1216</v>
      </c>
      <c r="D991" s="14" t="s">
        <v>2186</v>
      </c>
      <c r="E991" s="3" t="s">
        <v>348</v>
      </c>
      <c r="F991" s="9">
        <v>45714</v>
      </c>
      <c r="G991" s="5" t="s">
        <v>37</v>
      </c>
      <c r="H991" s="5"/>
      <c r="I991" s="5" t="e">
        <f t="shared" si="4"/>
        <v>#REF!</v>
      </c>
      <c r="J991" s="5"/>
      <c r="K991" s="5"/>
      <c r="L991" s="5"/>
      <c r="M991" s="5"/>
      <c r="N991" s="5"/>
    </row>
    <row r="992" spans="1:14" ht="22.5" customHeight="1" x14ac:dyDescent="0.2">
      <c r="A992" s="22" t="s">
        <v>1559</v>
      </c>
      <c r="B992" s="3" t="s">
        <v>34</v>
      </c>
      <c r="C992" s="3" t="s">
        <v>1216</v>
      </c>
      <c r="D992" s="14" t="s">
        <v>3005</v>
      </c>
      <c r="E992" s="3" t="s">
        <v>1560</v>
      </c>
      <c r="F992" s="9">
        <v>45713</v>
      </c>
      <c r="G992" s="5" t="s">
        <v>37</v>
      </c>
      <c r="H992" s="5"/>
      <c r="I992" s="5" t="e">
        <f t="shared" si="4"/>
        <v>#REF!</v>
      </c>
      <c r="J992" s="5"/>
      <c r="K992" s="5"/>
      <c r="L992" s="5"/>
      <c r="M992" s="5"/>
      <c r="N992" s="5"/>
    </row>
    <row r="993" spans="1:14" ht="22.5" customHeight="1" x14ac:dyDescent="0.2">
      <c r="A993" s="22" t="s">
        <v>1561</v>
      </c>
      <c r="B993" s="3" t="s">
        <v>34</v>
      </c>
      <c r="C993" s="3" t="s">
        <v>1216</v>
      </c>
      <c r="D993" s="14" t="s">
        <v>2192</v>
      </c>
      <c r="E993" s="3" t="s">
        <v>1560</v>
      </c>
      <c r="F993" s="9">
        <v>45713</v>
      </c>
      <c r="G993" s="5" t="s">
        <v>2095</v>
      </c>
      <c r="H993" s="5"/>
      <c r="I993" s="5" t="e">
        <f t="shared" si="4"/>
        <v>#REF!</v>
      </c>
      <c r="J993" s="5"/>
      <c r="K993" s="5"/>
      <c r="L993" s="5"/>
      <c r="M993" s="5"/>
      <c r="N993" s="5"/>
    </row>
    <row r="994" spans="1:14" ht="22.5" customHeight="1" x14ac:dyDescent="0.2">
      <c r="A994" s="22" t="s">
        <v>1562</v>
      </c>
      <c r="B994" s="3" t="s">
        <v>34</v>
      </c>
      <c r="C994" s="3" t="s">
        <v>1216</v>
      </c>
      <c r="D994" s="14" t="s">
        <v>3006</v>
      </c>
      <c r="E994" s="3" t="s">
        <v>1560</v>
      </c>
      <c r="F994" s="9">
        <v>45713</v>
      </c>
      <c r="G994" s="5" t="s">
        <v>37</v>
      </c>
      <c r="H994" s="5"/>
      <c r="I994" s="5" t="e">
        <f t="shared" si="4"/>
        <v>#REF!</v>
      </c>
      <c r="J994" s="5"/>
      <c r="K994" s="5"/>
      <c r="L994" s="5"/>
      <c r="M994" s="5"/>
      <c r="N994" s="5"/>
    </row>
    <row r="995" spans="1:14" ht="22.5" customHeight="1" x14ac:dyDescent="0.2">
      <c r="A995" s="22" t="s">
        <v>1563</v>
      </c>
      <c r="B995" s="3" t="s">
        <v>34</v>
      </c>
      <c r="C995" s="3" t="s">
        <v>1216</v>
      </c>
      <c r="D995" s="14" t="s">
        <v>3006</v>
      </c>
      <c r="E995" s="3" t="s">
        <v>1560</v>
      </c>
      <c r="F995" s="9">
        <v>45713</v>
      </c>
      <c r="G995" s="5" t="s">
        <v>37</v>
      </c>
      <c r="H995" s="5"/>
      <c r="I995" s="5" t="e">
        <f t="shared" si="4"/>
        <v>#REF!</v>
      </c>
      <c r="J995" s="5"/>
      <c r="K995" s="5"/>
      <c r="L995" s="5"/>
      <c r="M995" s="5"/>
      <c r="N995" s="5"/>
    </row>
    <row r="996" spans="1:14" ht="22.5" customHeight="1" x14ac:dyDescent="0.2">
      <c r="A996" s="22" t="s">
        <v>1564</v>
      </c>
      <c r="B996" s="3" t="s">
        <v>34</v>
      </c>
      <c r="C996" s="3" t="s">
        <v>1216</v>
      </c>
      <c r="D996" s="14" t="s">
        <v>3007</v>
      </c>
      <c r="E996" s="3" t="s">
        <v>1560</v>
      </c>
      <c r="F996" s="9">
        <v>45713</v>
      </c>
      <c r="G996" s="5" t="s">
        <v>1254</v>
      </c>
      <c r="H996" s="5"/>
      <c r="I996" s="5" t="e">
        <f t="shared" si="4"/>
        <v>#REF!</v>
      </c>
      <c r="J996" s="5"/>
      <c r="K996" s="5"/>
      <c r="L996" s="5"/>
      <c r="M996" s="5"/>
      <c r="N996" s="5"/>
    </row>
    <row r="997" spans="1:14" ht="22.5" customHeight="1" x14ac:dyDescent="0.2">
      <c r="A997" s="22" t="s">
        <v>1565</v>
      </c>
      <c r="B997" s="3" t="s">
        <v>34</v>
      </c>
      <c r="C997" s="3" t="s">
        <v>1216</v>
      </c>
      <c r="D997" s="14" t="s">
        <v>2193</v>
      </c>
      <c r="E997" s="3" t="s">
        <v>1515</v>
      </c>
      <c r="F997" s="9">
        <v>45713</v>
      </c>
      <c r="G997" s="5" t="s">
        <v>2095</v>
      </c>
      <c r="H997" s="5"/>
      <c r="I997" s="5" t="e">
        <f t="shared" si="4"/>
        <v>#REF!</v>
      </c>
      <c r="J997" s="5"/>
      <c r="K997" s="5"/>
      <c r="L997" s="5"/>
      <c r="M997" s="5"/>
      <c r="N997" s="5"/>
    </row>
    <row r="998" spans="1:14" ht="22.5" customHeight="1" x14ac:dyDescent="0.2">
      <c r="A998" s="22" t="s">
        <v>1566</v>
      </c>
      <c r="B998" s="3" t="s">
        <v>34</v>
      </c>
      <c r="C998" s="3" t="s">
        <v>1216</v>
      </c>
      <c r="D998" s="14" t="s">
        <v>2194</v>
      </c>
      <c r="E998" s="3" t="s">
        <v>1515</v>
      </c>
      <c r="F998" s="9">
        <v>45713</v>
      </c>
      <c r="G998" s="5" t="s">
        <v>2095</v>
      </c>
      <c r="H998" s="5"/>
      <c r="I998" s="5" t="e">
        <f t="shared" si="4"/>
        <v>#REF!</v>
      </c>
      <c r="J998" s="5"/>
      <c r="K998" s="5"/>
      <c r="L998" s="5"/>
      <c r="M998" s="5"/>
      <c r="N998" s="5"/>
    </row>
    <row r="999" spans="1:14" ht="22.5" customHeight="1" x14ac:dyDescent="0.2">
      <c r="A999" s="22" t="s">
        <v>1567</v>
      </c>
      <c r="B999" s="3" t="s">
        <v>34</v>
      </c>
      <c r="C999" s="3" t="s">
        <v>1216</v>
      </c>
      <c r="D999" s="14" t="s">
        <v>2195</v>
      </c>
      <c r="E999" s="3" t="s">
        <v>1568</v>
      </c>
      <c r="F999" s="9">
        <v>45713</v>
      </c>
      <c r="G999" s="5" t="s">
        <v>2095</v>
      </c>
      <c r="H999" s="5"/>
      <c r="I999" s="5" t="e">
        <f t="shared" si="4"/>
        <v>#REF!</v>
      </c>
      <c r="J999" s="5"/>
      <c r="K999" s="5"/>
      <c r="L999" s="5"/>
      <c r="M999" s="5"/>
      <c r="N999" s="5"/>
    </row>
    <row r="1000" spans="1:14" ht="22.5" customHeight="1" x14ac:dyDescent="0.2">
      <c r="A1000" s="22" t="s">
        <v>1569</v>
      </c>
      <c r="B1000" s="3" t="s">
        <v>34</v>
      </c>
      <c r="C1000" s="3" t="s">
        <v>1216</v>
      </c>
      <c r="D1000" s="14" t="s">
        <v>2196</v>
      </c>
      <c r="E1000" s="3" t="s">
        <v>1568</v>
      </c>
      <c r="F1000" s="9">
        <v>45713</v>
      </c>
      <c r="G1000" s="5" t="s">
        <v>2095</v>
      </c>
      <c r="H1000" s="5"/>
      <c r="I1000" s="5" t="e">
        <f t="shared" si="4"/>
        <v>#REF!</v>
      </c>
      <c r="J1000" s="5"/>
      <c r="K1000" s="5"/>
      <c r="L1000" s="5"/>
      <c r="M1000" s="5"/>
      <c r="N1000" s="5"/>
    </row>
    <row r="1001" spans="1:14" ht="22.5" customHeight="1" x14ac:dyDescent="0.2">
      <c r="A1001" s="22" t="s">
        <v>1570</v>
      </c>
      <c r="B1001" s="3" t="s">
        <v>34</v>
      </c>
      <c r="C1001" s="3" t="s">
        <v>1216</v>
      </c>
      <c r="D1001" s="14" t="s">
        <v>2197</v>
      </c>
      <c r="E1001" s="3" t="s">
        <v>1568</v>
      </c>
      <c r="F1001" s="9">
        <v>45713</v>
      </c>
      <c r="G1001" s="5" t="s">
        <v>2095</v>
      </c>
      <c r="H1001" s="5"/>
      <c r="I1001" s="5" t="e">
        <f t="shared" si="4"/>
        <v>#REF!</v>
      </c>
      <c r="J1001" s="5"/>
      <c r="K1001" s="5"/>
      <c r="L1001" s="5"/>
      <c r="M1001" s="5"/>
      <c r="N1001" s="5"/>
    </row>
    <row r="1002" spans="1:14" ht="22.5" customHeight="1" x14ac:dyDescent="0.2">
      <c r="A1002" s="22" t="s">
        <v>1571</v>
      </c>
      <c r="B1002" s="3" t="s">
        <v>34</v>
      </c>
      <c r="C1002" s="3" t="s">
        <v>1216</v>
      </c>
      <c r="D1002" s="14" t="s">
        <v>2198</v>
      </c>
      <c r="E1002" s="3" t="s">
        <v>1568</v>
      </c>
      <c r="F1002" s="9">
        <v>45713</v>
      </c>
      <c r="G1002" s="5" t="s">
        <v>2095</v>
      </c>
      <c r="H1002" s="5"/>
      <c r="I1002" s="5" t="e">
        <f t="shared" si="4"/>
        <v>#REF!</v>
      </c>
      <c r="J1002" s="5"/>
      <c r="K1002" s="5"/>
      <c r="L1002" s="5"/>
      <c r="M1002" s="5"/>
      <c r="N1002" s="5"/>
    </row>
    <row r="1003" spans="1:14" ht="22.5" customHeight="1" x14ac:dyDescent="0.2">
      <c r="A1003" s="22" t="s">
        <v>1572</v>
      </c>
      <c r="B1003" s="3" t="s">
        <v>34</v>
      </c>
      <c r="C1003" s="3" t="s">
        <v>1216</v>
      </c>
      <c r="D1003" s="14" t="s">
        <v>2199</v>
      </c>
      <c r="E1003" s="3" t="s">
        <v>1568</v>
      </c>
      <c r="F1003" s="9">
        <v>45713</v>
      </c>
      <c r="G1003" s="5" t="s">
        <v>2095</v>
      </c>
      <c r="H1003" s="5"/>
      <c r="I1003" s="5" t="e">
        <f t="shared" si="4"/>
        <v>#REF!</v>
      </c>
      <c r="J1003" s="5"/>
      <c r="K1003" s="5"/>
      <c r="L1003" s="5"/>
      <c r="M1003" s="5"/>
      <c r="N1003" s="5"/>
    </row>
    <row r="1004" spans="1:14" ht="22.5" customHeight="1" x14ac:dyDescent="0.2">
      <c r="A1004" s="22" t="s">
        <v>1573</v>
      </c>
      <c r="B1004" s="3" t="s">
        <v>34</v>
      </c>
      <c r="C1004" s="3" t="s">
        <v>1216</v>
      </c>
      <c r="D1004" s="14" t="s">
        <v>3008</v>
      </c>
      <c r="E1004" s="3" t="s">
        <v>1568</v>
      </c>
      <c r="F1004" s="9">
        <v>45713</v>
      </c>
      <c r="G1004" s="5" t="s">
        <v>1254</v>
      </c>
      <c r="H1004" s="5"/>
      <c r="I1004" s="5" t="e">
        <f t="shared" si="4"/>
        <v>#REF!</v>
      </c>
      <c r="J1004" s="5"/>
      <c r="K1004" s="5"/>
      <c r="L1004" s="5"/>
      <c r="M1004" s="5"/>
      <c r="N1004" s="5"/>
    </row>
    <row r="1005" spans="1:14" ht="22.5" customHeight="1" x14ac:dyDescent="0.2">
      <c r="A1005" s="22" t="s">
        <v>1574</v>
      </c>
      <c r="B1005" s="3" t="s">
        <v>34</v>
      </c>
      <c r="C1005" s="3" t="s">
        <v>1216</v>
      </c>
      <c r="D1005" s="14" t="s">
        <v>3009</v>
      </c>
      <c r="E1005" s="3" t="s">
        <v>1568</v>
      </c>
      <c r="F1005" s="9">
        <v>45713</v>
      </c>
      <c r="G1005" s="5" t="s">
        <v>1254</v>
      </c>
      <c r="H1005" s="5"/>
      <c r="I1005" s="5" t="e">
        <f t="shared" si="4"/>
        <v>#REF!</v>
      </c>
      <c r="J1005" s="5"/>
      <c r="K1005" s="5"/>
      <c r="L1005" s="5"/>
      <c r="M1005" s="5"/>
      <c r="N1005" s="5"/>
    </row>
    <row r="1006" spans="1:14" ht="22.5" customHeight="1" x14ac:dyDescent="0.2">
      <c r="A1006" s="22" t="s">
        <v>1575</v>
      </c>
      <c r="B1006" s="3" t="s">
        <v>34</v>
      </c>
      <c r="C1006" s="3" t="s">
        <v>1216</v>
      </c>
      <c r="D1006" s="14" t="s">
        <v>3010</v>
      </c>
      <c r="E1006" s="3" t="s">
        <v>1568</v>
      </c>
      <c r="F1006" s="9">
        <v>45713</v>
      </c>
      <c r="G1006" s="5" t="s">
        <v>1254</v>
      </c>
      <c r="H1006" s="5"/>
      <c r="I1006" s="5" t="e">
        <f t="shared" si="4"/>
        <v>#REF!</v>
      </c>
      <c r="J1006" s="5"/>
      <c r="K1006" s="5"/>
      <c r="L1006" s="5"/>
      <c r="M1006" s="5"/>
      <c r="N1006" s="5"/>
    </row>
    <row r="1007" spans="1:14" ht="22.5" customHeight="1" x14ac:dyDescent="0.2">
      <c r="A1007" s="22" t="s">
        <v>1576</v>
      </c>
      <c r="B1007" s="3" t="s">
        <v>34</v>
      </c>
      <c r="C1007" s="3" t="s">
        <v>1216</v>
      </c>
      <c r="D1007" s="14" t="s">
        <v>2179</v>
      </c>
      <c r="E1007" s="3" t="s">
        <v>1515</v>
      </c>
      <c r="F1007" s="9">
        <v>45713</v>
      </c>
      <c r="G1007" s="5" t="s">
        <v>37</v>
      </c>
      <c r="H1007" s="5"/>
      <c r="I1007" s="5" t="e">
        <f t="shared" si="4"/>
        <v>#REF!</v>
      </c>
      <c r="J1007" s="5"/>
      <c r="K1007" s="5"/>
      <c r="L1007" s="5"/>
      <c r="M1007" s="5"/>
      <c r="N1007" s="5"/>
    </row>
    <row r="1008" spans="1:14" ht="22.5" customHeight="1" x14ac:dyDescent="0.2">
      <c r="A1008" s="22" t="s">
        <v>1577</v>
      </c>
      <c r="B1008" s="3" t="s">
        <v>34</v>
      </c>
      <c r="C1008" s="3" t="s">
        <v>1216</v>
      </c>
      <c r="D1008" s="14" t="s">
        <v>3011</v>
      </c>
      <c r="E1008" s="3" t="s">
        <v>1515</v>
      </c>
      <c r="F1008" s="9">
        <v>45713</v>
      </c>
      <c r="G1008" s="5" t="s">
        <v>1254</v>
      </c>
      <c r="H1008" s="5"/>
      <c r="I1008" s="5" t="e">
        <f t="shared" si="4"/>
        <v>#REF!</v>
      </c>
      <c r="J1008" s="5"/>
      <c r="K1008" s="5"/>
      <c r="L1008" s="5"/>
      <c r="M1008" s="5"/>
      <c r="N1008" s="5"/>
    </row>
    <row r="1009" spans="1:14" ht="22.5" customHeight="1" x14ac:dyDescent="0.2">
      <c r="A1009" s="22" t="s">
        <v>1578</v>
      </c>
      <c r="B1009" s="3" t="s">
        <v>34</v>
      </c>
      <c r="C1009" s="3" t="s">
        <v>1216</v>
      </c>
      <c r="D1009" s="14" t="s">
        <v>2200</v>
      </c>
      <c r="E1009" s="3" t="s">
        <v>1579</v>
      </c>
      <c r="F1009" s="9">
        <v>45713</v>
      </c>
      <c r="G1009" s="5" t="s">
        <v>2095</v>
      </c>
      <c r="H1009" s="5"/>
      <c r="I1009" s="5" t="e">
        <f t="shared" si="4"/>
        <v>#REF!</v>
      </c>
      <c r="J1009" s="5"/>
      <c r="K1009" s="5"/>
      <c r="L1009" s="5"/>
      <c r="M1009" s="5"/>
      <c r="N1009" s="5"/>
    </row>
    <row r="1010" spans="1:14" ht="22.5" customHeight="1" x14ac:dyDescent="0.2">
      <c r="A1010" s="22" t="s">
        <v>1580</v>
      </c>
      <c r="B1010" s="3" t="s">
        <v>34</v>
      </c>
      <c r="C1010" s="3" t="s">
        <v>1216</v>
      </c>
      <c r="D1010" s="14" t="s">
        <v>2201</v>
      </c>
      <c r="E1010" s="3" t="s">
        <v>1579</v>
      </c>
      <c r="F1010" s="9">
        <v>45713</v>
      </c>
      <c r="G1010" s="5" t="s">
        <v>2095</v>
      </c>
      <c r="H1010" s="5"/>
      <c r="I1010" s="5" t="e">
        <f t="shared" si="4"/>
        <v>#REF!</v>
      </c>
      <c r="J1010" s="5"/>
      <c r="K1010" s="5"/>
      <c r="L1010" s="5"/>
      <c r="M1010" s="5"/>
      <c r="N1010" s="5"/>
    </row>
    <row r="1011" spans="1:14" ht="22.5" customHeight="1" x14ac:dyDescent="0.2">
      <c r="A1011" s="22" t="s">
        <v>1581</v>
      </c>
      <c r="B1011" s="3" t="s">
        <v>34</v>
      </c>
      <c r="C1011" s="3" t="s">
        <v>1216</v>
      </c>
      <c r="D1011" s="14" t="s">
        <v>2202</v>
      </c>
      <c r="E1011" s="3" t="s">
        <v>1579</v>
      </c>
      <c r="F1011" s="9">
        <v>45713</v>
      </c>
      <c r="G1011" s="5" t="s">
        <v>2095</v>
      </c>
      <c r="H1011" s="5"/>
      <c r="I1011" s="5" t="e">
        <f t="shared" si="4"/>
        <v>#REF!</v>
      </c>
      <c r="J1011" s="5"/>
      <c r="K1011" s="5"/>
      <c r="L1011" s="5"/>
      <c r="M1011" s="5"/>
      <c r="N1011" s="5"/>
    </row>
    <row r="1012" spans="1:14" ht="22.5" customHeight="1" x14ac:dyDescent="0.2">
      <c r="A1012" s="22" t="s">
        <v>1582</v>
      </c>
      <c r="B1012" s="3" t="s">
        <v>34</v>
      </c>
      <c r="C1012" s="3" t="s">
        <v>1216</v>
      </c>
      <c r="D1012" s="14" t="s">
        <v>2186</v>
      </c>
      <c r="E1012" s="3" t="s">
        <v>348</v>
      </c>
      <c r="F1012" s="9">
        <v>45712</v>
      </c>
      <c r="G1012" s="5" t="s">
        <v>37</v>
      </c>
      <c r="H1012" s="5"/>
      <c r="I1012" s="5" t="e">
        <f t="shared" si="4"/>
        <v>#REF!</v>
      </c>
      <c r="J1012" s="5"/>
      <c r="K1012" s="5"/>
      <c r="L1012" s="5"/>
      <c r="M1012" s="5"/>
      <c r="N1012" s="5"/>
    </row>
    <row r="1013" spans="1:14" ht="22.5" customHeight="1" x14ac:dyDescent="0.2">
      <c r="A1013" s="22" t="s">
        <v>1583</v>
      </c>
      <c r="B1013" s="3" t="s">
        <v>34</v>
      </c>
      <c r="C1013" s="3" t="s">
        <v>1216</v>
      </c>
      <c r="D1013" s="14" t="s">
        <v>3012</v>
      </c>
      <c r="E1013" s="3" t="s">
        <v>1579</v>
      </c>
      <c r="F1013" s="9">
        <v>45712</v>
      </c>
      <c r="G1013" s="5" t="s">
        <v>37</v>
      </c>
      <c r="H1013" s="5"/>
      <c r="I1013" s="5" t="e">
        <f t="shared" si="4"/>
        <v>#REF!</v>
      </c>
      <c r="J1013" s="5"/>
      <c r="K1013" s="5"/>
      <c r="L1013" s="5"/>
      <c r="M1013" s="5"/>
      <c r="N1013" s="5"/>
    </row>
    <row r="1014" spans="1:14" ht="22.5" customHeight="1" x14ac:dyDescent="0.2">
      <c r="A1014" s="22" t="s">
        <v>1584</v>
      </c>
      <c r="B1014" s="3" t="s">
        <v>34</v>
      </c>
      <c r="C1014" s="3" t="s">
        <v>1216</v>
      </c>
      <c r="D1014" s="14" t="s">
        <v>2949</v>
      </c>
      <c r="E1014" s="3" t="s">
        <v>1372</v>
      </c>
      <c r="F1014" s="9">
        <v>45712</v>
      </c>
      <c r="G1014" s="5" t="s">
        <v>37</v>
      </c>
      <c r="H1014" s="5"/>
      <c r="I1014" s="5" t="e">
        <f t="shared" si="4"/>
        <v>#REF!</v>
      </c>
      <c r="J1014" s="5"/>
      <c r="K1014" s="5"/>
      <c r="L1014" s="5"/>
      <c r="M1014" s="5"/>
      <c r="N1014" s="5"/>
    </row>
    <row r="1015" spans="1:14" ht="22.5" customHeight="1" x14ac:dyDescent="0.2">
      <c r="A1015" s="22" t="s">
        <v>1585</v>
      </c>
      <c r="B1015" s="3" t="s">
        <v>34</v>
      </c>
      <c r="C1015" s="3" t="s">
        <v>1216</v>
      </c>
      <c r="D1015" s="14" t="s">
        <v>3013</v>
      </c>
      <c r="E1015" s="3" t="s">
        <v>1372</v>
      </c>
      <c r="F1015" s="9">
        <v>45712</v>
      </c>
      <c r="G1015" s="5" t="s">
        <v>1254</v>
      </c>
      <c r="H1015" s="5"/>
      <c r="I1015" s="5" t="e">
        <f t="shared" si="4"/>
        <v>#REF!</v>
      </c>
      <c r="J1015" s="5"/>
      <c r="K1015" s="5"/>
      <c r="L1015" s="5"/>
      <c r="M1015" s="5"/>
      <c r="N1015" s="5"/>
    </row>
    <row r="1016" spans="1:14" ht="22.5" customHeight="1" x14ac:dyDescent="0.2">
      <c r="A1016" s="22" t="s">
        <v>1586</v>
      </c>
      <c r="B1016" s="3" t="s">
        <v>34</v>
      </c>
      <c r="C1016" s="3" t="s">
        <v>1216</v>
      </c>
      <c r="D1016" s="14" t="s">
        <v>3014</v>
      </c>
      <c r="E1016" s="3" t="s">
        <v>1372</v>
      </c>
      <c r="F1016" s="9">
        <v>45712</v>
      </c>
      <c r="G1016" s="5" t="s">
        <v>37</v>
      </c>
      <c r="H1016" s="5"/>
      <c r="I1016" s="5" t="e">
        <f t="shared" si="4"/>
        <v>#REF!</v>
      </c>
      <c r="J1016" s="5"/>
      <c r="K1016" s="5"/>
      <c r="L1016" s="5"/>
      <c r="M1016" s="5"/>
      <c r="N1016" s="5"/>
    </row>
    <row r="1017" spans="1:14" ht="22.5" customHeight="1" x14ac:dyDescent="0.2">
      <c r="A1017" s="22" t="s">
        <v>1587</v>
      </c>
      <c r="B1017" s="3" t="s">
        <v>34</v>
      </c>
      <c r="C1017" s="3" t="s">
        <v>1216</v>
      </c>
      <c r="D1017" s="14" t="s">
        <v>2203</v>
      </c>
      <c r="E1017" s="3" t="s">
        <v>1588</v>
      </c>
      <c r="F1017" s="9">
        <v>45712</v>
      </c>
      <c r="G1017" s="5" t="s">
        <v>2095</v>
      </c>
      <c r="H1017" s="5"/>
      <c r="I1017" s="5" t="e">
        <f t="shared" si="4"/>
        <v>#REF!</v>
      </c>
      <c r="J1017" s="5"/>
      <c r="K1017" s="5"/>
      <c r="L1017" s="5"/>
      <c r="M1017" s="5"/>
      <c r="N1017" s="5"/>
    </row>
    <row r="1018" spans="1:14" ht="22.5" customHeight="1" x14ac:dyDescent="0.2">
      <c r="A1018" s="22" t="s">
        <v>1589</v>
      </c>
      <c r="B1018" s="3" t="s">
        <v>34</v>
      </c>
      <c r="C1018" s="3" t="s">
        <v>1216</v>
      </c>
      <c r="D1018" s="14" t="s">
        <v>2204</v>
      </c>
      <c r="E1018" s="3" t="s">
        <v>1588</v>
      </c>
      <c r="F1018" s="9">
        <v>45712</v>
      </c>
      <c r="G1018" s="5" t="s">
        <v>2095</v>
      </c>
      <c r="H1018" s="5"/>
      <c r="I1018" s="5" t="e">
        <f t="shared" si="4"/>
        <v>#REF!</v>
      </c>
      <c r="J1018" s="5"/>
      <c r="K1018" s="5"/>
      <c r="L1018" s="5"/>
      <c r="M1018" s="5"/>
      <c r="N1018" s="5"/>
    </row>
    <row r="1019" spans="1:14" ht="22.5" customHeight="1" x14ac:dyDescent="0.2">
      <c r="A1019" s="22" t="s">
        <v>1590</v>
      </c>
      <c r="B1019" s="3" t="s">
        <v>34</v>
      </c>
      <c r="C1019" s="3" t="s">
        <v>1216</v>
      </c>
      <c r="D1019" s="14" t="s">
        <v>3015</v>
      </c>
      <c r="E1019" s="3" t="s">
        <v>1588</v>
      </c>
      <c r="F1019" s="9">
        <v>45712</v>
      </c>
      <c r="G1019" s="5" t="s">
        <v>37</v>
      </c>
      <c r="H1019" s="5"/>
      <c r="I1019" s="5" t="e">
        <f t="shared" si="4"/>
        <v>#REF!</v>
      </c>
      <c r="J1019" s="5"/>
      <c r="K1019" s="5"/>
      <c r="L1019" s="5"/>
      <c r="M1019" s="5"/>
      <c r="N1019" s="5"/>
    </row>
    <row r="1020" spans="1:14" ht="22.5" customHeight="1" x14ac:dyDescent="0.2">
      <c r="A1020" s="22" t="s">
        <v>1591</v>
      </c>
      <c r="B1020" s="3" t="s">
        <v>34</v>
      </c>
      <c r="C1020" s="3" t="s">
        <v>1216</v>
      </c>
      <c r="D1020" s="14" t="s">
        <v>2205</v>
      </c>
      <c r="E1020" s="3" t="s">
        <v>1450</v>
      </c>
      <c r="F1020" s="9">
        <v>45712</v>
      </c>
      <c r="G1020" s="5" t="s">
        <v>2095</v>
      </c>
      <c r="H1020" s="5"/>
      <c r="I1020" s="5" t="e">
        <f t="shared" si="4"/>
        <v>#REF!</v>
      </c>
      <c r="J1020" s="5"/>
      <c r="K1020" s="5"/>
      <c r="L1020" s="5"/>
      <c r="M1020" s="5"/>
      <c r="N1020" s="5"/>
    </row>
    <row r="1021" spans="1:14" ht="22.5" customHeight="1" x14ac:dyDescent="0.2">
      <c r="A1021" s="22" t="s">
        <v>1592</v>
      </c>
      <c r="B1021" s="3" t="s">
        <v>34</v>
      </c>
      <c r="C1021" s="3" t="s">
        <v>1216</v>
      </c>
      <c r="D1021" s="14" t="s">
        <v>3016</v>
      </c>
      <c r="E1021" s="3" t="s">
        <v>1450</v>
      </c>
      <c r="F1021" s="9">
        <v>45712</v>
      </c>
      <c r="G1021" s="5" t="s">
        <v>37</v>
      </c>
      <c r="H1021" s="5"/>
      <c r="I1021" s="5" t="e">
        <f t="shared" si="4"/>
        <v>#REF!</v>
      </c>
      <c r="J1021" s="5"/>
      <c r="K1021" s="5"/>
      <c r="L1021" s="5"/>
      <c r="M1021" s="5"/>
      <c r="N1021" s="5"/>
    </row>
    <row r="1022" spans="1:14" ht="22.5" customHeight="1" x14ac:dyDescent="0.2">
      <c r="A1022" s="22" t="s">
        <v>2032</v>
      </c>
      <c r="B1022" s="3" t="s">
        <v>34</v>
      </c>
      <c r="C1022" s="3" t="s">
        <v>1216</v>
      </c>
      <c r="D1022" s="14" t="s">
        <v>3017</v>
      </c>
      <c r="E1022" s="3" t="s">
        <v>1450</v>
      </c>
      <c r="F1022" s="9">
        <v>45712</v>
      </c>
      <c r="G1022" s="5" t="s">
        <v>1254</v>
      </c>
      <c r="H1022" s="5"/>
      <c r="I1022" s="5" t="e">
        <f t="shared" si="4"/>
        <v>#REF!</v>
      </c>
      <c r="J1022" s="5"/>
      <c r="K1022" s="5"/>
      <c r="L1022" s="5"/>
      <c r="M1022" s="5"/>
      <c r="N1022" s="5"/>
    </row>
    <row r="1023" spans="1:14" ht="22.5" customHeight="1" x14ac:dyDescent="0.2">
      <c r="A1023" s="22" t="s">
        <v>1593</v>
      </c>
      <c r="B1023" s="3" t="s">
        <v>34</v>
      </c>
      <c r="C1023" s="3" t="s">
        <v>1216</v>
      </c>
      <c r="D1023" s="14" t="s">
        <v>2959</v>
      </c>
      <c r="E1023" s="3" t="s">
        <v>1450</v>
      </c>
      <c r="F1023" s="9">
        <v>45712</v>
      </c>
      <c r="G1023" s="5" t="s">
        <v>37</v>
      </c>
      <c r="H1023" s="5"/>
      <c r="I1023" s="5" t="e">
        <f t="shared" si="4"/>
        <v>#REF!</v>
      </c>
      <c r="J1023" s="5"/>
      <c r="K1023" s="5"/>
      <c r="L1023" s="5"/>
      <c r="M1023" s="5"/>
      <c r="N1023" s="5"/>
    </row>
    <row r="1024" spans="1:14" ht="22.5" customHeight="1" x14ac:dyDescent="0.2">
      <c r="A1024" s="22" t="s">
        <v>1594</v>
      </c>
      <c r="B1024" s="3" t="s">
        <v>34</v>
      </c>
      <c r="C1024" s="3" t="s">
        <v>1216</v>
      </c>
      <c r="D1024" s="14" t="s">
        <v>3018</v>
      </c>
      <c r="E1024" s="3" t="s">
        <v>1450</v>
      </c>
      <c r="F1024" s="9">
        <v>45712</v>
      </c>
      <c r="G1024" s="5" t="s">
        <v>1254</v>
      </c>
      <c r="H1024" s="5"/>
      <c r="I1024" s="5" t="e">
        <f t="shared" si="4"/>
        <v>#REF!</v>
      </c>
      <c r="J1024" s="5"/>
      <c r="K1024" s="5"/>
      <c r="L1024" s="5"/>
      <c r="M1024" s="5"/>
      <c r="N1024" s="5"/>
    </row>
    <row r="1025" spans="1:14" ht="22.5" customHeight="1" x14ac:dyDescent="0.2">
      <c r="A1025" s="22" t="s">
        <v>1595</v>
      </c>
      <c r="B1025" s="3" t="s">
        <v>34</v>
      </c>
      <c r="C1025" s="3" t="s">
        <v>1216</v>
      </c>
      <c r="D1025" s="14" t="s">
        <v>2206</v>
      </c>
      <c r="E1025" s="3" t="s">
        <v>1596</v>
      </c>
      <c r="F1025" s="9">
        <v>45712</v>
      </c>
      <c r="G1025" s="5" t="s">
        <v>2095</v>
      </c>
      <c r="H1025" s="5"/>
      <c r="I1025" s="5" t="e">
        <f t="shared" si="4"/>
        <v>#REF!</v>
      </c>
      <c r="J1025" s="5"/>
      <c r="K1025" s="5"/>
      <c r="L1025" s="5"/>
      <c r="M1025" s="5"/>
      <c r="N1025" s="5"/>
    </row>
    <row r="1026" spans="1:14" ht="22.5" customHeight="1" x14ac:dyDescent="0.2">
      <c r="A1026" s="22" t="s">
        <v>1597</v>
      </c>
      <c r="B1026" s="3" t="s">
        <v>34</v>
      </c>
      <c r="C1026" s="3" t="s">
        <v>1216</v>
      </c>
      <c r="D1026" s="14" t="s">
        <v>2207</v>
      </c>
      <c r="E1026" s="3" t="s">
        <v>1596</v>
      </c>
      <c r="F1026" s="9">
        <v>45712</v>
      </c>
      <c r="G1026" s="5" t="s">
        <v>2095</v>
      </c>
      <c r="H1026" s="5"/>
      <c r="I1026" s="5" t="e">
        <f t="shared" si="4"/>
        <v>#REF!</v>
      </c>
      <c r="J1026" s="5"/>
      <c r="K1026" s="5"/>
      <c r="L1026" s="5"/>
      <c r="M1026" s="5"/>
      <c r="N1026" s="5"/>
    </row>
    <row r="1027" spans="1:14" ht="22.5" customHeight="1" x14ac:dyDescent="0.2">
      <c r="A1027" s="22" t="s">
        <v>1598</v>
      </c>
      <c r="B1027" s="3" t="s">
        <v>34</v>
      </c>
      <c r="C1027" s="3" t="s">
        <v>1216</v>
      </c>
      <c r="D1027" s="14" t="s">
        <v>2208</v>
      </c>
      <c r="E1027" s="3" t="s">
        <v>1596</v>
      </c>
      <c r="F1027" s="9">
        <v>45712</v>
      </c>
      <c r="G1027" s="5" t="s">
        <v>2095</v>
      </c>
      <c r="H1027" s="5"/>
      <c r="I1027" s="5" t="e">
        <f t="shared" si="4"/>
        <v>#REF!</v>
      </c>
      <c r="J1027" s="5"/>
      <c r="K1027" s="5"/>
      <c r="L1027" s="5"/>
      <c r="M1027" s="5"/>
      <c r="N1027" s="5"/>
    </row>
    <row r="1028" spans="1:14" ht="22.5" customHeight="1" x14ac:dyDescent="0.2">
      <c r="A1028" s="22" t="s">
        <v>1599</v>
      </c>
      <c r="B1028" s="3" t="s">
        <v>34</v>
      </c>
      <c r="C1028" s="3" t="s">
        <v>1216</v>
      </c>
      <c r="D1028" s="14" t="s">
        <v>2210</v>
      </c>
      <c r="E1028" s="3" t="s">
        <v>1513</v>
      </c>
      <c r="F1028" s="9">
        <v>45712</v>
      </c>
      <c r="G1028" s="5" t="s">
        <v>37</v>
      </c>
      <c r="H1028" s="5"/>
      <c r="I1028" s="5" t="e">
        <f t="shared" si="4"/>
        <v>#REF!</v>
      </c>
      <c r="J1028" s="5"/>
      <c r="K1028" s="5"/>
      <c r="L1028" s="5"/>
      <c r="M1028" s="5"/>
      <c r="N1028" s="5"/>
    </row>
    <row r="1029" spans="1:14" ht="22.5" customHeight="1" x14ac:dyDescent="0.2">
      <c r="A1029" s="22" t="s">
        <v>1600</v>
      </c>
      <c r="B1029" s="3" t="s">
        <v>34</v>
      </c>
      <c r="C1029" s="3" t="s">
        <v>1216</v>
      </c>
      <c r="D1029" s="14" t="s">
        <v>3019</v>
      </c>
      <c r="E1029" s="3" t="s">
        <v>1513</v>
      </c>
      <c r="F1029" s="9">
        <v>45712</v>
      </c>
      <c r="G1029" s="5" t="s">
        <v>37</v>
      </c>
      <c r="H1029" s="5"/>
      <c r="I1029" s="5" t="e">
        <f t="shared" si="4"/>
        <v>#REF!</v>
      </c>
      <c r="J1029" s="5"/>
      <c r="K1029" s="5"/>
      <c r="L1029" s="5"/>
      <c r="M1029" s="5"/>
      <c r="N1029" s="5"/>
    </row>
    <row r="1030" spans="1:14" ht="22.5" customHeight="1" x14ac:dyDescent="0.2">
      <c r="A1030" s="22" t="s">
        <v>1601</v>
      </c>
      <c r="B1030" s="3" t="s">
        <v>34</v>
      </c>
      <c r="C1030" s="3" t="s">
        <v>1216</v>
      </c>
      <c r="D1030" s="14" t="s">
        <v>2209</v>
      </c>
      <c r="E1030" s="3" t="s">
        <v>1513</v>
      </c>
      <c r="F1030" s="9">
        <v>45712</v>
      </c>
      <c r="G1030" s="5" t="s">
        <v>2095</v>
      </c>
      <c r="H1030" s="5"/>
      <c r="I1030" s="5" t="e">
        <f t="shared" si="4"/>
        <v>#REF!</v>
      </c>
      <c r="J1030" s="5"/>
      <c r="K1030" s="5"/>
      <c r="L1030" s="5"/>
      <c r="M1030" s="5"/>
      <c r="N1030" s="5"/>
    </row>
    <row r="1031" spans="1:14" ht="22.5" customHeight="1" x14ac:dyDescent="0.2">
      <c r="A1031" s="22" t="s">
        <v>1602</v>
      </c>
      <c r="B1031" s="3" t="s">
        <v>34</v>
      </c>
      <c r="C1031" s="3" t="s">
        <v>1216</v>
      </c>
      <c r="D1031" s="14" t="s">
        <v>2104</v>
      </c>
      <c r="E1031" s="3" t="s">
        <v>1236</v>
      </c>
      <c r="F1031" s="9">
        <v>45712</v>
      </c>
      <c r="G1031" s="5" t="s">
        <v>2095</v>
      </c>
      <c r="H1031" s="5"/>
      <c r="I1031" s="5" t="e">
        <f t="shared" si="4"/>
        <v>#REF!</v>
      </c>
      <c r="J1031" s="5"/>
      <c r="K1031" s="5"/>
      <c r="L1031" s="5"/>
      <c r="M1031" s="5"/>
      <c r="N1031" s="5"/>
    </row>
    <row r="1032" spans="1:14" ht="22.5" customHeight="1" x14ac:dyDescent="0.2">
      <c r="A1032" s="22" t="s">
        <v>1604</v>
      </c>
      <c r="B1032" s="3" t="s">
        <v>34</v>
      </c>
      <c r="C1032" s="3" t="s">
        <v>1216</v>
      </c>
      <c r="D1032" s="14" t="s">
        <v>2210</v>
      </c>
      <c r="E1032" s="3" t="s">
        <v>1513</v>
      </c>
      <c r="F1032" s="9">
        <v>45708</v>
      </c>
      <c r="G1032" s="5" t="s">
        <v>2095</v>
      </c>
      <c r="H1032" s="5"/>
      <c r="I1032" s="5" t="e">
        <f t="shared" si="4"/>
        <v>#REF!</v>
      </c>
      <c r="J1032" s="5"/>
      <c r="K1032" s="5"/>
      <c r="L1032" s="5"/>
      <c r="M1032" s="5"/>
      <c r="N1032" s="5"/>
    </row>
    <row r="1033" spans="1:14" ht="22.5" customHeight="1" x14ac:dyDescent="0.2">
      <c r="A1033" s="22" t="s">
        <v>1605</v>
      </c>
      <c r="B1033" s="3" t="s">
        <v>34</v>
      </c>
      <c r="C1033" s="3" t="s">
        <v>1216</v>
      </c>
      <c r="D1033" s="14" t="s">
        <v>2209</v>
      </c>
      <c r="E1033" s="3" t="s">
        <v>1513</v>
      </c>
      <c r="F1033" s="9">
        <v>45708</v>
      </c>
      <c r="G1033" s="5" t="s">
        <v>37</v>
      </c>
      <c r="H1033" s="5"/>
      <c r="I1033" s="5" t="e">
        <f t="shared" si="4"/>
        <v>#REF!</v>
      </c>
      <c r="J1033" s="5"/>
      <c r="K1033" s="5"/>
      <c r="L1033" s="5"/>
      <c r="M1033" s="5"/>
      <c r="N1033" s="5"/>
    </row>
    <row r="1034" spans="1:14" ht="22.5" customHeight="1" x14ac:dyDescent="0.2">
      <c r="A1034" s="22" t="s">
        <v>1606</v>
      </c>
      <c r="B1034" s="3" t="s">
        <v>34</v>
      </c>
      <c r="C1034" s="3" t="s">
        <v>1216</v>
      </c>
      <c r="D1034" s="14" t="s">
        <v>2211</v>
      </c>
      <c r="E1034" s="3" t="s">
        <v>1513</v>
      </c>
      <c r="F1034" s="9">
        <v>45708</v>
      </c>
      <c r="G1034" s="5" t="s">
        <v>2095</v>
      </c>
      <c r="H1034" s="5"/>
      <c r="I1034" s="5" t="e">
        <f t="shared" si="4"/>
        <v>#REF!</v>
      </c>
      <c r="J1034" s="5"/>
      <c r="K1034" s="5"/>
      <c r="L1034" s="5"/>
      <c r="M1034" s="5"/>
      <c r="N1034" s="5"/>
    </row>
    <row r="1035" spans="1:14" ht="22.5" customHeight="1" x14ac:dyDescent="0.2">
      <c r="A1035" s="22" t="s">
        <v>1607</v>
      </c>
      <c r="B1035" s="3" t="s">
        <v>34</v>
      </c>
      <c r="C1035" s="3" t="s">
        <v>1216</v>
      </c>
      <c r="D1035" s="14" t="s">
        <v>2212</v>
      </c>
      <c r="E1035" s="3" t="s">
        <v>1513</v>
      </c>
      <c r="F1035" s="9">
        <v>45708</v>
      </c>
      <c r="G1035" s="5" t="s">
        <v>2095</v>
      </c>
      <c r="H1035" s="5"/>
      <c r="I1035" s="5" t="e">
        <f t="shared" si="4"/>
        <v>#REF!</v>
      </c>
      <c r="J1035" s="5"/>
      <c r="K1035" s="5"/>
      <c r="L1035" s="5"/>
      <c r="M1035" s="5"/>
      <c r="N1035" s="5"/>
    </row>
    <row r="1036" spans="1:14" ht="22.5" customHeight="1" x14ac:dyDescent="0.2">
      <c r="A1036" s="22" t="s">
        <v>1608</v>
      </c>
      <c r="B1036" s="3" t="s">
        <v>34</v>
      </c>
      <c r="C1036" s="3" t="s">
        <v>1216</v>
      </c>
      <c r="D1036" s="14" t="s">
        <v>2213</v>
      </c>
      <c r="E1036" s="3" t="s">
        <v>391</v>
      </c>
      <c r="F1036" s="9">
        <v>45707</v>
      </c>
      <c r="G1036" s="5" t="s">
        <v>2095</v>
      </c>
      <c r="H1036" s="5"/>
      <c r="I1036" s="5" t="e">
        <f t="shared" si="4"/>
        <v>#REF!</v>
      </c>
      <c r="J1036" s="5"/>
      <c r="K1036" s="5"/>
      <c r="L1036" s="5"/>
      <c r="M1036" s="5"/>
      <c r="N1036" s="5"/>
    </row>
    <row r="1037" spans="1:14" ht="22.5" customHeight="1" x14ac:dyDescent="0.2">
      <c r="A1037" s="22" t="s">
        <v>1610</v>
      </c>
      <c r="B1037" s="3" t="s">
        <v>34</v>
      </c>
      <c r="C1037" s="3" t="s">
        <v>1216</v>
      </c>
      <c r="D1037" s="14" t="s">
        <v>3020</v>
      </c>
      <c r="E1037" s="3" t="s">
        <v>1611</v>
      </c>
      <c r="F1037" s="9">
        <v>45707</v>
      </c>
      <c r="G1037" s="5" t="s">
        <v>1254</v>
      </c>
      <c r="H1037" s="5"/>
      <c r="I1037" s="5" t="e">
        <f t="shared" si="4"/>
        <v>#REF!</v>
      </c>
      <c r="J1037" s="5"/>
      <c r="K1037" s="5"/>
      <c r="L1037" s="5"/>
      <c r="M1037" s="5"/>
      <c r="N1037" s="5"/>
    </row>
    <row r="1038" spans="1:14" ht="22.5" customHeight="1" x14ac:dyDescent="0.2">
      <c r="A1038" s="22" t="s">
        <v>1612</v>
      </c>
      <c r="B1038" s="3" t="s">
        <v>34</v>
      </c>
      <c r="C1038" s="3" t="s">
        <v>1216</v>
      </c>
      <c r="D1038" s="14" t="s">
        <v>3021</v>
      </c>
      <c r="E1038" s="3" t="s">
        <v>1611</v>
      </c>
      <c r="F1038" s="9">
        <v>45707</v>
      </c>
      <c r="G1038" s="5" t="s">
        <v>1254</v>
      </c>
      <c r="H1038" s="5"/>
      <c r="I1038" s="5" t="e">
        <f t="shared" si="4"/>
        <v>#REF!</v>
      </c>
      <c r="J1038" s="5"/>
      <c r="K1038" s="5"/>
      <c r="L1038" s="5"/>
      <c r="M1038" s="5"/>
      <c r="N1038" s="5"/>
    </row>
    <row r="1039" spans="1:14" ht="22.5" customHeight="1" x14ac:dyDescent="0.2">
      <c r="A1039" s="22" t="s">
        <v>1613</v>
      </c>
      <c r="B1039" s="3" t="s">
        <v>34</v>
      </c>
      <c r="C1039" s="3" t="s">
        <v>1216</v>
      </c>
      <c r="D1039" s="14" t="s">
        <v>3022</v>
      </c>
      <c r="E1039" s="3" t="s">
        <v>1217</v>
      </c>
      <c r="F1039" s="9">
        <v>45707</v>
      </c>
      <c r="G1039" s="5" t="s">
        <v>37</v>
      </c>
      <c r="H1039" s="5"/>
      <c r="I1039" s="5" t="e">
        <f t="shared" si="4"/>
        <v>#REF!</v>
      </c>
      <c r="J1039" s="5"/>
      <c r="K1039" s="5"/>
      <c r="L1039" s="5"/>
      <c r="M1039" s="5"/>
      <c r="N1039" s="5"/>
    </row>
    <row r="1040" spans="1:14" ht="22.5" customHeight="1" x14ac:dyDescent="0.2">
      <c r="A1040" s="22" t="s">
        <v>1614</v>
      </c>
      <c r="B1040" s="3" t="s">
        <v>34</v>
      </c>
      <c r="C1040" s="3" t="s">
        <v>1216</v>
      </c>
      <c r="D1040" s="14" t="s">
        <v>2187</v>
      </c>
      <c r="E1040" s="3" t="s">
        <v>1539</v>
      </c>
      <c r="F1040" s="9">
        <v>45705</v>
      </c>
      <c r="G1040" s="5" t="s">
        <v>2095</v>
      </c>
      <c r="H1040" s="5"/>
      <c r="I1040" s="5" t="e">
        <f t="shared" si="4"/>
        <v>#REF!</v>
      </c>
      <c r="J1040" s="5"/>
      <c r="K1040" s="5"/>
      <c r="L1040" s="5"/>
      <c r="M1040" s="5"/>
      <c r="N1040" s="5"/>
    </row>
    <row r="1041" spans="1:14" ht="22.5" customHeight="1" x14ac:dyDescent="0.2">
      <c r="A1041" s="22" t="s">
        <v>1616</v>
      </c>
      <c r="B1041" s="3" t="s">
        <v>34</v>
      </c>
      <c r="C1041" s="3" t="s">
        <v>1216</v>
      </c>
      <c r="D1041" s="14" t="s">
        <v>2214</v>
      </c>
      <c r="E1041" s="3" t="s">
        <v>1265</v>
      </c>
      <c r="F1041" s="9">
        <v>45702</v>
      </c>
      <c r="G1041" s="5" t="s">
        <v>1254</v>
      </c>
      <c r="H1041" s="5"/>
      <c r="I1041" s="5" t="e">
        <f t="shared" si="4"/>
        <v>#REF!</v>
      </c>
      <c r="J1041" s="5"/>
      <c r="K1041" s="5"/>
      <c r="L1041" s="5"/>
      <c r="M1041" s="5"/>
      <c r="N1041" s="5"/>
    </row>
    <row r="1042" spans="1:14" ht="22.5" customHeight="1" x14ac:dyDescent="0.2">
      <c r="A1042" s="22" t="s">
        <v>1617</v>
      </c>
      <c r="B1042" s="3" t="s">
        <v>34</v>
      </c>
      <c r="C1042" s="3" t="s">
        <v>1216</v>
      </c>
      <c r="D1042" s="14" t="s">
        <v>2214</v>
      </c>
      <c r="E1042" s="3" t="s">
        <v>1265</v>
      </c>
      <c r="F1042" s="9">
        <v>45702</v>
      </c>
      <c r="G1042" s="5" t="s">
        <v>2095</v>
      </c>
      <c r="H1042" s="5"/>
      <c r="I1042" s="5" t="e">
        <f t="shared" si="4"/>
        <v>#REF!</v>
      </c>
      <c r="J1042" s="5"/>
      <c r="K1042" s="5"/>
      <c r="L1042" s="5"/>
      <c r="M1042" s="5"/>
      <c r="N1042" s="5"/>
    </row>
    <row r="1043" spans="1:14" ht="22.5" customHeight="1" x14ac:dyDescent="0.2">
      <c r="A1043" s="22" t="s">
        <v>1618</v>
      </c>
      <c r="B1043" s="3" t="s">
        <v>34</v>
      </c>
      <c r="C1043" s="3" t="s">
        <v>1216</v>
      </c>
      <c r="D1043" s="14" t="s">
        <v>2215</v>
      </c>
      <c r="E1043" s="3" t="s">
        <v>1265</v>
      </c>
      <c r="F1043" s="9">
        <v>45702</v>
      </c>
      <c r="G1043" s="5" t="s">
        <v>2095</v>
      </c>
      <c r="H1043" s="5"/>
      <c r="I1043" s="5" t="e">
        <f t="shared" si="4"/>
        <v>#REF!</v>
      </c>
      <c r="J1043" s="5"/>
      <c r="K1043" s="5"/>
      <c r="L1043" s="5"/>
      <c r="M1043" s="5"/>
      <c r="N1043" s="5"/>
    </row>
    <row r="1044" spans="1:14" ht="22.5" customHeight="1" x14ac:dyDescent="0.2">
      <c r="A1044" s="22" t="s">
        <v>1620</v>
      </c>
      <c r="B1044" s="3" t="s">
        <v>34</v>
      </c>
      <c r="C1044" s="3" t="s">
        <v>1216</v>
      </c>
      <c r="D1044" s="14" t="s">
        <v>2216</v>
      </c>
      <c r="E1044" s="3" t="s">
        <v>1436</v>
      </c>
      <c r="F1044" s="9">
        <v>45701</v>
      </c>
      <c r="G1044" s="5" t="s">
        <v>2095</v>
      </c>
      <c r="H1044" s="5"/>
      <c r="I1044" s="5" t="e">
        <f t="shared" si="4"/>
        <v>#REF!</v>
      </c>
      <c r="J1044" s="5"/>
      <c r="K1044" s="5"/>
      <c r="L1044" s="5"/>
      <c r="M1044" s="5"/>
      <c r="N1044" s="5"/>
    </row>
    <row r="1045" spans="1:14" ht="22.5" customHeight="1" x14ac:dyDescent="0.2">
      <c r="A1045" s="22" t="s">
        <v>1621</v>
      </c>
      <c r="B1045" s="3" t="s">
        <v>34</v>
      </c>
      <c r="C1045" s="3" t="s">
        <v>1216</v>
      </c>
      <c r="D1045" s="14" t="s">
        <v>2216</v>
      </c>
      <c r="E1045" s="3" t="s">
        <v>1436</v>
      </c>
      <c r="F1045" s="9">
        <v>45701</v>
      </c>
      <c r="G1045" s="5" t="s">
        <v>2095</v>
      </c>
      <c r="H1045" s="5"/>
      <c r="I1045" s="5" t="e">
        <f t="shared" si="4"/>
        <v>#REF!</v>
      </c>
      <c r="J1045" s="5"/>
      <c r="K1045" s="5"/>
      <c r="L1045" s="5"/>
      <c r="M1045" s="5"/>
      <c r="N1045" s="5"/>
    </row>
    <row r="1046" spans="1:14" ht="22.5" customHeight="1" x14ac:dyDescent="0.2">
      <c r="A1046" s="22" t="s">
        <v>1622</v>
      </c>
      <c r="B1046" s="3" t="s">
        <v>34</v>
      </c>
      <c r="C1046" s="3" t="s">
        <v>1216</v>
      </c>
      <c r="D1046" s="14" t="s">
        <v>2217</v>
      </c>
      <c r="E1046" s="3" t="s">
        <v>1217</v>
      </c>
      <c r="F1046" s="9">
        <v>45699</v>
      </c>
      <c r="G1046" s="5" t="s">
        <v>2095</v>
      </c>
      <c r="H1046" s="5"/>
      <c r="I1046" s="5" t="e">
        <f t="shared" si="4"/>
        <v>#REF!</v>
      </c>
      <c r="J1046" s="5"/>
      <c r="K1046" s="5"/>
      <c r="L1046" s="5"/>
      <c r="M1046" s="5"/>
      <c r="N1046" s="5"/>
    </row>
    <row r="1047" spans="1:14" ht="22.5" customHeight="1" x14ac:dyDescent="0.2">
      <c r="A1047" s="22" t="s">
        <v>1623</v>
      </c>
      <c r="B1047" s="3" t="s">
        <v>34</v>
      </c>
      <c r="C1047" s="3" t="s">
        <v>1216</v>
      </c>
      <c r="D1047" s="14" t="s">
        <v>2218</v>
      </c>
      <c r="E1047" s="3" t="s">
        <v>1530</v>
      </c>
      <c r="F1047" s="9">
        <v>45699</v>
      </c>
      <c r="G1047" s="5" t="s">
        <v>2095</v>
      </c>
      <c r="H1047" s="5"/>
      <c r="I1047" s="5" t="e">
        <f t="shared" si="4"/>
        <v>#REF!</v>
      </c>
      <c r="J1047" s="5"/>
      <c r="K1047" s="5"/>
      <c r="L1047" s="5"/>
      <c r="M1047" s="5"/>
      <c r="N1047" s="5"/>
    </row>
    <row r="1048" spans="1:14" ht="22.5" customHeight="1" x14ac:dyDescent="0.2">
      <c r="A1048" s="22" t="s">
        <v>1624</v>
      </c>
      <c r="B1048" s="3" t="s">
        <v>34</v>
      </c>
      <c r="C1048" s="3" t="s">
        <v>1216</v>
      </c>
      <c r="D1048" s="14" t="s">
        <v>2219</v>
      </c>
      <c r="E1048" s="3" t="s">
        <v>1530</v>
      </c>
      <c r="F1048" s="9">
        <v>45699</v>
      </c>
      <c r="G1048" s="5" t="s">
        <v>2095</v>
      </c>
      <c r="H1048" s="5"/>
      <c r="I1048" s="5" t="e">
        <f t="shared" si="4"/>
        <v>#REF!</v>
      </c>
      <c r="J1048" s="5"/>
      <c r="K1048" s="5"/>
      <c r="L1048" s="5"/>
      <c r="M1048" s="5"/>
      <c r="N1048" s="5"/>
    </row>
    <row r="1049" spans="1:14" ht="22.5" customHeight="1" x14ac:dyDescent="0.2">
      <c r="A1049" s="22" t="s">
        <v>1625</v>
      </c>
      <c r="B1049" s="3" t="s">
        <v>34</v>
      </c>
      <c r="C1049" s="3" t="s">
        <v>1216</v>
      </c>
      <c r="D1049" s="14" t="s">
        <v>2220</v>
      </c>
      <c r="E1049" s="3" t="s">
        <v>1626</v>
      </c>
      <c r="F1049" s="9">
        <v>45699</v>
      </c>
      <c r="G1049" s="5" t="s">
        <v>2095</v>
      </c>
      <c r="H1049" s="5"/>
      <c r="I1049" s="5" t="e">
        <f t="shared" si="4"/>
        <v>#REF!</v>
      </c>
      <c r="J1049" s="5"/>
      <c r="K1049" s="5"/>
      <c r="L1049" s="5"/>
      <c r="M1049" s="5"/>
      <c r="N1049" s="5"/>
    </row>
    <row r="1050" spans="1:14" ht="22.5" customHeight="1" x14ac:dyDescent="0.2">
      <c r="A1050" s="22" t="s">
        <v>1627</v>
      </c>
      <c r="B1050" s="3" t="s">
        <v>34</v>
      </c>
      <c r="C1050" s="3" t="s">
        <v>1216</v>
      </c>
      <c r="D1050" s="14" t="s">
        <v>2183</v>
      </c>
      <c r="E1050" s="3" t="s">
        <v>1530</v>
      </c>
      <c r="F1050" s="9">
        <v>45699</v>
      </c>
      <c r="G1050" s="5" t="s">
        <v>37</v>
      </c>
      <c r="H1050" s="5"/>
      <c r="I1050" s="5" t="e">
        <f t="shared" si="4"/>
        <v>#REF!</v>
      </c>
      <c r="J1050" s="5"/>
      <c r="K1050" s="5"/>
      <c r="L1050" s="5"/>
      <c r="M1050" s="5"/>
      <c r="N1050" s="5"/>
    </row>
    <row r="1051" spans="1:14" ht="22.5" customHeight="1" x14ac:dyDescent="0.2">
      <c r="A1051" s="22" t="s">
        <v>1628</v>
      </c>
      <c r="B1051" s="3" t="s">
        <v>34</v>
      </c>
      <c r="C1051" s="3" t="s">
        <v>1216</v>
      </c>
      <c r="D1051" s="14" t="s">
        <v>2224</v>
      </c>
      <c r="E1051" s="3" t="s">
        <v>1300</v>
      </c>
      <c r="F1051" s="9">
        <v>45699</v>
      </c>
      <c r="G1051" s="5" t="s">
        <v>2433</v>
      </c>
      <c r="H1051" s="5"/>
      <c r="I1051" s="5" t="e">
        <f t="shared" si="4"/>
        <v>#REF!</v>
      </c>
      <c r="J1051" s="5"/>
      <c r="K1051" s="5"/>
      <c r="L1051" s="5"/>
      <c r="M1051" s="5"/>
      <c r="N1051" s="5"/>
    </row>
    <row r="1052" spans="1:14" ht="22.5" customHeight="1" x14ac:dyDescent="0.2">
      <c r="A1052" s="22" t="s">
        <v>1629</v>
      </c>
      <c r="B1052" s="3" t="s">
        <v>34</v>
      </c>
      <c r="C1052" s="3" t="s">
        <v>1216</v>
      </c>
      <c r="D1052" s="14" t="s">
        <v>2221</v>
      </c>
      <c r="E1052" s="3" t="s">
        <v>1630</v>
      </c>
      <c r="F1052" s="9">
        <v>45695</v>
      </c>
      <c r="G1052" s="5" t="s">
        <v>2095</v>
      </c>
      <c r="H1052" s="5"/>
      <c r="I1052" s="5" t="e">
        <f t="shared" si="4"/>
        <v>#REF!</v>
      </c>
      <c r="J1052" s="5"/>
      <c r="K1052" s="5"/>
      <c r="L1052" s="5"/>
      <c r="M1052" s="5"/>
      <c r="N1052" s="5"/>
    </row>
    <row r="1053" spans="1:14" ht="22.5" customHeight="1" x14ac:dyDescent="0.2">
      <c r="A1053" s="22" t="s">
        <v>1632</v>
      </c>
      <c r="B1053" s="3" t="s">
        <v>34</v>
      </c>
      <c r="C1053" s="3" t="s">
        <v>1216</v>
      </c>
      <c r="D1053" s="14" t="s">
        <v>2221</v>
      </c>
      <c r="E1053" s="3" t="s">
        <v>1630</v>
      </c>
      <c r="F1053" s="9">
        <v>45695</v>
      </c>
      <c r="G1053" s="5" t="s">
        <v>2095</v>
      </c>
      <c r="H1053" s="5"/>
      <c r="I1053" s="5" t="e">
        <f t="shared" si="4"/>
        <v>#REF!</v>
      </c>
      <c r="J1053" s="5"/>
      <c r="K1053" s="5"/>
      <c r="L1053" s="5"/>
      <c r="M1053" s="5"/>
      <c r="N1053" s="5"/>
    </row>
    <row r="1054" spans="1:14" ht="22.5" customHeight="1" x14ac:dyDescent="0.2">
      <c r="A1054" s="22" t="s">
        <v>1633</v>
      </c>
      <c r="B1054" s="3" t="s">
        <v>34</v>
      </c>
      <c r="C1054" s="3" t="s">
        <v>1216</v>
      </c>
      <c r="D1054" s="14" t="s">
        <v>2221</v>
      </c>
      <c r="E1054" s="3" t="s">
        <v>1630</v>
      </c>
      <c r="F1054" s="9">
        <v>45695</v>
      </c>
      <c r="G1054" s="5" t="s">
        <v>37</v>
      </c>
      <c r="H1054" s="5"/>
      <c r="I1054" s="5" t="e">
        <f t="shared" si="4"/>
        <v>#REF!</v>
      </c>
      <c r="J1054" s="5"/>
      <c r="K1054" s="5"/>
      <c r="L1054" s="5"/>
      <c r="M1054" s="5"/>
      <c r="N1054" s="5"/>
    </row>
    <row r="1055" spans="1:14" ht="22.5" customHeight="1" x14ac:dyDescent="0.2">
      <c r="A1055" s="22" t="s">
        <v>1634</v>
      </c>
      <c r="B1055" s="3" t="s">
        <v>34</v>
      </c>
      <c r="C1055" s="3" t="s">
        <v>1216</v>
      </c>
      <c r="D1055" s="14" t="s">
        <v>2221</v>
      </c>
      <c r="E1055" s="3" t="s">
        <v>1630</v>
      </c>
      <c r="F1055" s="9">
        <v>45695</v>
      </c>
      <c r="G1055" s="5" t="s">
        <v>37</v>
      </c>
      <c r="H1055" s="5"/>
      <c r="I1055" s="5" t="e">
        <f t="shared" si="4"/>
        <v>#REF!</v>
      </c>
      <c r="J1055" s="5"/>
      <c r="K1055" s="5"/>
      <c r="L1055" s="5"/>
      <c r="M1055" s="5"/>
      <c r="N1055" s="5"/>
    </row>
    <row r="1056" spans="1:14" ht="22.5" customHeight="1" x14ac:dyDescent="0.2">
      <c r="A1056" s="22" t="s">
        <v>1635</v>
      </c>
      <c r="B1056" s="3" t="s">
        <v>34</v>
      </c>
      <c r="C1056" s="3" t="s">
        <v>1216</v>
      </c>
      <c r="D1056" s="14" t="s">
        <v>3023</v>
      </c>
      <c r="E1056" s="3" t="s">
        <v>739</v>
      </c>
      <c r="F1056" s="9">
        <v>45693</v>
      </c>
      <c r="G1056" s="5" t="s">
        <v>37</v>
      </c>
      <c r="H1056" s="5"/>
      <c r="I1056" s="5" t="e">
        <f t="shared" si="4"/>
        <v>#REF!</v>
      </c>
      <c r="J1056" s="5"/>
      <c r="K1056" s="5"/>
      <c r="L1056" s="5"/>
      <c r="M1056" s="5"/>
      <c r="N1056" s="5"/>
    </row>
    <row r="1057" spans="1:14" ht="22.5" customHeight="1" x14ac:dyDescent="0.2">
      <c r="A1057" s="22" t="s">
        <v>1636</v>
      </c>
      <c r="B1057" s="3" t="s">
        <v>34</v>
      </c>
      <c r="C1057" s="3" t="s">
        <v>1216</v>
      </c>
      <c r="D1057" s="14" t="s">
        <v>2222</v>
      </c>
      <c r="E1057" s="3" t="s">
        <v>1265</v>
      </c>
      <c r="F1057" s="9">
        <v>45692</v>
      </c>
      <c r="G1057" s="5" t="s">
        <v>1254</v>
      </c>
      <c r="H1057" s="5"/>
      <c r="I1057" s="5" t="e">
        <f t="shared" si="4"/>
        <v>#REF!</v>
      </c>
      <c r="J1057" s="5"/>
      <c r="K1057" s="5"/>
      <c r="L1057" s="5"/>
      <c r="M1057" s="5"/>
      <c r="N1057" s="5"/>
    </row>
    <row r="1058" spans="1:14" ht="22.5" customHeight="1" x14ac:dyDescent="0.2">
      <c r="A1058" s="22" t="s">
        <v>1637</v>
      </c>
      <c r="B1058" s="3" t="s">
        <v>34</v>
      </c>
      <c r="C1058" s="3" t="s">
        <v>1216</v>
      </c>
      <c r="D1058" s="14" t="s">
        <v>2222</v>
      </c>
      <c r="E1058" s="3" t="s">
        <v>1265</v>
      </c>
      <c r="F1058" s="9">
        <v>45692</v>
      </c>
      <c r="G1058" s="5" t="s">
        <v>2095</v>
      </c>
      <c r="H1058" s="5"/>
      <c r="I1058" s="5" t="e">
        <f t="shared" si="4"/>
        <v>#REF!</v>
      </c>
      <c r="J1058" s="5"/>
      <c r="K1058" s="5"/>
      <c r="L1058" s="5"/>
      <c r="M1058" s="5"/>
      <c r="N1058" s="5"/>
    </row>
    <row r="1059" spans="1:14" ht="22.5" customHeight="1" x14ac:dyDescent="0.2">
      <c r="A1059" s="22" t="s">
        <v>1638</v>
      </c>
      <c r="B1059" s="3" t="s">
        <v>34</v>
      </c>
      <c r="C1059" s="3" t="s">
        <v>1216</v>
      </c>
      <c r="D1059" s="14" t="s">
        <v>2222</v>
      </c>
      <c r="E1059" s="3" t="s">
        <v>1265</v>
      </c>
      <c r="F1059" s="9">
        <v>45692</v>
      </c>
      <c r="G1059" s="5" t="s">
        <v>2095</v>
      </c>
      <c r="H1059" s="5"/>
      <c r="I1059" s="5" t="e">
        <f t="shared" si="4"/>
        <v>#REF!</v>
      </c>
      <c r="J1059" s="5"/>
      <c r="K1059" s="5"/>
      <c r="L1059" s="5"/>
      <c r="M1059" s="5"/>
      <c r="N1059" s="5"/>
    </row>
    <row r="1060" spans="1:14" ht="22.5" customHeight="1" x14ac:dyDescent="0.2">
      <c r="A1060" s="22" t="s">
        <v>1639</v>
      </c>
      <c r="B1060" s="3" t="s">
        <v>34</v>
      </c>
      <c r="C1060" s="3" t="s">
        <v>1216</v>
      </c>
      <c r="D1060" s="14" t="s">
        <v>2213</v>
      </c>
      <c r="E1060" s="3" t="s">
        <v>391</v>
      </c>
      <c r="F1060" s="9">
        <v>45692</v>
      </c>
      <c r="G1060" s="5" t="s">
        <v>37</v>
      </c>
      <c r="H1060" s="5"/>
      <c r="I1060" s="5" t="e">
        <f t="shared" si="4"/>
        <v>#REF!</v>
      </c>
      <c r="J1060" s="5"/>
      <c r="K1060" s="5"/>
      <c r="L1060" s="5"/>
      <c r="M1060" s="5"/>
      <c r="N1060" s="5"/>
    </row>
    <row r="1061" spans="1:14" ht="22.5" customHeight="1" x14ac:dyDescent="0.2">
      <c r="A1061" s="22" t="s">
        <v>1640</v>
      </c>
      <c r="B1061" s="3" t="s">
        <v>34</v>
      </c>
      <c r="C1061" s="3" t="s">
        <v>1216</v>
      </c>
      <c r="D1061" s="14" t="s">
        <v>2223</v>
      </c>
      <c r="E1061" s="3" t="s">
        <v>391</v>
      </c>
      <c r="F1061" s="9">
        <v>45692</v>
      </c>
      <c r="G1061" s="5" t="s">
        <v>2095</v>
      </c>
      <c r="H1061" s="5"/>
      <c r="I1061" s="5" t="e">
        <f t="shared" si="4"/>
        <v>#REF!</v>
      </c>
      <c r="J1061" s="5"/>
      <c r="K1061" s="5"/>
      <c r="L1061" s="5"/>
      <c r="M1061" s="5"/>
      <c r="N1061" s="5"/>
    </row>
    <row r="1062" spans="1:14" ht="22.5" customHeight="1" x14ac:dyDescent="0.2">
      <c r="A1062" s="22" t="s">
        <v>1641</v>
      </c>
      <c r="B1062" s="3" t="s">
        <v>34</v>
      </c>
      <c r="C1062" s="3" t="s">
        <v>1216</v>
      </c>
      <c r="D1062" s="14" t="s">
        <v>2224</v>
      </c>
      <c r="E1062" s="3" t="s">
        <v>1300</v>
      </c>
      <c r="F1062" s="9">
        <v>45691</v>
      </c>
      <c r="G1062" s="5" t="s">
        <v>2095</v>
      </c>
      <c r="H1062" s="5"/>
      <c r="I1062" s="5" t="e">
        <f t="shared" si="4"/>
        <v>#REF!</v>
      </c>
      <c r="J1062" s="5"/>
      <c r="K1062" s="5"/>
      <c r="L1062" s="5"/>
      <c r="M1062" s="5"/>
      <c r="N1062" s="5"/>
    </row>
    <row r="1063" spans="1:14" ht="22.5" customHeight="1" x14ac:dyDescent="0.2">
      <c r="A1063" s="22" t="s">
        <v>1643</v>
      </c>
      <c r="B1063" s="3" t="s">
        <v>34</v>
      </c>
      <c r="C1063" s="3" t="s">
        <v>1216</v>
      </c>
      <c r="D1063" s="14" t="s">
        <v>2225</v>
      </c>
      <c r="E1063" s="3" t="s">
        <v>1298</v>
      </c>
      <c r="F1063" s="9">
        <v>45690</v>
      </c>
      <c r="G1063" s="5" t="s">
        <v>37</v>
      </c>
      <c r="H1063" s="5"/>
      <c r="I1063" s="5" t="e">
        <f t="shared" si="4"/>
        <v>#REF!</v>
      </c>
      <c r="J1063" s="5"/>
      <c r="K1063" s="5"/>
      <c r="L1063" s="5"/>
      <c r="M1063" s="5"/>
      <c r="N1063" s="5"/>
    </row>
    <row r="1064" spans="1:14" ht="22.5" customHeight="1" x14ac:dyDescent="0.2">
      <c r="A1064" s="22" t="s">
        <v>1644</v>
      </c>
      <c r="B1064" s="3" t="s">
        <v>34</v>
      </c>
      <c r="C1064" s="3" t="s">
        <v>1216</v>
      </c>
      <c r="D1064" s="14" t="s">
        <v>2225</v>
      </c>
      <c r="E1064" s="3" t="s">
        <v>1298</v>
      </c>
      <c r="F1064" s="9">
        <v>45690</v>
      </c>
      <c r="G1064" s="5" t="s">
        <v>2095</v>
      </c>
      <c r="H1064" s="5"/>
      <c r="I1064" s="5" t="e">
        <f t="shared" si="4"/>
        <v>#REF!</v>
      </c>
      <c r="J1064" s="5"/>
      <c r="K1064" s="5"/>
      <c r="L1064" s="5"/>
      <c r="M1064" s="5"/>
      <c r="N1064" s="5"/>
    </row>
    <row r="1065" spans="1:14" ht="22.5" customHeight="1" x14ac:dyDescent="0.2">
      <c r="A1065" s="22" t="s">
        <v>1645</v>
      </c>
      <c r="B1065" s="3" t="s">
        <v>34</v>
      </c>
      <c r="C1065" s="3" t="s">
        <v>1216</v>
      </c>
      <c r="D1065" s="14" t="s">
        <v>3024</v>
      </c>
      <c r="E1065" s="3" t="s">
        <v>1646</v>
      </c>
      <c r="F1065" s="9">
        <v>45690</v>
      </c>
      <c r="G1065" s="5" t="s">
        <v>37</v>
      </c>
      <c r="H1065" s="5"/>
      <c r="I1065" s="5" t="e">
        <f t="shared" si="4"/>
        <v>#REF!</v>
      </c>
      <c r="J1065" s="5"/>
      <c r="K1065" s="5"/>
      <c r="L1065" s="5"/>
      <c r="M1065" s="5"/>
      <c r="N1065" s="5"/>
    </row>
    <row r="1066" spans="1:14" ht="22.5" customHeight="1" x14ac:dyDescent="0.2">
      <c r="A1066" s="22" t="s">
        <v>1647</v>
      </c>
      <c r="B1066" s="3" t="s">
        <v>34</v>
      </c>
      <c r="C1066" s="3" t="s">
        <v>1216</v>
      </c>
      <c r="D1066" s="14" t="s">
        <v>2138</v>
      </c>
      <c r="E1066" s="3" t="s">
        <v>1265</v>
      </c>
      <c r="F1066" s="9">
        <v>45688</v>
      </c>
      <c r="G1066" s="5" t="s">
        <v>1254</v>
      </c>
      <c r="H1066" s="5"/>
      <c r="I1066" s="5" t="e">
        <f t="shared" si="4"/>
        <v>#REF!</v>
      </c>
      <c r="J1066" s="5"/>
      <c r="K1066" s="5"/>
      <c r="L1066" s="5"/>
      <c r="M1066" s="5"/>
      <c r="N1066" s="5"/>
    </row>
    <row r="1067" spans="1:14" ht="22.5" customHeight="1" x14ac:dyDescent="0.2">
      <c r="A1067" s="22" t="s">
        <v>1648</v>
      </c>
      <c r="B1067" s="3" t="s">
        <v>34</v>
      </c>
      <c r="C1067" s="3" t="s">
        <v>1216</v>
      </c>
      <c r="D1067" s="14" t="s">
        <v>2138</v>
      </c>
      <c r="E1067" s="3" t="s">
        <v>1265</v>
      </c>
      <c r="F1067" s="9">
        <v>45688</v>
      </c>
      <c r="G1067" s="5" t="s">
        <v>2095</v>
      </c>
      <c r="H1067" s="5"/>
      <c r="I1067" s="5" t="e">
        <f t="shared" si="4"/>
        <v>#REF!</v>
      </c>
      <c r="J1067" s="5"/>
      <c r="K1067" s="5"/>
      <c r="L1067" s="5"/>
      <c r="M1067" s="5"/>
      <c r="N1067" s="5"/>
    </row>
    <row r="1068" spans="1:14" ht="22.5" customHeight="1" x14ac:dyDescent="0.2">
      <c r="A1068" s="22" t="s">
        <v>1649</v>
      </c>
      <c r="B1068" s="3" t="s">
        <v>34</v>
      </c>
      <c r="C1068" s="3" t="s">
        <v>1216</v>
      </c>
      <c r="D1068" s="14" t="s">
        <v>2939</v>
      </c>
      <c r="E1068" s="3" t="s">
        <v>1265</v>
      </c>
      <c r="F1068" s="9">
        <v>45688</v>
      </c>
      <c r="G1068" s="5" t="s">
        <v>37</v>
      </c>
      <c r="H1068" s="5"/>
      <c r="I1068" s="5" t="e">
        <f t="shared" si="4"/>
        <v>#REF!</v>
      </c>
      <c r="J1068" s="5"/>
      <c r="K1068" s="5"/>
      <c r="L1068" s="5"/>
      <c r="M1068" s="5"/>
      <c r="N1068" s="5"/>
    </row>
    <row r="1069" spans="1:14" ht="22.5" customHeight="1" x14ac:dyDescent="0.2">
      <c r="A1069" s="22" t="s">
        <v>1650</v>
      </c>
      <c r="B1069" s="3" t="s">
        <v>34</v>
      </c>
      <c r="C1069" s="3" t="s">
        <v>1216</v>
      </c>
      <c r="D1069" s="14" t="s">
        <v>2226</v>
      </c>
      <c r="E1069" s="3" t="s">
        <v>1651</v>
      </c>
      <c r="F1069" s="9">
        <v>45688</v>
      </c>
      <c r="G1069" s="5" t="s">
        <v>1254</v>
      </c>
      <c r="H1069" s="5"/>
      <c r="I1069" s="5" t="e">
        <f t="shared" si="4"/>
        <v>#REF!</v>
      </c>
      <c r="J1069" s="5"/>
      <c r="K1069" s="5"/>
      <c r="L1069" s="5"/>
      <c r="M1069" s="5"/>
      <c r="N1069" s="5"/>
    </row>
    <row r="1070" spans="1:14" ht="22.5" customHeight="1" x14ac:dyDescent="0.2">
      <c r="A1070" s="22" t="s">
        <v>1652</v>
      </c>
      <c r="B1070" s="3" t="s">
        <v>34</v>
      </c>
      <c r="C1070" s="3" t="s">
        <v>1216</v>
      </c>
      <c r="D1070" s="14" t="s">
        <v>2226</v>
      </c>
      <c r="E1070" s="3" t="s">
        <v>1651</v>
      </c>
      <c r="F1070" s="9">
        <v>45688</v>
      </c>
      <c r="G1070" s="5" t="s">
        <v>37</v>
      </c>
      <c r="H1070" s="5"/>
      <c r="I1070" s="5" t="e">
        <f t="shared" si="4"/>
        <v>#REF!</v>
      </c>
      <c r="J1070" s="5"/>
      <c r="K1070" s="5"/>
      <c r="L1070" s="5"/>
      <c r="M1070" s="5"/>
      <c r="N1070" s="5"/>
    </row>
    <row r="1071" spans="1:14" ht="22.5" customHeight="1" x14ac:dyDescent="0.2">
      <c r="A1071" s="22" t="s">
        <v>1654</v>
      </c>
      <c r="B1071" s="3" t="s">
        <v>34</v>
      </c>
      <c r="C1071" s="3" t="s">
        <v>1216</v>
      </c>
      <c r="D1071" s="14" t="s">
        <v>2226</v>
      </c>
      <c r="E1071" s="3" t="s">
        <v>1651</v>
      </c>
      <c r="F1071" s="9">
        <v>45688</v>
      </c>
      <c r="G1071" s="5" t="s">
        <v>2095</v>
      </c>
      <c r="H1071" s="5"/>
      <c r="I1071" s="5" t="e">
        <f t="shared" si="4"/>
        <v>#REF!</v>
      </c>
      <c r="J1071" s="5"/>
      <c r="K1071" s="5"/>
      <c r="L1071" s="5"/>
      <c r="M1071" s="5"/>
      <c r="N1071" s="5"/>
    </row>
    <row r="1072" spans="1:14" ht="22.5" customHeight="1" x14ac:dyDescent="0.2">
      <c r="A1072" s="22" t="s">
        <v>1655</v>
      </c>
      <c r="B1072" s="3" t="s">
        <v>34</v>
      </c>
      <c r="C1072" s="3" t="s">
        <v>1216</v>
      </c>
      <c r="D1072" s="14" t="s">
        <v>2226</v>
      </c>
      <c r="E1072" s="3" t="s">
        <v>1651</v>
      </c>
      <c r="F1072" s="9">
        <v>45688</v>
      </c>
      <c r="G1072" s="5" t="s">
        <v>2095</v>
      </c>
      <c r="H1072" s="5"/>
      <c r="I1072" s="5" t="e">
        <f t="shared" si="4"/>
        <v>#REF!</v>
      </c>
      <c r="J1072" s="5"/>
      <c r="K1072" s="5"/>
      <c r="L1072" s="5"/>
      <c r="M1072" s="5"/>
      <c r="N1072" s="5"/>
    </row>
    <row r="1073" spans="1:14" ht="22.5" customHeight="1" x14ac:dyDescent="0.2">
      <c r="A1073" s="22" t="s">
        <v>1656</v>
      </c>
      <c r="B1073" s="3" t="s">
        <v>34</v>
      </c>
      <c r="C1073" s="3" t="s">
        <v>1216</v>
      </c>
      <c r="D1073" s="14" t="s">
        <v>2227</v>
      </c>
      <c r="E1073" s="3" t="s">
        <v>1376</v>
      </c>
      <c r="F1073" s="9">
        <v>45687</v>
      </c>
      <c r="G1073" s="5" t="s">
        <v>2095</v>
      </c>
      <c r="H1073" s="5"/>
      <c r="I1073" s="5" t="e">
        <f t="shared" si="4"/>
        <v>#REF!</v>
      </c>
      <c r="J1073" s="5"/>
      <c r="K1073" s="5"/>
      <c r="L1073" s="5"/>
      <c r="M1073" s="5"/>
      <c r="N1073" s="5"/>
    </row>
    <row r="1074" spans="1:14" ht="22.5" customHeight="1" x14ac:dyDescent="0.2">
      <c r="A1074" s="22" t="s">
        <v>1657</v>
      </c>
      <c r="B1074" s="3" t="s">
        <v>34</v>
      </c>
      <c r="C1074" s="3" t="s">
        <v>1216</v>
      </c>
      <c r="D1074" s="14" t="s">
        <v>3025</v>
      </c>
      <c r="E1074" s="3" t="s">
        <v>1658</v>
      </c>
      <c r="F1074" s="9">
        <v>45687</v>
      </c>
      <c r="G1074" s="5" t="s">
        <v>37</v>
      </c>
      <c r="H1074" s="5"/>
      <c r="I1074" s="5" t="e">
        <f t="shared" si="4"/>
        <v>#REF!</v>
      </c>
      <c r="J1074" s="5"/>
      <c r="K1074" s="5"/>
      <c r="L1074" s="5"/>
      <c r="M1074" s="5"/>
      <c r="N1074" s="5"/>
    </row>
    <row r="1075" spans="1:14" ht="22.5" customHeight="1" x14ac:dyDescent="0.2">
      <c r="A1075" s="22" t="s">
        <v>1659</v>
      </c>
      <c r="B1075" s="3" t="s">
        <v>34</v>
      </c>
      <c r="C1075" s="3" t="s">
        <v>1216</v>
      </c>
      <c r="D1075" s="14" t="s">
        <v>2228</v>
      </c>
      <c r="E1075" s="3" t="s">
        <v>1660</v>
      </c>
      <c r="F1075" s="9">
        <v>45687</v>
      </c>
      <c r="G1075" s="5" t="s">
        <v>2095</v>
      </c>
      <c r="H1075" s="5"/>
      <c r="I1075" s="5" t="e">
        <f t="shared" si="4"/>
        <v>#REF!</v>
      </c>
      <c r="J1075" s="5"/>
      <c r="K1075" s="5"/>
      <c r="L1075" s="5"/>
      <c r="M1075" s="5"/>
      <c r="N1075" s="5"/>
    </row>
    <row r="1076" spans="1:14" ht="22.5" customHeight="1" x14ac:dyDescent="0.2">
      <c r="A1076" s="22" t="s">
        <v>1661</v>
      </c>
      <c r="B1076" s="3" t="s">
        <v>34</v>
      </c>
      <c r="C1076" s="3" t="s">
        <v>1216</v>
      </c>
      <c r="D1076" s="14" t="s">
        <v>2177</v>
      </c>
      <c r="E1076" s="3" t="s">
        <v>74</v>
      </c>
      <c r="F1076" s="9">
        <v>45686</v>
      </c>
      <c r="G1076" s="5" t="s">
        <v>2095</v>
      </c>
      <c r="H1076" s="5"/>
      <c r="I1076" s="5" t="e">
        <f t="shared" si="4"/>
        <v>#REF!</v>
      </c>
      <c r="J1076" s="5"/>
      <c r="K1076" s="5"/>
      <c r="L1076" s="5"/>
      <c r="M1076" s="5"/>
      <c r="N1076" s="5"/>
    </row>
    <row r="1077" spans="1:14" ht="22.5" customHeight="1" x14ac:dyDescent="0.2">
      <c r="A1077" s="22" t="s">
        <v>1663</v>
      </c>
      <c r="B1077" s="3" t="s">
        <v>34</v>
      </c>
      <c r="C1077" s="3" t="s">
        <v>1216</v>
      </c>
      <c r="D1077" s="14" t="s">
        <v>2177</v>
      </c>
      <c r="E1077" s="3" t="s">
        <v>74</v>
      </c>
      <c r="F1077" s="9">
        <v>45686</v>
      </c>
      <c r="G1077" s="5" t="s">
        <v>2095</v>
      </c>
      <c r="H1077" s="5"/>
      <c r="I1077" s="5" t="e">
        <f t="shared" si="4"/>
        <v>#REF!</v>
      </c>
      <c r="J1077" s="5"/>
      <c r="K1077" s="5"/>
      <c r="L1077" s="5"/>
      <c r="M1077" s="5"/>
      <c r="N1077" s="5"/>
    </row>
    <row r="1078" spans="1:14" ht="22.5" customHeight="1" x14ac:dyDescent="0.2">
      <c r="A1078" s="22" t="s">
        <v>1664</v>
      </c>
      <c r="B1078" s="3" t="s">
        <v>34</v>
      </c>
      <c r="C1078" s="3" t="s">
        <v>1216</v>
      </c>
      <c r="D1078" s="14" t="s">
        <v>2177</v>
      </c>
      <c r="E1078" s="3" t="s">
        <v>74</v>
      </c>
      <c r="F1078" s="9">
        <v>45686</v>
      </c>
      <c r="G1078" s="5" t="s">
        <v>2095</v>
      </c>
      <c r="H1078" s="5"/>
      <c r="I1078" s="5" t="e">
        <f t="shared" si="4"/>
        <v>#REF!</v>
      </c>
      <c r="J1078" s="5"/>
      <c r="K1078" s="5"/>
      <c r="L1078" s="5"/>
      <c r="M1078" s="5"/>
      <c r="N1078" s="5"/>
    </row>
    <row r="1079" spans="1:14" ht="22.5" customHeight="1" x14ac:dyDescent="0.2">
      <c r="A1079" s="22" t="s">
        <v>1665</v>
      </c>
      <c r="B1079" s="3" t="s">
        <v>34</v>
      </c>
      <c r="C1079" s="3" t="s">
        <v>1216</v>
      </c>
      <c r="D1079" s="14" t="s">
        <v>3022</v>
      </c>
      <c r="E1079" s="3" t="s">
        <v>1217</v>
      </c>
      <c r="F1079" s="9">
        <v>45686</v>
      </c>
      <c r="G1079" s="5" t="s">
        <v>37</v>
      </c>
      <c r="H1079" s="5"/>
      <c r="I1079" s="5" t="e">
        <f t="shared" si="4"/>
        <v>#REF!</v>
      </c>
      <c r="J1079" s="5"/>
      <c r="K1079" s="5"/>
      <c r="L1079" s="5"/>
      <c r="M1079" s="5"/>
      <c r="N1079" s="5"/>
    </row>
    <row r="1080" spans="1:14" ht="22.5" customHeight="1" x14ac:dyDescent="0.2">
      <c r="A1080" s="22" t="s">
        <v>1666</v>
      </c>
      <c r="B1080" s="3" t="s">
        <v>34</v>
      </c>
      <c r="C1080" s="3" t="s">
        <v>1216</v>
      </c>
      <c r="D1080" s="14" t="s">
        <v>2229</v>
      </c>
      <c r="E1080" s="3" t="s">
        <v>1217</v>
      </c>
      <c r="F1080" s="9">
        <v>45686</v>
      </c>
      <c r="G1080" s="5" t="s">
        <v>37</v>
      </c>
      <c r="H1080" s="5"/>
      <c r="I1080" s="5" t="e">
        <f t="shared" si="4"/>
        <v>#REF!</v>
      </c>
      <c r="J1080" s="5"/>
      <c r="K1080" s="5"/>
      <c r="L1080" s="5"/>
      <c r="M1080" s="5"/>
      <c r="N1080" s="5"/>
    </row>
    <row r="1081" spans="1:14" ht="22.5" customHeight="1" x14ac:dyDescent="0.2">
      <c r="A1081" s="22" t="s">
        <v>1667</v>
      </c>
      <c r="B1081" s="3" t="s">
        <v>34</v>
      </c>
      <c r="C1081" s="3" t="s">
        <v>1216</v>
      </c>
      <c r="D1081" s="14" t="s">
        <v>2229</v>
      </c>
      <c r="E1081" s="3" t="s">
        <v>1217</v>
      </c>
      <c r="F1081" s="9">
        <v>45686</v>
      </c>
      <c r="G1081" s="5" t="s">
        <v>2095</v>
      </c>
      <c r="H1081" s="5"/>
      <c r="I1081" s="5" t="e">
        <f t="shared" si="4"/>
        <v>#REF!</v>
      </c>
      <c r="J1081" s="5"/>
      <c r="K1081" s="5"/>
      <c r="L1081" s="5"/>
      <c r="M1081" s="5"/>
      <c r="N1081" s="5"/>
    </row>
    <row r="1082" spans="1:14" ht="22.5" customHeight="1" x14ac:dyDescent="0.2">
      <c r="A1082" s="22" t="s">
        <v>1668</v>
      </c>
      <c r="B1082" s="3" t="s">
        <v>34</v>
      </c>
      <c r="C1082" s="3" t="s">
        <v>1216</v>
      </c>
      <c r="D1082" s="14" t="s">
        <v>2218</v>
      </c>
      <c r="E1082" s="3" t="s">
        <v>1530</v>
      </c>
      <c r="F1082" s="9">
        <v>45684</v>
      </c>
      <c r="G1082" s="5" t="s">
        <v>37</v>
      </c>
      <c r="H1082" s="5"/>
      <c r="I1082" s="5" t="e">
        <f t="shared" si="4"/>
        <v>#REF!</v>
      </c>
      <c r="J1082" s="5"/>
      <c r="K1082" s="5"/>
      <c r="L1082" s="5"/>
      <c r="M1082" s="5"/>
      <c r="N1082" s="5"/>
    </row>
    <row r="1083" spans="1:14" ht="22.5" customHeight="1" x14ac:dyDescent="0.2">
      <c r="A1083" s="22" t="s">
        <v>1669</v>
      </c>
      <c r="B1083" s="3" t="s">
        <v>34</v>
      </c>
      <c r="C1083" s="3" t="s">
        <v>1216</v>
      </c>
      <c r="D1083" s="14" t="s">
        <v>2183</v>
      </c>
      <c r="E1083" s="3" t="s">
        <v>1530</v>
      </c>
      <c r="F1083" s="9">
        <v>45684</v>
      </c>
      <c r="G1083" s="5" t="s">
        <v>37</v>
      </c>
      <c r="H1083" s="5"/>
      <c r="I1083" s="5" t="e">
        <f t="shared" si="4"/>
        <v>#REF!</v>
      </c>
      <c r="J1083" s="5"/>
      <c r="K1083" s="5"/>
      <c r="L1083" s="5"/>
      <c r="M1083" s="5"/>
      <c r="N1083" s="5"/>
    </row>
    <row r="1084" spans="1:14" ht="22.5" customHeight="1" x14ac:dyDescent="0.2">
      <c r="A1084" s="22" t="s">
        <v>1670</v>
      </c>
      <c r="B1084" s="3" t="s">
        <v>34</v>
      </c>
      <c r="C1084" s="3" t="s">
        <v>1216</v>
      </c>
      <c r="D1084" s="14" t="s">
        <v>2219</v>
      </c>
      <c r="E1084" s="3" t="s">
        <v>1530</v>
      </c>
      <c r="F1084" s="9">
        <v>45684</v>
      </c>
      <c r="G1084" s="5" t="s">
        <v>37</v>
      </c>
      <c r="H1084" s="5"/>
      <c r="I1084" s="5" t="e">
        <f t="shared" si="4"/>
        <v>#REF!</v>
      </c>
      <c r="J1084" s="5"/>
      <c r="K1084" s="5"/>
      <c r="L1084" s="5"/>
      <c r="M1084" s="5"/>
      <c r="N1084" s="5"/>
    </row>
    <row r="1085" spans="1:14" ht="22.5" customHeight="1" x14ac:dyDescent="0.2">
      <c r="A1085" s="22" t="s">
        <v>1671</v>
      </c>
      <c r="B1085" s="3" t="s">
        <v>34</v>
      </c>
      <c r="C1085" s="3" t="s">
        <v>1216</v>
      </c>
      <c r="D1085" s="14" t="s">
        <v>2219</v>
      </c>
      <c r="E1085" s="3" t="s">
        <v>1530</v>
      </c>
      <c r="F1085" s="9">
        <v>45684</v>
      </c>
      <c r="G1085" s="5" t="s">
        <v>37</v>
      </c>
      <c r="H1085" s="5"/>
      <c r="I1085" s="5" t="e">
        <f t="shared" si="4"/>
        <v>#REF!</v>
      </c>
      <c r="J1085" s="5"/>
      <c r="K1085" s="5"/>
      <c r="L1085" s="5"/>
      <c r="M1085" s="5"/>
      <c r="N1085" s="5"/>
    </row>
    <row r="1086" spans="1:14" ht="22.5" customHeight="1" x14ac:dyDescent="0.2">
      <c r="A1086" s="22" t="s">
        <v>1672</v>
      </c>
      <c r="B1086" s="3" t="s">
        <v>34</v>
      </c>
      <c r="C1086" s="3" t="s">
        <v>1216</v>
      </c>
      <c r="D1086" s="14" t="s">
        <v>2230</v>
      </c>
      <c r="E1086" s="3" t="s">
        <v>1626</v>
      </c>
      <c r="F1086" s="9">
        <v>45679</v>
      </c>
      <c r="G1086" s="5" t="s">
        <v>2095</v>
      </c>
      <c r="H1086" s="5"/>
      <c r="I1086" s="5" t="e">
        <f t="shared" si="4"/>
        <v>#REF!</v>
      </c>
      <c r="J1086" s="5"/>
      <c r="K1086" s="5"/>
      <c r="L1086" s="5"/>
      <c r="M1086" s="5"/>
      <c r="N1086" s="5"/>
    </row>
    <row r="1087" spans="1:14" ht="22.5" customHeight="1" x14ac:dyDescent="0.2">
      <c r="A1087" s="22" t="s">
        <v>1673</v>
      </c>
      <c r="B1087" s="3" t="s">
        <v>34</v>
      </c>
      <c r="C1087" s="3" t="s">
        <v>1216</v>
      </c>
      <c r="D1087" s="14" t="s">
        <v>2231</v>
      </c>
      <c r="E1087" s="3" t="s">
        <v>1626</v>
      </c>
      <c r="F1087" s="9">
        <v>45679</v>
      </c>
      <c r="G1087" s="5" t="s">
        <v>2095</v>
      </c>
      <c r="H1087" s="5"/>
      <c r="I1087" s="5" t="e">
        <f t="shared" si="4"/>
        <v>#REF!</v>
      </c>
      <c r="J1087" s="5"/>
      <c r="K1087" s="5"/>
      <c r="L1087" s="5"/>
      <c r="M1087" s="5"/>
      <c r="N1087" s="5"/>
    </row>
    <row r="1088" spans="1:14" ht="22.5" customHeight="1" x14ac:dyDescent="0.2">
      <c r="A1088" s="22" t="s">
        <v>1674</v>
      </c>
      <c r="B1088" s="3" t="s">
        <v>34</v>
      </c>
      <c r="C1088" s="3" t="s">
        <v>1216</v>
      </c>
      <c r="D1088" s="14" t="s">
        <v>2231</v>
      </c>
      <c r="E1088" s="3" t="s">
        <v>1626</v>
      </c>
      <c r="F1088" s="9">
        <v>45679</v>
      </c>
      <c r="G1088" s="5" t="s">
        <v>37</v>
      </c>
      <c r="H1088" s="5"/>
      <c r="I1088" s="5" t="e">
        <f t="shared" si="4"/>
        <v>#REF!</v>
      </c>
      <c r="J1088" s="5"/>
      <c r="K1088" s="5"/>
      <c r="L1088" s="5"/>
      <c r="M1088" s="5"/>
      <c r="N1088" s="5"/>
    </row>
    <row r="1089" spans="1:14" ht="22.5" customHeight="1" x14ac:dyDescent="0.2">
      <c r="A1089" s="22" t="s">
        <v>1675</v>
      </c>
      <c r="B1089" s="3" t="s">
        <v>34</v>
      </c>
      <c r="C1089" s="3" t="s">
        <v>1216</v>
      </c>
      <c r="D1089" s="14" t="s">
        <v>2232</v>
      </c>
      <c r="E1089" s="3" t="s">
        <v>1626</v>
      </c>
      <c r="F1089" s="9">
        <v>45679</v>
      </c>
      <c r="G1089" s="5" t="s">
        <v>2095</v>
      </c>
      <c r="H1089" s="5"/>
      <c r="I1089" s="5" t="e">
        <f t="shared" si="4"/>
        <v>#REF!</v>
      </c>
      <c r="J1089" s="5"/>
      <c r="K1089" s="5"/>
      <c r="L1089" s="5"/>
      <c r="M1089" s="5"/>
      <c r="N1089" s="5"/>
    </row>
    <row r="1090" spans="1:14" ht="22.5" customHeight="1" x14ac:dyDescent="0.2">
      <c r="A1090" s="22" t="s">
        <v>1676</v>
      </c>
      <c r="B1090" s="3" t="s">
        <v>34</v>
      </c>
      <c r="C1090" s="3" t="s">
        <v>1216</v>
      </c>
      <c r="D1090" s="14" t="s">
        <v>2220</v>
      </c>
      <c r="E1090" s="3" t="s">
        <v>1626</v>
      </c>
      <c r="F1090" s="9">
        <v>45679</v>
      </c>
      <c r="G1090" s="5" t="s">
        <v>37</v>
      </c>
      <c r="H1090" s="5"/>
      <c r="I1090" s="5" t="e">
        <f t="shared" si="4"/>
        <v>#REF!</v>
      </c>
      <c r="J1090" s="5"/>
      <c r="K1090" s="5"/>
      <c r="L1090" s="5"/>
      <c r="M1090" s="5"/>
      <c r="N1090" s="5"/>
    </row>
    <row r="1091" spans="1:14" ht="22.5" customHeight="1" x14ac:dyDescent="0.2">
      <c r="A1091" s="22" t="s">
        <v>1677</v>
      </c>
      <c r="B1091" s="3" t="s">
        <v>34</v>
      </c>
      <c r="C1091" s="3" t="s">
        <v>1216</v>
      </c>
      <c r="D1091" s="14" t="s">
        <v>2233</v>
      </c>
      <c r="E1091" s="3" t="s">
        <v>1678</v>
      </c>
      <c r="F1091" s="9">
        <v>45679</v>
      </c>
      <c r="G1091" s="5" t="s">
        <v>2095</v>
      </c>
      <c r="H1091" s="5"/>
      <c r="I1091" s="5" t="e">
        <f t="shared" si="4"/>
        <v>#REF!</v>
      </c>
      <c r="J1091" s="5"/>
      <c r="K1091" s="5"/>
      <c r="L1091" s="5"/>
      <c r="M1091" s="5"/>
      <c r="N1091" s="5"/>
    </row>
    <row r="1092" spans="1:14" ht="22.5" customHeight="1" x14ac:dyDescent="0.2">
      <c r="A1092" s="22" t="s">
        <v>1679</v>
      </c>
      <c r="B1092" s="3" t="s">
        <v>34</v>
      </c>
      <c r="C1092" s="3" t="s">
        <v>1216</v>
      </c>
      <c r="D1092" s="14" t="s">
        <v>2234</v>
      </c>
      <c r="E1092" s="3" t="s">
        <v>1678</v>
      </c>
      <c r="F1092" s="9">
        <v>45679</v>
      </c>
      <c r="G1092" s="5" t="s">
        <v>2095</v>
      </c>
      <c r="H1092" s="5"/>
      <c r="I1092" s="5" t="e">
        <f t="shared" si="4"/>
        <v>#REF!</v>
      </c>
      <c r="J1092" s="5"/>
      <c r="K1092" s="5"/>
      <c r="L1092" s="5"/>
      <c r="M1092" s="5"/>
      <c r="N1092" s="5"/>
    </row>
    <row r="1093" spans="1:14" ht="22.5" customHeight="1" x14ac:dyDescent="0.2">
      <c r="A1093" s="22" t="s">
        <v>1680</v>
      </c>
      <c r="B1093" s="3" t="s">
        <v>34</v>
      </c>
      <c r="C1093" s="3" t="s">
        <v>1216</v>
      </c>
      <c r="D1093" s="14" t="s">
        <v>2235</v>
      </c>
      <c r="E1093" s="3" t="s">
        <v>1678</v>
      </c>
      <c r="F1093" s="9">
        <v>45679</v>
      </c>
      <c r="G1093" s="5" t="s">
        <v>2095</v>
      </c>
      <c r="H1093" s="5"/>
      <c r="I1093" s="5" t="e">
        <f t="shared" si="4"/>
        <v>#REF!</v>
      </c>
      <c r="J1093" s="5"/>
      <c r="K1093" s="5"/>
      <c r="L1093" s="5"/>
      <c r="M1093" s="5"/>
      <c r="N1093" s="5"/>
    </row>
    <row r="1094" spans="1:14" ht="22.5" customHeight="1" x14ac:dyDescent="0.2">
      <c r="A1094" s="22" t="s">
        <v>1681</v>
      </c>
      <c r="B1094" s="3" t="s">
        <v>34</v>
      </c>
      <c r="C1094" s="3" t="s">
        <v>1216</v>
      </c>
      <c r="D1094" s="14" t="s">
        <v>2236</v>
      </c>
      <c r="E1094" s="3" t="s">
        <v>1678</v>
      </c>
      <c r="F1094" s="9">
        <v>45679</v>
      </c>
      <c r="G1094" s="5" t="s">
        <v>2095</v>
      </c>
      <c r="H1094" s="5"/>
      <c r="I1094" s="5" t="e">
        <f t="shared" si="4"/>
        <v>#REF!</v>
      </c>
      <c r="J1094" s="5"/>
      <c r="K1094" s="5"/>
      <c r="L1094" s="5"/>
      <c r="M1094" s="5"/>
      <c r="N1094" s="5"/>
    </row>
    <row r="1095" spans="1:14" ht="22.5" customHeight="1" x14ac:dyDescent="0.2">
      <c r="A1095" s="22" t="s">
        <v>1682</v>
      </c>
      <c r="B1095" s="3" t="s">
        <v>34</v>
      </c>
      <c r="C1095" s="3" t="s">
        <v>1216</v>
      </c>
      <c r="D1095" s="14" t="s">
        <v>2189</v>
      </c>
      <c r="E1095" s="3" t="s">
        <v>1545</v>
      </c>
      <c r="F1095" s="9">
        <v>45673</v>
      </c>
      <c r="G1095" s="5" t="s">
        <v>2095</v>
      </c>
      <c r="H1095" s="5"/>
      <c r="I1095" s="5"/>
      <c r="J1095" s="5"/>
      <c r="K1095" s="5"/>
      <c r="L1095" s="5"/>
      <c r="M1095" s="5"/>
      <c r="N1095" s="5"/>
    </row>
    <row r="1096" spans="1:14" ht="22.5" customHeight="1" x14ac:dyDescent="0.2">
      <c r="A1096" s="22" t="s">
        <v>1684</v>
      </c>
      <c r="B1096" s="3" t="s">
        <v>34</v>
      </c>
      <c r="C1096" s="3" t="s">
        <v>1216</v>
      </c>
      <c r="D1096" s="14" t="s">
        <v>2189</v>
      </c>
      <c r="E1096" s="3" t="s">
        <v>1545</v>
      </c>
      <c r="F1096" s="9">
        <v>45673</v>
      </c>
      <c r="G1096" s="5" t="s">
        <v>37</v>
      </c>
      <c r="H1096" s="5"/>
      <c r="I1096" s="5"/>
      <c r="J1096" s="5"/>
      <c r="K1096" s="5"/>
      <c r="L1096" s="5"/>
      <c r="M1096" s="5"/>
      <c r="N1096" s="5"/>
    </row>
    <row r="1097" spans="1:14" ht="22.5" customHeight="1" x14ac:dyDescent="0.2">
      <c r="A1097" s="22" t="s">
        <v>1685</v>
      </c>
      <c r="B1097" s="3" t="s">
        <v>34</v>
      </c>
      <c r="C1097" s="3" t="s">
        <v>1216</v>
      </c>
      <c r="D1097" s="14" t="s">
        <v>2187</v>
      </c>
      <c r="E1097" s="3" t="s">
        <v>1539</v>
      </c>
      <c r="F1097" s="9">
        <v>45673</v>
      </c>
      <c r="G1097" s="5" t="s">
        <v>37</v>
      </c>
      <c r="H1097" s="5"/>
      <c r="I1097" s="5"/>
      <c r="J1097" s="5"/>
      <c r="K1097" s="5"/>
      <c r="L1097" s="5"/>
      <c r="M1097" s="5"/>
      <c r="N1097" s="5"/>
    </row>
    <row r="1098" spans="1:14" ht="22.5" customHeight="1" x14ac:dyDescent="0.2">
      <c r="A1098" s="22" t="s">
        <v>1686</v>
      </c>
      <c r="B1098" s="3" t="s">
        <v>34</v>
      </c>
      <c r="C1098" s="3" t="s">
        <v>1216</v>
      </c>
      <c r="D1098" s="14" t="s">
        <v>2189</v>
      </c>
      <c r="E1098" s="3" t="s">
        <v>1545</v>
      </c>
      <c r="F1098" s="9">
        <v>45673</v>
      </c>
      <c r="G1098" s="5" t="s">
        <v>37</v>
      </c>
      <c r="H1098" s="5"/>
      <c r="I1098" s="5"/>
      <c r="J1098" s="5"/>
      <c r="K1098" s="5"/>
      <c r="L1098" s="5"/>
      <c r="M1098" s="5"/>
      <c r="N1098" s="5"/>
    </row>
    <row r="1099" spans="1:14" ht="22.5" customHeight="1" x14ac:dyDescent="0.2">
      <c r="A1099" s="22" t="s">
        <v>1687</v>
      </c>
      <c r="B1099" s="3" t="s">
        <v>34</v>
      </c>
      <c r="C1099" s="3" t="s">
        <v>1216</v>
      </c>
      <c r="D1099" s="14" t="s">
        <v>2947</v>
      </c>
      <c r="E1099" s="3" t="s">
        <v>1349</v>
      </c>
      <c r="F1099" s="9">
        <v>45646</v>
      </c>
      <c r="G1099" s="5" t="s">
        <v>2095</v>
      </c>
      <c r="H1099" s="5"/>
      <c r="I1099" s="5"/>
      <c r="J1099" s="5"/>
      <c r="K1099" s="5"/>
      <c r="L1099" s="5"/>
      <c r="M1099" s="5"/>
      <c r="N1099" s="5"/>
    </row>
    <row r="1100" spans="1:14" ht="22.5" customHeight="1" x14ac:dyDescent="0.2">
      <c r="A1100" s="22" t="s">
        <v>1688</v>
      </c>
      <c r="B1100" s="3" t="s">
        <v>34</v>
      </c>
      <c r="C1100" s="3" t="s">
        <v>1216</v>
      </c>
      <c r="D1100" s="14" t="s">
        <v>3026</v>
      </c>
      <c r="E1100" s="3" t="s">
        <v>1689</v>
      </c>
      <c r="F1100" s="9">
        <v>45646</v>
      </c>
      <c r="G1100" s="5" t="s">
        <v>37</v>
      </c>
      <c r="H1100" s="5"/>
      <c r="I1100" s="5"/>
      <c r="J1100" s="5"/>
      <c r="K1100" s="5"/>
      <c r="L1100" s="5"/>
      <c r="M1100" s="5"/>
      <c r="N1100" s="5"/>
    </row>
    <row r="1101" spans="1:14" ht="22.5" customHeight="1" x14ac:dyDescent="0.2">
      <c r="A1101" s="22" t="s">
        <v>1690</v>
      </c>
      <c r="B1101" s="3" t="s">
        <v>34</v>
      </c>
      <c r="C1101" s="3" t="s">
        <v>1216</v>
      </c>
      <c r="D1101" s="14" t="s">
        <v>3027</v>
      </c>
      <c r="E1101" s="3" t="s">
        <v>1392</v>
      </c>
      <c r="F1101" s="9">
        <v>45646</v>
      </c>
      <c r="G1101" s="5" t="s">
        <v>2433</v>
      </c>
      <c r="H1101" s="5"/>
      <c r="I1101" s="5"/>
      <c r="J1101" s="5"/>
      <c r="K1101" s="5"/>
      <c r="L1101" s="5"/>
      <c r="M1101" s="5"/>
      <c r="N1101" s="5"/>
    </row>
    <row r="1102" spans="1:14" ht="22.5" customHeight="1" x14ac:dyDescent="0.2">
      <c r="A1102" s="22" t="s">
        <v>1691</v>
      </c>
      <c r="B1102" s="3" t="s">
        <v>34</v>
      </c>
      <c r="C1102" s="3" t="s">
        <v>1216</v>
      </c>
      <c r="D1102" s="14" t="s">
        <v>3028</v>
      </c>
      <c r="E1102" s="3" t="s">
        <v>348</v>
      </c>
      <c r="F1102" s="9">
        <v>45644</v>
      </c>
      <c r="G1102" s="5" t="s">
        <v>2095</v>
      </c>
      <c r="H1102" s="5"/>
      <c r="I1102" s="5"/>
      <c r="J1102" s="5"/>
      <c r="K1102" s="5"/>
      <c r="L1102" s="5"/>
      <c r="M1102" s="5"/>
      <c r="N1102" s="5"/>
    </row>
    <row r="1103" spans="1:14" ht="22.5" customHeight="1" x14ac:dyDescent="0.2">
      <c r="A1103" s="22" t="s">
        <v>1692</v>
      </c>
      <c r="B1103" s="3" t="s">
        <v>34</v>
      </c>
      <c r="C1103" s="3" t="s">
        <v>1216</v>
      </c>
      <c r="D1103" s="14" t="s">
        <v>3028</v>
      </c>
      <c r="E1103" s="3" t="s">
        <v>348</v>
      </c>
      <c r="F1103" s="9">
        <v>45644</v>
      </c>
      <c r="G1103" s="5" t="s">
        <v>2095</v>
      </c>
      <c r="H1103" s="5"/>
      <c r="I1103" s="5"/>
      <c r="J1103" s="5"/>
      <c r="K1103" s="5"/>
      <c r="L1103" s="5"/>
      <c r="M1103" s="5"/>
      <c r="N1103" s="5"/>
    </row>
    <row r="1104" spans="1:14" ht="22.5" customHeight="1" x14ac:dyDescent="0.2">
      <c r="A1104" s="22" t="s">
        <v>1693</v>
      </c>
      <c r="B1104" s="3" t="s">
        <v>34</v>
      </c>
      <c r="C1104" s="3" t="s">
        <v>1216</v>
      </c>
      <c r="D1104" s="14" t="s">
        <v>3029</v>
      </c>
      <c r="E1104" s="3" t="s">
        <v>1630</v>
      </c>
      <c r="F1104" s="9">
        <v>45644</v>
      </c>
      <c r="G1104" s="5" t="s">
        <v>37</v>
      </c>
      <c r="H1104" s="5"/>
      <c r="I1104" s="5"/>
      <c r="J1104" s="5"/>
      <c r="K1104" s="5"/>
      <c r="L1104" s="5"/>
      <c r="M1104" s="5"/>
      <c r="N1104" s="5"/>
    </row>
    <row r="1105" spans="1:14" ht="22.5" customHeight="1" x14ac:dyDescent="0.2">
      <c r="A1105" s="22" t="s">
        <v>1694</v>
      </c>
      <c r="B1105" s="3" t="s">
        <v>34</v>
      </c>
      <c r="C1105" s="3" t="s">
        <v>1216</v>
      </c>
      <c r="D1105" s="14" t="s">
        <v>3029</v>
      </c>
      <c r="E1105" s="3" t="s">
        <v>1630</v>
      </c>
      <c r="F1105" s="9">
        <v>45644</v>
      </c>
      <c r="G1105" s="5" t="s">
        <v>37</v>
      </c>
      <c r="H1105" s="5"/>
      <c r="I1105" s="5"/>
      <c r="J1105" s="5"/>
      <c r="K1105" s="5"/>
      <c r="L1105" s="5"/>
      <c r="M1105" s="5"/>
      <c r="N1105" s="5"/>
    </row>
    <row r="1106" spans="1:14" ht="22.5" customHeight="1" x14ac:dyDescent="0.2">
      <c r="A1106" s="22" t="s">
        <v>1695</v>
      </c>
      <c r="B1106" s="3" t="s">
        <v>34</v>
      </c>
      <c r="C1106" s="3" t="s">
        <v>1216</v>
      </c>
      <c r="D1106" s="14" t="s">
        <v>3030</v>
      </c>
      <c r="E1106" s="3" t="s">
        <v>1318</v>
      </c>
      <c r="F1106" s="9">
        <v>45644</v>
      </c>
      <c r="G1106" s="5" t="s">
        <v>37</v>
      </c>
      <c r="H1106" s="5"/>
      <c r="I1106" s="5"/>
      <c r="J1106" s="5"/>
      <c r="K1106" s="5"/>
      <c r="L1106" s="5"/>
      <c r="M1106" s="5"/>
      <c r="N1106" s="5"/>
    </row>
    <row r="1107" spans="1:14" ht="22.5" customHeight="1" x14ac:dyDescent="0.2">
      <c r="A1107" s="22" t="s">
        <v>1696</v>
      </c>
      <c r="B1107" s="3" t="s">
        <v>34</v>
      </c>
      <c r="C1107" s="3" t="s">
        <v>1216</v>
      </c>
      <c r="D1107" s="14" t="s">
        <v>3030</v>
      </c>
      <c r="E1107" s="3" t="s">
        <v>1318</v>
      </c>
      <c r="F1107" s="9">
        <v>45644</v>
      </c>
      <c r="G1107" s="5" t="s">
        <v>37</v>
      </c>
      <c r="H1107" s="5"/>
      <c r="I1107" s="5"/>
      <c r="J1107" s="5"/>
      <c r="K1107" s="5"/>
      <c r="L1107" s="5"/>
      <c r="M1107" s="5"/>
      <c r="N1107" s="5"/>
    </row>
    <row r="1108" spans="1:14" ht="22.5" customHeight="1" x14ac:dyDescent="0.2">
      <c r="A1108" s="22" t="s">
        <v>1697</v>
      </c>
      <c r="B1108" s="3" t="s">
        <v>34</v>
      </c>
      <c r="C1108" s="3" t="s">
        <v>1216</v>
      </c>
      <c r="D1108" s="14" t="s">
        <v>3031</v>
      </c>
      <c r="E1108" s="3" t="s">
        <v>1318</v>
      </c>
      <c r="F1108" s="9">
        <v>45644</v>
      </c>
      <c r="G1108" s="5" t="s">
        <v>2095</v>
      </c>
      <c r="H1108" s="5"/>
      <c r="I1108" s="5"/>
      <c r="J1108" s="5"/>
      <c r="K1108" s="5"/>
      <c r="L1108" s="5"/>
      <c r="M1108" s="5"/>
      <c r="N1108" s="5"/>
    </row>
    <row r="1109" spans="1:14" ht="22.5" customHeight="1" x14ac:dyDescent="0.2">
      <c r="A1109" s="22" t="s">
        <v>1698</v>
      </c>
      <c r="B1109" s="3" t="s">
        <v>34</v>
      </c>
      <c r="C1109" s="3" t="s">
        <v>1216</v>
      </c>
      <c r="D1109" s="14" t="s">
        <v>3031</v>
      </c>
      <c r="E1109" s="3" t="s">
        <v>1318</v>
      </c>
      <c r="F1109" s="9">
        <v>45644</v>
      </c>
      <c r="G1109" s="5" t="s">
        <v>2095</v>
      </c>
      <c r="H1109" s="5"/>
      <c r="I1109" s="5"/>
      <c r="J1109" s="5"/>
      <c r="K1109" s="5"/>
      <c r="L1109" s="5"/>
      <c r="M1109" s="5"/>
      <c r="N1109" s="5"/>
    </row>
    <row r="1110" spans="1:14" ht="22.5" customHeight="1" x14ac:dyDescent="0.2">
      <c r="A1110" s="22" t="s">
        <v>1699</v>
      </c>
      <c r="B1110" s="3" t="s">
        <v>34</v>
      </c>
      <c r="C1110" s="3" t="s">
        <v>1216</v>
      </c>
      <c r="D1110" s="14" t="s">
        <v>3031</v>
      </c>
      <c r="E1110" s="3" t="s">
        <v>1318</v>
      </c>
      <c r="F1110" s="9">
        <v>45644</v>
      </c>
      <c r="G1110" s="5" t="s">
        <v>2095</v>
      </c>
      <c r="H1110" s="5"/>
      <c r="I1110" s="5"/>
      <c r="J1110" s="5"/>
      <c r="K1110" s="5"/>
      <c r="L1110" s="5"/>
      <c r="M1110" s="5"/>
      <c r="N1110" s="5"/>
    </row>
    <row r="1111" spans="1:14" ht="22.5" customHeight="1" x14ac:dyDescent="0.2">
      <c r="A1111" s="22" t="s">
        <v>1700</v>
      </c>
      <c r="B1111" s="3" t="s">
        <v>34</v>
      </c>
      <c r="C1111" s="3" t="s">
        <v>1216</v>
      </c>
      <c r="D1111" s="14" t="s">
        <v>2131</v>
      </c>
      <c r="E1111" s="3" t="s">
        <v>1318</v>
      </c>
      <c r="F1111" s="9">
        <v>45644</v>
      </c>
      <c r="G1111" s="5" t="s">
        <v>2095</v>
      </c>
      <c r="H1111" s="5"/>
      <c r="I1111" s="5"/>
      <c r="J1111" s="5"/>
      <c r="K1111" s="5"/>
      <c r="L1111" s="5"/>
      <c r="M1111" s="5"/>
      <c r="N1111" s="5"/>
    </row>
    <row r="1112" spans="1:14" ht="22.5" customHeight="1" x14ac:dyDescent="0.2">
      <c r="A1112" s="22" t="s">
        <v>1701</v>
      </c>
      <c r="B1112" s="3" t="s">
        <v>34</v>
      </c>
      <c r="C1112" s="3" t="s">
        <v>1216</v>
      </c>
      <c r="D1112" s="14" t="s">
        <v>3032</v>
      </c>
      <c r="E1112" s="3" t="s">
        <v>1318</v>
      </c>
      <c r="F1112" s="9">
        <v>45644</v>
      </c>
      <c r="G1112" s="5" t="s">
        <v>2095</v>
      </c>
      <c r="H1112" s="5"/>
      <c r="I1112" s="5"/>
      <c r="J1112" s="5"/>
      <c r="K1112" s="5"/>
      <c r="L1112" s="5"/>
      <c r="M1112" s="5"/>
      <c r="N1112" s="5"/>
    </row>
    <row r="1113" spans="1:14" ht="22.5" customHeight="1" x14ac:dyDescent="0.2">
      <c r="A1113" s="22" t="s">
        <v>1702</v>
      </c>
      <c r="B1113" s="3" t="s">
        <v>34</v>
      </c>
      <c r="C1113" s="3" t="s">
        <v>1216</v>
      </c>
      <c r="D1113" s="14" t="s">
        <v>3033</v>
      </c>
      <c r="E1113" s="3" t="s">
        <v>1318</v>
      </c>
      <c r="F1113" s="9">
        <v>45644</v>
      </c>
      <c r="G1113" s="5" t="s">
        <v>37</v>
      </c>
      <c r="H1113" s="5"/>
      <c r="I1113" s="5"/>
      <c r="J1113" s="5"/>
      <c r="K1113" s="5"/>
      <c r="L1113" s="5"/>
      <c r="M1113" s="5"/>
      <c r="N1113" s="5"/>
    </row>
    <row r="1114" spans="1:14" ht="22.5" customHeight="1" x14ac:dyDescent="0.2">
      <c r="A1114" s="22" t="s">
        <v>1703</v>
      </c>
      <c r="B1114" s="3" t="s">
        <v>34</v>
      </c>
      <c r="C1114" s="3" t="s">
        <v>1216</v>
      </c>
      <c r="D1114" s="14" t="s">
        <v>2946</v>
      </c>
      <c r="E1114" s="3" t="s">
        <v>348</v>
      </c>
      <c r="F1114" s="9">
        <v>45644</v>
      </c>
      <c r="G1114" s="5" t="s">
        <v>153</v>
      </c>
      <c r="H1114" s="5"/>
      <c r="I1114" s="5"/>
      <c r="J1114" s="5"/>
      <c r="K1114" s="5"/>
      <c r="L1114" s="5"/>
      <c r="M1114" s="5"/>
      <c r="N1114" s="5"/>
    </row>
    <row r="1115" spans="1:14" ht="22.5" customHeight="1" x14ac:dyDescent="0.2">
      <c r="A1115" s="22" t="s">
        <v>1704</v>
      </c>
      <c r="B1115" s="3" t="s">
        <v>34</v>
      </c>
      <c r="C1115" s="3" t="s">
        <v>1216</v>
      </c>
      <c r="D1115" s="14" t="s">
        <v>2946</v>
      </c>
      <c r="E1115" s="3" t="s">
        <v>348</v>
      </c>
      <c r="F1115" s="9">
        <v>45644</v>
      </c>
      <c r="G1115" s="5" t="s">
        <v>153</v>
      </c>
      <c r="H1115" s="5"/>
      <c r="I1115" s="5"/>
      <c r="J1115" s="5"/>
      <c r="K1115" s="5"/>
      <c r="L1115" s="5"/>
      <c r="M1115" s="5"/>
      <c r="N1115" s="5"/>
    </row>
    <row r="1116" spans="1:14" ht="22.5" customHeight="1" x14ac:dyDescent="0.2">
      <c r="A1116" s="22" t="s">
        <v>1705</v>
      </c>
      <c r="B1116" s="3" t="s">
        <v>34</v>
      </c>
      <c r="C1116" s="3" t="s">
        <v>1216</v>
      </c>
      <c r="D1116" s="14" t="s">
        <v>2946</v>
      </c>
      <c r="E1116" s="3" t="s">
        <v>348</v>
      </c>
      <c r="F1116" s="9">
        <v>45644</v>
      </c>
      <c r="G1116" s="5" t="s">
        <v>153</v>
      </c>
      <c r="H1116" s="5"/>
      <c r="I1116" s="5"/>
      <c r="J1116" s="5"/>
      <c r="K1116" s="5"/>
      <c r="L1116" s="5"/>
      <c r="M1116" s="5"/>
      <c r="N1116" s="5"/>
    </row>
    <row r="1117" spans="1:14" ht="22.5" customHeight="1" x14ac:dyDescent="0.2">
      <c r="A1117" s="22" t="s">
        <v>1706</v>
      </c>
      <c r="B1117" s="3" t="s">
        <v>34</v>
      </c>
      <c r="C1117" s="3" t="s">
        <v>1216</v>
      </c>
      <c r="D1117" s="14" t="s">
        <v>2946</v>
      </c>
      <c r="E1117" s="3" t="s">
        <v>348</v>
      </c>
      <c r="F1117" s="9">
        <v>45644</v>
      </c>
      <c r="G1117" s="5" t="s">
        <v>153</v>
      </c>
      <c r="H1117" s="5"/>
      <c r="I1117" s="5"/>
      <c r="J1117" s="5"/>
      <c r="K1117" s="5"/>
      <c r="L1117" s="5"/>
      <c r="M1117" s="5"/>
      <c r="N1117" s="5"/>
    </row>
    <row r="1118" spans="1:14" ht="22.5" customHeight="1" x14ac:dyDescent="0.2">
      <c r="A1118" s="22" t="s">
        <v>1707</v>
      </c>
      <c r="B1118" s="3" t="s">
        <v>34</v>
      </c>
      <c r="C1118" s="3" t="s">
        <v>1216</v>
      </c>
      <c r="D1118" s="14" t="s">
        <v>2946</v>
      </c>
      <c r="E1118" s="3" t="s">
        <v>348</v>
      </c>
      <c r="F1118" s="9">
        <v>45644</v>
      </c>
      <c r="G1118" s="5" t="s">
        <v>153</v>
      </c>
      <c r="H1118" s="5"/>
      <c r="I1118" s="5"/>
      <c r="J1118" s="5"/>
      <c r="K1118" s="5"/>
      <c r="L1118" s="5"/>
      <c r="M1118" s="5"/>
      <c r="N1118" s="5"/>
    </row>
    <row r="1119" spans="1:14" ht="22.5" customHeight="1" x14ac:dyDescent="0.2">
      <c r="A1119" s="22" t="s">
        <v>1708</v>
      </c>
      <c r="B1119" s="3" t="s">
        <v>34</v>
      </c>
      <c r="C1119" s="3" t="s">
        <v>1216</v>
      </c>
      <c r="D1119" s="14" t="s">
        <v>2946</v>
      </c>
      <c r="E1119" s="3" t="s">
        <v>348</v>
      </c>
      <c r="F1119" s="9">
        <v>45644</v>
      </c>
      <c r="G1119" s="5" t="s">
        <v>2095</v>
      </c>
      <c r="H1119" s="5"/>
      <c r="I1119" s="5"/>
      <c r="J1119" s="5"/>
      <c r="K1119" s="5"/>
      <c r="L1119" s="5"/>
      <c r="M1119" s="5"/>
      <c r="N1119" s="5"/>
    </row>
    <row r="1120" spans="1:14" ht="22.5" customHeight="1" x14ac:dyDescent="0.2">
      <c r="A1120" s="22" t="s">
        <v>1709</v>
      </c>
      <c r="B1120" s="3" t="s">
        <v>34</v>
      </c>
      <c r="C1120" s="3" t="s">
        <v>1216</v>
      </c>
      <c r="D1120" s="14" t="s">
        <v>3034</v>
      </c>
      <c r="E1120" s="3" t="s">
        <v>348</v>
      </c>
      <c r="F1120" s="9">
        <v>45644</v>
      </c>
      <c r="G1120" s="5" t="s">
        <v>37</v>
      </c>
      <c r="H1120" s="5"/>
      <c r="I1120" s="5"/>
      <c r="J1120" s="5"/>
      <c r="K1120" s="5"/>
      <c r="L1120" s="5"/>
      <c r="M1120" s="5"/>
      <c r="N1120" s="5"/>
    </row>
    <row r="1121" spans="1:14" ht="22.5" customHeight="1" x14ac:dyDescent="0.2">
      <c r="A1121" s="22" t="s">
        <v>1710</v>
      </c>
      <c r="B1121" s="3" t="s">
        <v>34</v>
      </c>
      <c r="C1121" s="3" t="s">
        <v>1216</v>
      </c>
      <c r="D1121" s="14" t="s">
        <v>3035</v>
      </c>
      <c r="E1121" s="3" t="s">
        <v>1415</v>
      </c>
      <c r="F1121" s="9">
        <v>45643</v>
      </c>
      <c r="G1121" s="5" t="s">
        <v>37</v>
      </c>
      <c r="H1121" s="5"/>
      <c r="I1121" s="5"/>
      <c r="J1121" s="5"/>
      <c r="K1121" s="5"/>
      <c r="L1121" s="5"/>
      <c r="M1121" s="5"/>
      <c r="N1121" s="5"/>
    </row>
    <row r="1122" spans="1:14" ht="22.5" customHeight="1" x14ac:dyDescent="0.2">
      <c r="A1122" s="22" t="s">
        <v>1711</v>
      </c>
      <c r="B1122" s="3" t="s">
        <v>34</v>
      </c>
      <c r="C1122" s="3" t="s">
        <v>1216</v>
      </c>
      <c r="D1122" s="14" t="s">
        <v>2163</v>
      </c>
      <c r="E1122" s="3" t="s">
        <v>1415</v>
      </c>
      <c r="F1122" s="9">
        <v>45643</v>
      </c>
      <c r="G1122" s="5" t="s">
        <v>2095</v>
      </c>
      <c r="H1122" s="5"/>
      <c r="I1122" s="5"/>
      <c r="J1122" s="5"/>
      <c r="K1122" s="5"/>
      <c r="L1122" s="5"/>
      <c r="M1122" s="5"/>
      <c r="N1122" s="5"/>
    </row>
    <row r="1123" spans="1:14" ht="22.5" customHeight="1" x14ac:dyDescent="0.2">
      <c r="A1123" s="22" t="s">
        <v>1712</v>
      </c>
      <c r="B1123" s="3" t="s">
        <v>34</v>
      </c>
      <c r="C1123" s="3" t="s">
        <v>1216</v>
      </c>
      <c r="D1123" s="14" t="s">
        <v>2164</v>
      </c>
      <c r="E1123" s="3" t="s">
        <v>1347</v>
      </c>
      <c r="F1123" s="9">
        <v>45641</v>
      </c>
      <c r="G1123" s="5" t="s">
        <v>2095</v>
      </c>
      <c r="H1123" s="5"/>
      <c r="I1123" s="5"/>
      <c r="J1123" s="5"/>
      <c r="K1123" s="5"/>
      <c r="L1123" s="5"/>
      <c r="M1123" s="5"/>
      <c r="N1123" s="5"/>
    </row>
    <row r="1124" spans="1:14" ht="22.5" customHeight="1" x14ac:dyDescent="0.2">
      <c r="A1124" s="22" t="s">
        <v>1713</v>
      </c>
      <c r="B1124" s="3" t="s">
        <v>34</v>
      </c>
      <c r="C1124" s="3" t="s">
        <v>1216</v>
      </c>
      <c r="D1124" s="14" t="s">
        <v>3036</v>
      </c>
      <c r="E1124" s="3" t="s">
        <v>1293</v>
      </c>
      <c r="F1124" s="9">
        <v>45641</v>
      </c>
      <c r="G1124" s="5" t="s">
        <v>2095</v>
      </c>
      <c r="H1124" s="5"/>
      <c r="I1124" s="5"/>
      <c r="J1124" s="5"/>
      <c r="K1124" s="5"/>
      <c r="L1124" s="5"/>
      <c r="M1124" s="5"/>
      <c r="N1124" s="5"/>
    </row>
    <row r="1125" spans="1:14" ht="22.5" customHeight="1" x14ac:dyDescent="0.2">
      <c r="A1125" s="22" t="s">
        <v>1714</v>
      </c>
      <c r="B1125" s="3" t="s">
        <v>34</v>
      </c>
      <c r="C1125" s="3" t="s">
        <v>1216</v>
      </c>
      <c r="D1125" s="14" t="s">
        <v>2452</v>
      </c>
      <c r="E1125" s="3" t="s">
        <v>662</v>
      </c>
      <c r="F1125" s="9">
        <v>45639</v>
      </c>
      <c r="G1125" s="5" t="s">
        <v>2433</v>
      </c>
      <c r="H1125" s="5"/>
      <c r="I1125" s="5"/>
      <c r="J1125" s="5"/>
      <c r="K1125" s="5"/>
      <c r="L1125" s="5"/>
      <c r="M1125" s="5"/>
      <c r="N1125" s="5"/>
    </row>
    <row r="1126" spans="1:14" ht="22.5" customHeight="1" x14ac:dyDescent="0.2">
      <c r="A1126" s="22" t="s">
        <v>1715</v>
      </c>
      <c r="B1126" s="3" t="s">
        <v>34</v>
      </c>
      <c r="C1126" s="3" t="s">
        <v>1216</v>
      </c>
      <c r="D1126" s="14" t="s">
        <v>2452</v>
      </c>
      <c r="E1126" s="3" t="s">
        <v>662</v>
      </c>
      <c r="F1126" s="9">
        <v>45639</v>
      </c>
      <c r="G1126" s="5" t="s">
        <v>2433</v>
      </c>
      <c r="H1126" s="5"/>
      <c r="I1126" s="5"/>
      <c r="J1126" s="5"/>
      <c r="K1126" s="5"/>
      <c r="L1126" s="5"/>
      <c r="M1126" s="5"/>
      <c r="N1126" s="5"/>
    </row>
    <row r="1127" spans="1:14" ht="22.5" customHeight="1" x14ac:dyDescent="0.2">
      <c r="A1127" s="22" t="s">
        <v>1716</v>
      </c>
      <c r="B1127" s="3" t="s">
        <v>34</v>
      </c>
      <c r="C1127" s="3" t="s">
        <v>1216</v>
      </c>
      <c r="D1127" s="14" t="s">
        <v>2454</v>
      </c>
      <c r="E1127" s="3" t="s">
        <v>660</v>
      </c>
      <c r="F1127" s="9">
        <v>45637</v>
      </c>
      <c r="G1127" s="5" t="s">
        <v>2095</v>
      </c>
      <c r="H1127" s="5"/>
      <c r="I1127" s="5"/>
      <c r="J1127" s="5"/>
      <c r="K1127" s="5"/>
      <c r="L1127" s="5"/>
      <c r="M1127" s="5"/>
      <c r="N1127" s="5"/>
    </row>
    <row r="1128" spans="1:14" ht="22.5" customHeight="1" x14ac:dyDescent="0.2">
      <c r="A1128" s="22" t="s">
        <v>1717</v>
      </c>
      <c r="B1128" s="3" t="s">
        <v>34</v>
      </c>
      <c r="C1128" s="3" t="s">
        <v>1216</v>
      </c>
      <c r="D1128" s="14" t="s">
        <v>3037</v>
      </c>
      <c r="E1128" s="3" t="s">
        <v>1718</v>
      </c>
      <c r="F1128" s="9">
        <v>45636</v>
      </c>
      <c r="G1128" s="5" t="s">
        <v>37</v>
      </c>
      <c r="H1128" s="5"/>
      <c r="I1128" s="5"/>
      <c r="J1128" s="5"/>
      <c r="K1128" s="5"/>
      <c r="L1128" s="5"/>
      <c r="M1128" s="5"/>
      <c r="N1128" s="5"/>
    </row>
    <row r="1129" spans="1:14" ht="22.5" customHeight="1" x14ac:dyDescent="0.2">
      <c r="A1129" s="22" t="s">
        <v>1719</v>
      </c>
      <c r="B1129" s="3" t="s">
        <v>34</v>
      </c>
      <c r="C1129" s="3" t="s">
        <v>1216</v>
      </c>
      <c r="D1129" s="14" t="s">
        <v>3038</v>
      </c>
      <c r="E1129" s="3" t="s">
        <v>311</v>
      </c>
      <c r="F1129" s="9">
        <v>45635</v>
      </c>
      <c r="G1129" s="5" t="s">
        <v>2095</v>
      </c>
      <c r="H1129" s="5"/>
      <c r="I1129" s="5"/>
      <c r="J1129" s="5"/>
      <c r="K1129" s="5"/>
      <c r="L1129" s="5"/>
      <c r="M1129" s="5"/>
      <c r="N1129" s="5"/>
    </row>
    <row r="1130" spans="1:14" ht="22.5" customHeight="1" x14ac:dyDescent="0.2">
      <c r="A1130" s="22" t="s">
        <v>1720</v>
      </c>
      <c r="B1130" s="3" t="s">
        <v>34</v>
      </c>
      <c r="C1130" s="3" t="s">
        <v>1216</v>
      </c>
      <c r="D1130" s="14" t="s">
        <v>3039</v>
      </c>
      <c r="E1130" s="3" t="s">
        <v>1721</v>
      </c>
      <c r="F1130" s="9">
        <v>45629</v>
      </c>
      <c r="G1130" s="5" t="s">
        <v>2095</v>
      </c>
      <c r="H1130" s="5"/>
      <c r="I1130" s="5"/>
      <c r="J1130" s="5"/>
      <c r="K1130" s="5"/>
      <c r="L1130" s="5"/>
      <c r="M1130" s="5"/>
      <c r="N1130" s="5"/>
    </row>
    <row r="1131" spans="1:14" ht="22.5" customHeight="1" x14ac:dyDescent="0.2">
      <c r="A1131" s="22" t="s">
        <v>1722</v>
      </c>
      <c r="B1131" s="3" t="s">
        <v>34</v>
      </c>
      <c r="C1131" s="3" t="s">
        <v>1216</v>
      </c>
      <c r="D1131" s="14" t="s">
        <v>3040</v>
      </c>
      <c r="E1131" s="3" t="s">
        <v>1721</v>
      </c>
      <c r="F1131" s="9">
        <v>45629</v>
      </c>
      <c r="G1131" s="5" t="s">
        <v>2095</v>
      </c>
      <c r="H1131" s="5"/>
      <c r="I1131" s="5"/>
      <c r="J1131" s="5"/>
      <c r="K1131" s="5"/>
      <c r="L1131" s="5"/>
      <c r="M1131" s="5"/>
      <c r="N1131" s="5"/>
    </row>
    <row r="1132" spans="1:14" ht="22.5" customHeight="1" x14ac:dyDescent="0.2">
      <c r="A1132" s="22" t="s">
        <v>1723</v>
      </c>
      <c r="B1132" s="3" t="s">
        <v>34</v>
      </c>
      <c r="C1132" s="3" t="s">
        <v>1216</v>
      </c>
      <c r="D1132" s="14" t="s">
        <v>3041</v>
      </c>
      <c r="E1132" s="3" t="s">
        <v>1724</v>
      </c>
      <c r="F1132" s="9">
        <v>45628</v>
      </c>
      <c r="G1132" s="5" t="s">
        <v>2095</v>
      </c>
      <c r="H1132" s="5"/>
      <c r="I1132" s="5"/>
      <c r="J1132" s="5"/>
      <c r="K1132" s="5"/>
      <c r="L1132" s="5"/>
      <c r="M1132" s="5"/>
      <c r="N1132" s="5"/>
    </row>
    <row r="1133" spans="1:14" ht="22.5" customHeight="1" x14ac:dyDescent="0.2">
      <c r="A1133" s="22" t="s">
        <v>1725</v>
      </c>
      <c r="B1133" s="3" t="s">
        <v>34</v>
      </c>
      <c r="C1133" s="3" t="s">
        <v>1216</v>
      </c>
      <c r="D1133" s="14" t="s">
        <v>3042</v>
      </c>
      <c r="E1133" s="3" t="s">
        <v>1646</v>
      </c>
      <c r="F1133" s="9">
        <v>45628</v>
      </c>
      <c r="G1133" s="5" t="s">
        <v>2095</v>
      </c>
      <c r="H1133" s="5"/>
      <c r="I1133" s="5"/>
      <c r="J1133" s="5"/>
      <c r="K1133" s="5"/>
      <c r="L1133" s="5"/>
      <c r="M1133" s="5"/>
      <c r="N1133" s="5"/>
    </row>
    <row r="1134" spans="1:14" ht="22.5" customHeight="1" x14ac:dyDescent="0.2">
      <c r="A1134" s="22" t="s">
        <v>1726</v>
      </c>
      <c r="B1134" s="3" t="s">
        <v>34</v>
      </c>
      <c r="C1134" s="3" t="s">
        <v>1216</v>
      </c>
      <c r="D1134" s="14" t="s">
        <v>3026</v>
      </c>
      <c r="E1134" s="3" t="s">
        <v>1689</v>
      </c>
      <c r="F1134" s="9">
        <v>45628</v>
      </c>
      <c r="G1134" s="5" t="s">
        <v>2095</v>
      </c>
      <c r="H1134" s="5"/>
      <c r="I1134" s="5"/>
      <c r="J1134" s="5"/>
      <c r="K1134" s="5"/>
      <c r="L1134" s="5"/>
      <c r="M1134" s="5"/>
      <c r="N1134" s="5"/>
    </row>
    <row r="1135" spans="1:14" ht="22.5" customHeight="1" x14ac:dyDescent="0.2">
      <c r="A1135" s="22" t="s">
        <v>1727</v>
      </c>
      <c r="B1135" s="3" t="s">
        <v>34</v>
      </c>
      <c r="C1135" s="3" t="s">
        <v>1216</v>
      </c>
      <c r="D1135" s="14" t="s">
        <v>3043</v>
      </c>
      <c r="E1135" s="3" t="s">
        <v>1415</v>
      </c>
      <c r="F1135" s="9">
        <v>45628</v>
      </c>
      <c r="G1135" s="5" t="s">
        <v>2095</v>
      </c>
      <c r="H1135" s="5"/>
      <c r="I1135" s="5"/>
      <c r="J1135" s="5"/>
      <c r="K1135" s="5"/>
      <c r="L1135" s="5"/>
      <c r="M1135" s="5"/>
      <c r="N1135" s="5"/>
    </row>
    <row r="1136" spans="1:14" ht="22.5" customHeight="1" x14ac:dyDescent="0.2">
      <c r="A1136" s="22" t="s">
        <v>1728</v>
      </c>
      <c r="B1136" s="3" t="s">
        <v>34</v>
      </c>
      <c r="C1136" s="3" t="s">
        <v>1216</v>
      </c>
      <c r="D1136" s="14" t="s">
        <v>3044</v>
      </c>
      <c r="E1136" s="3" t="s">
        <v>1415</v>
      </c>
      <c r="F1136" s="9">
        <v>45628</v>
      </c>
      <c r="G1136" s="5" t="s">
        <v>2095</v>
      </c>
      <c r="H1136" s="5"/>
      <c r="I1136" s="5"/>
      <c r="J1136" s="5"/>
      <c r="K1136" s="5"/>
      <c r="L1136" s="5"/>
      <c r="M1136" s="5"/>
      <c r="N1136" s="5"/>
    </row>
    <row r="1137" spans="1:14" ht="22.5" customHeight="1" x14ac:dyDescent="0.2">
      <c r="A1137" s="22" t="s">
        <v>1729</v>
      </c>
      <c r="B1137" s="3" t="s">
        <v>34</v>
      </c>
      <c r="C1137" s="3" t="s">
        <v>1216</v>
      </c>
      <c r="D1137" s="14" t="s">
        <v>2942</v>
      </c>
      <c r="E1137" s="3" t="s">
        <v>1293</v>
      </c>
      <c r="F1137" s="9">
        <v>45628</v>
      </c>
      <c r="G1137" s="5" t="s">
        <v>37</v>
      </c>
      <c r="H1137" s="5"/>
      <c r="I1137" s="5"/>
      <c r="J1137" s="5"/>
      <c r="K1137" s="5"/>
      <c r="L1137" s="5"/>
      <c r="M1137" s="5"/>
      <c r="N1137" s="5"/>
    </row>
    <row r="1138" spans="1:14" ht="22.5" customHeight="1" x14ac:dyDescent="0.2">
      <c r="A1138" s="22" t="s">
        <v>1730</v>
      </c>
      <c r="B1138" s="3" t="s">
        <v>34</v>
      </c>
      <c r="C1138" s="3" t="s">
        <v>1216</v>
      </c>
      <c r="D1138" s="14" t="s">
        <v>3045</v>
      </c>
      <c r="E1138" s="3" t="s">
        <v>1293</v>
      </c>
      <c r="F1138" s="9">
        <v>45628</v>
      </c>
      <c r="G1138" s="5" t="s">
        <v>2095</v>
      </c>
      <c r="H1138" s="5"/>
      <c r="I1138" s="5"/>
      <c r="J1138" s="5"/>
      <c r="K1138" s="5"/>
      <c r="L1138" s="5"/>
      <c r="M1138" s="5"/>
      <c r="N1138" s="5"/>
    </row>
    <row r="1139" spans="1:14" ht="22.5" customHeight="1" x14ac:dyDescent="0.2">
      <c r="A1139" s="22" t="s">
        <v>1731</v>
      </c>
      <c r="B1139" s="3" t="s">
        <v>34</v>
      </c>
      <c r="C1139" s="3" t="s">
        <v>1216</v>
      </c>
      <c r="D1139" s="14" t="s">
        <v>3046</v>
      </c>
      <c r="E1139" s="3" t="s">
        <v>1732</v>
      </c>
      <c r="F1139" s="9">
        <v>45625</v>
      </c>
      <c r="G1139" s="5" t="s">
        <v>2433</v>
      </c>
      <c r="H1139" s="5"/>
      <c r="I1139" s="5"/>
      <c r="J1139" s="5"/>
      <c r="K1139" s="5"/>
      <c r="L1139" s="5"/>
      <c r="M1139" s="5"/>
      <c r="N1139" s="5"/>
    </row>
    <row r="1140" spans="1:14" ht="22.5" customHeight="1" x14ac:dyDescent="0.2">
      <c r="A1140" s="22" t="s">
        <v>1733</v>
      </c>
      <c r="B1140" s="3" t="s">
        <v>34</v>
      </c>
      <c r="C1140" s="3" t="s">
        <v>1216</v>
      </c>
      <c r="D1140" s="14" t="s">
        <v>3047</v>
      </c>
      <c r="E1140" s="3" t="s">
        <v>1734</v>
      </c>
      <c r="F1140" s="9">
        <v>45623</v>
      </c>
      <c r="G1140" s="5" t="s">
        <v>2095</v>
      </c>
      <c r="H1140" s="5"/>
      <c r="I1140" s="5"/>
      <c r="J1140" s="5"/>
      <c r="K1140" s="5"/>
      <c r="L1140" s="5"/>
      <c r="M1140" s="5"/>
      <c r="N1140" s="5"/>
    </row>
    <row r="1141" spans="1:14" ht="22.5" customHeight="1" x14ac:dyDescent="0.2">
      <c r="A1141" s="22" t="s">
        <v>1735</v>
      </c>
      <c r="B1141" s="3" t="s">
        <v>34</v>
      </c>
      <c r="C1141" s="3" t="s">
        <v>1216</v>
      </c>
      <c r="D1141" s="14" t="s">
        <v>3047</v>
      </c>
      <c r="E1141" s="3" t="s">
        <v>1734</v>
      </c>
      <c r="F1141" s="9">
        <v>45623</v>
      </c>
      <c r="G1141" s="5" t="s">
        <v>2095</v>
      </c>
      <c r="H1141" s="5"/>
      <c r="I1141" s="5"/>
      <c r="J1141" s="5"/>
      <c r="K1141" s="5"/>
      <c r="L1141" s="5"/>
      <c r="M1141" s="5"/>
      <c r="N1141" s="5"/>
    </row>
    <row r="1142" spans="1:14" ht="22.5" customHeight="1" x14ac:dyDescent="0.2">
      <c r="A1142" s="22" t="s">
        <v>1736</v>
      </c>
      <c r="B1142" s="3" t="s">
        <v>34</v>
      </c>
      <c r="C1142" s="3" t="s">
        <v>1216</v>
      </c>
      <c r="D1142" s="14" t="s">
        <v>3048</v>
      </c>
      <c r="E1142" s="3" t="s">
        <v>1390</v>
      </c>
      <c r="F1142" s="9">
        <v>45622</v>
      </c>
      <c r="G1142" s="5" t="s">
        <v>37</v>
      </c>
      <c r="H1142" s="5"/>
      <c r="I1142" s="5"/>
      <c r="J1142" s="5"/>
      <c r="K1142" s="5"/>
      <c r="L1142" s="5"/>
      <c r="M1142" s="5"/>
      <c r="N1142" s="5"/>
    </row>
    <row r="1143" spans="1:14" ht="22.5" customHeight="1" x14ac:dyDescent="0.2">
      <c r="A1143" s="22" t="s">
        <v>1737</v>
      </c>
      <c r="B1143" s="3" t="s">
        <v>34</v>
      </c>
      <c r="C1143" s="3" t="s">
        <v>1216</v>
      </c>
      <c r="D1143" s="14" t="s">
        <v>2952</v>
      </c>
      <c r="E1143" s="3" t="s">
        <v>1390</v>
      </c>
      <c r="F1143" s="9">
        <v>45622</v>
      </c>
      <c r="G1143" s="5" t="s">
        <v>2095</v>
      </c>
      <c r="H1143" s="5"/>
      <c r="I1143" s="5"/>
      <c r="J1143" s="5"/>
      <c r="K1143" s="5"/>
      <c r="L1143" s="5"/>
      <c r="M1143" s="5"/>
      <c r="N1143" s="5"/>
    </row>
    <row r="1144" spans="1:14" ht="22.5" customHeight="1" x14ac:dyDescent="0.2">
      <c r="A1144" s="22" t="s">
        <v>1738</v>
      </c>
      <c r="B1144" s="3" t="s">
        <v>34</v>
      </c>
      <c r="C1144" s="3" t="s">
        <v>1216</v>
      </c>
      <c r="D1144" s="14" t="s">
        <v>2952</v>
      </c>
      <c r="E1144" s="3" t="s">
        <v>1390</v>
      </c>
      <c r="F1144" s="9">
        <v>45622</v>
      </c>
      <c r="G1144" s="5" t="s">
        <v>2095</v>
      </c>
      <c r="H1144" s="5"/>
      <c r="I1144" s="5"/>
      <c r="J1144" s="5"/>
      <c r="K1144" s="5"/>
      <c r="L1144" s="5"/>
      <c r="M1144" s="5"/>
      <c r="N1144" s="5"/>
    </row>
    <row r="1145" spans="1:14" ht="22.5" customHeight="1" x14ac:dyDescent="0.2">
      <c r="A1145" s="22" t="s">
        <v>1739</v>
      </c>
      <c r="B1145" s="3" t="s">
        <v>34</v>
      </c>
      <c r="C1145" s="3" t="s">
        <v>1216</v>
      </c>
      <c r="D1145" s="14" t="s">
        <v>3049</v>
      </c>
      <c r="E1145" s="3" t="s">
        <v>1390</v>
      </c>
      <c r="F1145" s="9">
        <v>45622</v>
      </c>
      <c r="G1145" s="5" t="s">
        <v>2095</v>
      </c>
      <c r="H1145" s="5"/>
      <c r="I1145" s="5"/>
      <c r="J1145" s="5"/>
      <c r="K1145" s="5"/>
      <c r="L1145" s="5"/>
      <c r="M1145" s="5"/>
      <c r="N1145" s="5"/>
    </row>
    <row r="1146" spans="1:14" ht="22.5" customHeight="1" x14ac:dyDescent="0.2">
      <c r="A1146" s="22" t="s">
        <v>1740</v>
      </c>
      <c r="B1146" s="3" t="s">
        <v>34</v>
      </c>
      <c r="C1146" s="3" t="s">
        <v>1216</v>
      </c>
      <c r="D1146" s="14" t="s">
        <v>3050</v>
      </c>
      <c r="E1146" s="3" t="s">
        <v>1390</v>
      </c>
      <c r="F1146" s="9">
        <v>45622</v>
      </c>
      <c r="G1146" s="5" t="s">
        <v>37</v>
      </c>
      <c r="H1146" s="5"/>
      <c r="I1146" s="5"/>
      <c r="J1146" s="5"/>
      <c r="K1146" s="5"/>
      <c r="L1146" s="5"/>
      <c r="M1146" s="5"/>
      <c r="N1146" s="5"/>
    </row>
    <row r="1147" spans="1:14" ht="22.5" customHeight="1" x14ac:dyDescent="0.2">
      <c r="A1147" s="22" t="s">
        <v>1741</v>
      </c>
      <c r="B1147" s="3" t="s">
        <v>34</v>
      </c>
      <c r="C1147" s="3" t="s">
        <v>1216</v>
      </c>
      <c r="D1147" s="14" t="s">
        <v>3050</v>
      </c>
      <c r="E1147" s="3" t="s">
        <v>1390</v>
      </c>
      <c r="F1147" s="9">
        <v>45622</v>
      </c>
      <c r="G1147" s="5" t="s">
        <v>2095</v>
      </c>
      <c r="H1147" s="5"/>
      <c r="I1147" s="5"/>
      <c r="J1147" s="5"/>
      <c r="K1147" s="5"/>
      <c r="L1147" s="5"/>
      <c r="M1147" s="5"/>
      <c r="N1147" s="5"/>
    </row>
    <row r="1148" spans="1:14" ht="22.5" customHeight="1" x14ac:dyDescent="0.2">
      <c r="A1148" s="22" t="s">
        <v>1742</v>
      </c>
      <c r="B1148" s="3" t="s">
        <v>34</v>
      </c>
      <c r="C1148" s="3" t="s">
        <v>1216</v>
      </c>
      <c r="D1148" s="14" t="s">
        <v>3051</v>
      </c>
      <c r="E1148" s="3" t="s">
        <v>311</v>
      </c>
      <c r="F1148" s="9">
        <v>45621</v>
      </c>
      <c r="G1148" s="5" t="s">
        <v>37</v>
      </c>
      <c r="H1148" s="5"/>
      <c r="I1148" s="5"/>
      <c r="J1148" s="5"/>
      <c r="K1148" s="5"/>
      <c r="L1148" s="5"/>
      <c r="M1148" s="5"/>
      <c r="N1148" s="5"/>
    </row>
    <row r="1149" spans="1:14" ht="22.5" customHeight="1" x14ac:dyDescent="0.2">
      <c r="A1149" s="22" t="s">
        <v>1743</v>
      </c>
      <c r="B1149" s="3" t="s">
        <v>34</v>
      </c>
      <c r="C1149" s="3" t="s">
        <v>1216</v>
      </c>
      <c r="D1149" s="14" t="s">
        <v>3052</v>
      </c>
      <c r="E1149" s="3" t="s">
        <v>311</v>
      </c>
      <c r="F1149" s="9">
        <v>45621</v>
      </c>
      <c r="G1149" s="5" t="s">
        <v>37</v>
      </c>
      <c r="H1149" s="5"/>
      <c r="I1149" s="5"/>
      <c r="J1149" s="5"/>
      <c r="K1149" s="5"/>
      <c r="L1149" s="5"/>
      <c r="M1149" s="5"/>
      <c r="N1149" s="5"/>
    </row>
    <row r="1150" spans="1:14" ht="22.5" customHeight="1" x14ac:dyDescent="0.2">
      <c r="A1150" s="22" t="s">
        <v>1744</v>
      </c>
      <c r="B1150" s="3" t="s">
        <v>34</v>
      </c>
      <c r="C1150" s="3" t="s">
        <v>1216</v>
      </c>
      <c r="D1150" s="14" t="s">
        <v>3053</v>
      </c>
      <c r="E1150" s="3" t="s">
        <v>1745</v>
      </c>
      <c r="F1150" s="9">
        <v>45621</v>
      </c>
      <c r="G1150" s="5" t="s">
        <v>37</v>
      </c>
      <c r="H1150" s="5"/>
      <c r="I1150" s="5"/>
      <c r="J1150" s="5"/>
      <c r="K1150" s="5"/>
      <c r="L1150" s="5"/>
      <c r="M1150" s="5"/>
      <c r="N1150" s="5"/>
    </row>
    <row r="1151" spans="1:14" ht="22.5" customHeight="1" x14ac:dyDescent="0.2">
      <c r="A1151" s="22" t="s">
        <v>1746</v>
      </c>
      <c r="B1151" s="3" t="s">
        <v>34</v>
      </c>
      <c r="C1151" s="3" t="s">
        <v>1216</v>
      </c>
      <c r="D1151" s="14" t="s">
        <v>3054</v>
      </c>
      <c r="E1151" s="3" t="s">
        <v>1376</v>
      </c>
      <c r="F1151" s="9">
        <v>45618</v>
      </c>
      <c r="G1151" s="5" t="s">
        <v>2095</v>
      </c>
      <c r="H1151" s="5"/>
      <c r="I1151" s="5"/>
      <c r="J1151" s="5"/>
      <c r="K1151" s="5"/>
      <c r="L1151" s="5"/>
      <c r="M1151" s="5"/>
      <c r="N1151" s="5"/>
    </row>
    <row r="1152" spans="1:14" ht="22.5" customHeight="1" x14ac:dyDescent="0.2">
      <c r="A1152" s="22" t="s">
        <v>1747</v>
      </c>
      <c r="B1152" s="3" t="s">
        <v>34</v>
      </c>
      <c r="C1152" s="3" t="s">
        <v>1216</v>
      </c>
      <c r="D1152" s="14" t="s">
        <v>3055</v>
      </c>
      <c r="E1152" s="3" t="s">
        <v>1376</v>
      </c>
      <c r="F1152" s="9">
        <v>45618</v>
      </c>
      <c r="G1152" s="5" t="s">
        <v>2095</v>
      </c>
      <c r="H1152" s="5"/>
      <c r="I1152" s="5"/>
      <c r="J1152" s="5"/>
      <c r="K1152" s="5"/>
      <c r="L1152" s="5"/>
      <c r="M1152" s="5"/>
      <c r="N1152" s="5"/>
    </row>
    <row r="1153" spans="1:14" ht="22.5" customHeight="1" x14ac:dyDescent="0.2">
      <c r="A1153" s="22" t="s">
        <v>1748</v>
      </c>
      <c r="B1153" s="3" t="s">
        <v>34</v>
      </c>
      <c r="C1153" s="3" t="s">
        <v>1216</v>
      </c>
      <c r="D1153" s="14" t="s">
        <v>2950</v>
      </c>
      <c r="E1153" s="3" t="s">
        <v>1376</v>
      </c>
      <c r="F1153" s="9">
        <v>45618</v>
      </c>
      <c r="G1153" s="5" t="s">
        <v>37</v>
      </c>
      <c r="H1153" s="5"/>
      <c r="I1153" s="5"/>
      <c r="J1153" s="5"/>
      <c r="K1153" s="5"/>
      <c r="L1153" s="5"/>
      <c r="M1153" s="5"/>
      <c r="N1153" s="5"/>
    </row>
    <row r="1154" spans="1:14" ht="22.5" customHeight="1" x14ac:dyDescent="0.2">
      <c r="A1154" s="22" t="s">
        <v>1749</v>
      </c>
      <c r="B1154" s="3" t="s">
        <v>34</v>
      </c>
      <c r="C1154" s="3" t="s">
        <v>1216</v>
      </c>
      <c r="D1154" s="14" t="s">
        <v>2950</v>
      </c>
      <c r="E1154" s="3" t="s">
        <v>1376</v>
      </c>
      <c r="F1154" s="9">
        <v>45618</v>
      </c>
      <c r="G1154" s="5" t="s">
        <v>2095</v>
      </c>
      <c r="H1154" s="5"/>
      <c r="I1154" s="5"/>
      <c r="J1154" s="5"/>
      <c r="K1154" s="5"/>
      <c r="L1154" s="5"/>
      <c r="M1154" s="5"/>
      <c r="N1154" s="5"/>
    </row>
    <row r="1155" spans="1:14" ht="22.5" customHeight="1" x14ac:dyDescent="0.2">
      <c r="A1155" s="22" t="s">
        <v>1750</v>
      </c>
      <c r="B1155" s="3" t="s">
        <v>34</v>
      </c>
      <c r="C1155" s="3" t="s">
        <v>1216</v>
      </c>
      <c r="D1155" s="14" t="s">
        <v>3055</v>
      </c>
      <c r="E1155" s="3" t="s">
        <v>1376</v>
      </c>
      <c r="F1155" s="9">
        <v>45618</v>
      </c>
      <c r="G1155" s="5" t="s">
        <v>2095</v>
      </c>
      <c r="H1155" s="5"/>
      <c r="I1155" s="5"/>
      <c r="J1155" s="5"/>
      <c r="K1155" s="5"/>
      <c r="L1155" s="5"/>
      <c r="M1155" s="5"/>
      <c r="N1155" s="5"/>
    </row>
    <row r="1156" spans="1:14" ht="22.5" customHeight="1" x14ac:dyDescent="0.2">
      <c r="A1156" s="22" t="s">
        <v>1751</v>
      </c>
      <c r="B1156" s="3" t="s">
        <v>34</v>
      </c>
      <c r="C1156" s="3" t="s">
        <v>1216</v>
      </c>
      <c r="D1156" s="14" t="s">
        <v>2155</v>
      </c>
      <c r="E1156" s="3" t="s">
        <v>1386</v>
      </c>
      <c r="F1156" s="9">
        <v>45618</v>
      </c>
      <c r="G1156" s="5" t="s">
        <v>2095</v>
      </c>
      <c r="H1156" s="5"/>
      <c r="I1156" s="5"/>
      <c r="J1156" s="5"/>
      <c r="K1156" s="5"/>
      <c r="L1156" s="5"/>
      <c r="M1156" s="5"/>
      <c r="N1156" s="5"/>
    </row>
    <row r="1157" spans="1:14" ht="22.5" customHeight="1" x14ac:dyDescent="0.2">
      <c r="A1157" s="22" t="s">
        <v>1752</v>
      </c>
      <c r="B1157" s="3" t="s">
        <v>34</v>
      </c>
      <c r="C1157" s="3" t="s">
        <v>1216</v>
      </c>
      <c r="D1157" s="14" t="s">
        <v>2155</v>
      </c>
      <c r="E1157" s="3" t="s">
        <v>1386</v>
      </c>
      <c r="F1157" s="9">
        <v>45618</v>
      </c>
      <c r="G1157" s="5" t="s">
        <v>2467</v>
      </c>
      <c r="H1157" s="5"/>
      <c r="I1157" s="5"/>
      <c r="J1157" s="5"/>
      <c r="K1157" s="5"/>
      <c r="L1157" s="5"/>
      <c r="M1157" s="5"/>
      <c r="N1157" s="5"/>
    </row>
    <row r="1158" spans="1:14" ht="22.5" customHeight="1" x14ac:dyDescent="0.2">
      <c r="A1158" s="22" t="s">
        <v>1753</v>
      </c>
      <c r="B1158" s="3" t="s">
        <v>34</v>
      </c>
      <c r="C1158" s="3" t="s">
        <v>1216</v>
      </c>
      <c r="D1158" s="14" t="s">
        <v>2155</v>
      </c>
      <c r="E1158" s="3" t="s">
        <v>1386</v>
      </c>
      <c r="F1158" s="9">
        <v>45618</v>
      </c>
      <c r="G1158" s="5" t="s">
        <v>37</v>
      </c>
      <c r="H1158" s="5"/>
      <c r="I1158" s="5"/>
      <c r="J1158" s="5"/>
      <c r="K1158" s="5"/>
      <c r="L1158" s="5"/>
      <c r="M1158" s="5"/>
      <c r="N1158" s="5"/>
    </row>
    <row r="1159" spans="1:14" ht="22.5" customHeight="1" x14ac:dyDescent="0.2">
      <c r="A1159" s="22" t="s">
        <v>1754</v>
      </c>
      <c r="B1159" s="3" t="s">
        <v>34</v>
      </c>
      <c r="C1159" s="3" t="s">
        <v>1216</v>
      </c>
      <c r="D1159" s="14" t="s">
        <v>3056</v>
      </c>
      <c r="E1159" s="3" t="s">
        <v>1386</v>
      </c>
      <c r="F1159" s="9">
        <v>45618</v>
      </c>
      <c r="G1159" s="5" t="s">
        <v>37</v>
      </c>
      <c r="H1159" s="5"/>
      <c r="I1159" s="5"/>
      <c r="J1159" s="5"/>
      <c r="K1159" s="5"/>
      <c r="L1159" s="5"/>
      <c r="M1159" s="5"/>
      <c r="N1159" s="5"/>
    </row>
    <row r="1160" spans="1:14" ht="22.5" customHeight="1" x14ac:dyDescent="0.2">
      <c r="A1160" s="22" t="s">
        <v>1755</v>
      </c>
      <c r="B1160" s="3" t="s">
        <v>34</v>
      </c>
      <c r="C1160" s="3" t="s">
        <v>1216</v>
      </c>
      <c r="D1160" s="14" t="s">
        <v>3057</v>
      </c>
      <c r="E1160" s="3" t="s">
        <v>739</v>
      </c>
      <c r="F1160" s="9">
        <v>45618</v>
      </c>
      <c r="G1160" s="5" t="s">
        <v>2095</v>
      </c>
      <c r="H1160" s="5"/>
      <c r="I1160" s="5"/>
      <c r="J1160" s="5"/>
      <c r="K1160" s="5"/>
      <c r="L1160" s="5"/>
      <c r="M1160" s="5"/>
      <c r="N1160" s="5"/>
    </row>
    <row r="1161" spans="1:14" ht="22.5" customHeight="1" x14ac:dyDescent="0.2">
      <c r="A1161" s="22" t="s">
        <v>1756</v>
      </c>
      <c r="B1161" s="3" t="s">
        <v>34</v>
      </c>
      <c r="C1161" s="3" t="s">
        <v>1216</v>
      </c>
      <c r="D1161" s="14" t="s">
        <v>3058</v>
      </c>
      <c r="E1161" s="3" t="s">
        <v>739</v>
      </c>
      <c r="F1161" s="9">
        <v>45618</v>
      </c>
      <c r="G1161" s="5" t="s">
        <v>2095</v>
      </c>
      <c r="H1161" s="5"/>
      <c r="I1161" s="5"/>
      <c r="J1161" s="5"/>
      <c r="K1161" s="5"/>
      <c r="L1161" s="5"/>
      <c r="M1161" s="5"/>
      <c r="N1161" s="5"/>
    </row>
    <row r="1162" spans="1:14" ht="22.5" customHeight="1" x14ac:dyDescent="0.2">
      <c r="A1162" s="22" t="s">
        <v>1757</v>
      </c>
      <c r="B1162" s="3" t="s">
        <v>34</v>
      </c>
      <c r="C1162" s="3" t="s">
        <v>1216</v>
      </c>
      <c r="D1162" s="14" t="s">
        <v>3059</v>
      </c>
      <c r="E1162" s="3" t="s">
        <v>739</v>
      </c>
      <c r="F1162" s="9">
        <v>45618</v>
      </c>
      <c r="G1162" s="5" t="s">
        <v>2095</v>
      </c>
      <c r="H1162" s="5"/>
      <c r="I1162" s="5"/>
      <c r="J1162" s="5"/>
      <c r="K1162" s="5"/>
      <c r="L1162" s="5"/>
      <c r="M1162" s="5"/>
      <c r="N1162" s="5"/>
    </row>
    <row r="1163" spans="1:14" ht="22.5" customHeight="1" x14ac:dyDescent="0.2">
      <c r="A1163" s="22" t="s">
        <v>1758</v>
      </c>
      <c r="B1163" s="3" t="s">
        <v>34</v>
      </c>
      <c r="C1163" s="3" t="s">
        <v>1216</v>
      </c>
      <c r="D1163" s="14" t="s">
        <v>2492</v>
      </c>
      <c r="E1163" s="3" t="s">
        <v>739</v>
      </c>
      <c r="F1163" s="9">
        <v>45618</v>
      </c>
      <c r="G1163" s="5" t="s">
        <v>2095</v>
      </c>
      <c r="H1163" s="5"/>
      <c r="I1163" s="5"/>
      <c r="J1163" s="5"/>
      <c r="K1163" s="5"/>
      <c r="L1163" s="5"/>
      <c r="M1163" s="5"/>
      <c r="N1163" s="5"/>
    </row>
    <row r="1164" spans="1:14" ht="22.5" customHeight="1" x14ac:dyDescent="0.2">
      <c r="A1164" s="22" t="s">
        <v>1759</v>
      </c>
      <c r="B1164" s="3" t="s">
        <v>34</v>
      </c>
      <c r="C1164" s="3" t="s">
        <v>1216</v>
      </c>
      <c r="D1164" s="14" t="s">
        <v>3060</v>
      </c>
      <c r="E1164" s="3" t="s">
        <v>737</v>
      </c>
      <c r="F1164" s="9">
        <v>45618</v>
      </c>
      <c r="G1164" s="5" t="s">
        <v>2095</v>
      </c>
      <c r="H1164" s="5"/>
      <c r="I1164" s="5"/>
      <c r="J1164" s="5"/>
      <c r="K1164" s="5"/>
      <c r="L1164" s="5"/>
      <c r="M1164" s="5"/>
      <c r="N1164" s="5"/>
    </row>
    <row r="1165" spans="1:14" ht="22.5" customHeight="1" x14ac:dyDescent="0.2">
      <c r="A1165" s="22" t="s">
        <v>1760</v>
      </c>
      <c r="B1165" s="3" t="s">
        <v>34</v>
      </c>
      <c r="C1165" s="3" t="s">
        <v>1216</v>
      </c>
      <c r="D1165" s="14" t="s">
        <v>2474</v>
      </c>
      <c r="E1165" s="3" t="s">
        <v>737</v>
      </c>
      <c r="F1165" s="9">
        <v>45618</v>
      </c>
      <c r="G1165" s="5" t="s">
        <v>2095</v>
      </c>
      <c r="H1165" s="5"/>
      <c r="I1165" s="5"/>
      <c r="J1165" s="5"/>
      <c r="K1165" s="5"/>
      <c r="L1165" s="5"/>
      <c r="M1165" s="5"/>
      <c r="N1165" s="5"/>
    </row>
    <row r="1166" spans="1:14" ht="22.5" customHeight="1" x14ac:dyDescent="0.2">
      <c r="A1166" s="22" t="s">
        <v>1761</v>
      </c>
      <c r="B1166" s="3" t="s">
        <v>34</v>
      </c>
      <c r="C1166" s="3" t="s">
        <v>1216</v>
      </c>
      <c r="D1166" s="14" t="s">
        <v>3061</v>
      </c>
      <c r="E1166" s="3" t="s">
        <v>1762</v>
      </c>
      <c r="F1166" s="9">
        <v>45618</v>
      </c>
      <c r="G1166" s="5" t="s">
        <v>2095</v>
      </c>
      <c r="H1166" s="5"/>
      <c r="I1166" s="5"/>
      <c r="J1166" s="5"/>
      <c r="K1166" s="5"/>
      <c r="L1166" s="5"/>
      <c r="M1166" s="5"/>
      <c r="N1166" s="5"/>
    </row>
    <row r="1167" spans="1:14" ht="22.5" customHeight="1" x14ac:dyDescent="0.2">
      <c r="A1167" s="22" t="s">
        <v>1763</v>
      </c>
      <c r="B1167" s="3" t="s">
        <v>34</v>
      </c>
      <c r="C1167" s="3" t="s">
        <v>1216</v>
      </c>
      <c r="D1167" s="14" t="s">
        <v>3056</v>
      </c>
      <c r="E1167" s="3" t="s">
        <v>1386</v>
      </c>
      <c r="F1167" s="9">
        <v>45618</v>
      </c>
      <c r="G1167" s="5" t="s">
        <v>2095</v>
      </c>
      <c r="H1167" s="5"/>
      <c r="I1167" s="5"/>
      <c r="J1167" s="5"/>
      <c r="K1167" s="5"/>
      <c r="L1167" s="5"/>
      <c r="M1167" s="5"/>
      <c r="N1167" s="5"/>
    </row>
    <row r="1168" spans="1:14" ht="22.5" customHeight="1" x14ac:dyDescent="0.2">
      <c r="A1168" s="22" t="s">
        <v>1764</v>
      </c>
      <c r="B1168" s="3" t="s">
        <v>34</v>
      </c>
      <c r="C1168" s="3" t="s">
        <v>1216</v>
      </c>
      <c r="D1168" s="14" t="s">
        <v>2474</v>
      </c>
      <c r="E1168" s="3" t="s">
        <v>737</v>
      </c>
      <c r="F1168" s="9">
        <v>45617</v>
      </c>
      <c r="G1168" s="5" t="s">
        <v>37</v>
      </c>
      <c r="H1168" s="5"/>
      <c r="I1168" s="5"/>
      <c r="J1168" s="5"/>
      <c r="K1168" s="5"/>
      <c r="L1168" s="5"/>
      <c r="M1168" s="5"/>
      <c r="N1168" s="5"/>
    </row>
    <row r="1169" spans="1:14" ht="22.5" customHeight="1" x14ac:dyDescent="0.2">
      <c r="A1169" s="22" t="s">
        <v>1765</v>
      </c>
      <c r="B1169" s="3" t="s">
        <v>34</v>
      </c>
      <c r="C1169" s="3" t="s">
        <v>1216</v>
      </c>
      <c r="D1169" s="14" t="s">
        <v>3062</v>
      </c>
      <c r="E1169" s="3" t="s">
        <v>1365</v>
      </c>
      <c r="F1169" s="9">
        <v>45615</v>
      </c>
      <c r="G1169" s="5" t="s">
        <v>37</v>
      </c>
      <c r="H1169" s="5"/>
      <c r="I1169" s="5"/>
      <c r="J1169" s="5"/>
      <c r="K1169" s="5"/>
      <c r="L1169" s="5"/>
      <c r="M1169" s="5"/>
      <c r="N1169" s="5"/>
    </row>
    <row r="1170" spans="1:14" ht="22.5" customHeight="1" x14ac:dyDescent="0.2">
      <c r="A1170" s="22" t="s">
        <v>1766</v>
      </c>
      <c r="B1170" s="3" t="s">
        <v>34</v>
      </c>
      <c r="C1170" s="3" t="s">
        <v>1216</v>
      </c>
      <c r="D1170" s="14" t="s">
        <v>3063</v>
      </c>
      <c r="E1170" s="3" t="s">
        <v>797</v>
      </c>
      <c r="F1170" s="9">
        <v>45614</v>
      </c>
      <c r="G1170" s="5" t="s">
        <v>2095</v>
      </c>
      <c r="H1170" s="5"/>
      <c r="I1170" s="5"/>
      <c r="J1170" s="5"/>
      <c r="K1170" s="5"/>
      <c r="L1170" s="5"/>
      <c r="M1170" s="5"/>
      <c r="N1170" s="5"/>
    </row>
    <row r="1171" spans="1:14" ht="22.5" customHeight="1" x14ac:dyDescent="0.2">
      <c r="A1171" s="22" t="s">
        <v>1767</v>
      </c>
      <c r="B1171" s="3" t="s">
        <v>34</v>
      </c>
      <c r="C1171" s="3" t="s">
        <v>1216</v>
      </c>
      <c r="D1171" s="14" t="s">
        <v>3064</v>
      </c>
      <c r="E1171" s="3" t="s">
        <v>797</v>
      </c>
      <c r="F1171" s="9">
        <v>45614</v>
      </c>
      <c r="G1171" s="5" t="s">
        <v>37</v>
      </c>
      <c r="H1171" s="5"/>
      <c r="I1171" s="5"/>
      <c r="J1171" s="5"/>
      <c r="K1171" s="5"/>
      <c r="L1171" s="5"/>
      <c r="M1171" s="5"/>
      <c r="N1171" s="5"/>
    </row>
    <row r="1172" spans="1:14" ht="22.5" customHeight="1" x14ac:dyDescent="0.2">
      <c r="A1172" s="22" t="s">
        <v>1768</v>
      </c>
      <c r="B1172" s="3" t="s">
        <v>34</v>
      </c>
      <c r="C1172" s="3" t="s">
        <v>1216</v>
      </c>
      <c r="D1172" s="14" t="s">
        <v>3064</v>
      </c>
      <c r="E1172" s="3" t="s">
        <v>797</v>
      </c>
      <c r="F1172" s="9">
        <v>45614</v>
      </c>
      <c r="G1172" s="5" t="s">
        <v>37</v>
      </c>
      <c r="H1172" s="5"/>
      <c r="I1172" s="5"/>
      <c r="J1172" s="5"/>
      <c r="K1172" s="5"/>
      <c r="L1172" s="5"/>
      <c r="M1172" s="5"/>
      <c r="N1172" s="5"/>
    </row>
    <row r="1173" spans="1:14" ht="22.5" customHeight="1" x14ac:dyDescent="0.2">
      <c r="A1173" s="22" t="s">
        <v>1769</v>
      </c>
      <c r="B1173" s="3" t="s">
        <v>34</v>
      </c>
      <c r="C1173" s="3" t="s">
        <v>1216</v>
      </c>
      <c r="D1173" s="14" t="s">
        <v>3064</v>
      </c>
      <c r="E1173" s="3" t="s">
        <v>797</v>
      </c>
      <c r="F1173" s="9">
        <v>45614</v>
      </c>
      <c r="G1173" s="5" t="s">
        <v>2095</v>
      </c>
      <c r="H1173" s="5"/>
      <c r="I1173" s="5"/>
      <c r="J1173" s="5"/>
      <c r="K1173" s="5"/>
      <c r="L1173" s="5"/>
      <c r="M1173" s="5"/>
      <c r="N1173" s="5"/>
    </row>
    <row r="1174" spans="1:14" ht="22.5" customHeight="1" x14ac:dyDescent="0.2">
      <c r="A1174" s="22" t="s">
        <v>1770</v>
      </c>
      <c r="B1174" s="3" t="s">
        <v>34</v>
      </c>
      <c r="C1174" s="3" t="s">
        <v>1216</v>
      </c>
      <c r="D1174" s="14" t="s">
        <v>3065</v>
      </c>
      <c r="E1174" s="3" t="s">
        <v>1771</v>
      </c>
      <c r="F1174" s="9">
        <v>45614</v>
      </c>
      <c r="G1174" s="5" t="s">
        <v>2095</v>
      </c>
      <c r="H1174" s="5"/>
      <c r="I1174" s="5"/>
      <c r="J1174" s="5"/>
      <c r="K1174" s="5"/>
      <c r="L1174" s="5"/>
      <c r="M1174" s="5"/>
      <c r="N1174" s="5"/>
    </row>
    <row r="1175" spans="1:14" ht="22.5" customHeight="1" x14ac:dyDescent="0.2">
      <c r="A1175" s="22" t="s">
        <v>1772</v>
      </c>
      <c r="B1175" s="3" t="s">
        <v>34</v>
      </c>
      <c r="C1175" s="3" t="s">
        <v>1216</v>
      </c>
      <c r="D1175" s="14" t="s">
        <v>3066</v>
      </c>
      <c r="E1175" s="3" t="s">
        <v>1771</v>
      </c>
      <c r="F1175" s="9">
        <v>45614</v>
      </c>
      <c r="G1175" s="5" t="s">
        <v>2095</v>
      </c>
      <c r="H1175" s="5"/>
      <c r="I1175" s="5"/>
      <c r="J1175" s="5"/>
      <c r="K1175" s="5"/>
      <c r="L1175" s="5"/>
      <c r="M1175" s="5"/>
      <c r="N1175" s="5"/>
    </row>
    <row r="1176" spans="1:14" ht="22.5" customHeight="1" x14ac:dyDescent="0.2">
      <c r="A1176" s="22" t="s">
        <v>1773</v>
      </c>
      <c r="B1176" s="3" t="s">
        <v>34</v>
      </c>
      <c r="C1176" s="3" t="s">
        <v>1216</v>
      </c>
      <c r="D1176" s="14" t="s">
        <v>3066</v>
      </c>
      <c r="E1176" s="3" t="s">
        <v>1771</v>
      </c>
      <c r="F1176" s="9">
        <v>45614</v>
      </c>
      <c r="G1176" s="5" t="s">
        <v>2095</v>
      </c>
      <c r="H1176" s="5"/>
      <c r="I1176" s="5"/>
      <c r="J1176" s="5"/>
      <c r="K1176" s="5"/>
      <c r="L1176" s="5"/>
      <c r="M1176" s="5"/>
      <c r="N1176" s="5"/>
    </row>
    <row r="1177" spans="1:14" ht="22.5" customHeight="1" x14ac:dyDescent="0.2">
      <c r="A1177" s="22" t="s">
        <v>1774</v>
      </c>
      <c r="B1177" s="3" t="s">
        <v>34</v>
      </c>
      <c r="C1177" s="3" t="s">
        <v>1216</v>
      </c>
      <c r="D1177" s="14" t="s">
        <v>2957</v>
      </c>
      <c r="E1177" s="3" t="s">
        <v>1432</v>
      </c>
      <c r="F1177" s="9">
        <v>45610</v>
      </c>
      <c r="G1177" s="5" t="s">
        <v>37</v>
      </c>
      <c r="H1177" s="5"/>
      <c r="I1177" s="5"/>
      <c r="J1177" s="5"/>
      <c r="K1177" s="5"/>
      <c r="L1177" s="5"/>
      <c r="M1177" s="5"/>
      <c r="N1177" s="5"/>
    </row>
    <row r="1178" spans="1:14" ht="22.5" customHeight="1" x14ac:dyDescent="0.2">
      <c r="A1178" s="22" t="s">
        <v>1775</v>
      </c>
      <c r="B1178" s="3" t="s">
        <v>34</v>
      </c>
      <c r="C1178" s="3" t="s">
        <v>1216</v>
      </c>
      <c r="D1178" s="14" t="s">
        <v>2957</v>
      </c>
      <c r="E1178" s="3" t="s">
        <v>1432</v>
      </c>
      <c r="F1178" s="9">
        <v>45610</v>
      </c>
      <c r="G1178" s="5" t="s">
        <v>37</v>
      </c>
      <c r="H1178" s="5"/>
      <c r="I1178" s="5"/>
      <c r="J1178" s="5"/>
      <c r="K1178" s="5"/>
      <c r="L1178" s="5"/>
      <c r="M1178" s="5"/>
      <c r="N1178" s="5"/>
    </row>
    <row r="1179" spans="1:14" ht="22.5" customHeight="1" x14ac:dyDescent="0.2">
      <c r="A1179" s="22" t="s">
        <v>1776</v>
      </c>
      <c r="B1179" s="3" t="s">
        <v>34</v>
      </c>
      <c r="C1179" s="3" t="s">
        <v>1216</v>
      </c>
      <c r="D1179" s="14" t="s">
        <v>3067</v>
      </c>
      <c r="E1179" s="3" t="s">
        <v>1409</v>
      </c>
      <c r="F1179" s="9">
        <v>45609</v>
      </c>
      <c r="G1179" s="5" t="s">
        <v>2095</v>
      </c>
      <c r="H1179" s="5"/>
      <c r="I1179" s="5"/>
      <c r="J1179" s="5"/>
      <c r="K1179" s="5"/>
      <c r="L1179" s="5"/>
      <c r="M1179" s="5"/>
      <c r="N1179" s="5"/>
    </row>
    <row r="1180" spans="1:14" ht="22.5" customHeight="1" x14ac:dyDescent="0.2">
      <c r="A1180" s="22" t="s">
        <v>1777</v>
      </c>
      <c r="B1180" s="3" t="s">
        <v>34</v>
      </c>
      <c r="C1180" s="3" t="s">
        <v>1216</v>
      </c>
      <c r="D1180" s="14" t="s">
        <v>3024</v>
      </c>
      <c r="E1180" s="3" t="s">
        <v>1646</v>
      </c>
      <c r="F1180" s="9">
        <v>45609</v>
      </c>
      <c r="G1180" s="5" t="s">
        <v>2095</v>
      </c>
      <c r="H1180" s="5"/>
      <c r="I1180" s="5"/>
      <c r="J1180" s="5"/>
      <c r="K1180" s="5"/>
      <c r="L1180" s="5"/>
      <c r="M1180" s="5"/>
      <c r="N1180" s="5"/>
    </row>
    <row r="1181" spans="1:14" ht="22.5" customHeight="1" x14ac:dyDescent="0.2">
      <c r="A1181" s="22" t="s">
        <v>1778</v>
      </c>
      <c r="B1181" s="3" t="s">
        <v>34</v>
      </c>
      <c r="C1181" s="3" t="s">
        <v>1216</v>
      </c>
      <c r="D1181" s="14" t="s">
        <v>3068</v>
      </c>
      <c r="E1181" s="3" t="s">
        <v>1779</v>
      </c>
      <c r="F1181" s="9">
        <v>45609</v>
      </c>
      <c r="G1181" s="5" t="s">
        <v>2095</v>
      </c>
      <c r="H1181" s="5"/>
      <c r="I1181" s="5"/>
      <c r="J1181" s="5"/>
      <c r="K1181" s="5"/>
      <c r="L1181" s="5"/>
      <c r="M1181" s="5"/>
      <c r="N1181" s="5"/>
    </row>
    <row r="1182" spans="1:14" ht="22.5" customHeight="1" x14ac:dyDescent="0.2">
      <c r="A1182" s="22" t="s">
        <v>1780</v>
      </c>
      <c r="B1182" s="3" t="s">
        <v>34</v>
      </c>
      <c r="C1182" s="3" t="s">
        <v>1216</v>
      </c>
      <c r="D1182" s="14" t="s">
        <v>2944</v>
      </c>
      <c r="E1182" s="3" t="s">
        <v>1321</v>
      </c>
      <c r="F1182" s="9">
        <v>45609</v>
      </c>
      <c r="G1182" s="5" t="s">
        <v>2433</v>
      </c>
      <c r="H1182" s="5"/>
      <c r="I1182" s="5"/>
      <c r="J1182" s="5"/>
      <c r="K1182" s="5"/>
      <c r="L1182" s="5"/>
      <c r="M1182" s="5"/>
      <c r="N1182" s="5"/>
    </row>
    <row r="1183" spans="1:14" ht="22.5" customHeight="1" x14ac:dyDescent="0.2">
      <c r="A1183" s="22" t="s">
        <v>1781</v>
      </c>
      <c r="B1183" s="3" t="s">
        <v>34</v>
      </c>
      <c r="C1183" s="3" t="s">
        <v>1216</v>
      </c>
      <c r="D1183" s="14" t="s">
        <v>2944</v>
      </c>
      <c r="E1183" s="3" t="s">
        <v>1321</v>
      </c>
      <c r="F1183" s="9">
        <v>45608</v>
      </c>
      <c r="G1183" s="5" t="s">
        <v>37</v>
      </c>
      <c r="H1183" s="5"/>
      <c r="I1183" s="5"/>
      <c r="J1183" s="5"/>
      <c r="K1183" s="5"/>
      <c r="L1183" s="5"/>
      <c r="M1183" s="5"/>
      <c r="N1183" s="5"/>
    </row>
    <row r="1184" spans="1:14" ht="22.5" customHeight="1" x14ac:dyDescent="0.2">
      <c r="A1184" s="22" t="s">
        <v>1782</v>
      </c>
      <c r="B1184" s="3" t="s">
        <v>34</v>
      </c>
      <c r="C1184" s="3" t="s">
        <v>1216</v>
      </c>
      <c r="D1184" s="14" t="s">
        <v>3069</v>
      </c>
      <c r="E1184" s="3" t="s">
        <v>1783</v>
      </c>
      <c r="F1184" s="9">
        <v>45608</v>
      </c>
      <c r="G1184" s="5" t="s">
        <v>37</v>
      </c>
      <c r="H1184" s="5"/>
      <c r="I1184" s="5"/>
      <c r="J1184" s="5"/>
      <c r="K1184" s="5"/>
      <c r="L1184" s="5"/>
      <c r="M1184" s="5"/>
      <c r="N1184" s="5"/>
    </row>
    <row r="1185" spans="1:14" ht="22.5" customHeight="1" x14ac:dyDescent="0.2">
      <c r="A1185" s="22" t="s">
        <v>1784</v>
      </c>
      <c r="B1185" s="3" t="s">
        <v>34</v>
      </c>
      <c r="C1185" s="3" t="s">
        <v>1216</v>
      </c>
      <c r="D1185" s="14" t="s">
        <v>3070</v>
      </c>
      <c r="E1185" s="3" t="s">
        <v>1724</v>
      </c>
      <c r="F1185" s="9">
        <v>45608</v>
      </c>
      <c r="G1185" s="5" t="s">
        <v>37</v>
      </c>
      <c r="H1185" s="5"/>
      <c r="I1185" s="5"/>
      <c r="J1185" s="5"/>
      <c r="K1185" s="5"/>
      <c r="L1185" s="5"/>
      <c r="M1185" s="5"/>
      <c r="N1185" s="5"/>
    </row>
    <row r="1186" spans="1:14" ht="22.5" customHeight="1" x14ac:dyDescent="0.2">
      <c r="A1186" s="22" t="s">
        <v>1785</v>
      </c>
      <c r="B1186" s="3" t="s">
        <v>34</v>
      </c>
      <c r="C1186" s="3" t="s">
        <v>1216</v>
      </c>
      <c r="D1186" s="14" t="s">
        <v>2156</v>
      </c>
      <c r="E1186" s="3" t="s">
        <v>1392</v>
      </c>
      <c r="F1186" s="9">
        <v>45607</v>
      </c>
      <c r="G1186" s="5" t="s">
        <v>2095</v>
      </c>
      <c r="H1186" s="5"/>
      <c r="I1186" s="5"/>
      <c r="J1186" s="5"/>
      <c r="K1186" s="5"/>
      <c r="L1186" s="5"/>
      <c r="M1186" s="5"/>
      <c r="N1186" s="5"/>
    </row>
    <row r="1187" spans="1:14" ht="22.5" customHeight="1" x14ac:dyDescent="0.2">
      <c r="A1187" s="22" t="s">
        <v>1786</v>
      </c>
      <c r="B1187" s="3" t="s">
        <v>34</v>
      </c>
      <c r="C1187" s="3" t="s">
        <v>1216</v>
      </c>
      <c r="D1187" s="14" t="s">
        <v>3071</v>
      </c>
      <c r="E1187" s="3" t="s">
        <v>1724</v>
      </c>
      <c r="F1187" s="9">
        <v>45607</v>
      </c>
      <c r="G1187" s="5" t="s">
        <v>2095</v>
      </c>
      <c r="H1187" s="5"/>
      <c r="I1187" s="5"/>
      <c r="J1187" s="5"/>
      <c r="K1187" s="5"/>
      <c r="L1187" s="5"/>
      <c r="M1187" s="5"/>
      <c r="N1187" s="5"/>
    </row>
    <row r="1188" spans="1:14" ht="22.5" customHeight="1" x14ac:dyDescent="0.2">
      <c r="A1188" s="22" t="s">
        <v>1787</v>
      </c>
      <c r="B1188" s="3" t="s">
        <v>34</v>
      </c>
      <c r="C1188" s="3" t="s">
        <v>1216</v>
      </c>
      <c r="D1188" s="14" t="s">
        <v>3072</v>
      </c>
      <c r="E1188" s="3" t="s">
        <v>1384</v>
      </c>
      <c r="F1188" s="9">
        <v>45607</v>
      </c>
      <c r="G1188" s="5" t="s">
        <v>2433</v>
      </c>
      <c r="H1188" s="5"/>
      <c r="I1188" s="5"/>
      <c r="J1188" s="5"/>
      <c r="K1188" s="5"/>
      <c r="L1188" s="5"/>
      <c r="M1188" s="5"/>
      <c r="N1188" s="5"/>
    </row>
    <row r="1189" spans="1:14" ht="22.5" customHeight="1" x14ac:dyDescent="0.2">
      <c r="A1189" s="22" t="s">
        <v>1788</v>
      </c>
      <c r="B1189" s="3" t="s">
        <v>34</v>
      </c>
      <c r="C1189" s="3" t="s">
        <v>1216</v>
      </c>
      <c r="D1189" s="14" t="s">
        <v>3072</v>
      </c>
      <c r="E1189" s="3" t="s">
        <v>1384</v>
      </c>
      <c r="F1189" s="9">
        <v>45607</v>
      </c>
      <c r="G1189" s="5" t="s">
        <v>37</v>
      </c>
      <c r="H1189" s="5"/>
      <c r="I1189" s="5"/>
      <c r="J1189" s="5"/>
      <c r="K1189" s="5"/>
      <c r="L1189" s="5"/>
      <c r="M1189" s="5"/>
      <c r="N1189" s="5"/>
    </row>
    <row r="1190" spans="1:14" ht="22.5" customHeight="1" x14ac:dyDescent="0.2">
      <c r="A1190" s="22" t="s">
        <v>1789</v>
      </c>
      <c r="B1190" s="3" t="s">
        <v>34</v>
      </c>
      <c r="C1190" s="3" t="s">
        <v>1216</v>
      </c>
      <c r="D1190" s="14" t="s">
        <v>2468</v>
      </c>
      <c r="E1190" s="3" t="s">
        <v>797</v>
      </c>
      <c r="F1190" s="9">
        <v>45607</v>
      </c>
      <c r="G1190" s="5" t="s">
        <v>2095</v>
      </c>
      <c r="H1190" s="5"/>
      <c r="I1190" s="5"/>
      <c r="J1190" s="5"/>
      <c r="K1190" s="5"/>
      <c r="L1190" s="5"/>
      <c r="M1190" s="5"/>
      <c r="N1190" s="5"/>
    </row>
    <row r="1191" spans="1:14" ht="22.5" customHeight="1" x14ac:dyDescent="0.2">
      <c r="A1191" s="22" t="s">
        <v>1790</v>
      </c>
      <c r="B1191" s="3" t="s">
        <v>34</v>
      </c>
      <c r="C1191" s="3" t="s">
        <v>1216</v>
      </c>
      <c r="D1191" s="14" t="s">
        <v>2370</v>
      </c>
      <c r="E1191" s="3" t="s">
        <v>527</v>
      </c>
      <c r="F1191" s="9">
        <v>45604</v>
      </c>
      <c r="G1191" s="5" t="s">
        <v>2095</v>
      </c>
      <c r="H1191" s="5"/>
      <c r="I1191" s="5"/>
      <c r="J1191" s="5"/>
      <c r="K1191" s="5"/>
      <c r="L1191" s="5"/>
      <c r="M1191" s="5"/>
      <c r="N1191" s="5"/>
    </row>
    <row r="1192" spans="1:14" ht="22.5" customHeight="1" x14ac:dyDescent="0.2">
      <c r="A1192" s="22" t="s">
        <v>1791</v>
      </c>
      <c r="B1192" s="3" t="s">
        <v>34</v>
      </c>
      <c r="C1192" s="3" t="s">
        <v>1216</v>
      </c>
      <c r="D1192" s="14" t="s">
        <v>2947</v>
      </c>
      <c r="E1192" s="3" t="s">
        <v>1349</v>
      </c>
      <c r="F1192" s="9">
        <v>45603</v>
      </c>
      <c r="G1192" s="5" t="s">
        <v>2095</v>
      </c>
      <c r="H1192" s="5"/>
      <c r="I1192" s="5"/>
      <c r="J1192" s="5"/>
      <c r="K1192" s="5"/>
      <c r="L1192" s="5"/>
      <c r="M1192" s="5"/>
      <c r="N1192" s="5"/>
    </row>
    <row r="1193" spans="1:14" ht="22.5" customHeight="1" x14ac:dyDescent="0.2">
      <c r="A1193" s="22" t="s">
        <v>1792</v>
      </c>
      <c r="B1193" s="3" t="s">
        <v>34</v>
      </c>
      <c r="C1193" s="3" t="s">
        <v>1216</v>
      </c>
      <c r="D1193" s="14" t="s">
        <v>2947</v>
      </c>
      <c r="E1193" s="3" t="s">
        <v>1349</v>
      </c>
      <c r="F1193" s="9">
        <v>45603</v>
      </c>
      <c r="G1193" s="5" t="s">
        <v>2095</v>
      </c>
      <c r="H1193" s="5"/>
      <c r="I1193" s="5"/>
      <c r="J1193" s="5"/>
      <c r="K1193" s="5"/>
      <c r="L1193" s="5"/>
      <c r="M1193" s="5"/>
      <c r="N1193" s="5"/>
    </row>
    <row r="1194" spans="1:14" ht="22.5" customHeight="1" x14ac:dyDescent="0.2">
      <c r="A1194" s="22" t="s">
        <v>1793</v>
      </c>
      <c r="B1194" s="3" t="s">
        <v>34</v>
      </c>
      <c r="C1194" s="3" t="s">
        <v>1216</v>
      </c>
      <c r="D1194" s="14" t="s">
        <v>2947</v>
      </c>
      <c r="E1194" s="3" t="s">
        <v>1349</v>
      </c>
      <c r="F1194" s="9">
        <v>45603</v>
      </c>
      <c r="G1194" s="5" t="s">
        <v>2095</v>
      </c>
      <c r="H1194" s="5"/>
      <c r="I1194" s="5"/>
      <c r="J1194" s="5"/>
      <c r="K1194" s="5"/>
      <c r="L1194" s="5"/>
      <c r="M1194" s="5"/>
      <c r="N1194" s="5"/>
    </row>
    <row r="1195" spans="1:14" ht="22.5" customHeight="1" x14ac:dyDescent="0.2">
      <c r="A1195" s="22" t="s">
        <v>1794</v>
      </c>
      <c r="B1195" s="3" t="s">
        <v>34</v>
      </c>
      <c r="C1195" s="3" t="s">
        <v>1216</v>
      </c>
      <c r="D1195" s="14" t="s">
        <v>2947</v>
      </c>
      <c r="E1195" s="3" t="s">
        <v>1349</v>
      </c>
      <c r="F1195" s="9">
        <v>45603</v>
      </c>
      <c r="G1195" s="5" t="s">
        <v>2095</v>
      </c>
      <c r="H1195" s="5"/>
      <c r="I1195" s="5"/>
      <c r="J1195" s="5"/>
      <c r="K1195" s="5"/>
      <c r="L1195" s="5"/>
      <c r="M1195" s="5"/>
      <c r="N1195" s="5"/>
    </row>
    <row r="1196" spans="1:14" ht="22.5" customHeight="1" x14ac:dyDescent="0.2">
      <c r="A1196" s="22" t="s">
        <v>1795</v>
      </c>
      <c r="B1196" s="3" t="s">
        <v>34</v>
      </c>
      <c r="C1196" s="3" t="s">
        <v>1216</v>
      </c>
      <c r="D1196" s="14" t="s">
        <v>3062</v>
      </c>
      <c r="E1196" s="3" t="s">
        <v>1365</v>
      </c>
      <c r="F1196" s="9">
        <v>45601</v>
      </c>
      <c r="G1196" s="5" t="s">
        <v>2095</v>
      </c>
      <c r="H1196" s="5"/>
      <c r="I1196" s="5"/>
      <c r="J1196" s="5"/>
      <c r="K1196" s="5"/>
      <c r="L1196" s="5"/>
      <c r="M1196" s="5"/>
      <c r="N1196" s="5"/>
    </row>
    <row r="1197" spans="1:14" ht="22.5" customHeight="1" x14ac:dyDescent="0.2">
      <c r="A1197" s="22" t="s">
        <v>1796</v>
      </c>
      <c r="B1197" s="3" t="s">
        <v>34</v>
      </c>
      <c r="C1197" s="3" t="s">
        <v>1216</v>
      </c>
      <c r="D1197" s="14" t="s">
        <v>2483</v>
      </c>
      <c r="E1197" s="3" t="s">
        <v>801</v>
      </c>
      <c r="F1197" s="9">
        <v>45594</v>
      </c>
      <c r="G1197" s="5" t="s">
        <v>37</v>
      </c>
      <c r="H1197" s="5"/>
      <c r="I1197" s="5"/>
      <c r="J1197" s="5"/>
      <c r="K1197" s="5"/>
      <c r="L1197" s="5"/>
      <c r="M1197" s="5"/>
      <c r="N1197" s="5"/>
    </row>
    <row r="1198" spans="1:14" ht="22.5" customHeight="1" x14ac:dyDescent="0.2">
      <c r="A1198" s="22" t="s">
        <v>1797</v>
      </c>
      <c r="B1198" s="3" t="s">
        <v>34</v>
      </c>
      <c r="C1198" s="3" t="s">
        <v>1216</v>
      </c>
      <c r="D1198" s="14" t="s">
        <v>3073</v>
      </c>
      <c r="E1198" s="3" t="s">
        <v>1365</v>
      </c>
      <c r="F1198" s="9">
        <v>45590</v>
      </c>
      <c r="G1198" s="5" t="s">
        <v>2095</v>
      </c>
      <c r="H1198" s="5"/>
      <c r="I1198" s="5"/>
      <c r="J1198" s="5"/>
      <c r="K1198" s="5"/>
      <c r="L1198" s="5"/>
      <c r="M1198" s="5"/>
      <c r="N1198" s="5"/>
    </row>
    <row r="1199" spans="1:14" ht="22.5" customHeight="1" x14ac:dyDescent="0.2">
      <c r="A1199" s="22" t="s">
        <v>1798</v>
      </c>
      <c r="B1199" s="3" t="s">
        <v>34</v>
      </c>
      <c r="C1199" s="3" t="s">
        <v>1216</v>
      </c>
      <c r="D1199" s="14" t="s">
        <v>3074</v>
      </c>
      <c r="E1199" s="3" t="s">
        <v>1365</v>
      </c>
      <c r="F1199" s="9">
        <v>45590</v>
      </c>
      <c r="G1199" s="5" t="s">
        <v>37</v>
      </c>
      <c r="H1199" s="5"/>
      <c r="I1199" s="5"/>
      <c r="J1199" s="5"/>
      <c r="K1199" s="5"/>
      <c r="L1199" s="5"/>
      <c r="M1199" s="5"/>
      <c r="N1199" s="5"/>
    </row>
    <row r="1200" spans="1:14" ht="22.5" customHeight="1" x14ac:dyDescent="0.2">
      <c r="A1200" s="22" t="s">
        <v>1799</v>
      </c>
      <c r="B1200" s="3" t="s">
        <v>34</v>
      </c>
      <c r="C1200" s="3" t="s">
        <v>1216</v>
      </c>
      <c r="D1200" s="14" t="s">
        <v>3074</v>
      </c>
      <c r="E1200" s="3" t="s">
        <v>1365</v>
      </c>
      <c r="F1200" s="9">
        <v>45590</v>
      </c>
      <c r="G1200" s="5" t="s">
        <v>37</v>
      </c>
      <c r="H1200" s="5"/>
      <c r="I1200" s="5"/>
      <c r="J1200" s="5"/>
      <c r="K1200" s="5"/>
      <c r="L1200" s="5"/>
      <c r="M1200" s="5"/>
      <c r="N1200" s="5"/>
    </row>
    <row r="1201" spans="1:14" ht="22.5" customHeight="1" x14ac:dyDescent="0.2">
      <c r="A1201" s="22" t="s">
        <v>1800</v>
      </c>
      <c r="B1201" s="3" t="s">
        <v>34</v>
      </c>
      <c r="C1201" s="3" t="s">
        <v>1216</v>
      </c>
      <c r="D1201" s="14" t="s">
        <v>2154</v>
      </c>
      <c r="E1201" s="3" t="s">
        <v>1365</v>
      </c>
      <c r="F1201" s="9">
        <v>45590</v>
      </c>
      <c r="G1201" s="5" t="s">
        <v>37</v>
      </c>
      <c r="H1201" s="5"/>
      <c r="I1201" s="5"/>
      <c r="J1201" s="5"/>
      <c r="K1201" s="5"/>
      <c r="L1201" s="5"/>
      <c r="M1201" s="5"/>
      <c r="N1201" s="5"/>
    </row>
    <row r="1202" spans="1:14" ht="22.5" customHeight="1" x14ac:dyDescent="0.2">
      <c r="A1202" s="22" t="s">
        <v>1801</v>
      </c>
      <c r="B1202" s="3" t="s">
        <v>34</v>
      </c>
      <c r="C1202" s="3" t="s">
        <v>1216</v>
      </c>
      <c r="D1202" s="14" t="s">
        <v>3051</v>
      </c>
      <c r="E1202" s="3" t="s">
        <v>311</v>
      </c>
      <c r="F1202" s="9">
        <v>45586</v>
      </c>
      <c r="G1202" s="5" t="s">
        <v>2433</v>
      </c>
      <c r="H1202" s="5"/>
      <c r="I1202" s="5"/>
      <c r="J1202" s="5"/>
      <c r="K1202" s="5"/>
      <c r="L1202" s="5"/>
      <c r="M1202" s="5"/>
      <c r="N1202" s="5"/>
    </row>
    <row r="1203" spans="1:14" ht="22.5" customHeight="1" x14ac:dyDescent="0.2">
      <c r="A1203" s="22" t="s">
        <v>1802</v>
      </c>
      <c r="B1203" s="3" t="s">
        <v>34</v>
      </c>
      <c r="C1203" s="3" t="s">
        <v>1216</v>
      </c>
      <c r="D1203" s="14" t="s">
        <v>3075</v>
      </c>
      <c r="E1203" s="3" t="s">
        <v>1803</v>
      </c>
      <c r="F1203" s="9">
        <v>45583</v>
      </c>
      <c r="G1203" s="5" t="s">
        <v>2433</v>
      </c>
      <c r="H1203" s="5"/>
      <c r="I1203" s="5"/>
      <c r="J1203" s="5"/>
      <c r="K1203" s="5"/>
      <c r="L1203" s="5"/>
      <c r="M1203" s="5"/>
      <c r="N1203" s="5"/>
    </row>
    <row r="1204" spans="1:14" ht="22.5" customHeight="1" x14ac:dyDescent="0.2">
      <c r="A1204" s="22" t="s">
        <v>1804</v>
      </c>
      <c r="B1204" s="3" t="s">
        <v>34</v>
      </c>
      <c r="C1204" s="3" t="s">
        <v>1216</v>
      </c>
      <c r="D1204" s="14" t="s">
        <v>3076</v>
      </c>
      <c r="E1204" s="3" t="s">
        <v>1805</v>
      </c>
      <c r="F1204" s="9">
        <v>45582</v>
      </c>
      <c r="G1204" s="5" t="s">
        <v>2095</v>
      </c>
      <c r="H1204" s="5"/>
      <c r="I1204" s="5"/>
      <c r="J1204" s="5"/>
      <c r="K1204" s="5"/>
      <c r="L1204" s="5"/>
      <c r="M1204" s="5"/>
      <c r="N1204" s="5"/>
    </row>
    <row r="1205" spans="1:14" ht="22.5" customHeight="1" x14ac:dyDescent="0.2">
      <c r="A1205" s="22" t="s">
        <v>1806</v>
      </c>
      <c r="B1205" s="3" t="s">
        <v>34</v>
      </c>
      <c r="C1205" s="3" t="s">
        <v>1216</v>
      </c>
      <c r="D1205" s="14" t="s">
        <v>2112</v>
      </c>
      <c r="E1205" s="3" t="s">
        <v>1248</v>
      </c>
      <c r="F1205" s="9">
        <v>45580</v>
      </c>
      <c r="G1205" s="5" t="s">
        <v>2095</v>
      </c>
      <c r="H1205" s="5"/>
      <c r="I1205" s="5"/>
      <c r="J1205" s="5"/>
      <c r="K1205" s="5"/>
      <c r="L1205" s="5"/>
      <c r="M1205" s="5"/>
      <c r="N1205" s="5"/>
    </row>
    <row r="1206" spans="1:14" ht="22.5" customHeight="1" x14ac:dyDescent="0.2">
      <c r="A1206" s="22" t="s">
        <v>1807</v>
      </c>
      <c r="B1206" s="3" t="s">
        <v>34</v>
      </c>
      <c r="C1206" s="3" t="s">
        <v>1216</v>
      </c>
      <c r="D1206" s="14" t="s">
        <v>3025</v>
      </c>
      <c r="E1206" s="3" t="s">
        <v>1658</v>
      </c>
      <c r="F1206" s="9">
        <v>45579</v>
      </c>
      <c r="G1206" s="5" t="s">
        <v>2095</v>
      </c>
      <c r="H1206" s="5"/>
      <c r="I1206" s="5"/>
      <c r="J1206" s="5"/>
      <c r="K1206" s="5"/>
      <c r="L1206" s="5"/>
      <c r="M1206" s="5"/>
      <c r="N1206" s="5"/>
    </row>
    <row r="1207" spans="1:14" ht="22.5" customHeight="1" x14ac:dyDescent="0.2">
      <c r="A1207" s="22" t="s">
        <v>1808</v>
      </c>
      <c r="B1207" s="3" t="s">
        <v>34</v>
      </c>
      <c r="C1207" s="3" t="s">
        <v>1216</v>
      </c>
      <c r="D1207" s="14" t="s">
        <v>3060</v>
      </c>
      <c r="E1207" s="3" t="s">
        <v>737</v>
      </c>
      <c r="F1207" s="9">
        <v>45576</v>
      </c>
      <c r="G1207" s="5" t="s">
        <v>2095</v>
      </c>
      <c r="H1207" s="5"/>
      <c r="I1207" s="5"/>
      <c r="J1207" s="5"/>
      <c r="K1207" s="5"/>
      <c r="L1207" s="5"/>
      <c r="M1207" s="5"/>
      <c r="N1207" s="5"/>
    </row>
    <row r="1208" spans="1:14" ht="22.5" customHeight="1" x14ac:dyDescent="0.2">
      <c r="A1208" s="22" t="s">
        <v>1809</v>
      </c>
      <c r="B1208" s="3" t="s">
        <v>34</v>
      </c>
      <c r="C1208" s="3" t="s">
        <v>1216</v>
      </c>
      <c r="D1208" s="14" t="s">
        <v>2479</v>
      </c>
      <c r="E1208" s="3" t="s">
        <v>714</v>
      </c>
      <c r="F1208" s="9">
        <v>45575</v>
      </c>
      <c r="G1208" s="5" t="s">
        <v>2095</v>
      </c>
      <c r="H1208" s="5"/>
      <c r="I1208" s="5"/>
      <c r="J1208" s="5"/>
      <c r="K1208" s="5"/>
      <c r="L1208" s="5"/>
      <c r="M1208" s="5"/>
      <c r="N1208" s="5"/>
    </row>
    <row r="1209" spans="1:14" ht="22.5" customHeight="1" x14ac:dyDescent="0.2">
      <c r="A1209" s="22" t="s">
        <v>1810</v>
      </c>
      <c r="B1209" s="3" t="s">
        <v>34</v>
      </c>
      <c r="C1209" s="3" t="s">
        <v>1216</v>
      </c>
      <c r="D1209" s="14" t="s">
        <v>3077</v>
      </c>
      <c r="E1209" s="3" t="s">
        <v>1762</v>
      </c>
      <c r="F1209" s="9">
        <v>45575</v>
      </c>
      <c r="G1209" s="5" t="s">
        <v>37</v>
      </c>
      <c r="H1209" s="5"/>
      <c r="I1209" s="5"/>
      <c r="J1209" s="5"/>
      <c r="K1209" s="5"/>
      <c r="L1209" s="5"/>
      <c r="M1209" s="5"/>
      <c r="N1209" s="5"/>
    </row>
    <row r="1210" spans="1:14" ht="22.5" customHeight="1" x14ac:dyDescent="0.2">
      <c r="A1210" s="22" t="s">
        <v>1811</v>
      </c>
      <c r="B1210" s="3" t="s">
        <v>34</v>
      </c>
      <c r="C1210" s="3" t="s">
        <v>1216</v>
      </c>
      <c r="D1210" s="14" t="s">
        <v>2951</v>
      </c>
      <c r="E1210" s="3" t="s">
        <v>1384</v>
      </c>
      <c r="F1210" s="9">
        <v>45574</v>
      </c>
      <c r="G1210" s="5" t="s">
        <v>2095</v>
      </c>
      <c r="H1210" s="5"/>
      <c r="I1210" s="5"/>
      <c r="J1210" s="5"/>
      <c r="K1210" s="5"/>
      <c r="L1210" s="5"/>
      <c r="M1210" s="5"/>
      <c r="N1210" s="5"/>
    </row>
    <row r="1211" spans="1:14" ht="22.5" customHeight="1" x14ac:dyDescent="0.2">
      <c r="A1211" s="22" t="s">
        <v>1812</v>
      </c>
      <c r="B1211" s="3" t="s">
        <v>34</v>
      </c>
      <c r="C1211" s="3" t="s">
        <v>1216</v>
      </c>
      <c r="D1211" s="14" t="s">
        <v>2951</v>
      </c>
      <c r="E1211" s="3" t="s">
        <v>1384</v>
      </c>
      <c r="F1211" s="9">
        <v>45574</v>
      </c>
      <c r="G1211" s="5" t="s">
        <v>2095</v>
      </c>
      <c r="H1211" s="5"/>
      <c r="I1211" s="5"/>
      <c r="J1211" s="5"/>
      <c r="K1211" s="5"/>
      <c r="L1211" s="5"/>
      <c r="M1211" s="5"/>
      <c r="N1211" s="5"/>
    </row>
    <row r="1212" spans="1:14" ht="22.5" customHeight="1" x14ac:dyDescent="0.2">
      <c r="A1212" s="22" t="s">
        <v>1813</v>
      </c>
      <c r="B1212" s="3" t="s">
        <v>34</v>
      </c>
      <c r="C1212" s="3" t="s">
        <v>1216</v>
      </c>
      <c r="D1212" s="14" t="s">
        <v>3078</v>
      </c>
      <c r="E1212" s="3" t="s">
        <v>1814</v>
      </c>
      <c r="F1212" s="9">
        <v>45572</v>
      </c>
      <c r="G1212" s="5" t="s">
        <v>2095</v>
      </c>
      <c r="H1212" s="5"/>
      <c r="I1212" s="5"/>
      <c r="J1212" s="5"/>
      <c r="K1212" s="5"/>
      <c r="L1212" s="5"/>
      <c r="M1212" s="5"/>
      <c r="N1212" s="5"/>
    </row>
    <row r="1213" spans="1:14" ht="22.5" customHeight="1" x14ac:dyDescent="0.2">
      <c r="A1213" s="22" t="s">
        <v>1815</v>
      </c>
      <c r="B1213" s="3" t="s">
        <v>34</v>
      </c>
      <c r="C1213" s="3" t="s">
        <v>1216</v>
      </c>
      <c r="D1213" s="14" t="s">
        <v>3079</v>
      </c>
      <c r="E1213" s="3" t="s">
        <v>1646</v>
      </c>
      <c r="F1213" s="9">
        <v>45569</v>
      </c>
      <c r="G1213" s="5" t="s">
        <v>2095</v>
      </c>
      <c r="H1213" s="5"/>
      <c r="I1213" s="5"/>
      <c r="J1213" s="5"/>
      <c r="K1213" s="5"/>
      <c r="L1213" s="5"/>
      <c r="M1213" s="5"/>
      <c r="N1213" s="5"/>
    </row>
    <row r="1214" spans="1:14" ht="22.5" customHeight="1" x14ac:dyDescent="0.2">
      <c r="A1214" s="22" t="s">
        <v>1816</v>
      </c>
      <c r="B1214" s="3" t="s">
        <v>34</v>
      </c>
      <c r="C1214" s="3" t="s">
        <v>1216</v>
      </c>
      <c r="D1214" s="14" t="s">
        <v>3079</v>
      </c>
      <c r="E1214" s="3" t="s">
        <v>1646</v>
      </c>
      <c r="F1214" s="9">
        <v>45568</v>
      </c>
      <c r="G1214" s="5" t="s">
        <v>37</v>
      </c>
      <c r="H1214" s="5"/>
      <c r="I1214" s="5"/>
      <c r="J1214" s="5"/>
      <c r="K1214" s="5"/>
      <c r="L1214" s="5"/>
      <c r="M1214" s="5"/>
      <c r="N1214" s="5"/>
    </row>
    <row r="1215" spans="1:14" ht="22.5" customHeight="1" x14ac:dyDescent="0.2">
      <c r="A1215" s="22" t="s">
        <v>1817</v>
      </c>
      <c r="B1215" s="3" t="s">
        <v>34</v>
      </c>
      <c r="C1215" s="3" t="s">
        <v>1216</v>
      </c>
      <c r="D1215" s="14" t="s">
        <v>3079</v>
      </c>
      <c r="E1215" s="3" t="s">
        <v>1646</v>
      </c>
      <c r="F1215" s="9">
        <v>45568</v>
      </c>
      <c r="G1215" s="5" t="s">
        <v>37</v>
      </c>
      <c r="H1215" s="5"/>
      <c r="I1215" s="5"/>
      <c r="J1215" s="5"/>
      <c r="K1215" s="5"/>
      <c r="L1215" s="5"/>
      <c r="M1215" s="5"/>
      <c r="N1215" s="5"/>
    </row>
    <row r="1216" spans="1:14" ht="22.5" customHeight="1" x14ac:dyDescent="0.2">
      <c r="A1216" s="22" t="s">
        <v>1818</v>
      </c>
      <c r="B1216" s="3" t="s">
        <v>34</v>
      </c>
      <c r="C1216" s="3" t="s">
        <v>1216</v>
      </c>
      <c r="D1216" s="14" t="s">
        <v>3079</v>
      </c>
      <c r="E1216" s="3" t="s">
        <v>1646</v>
      </c>
      <c r="F1216" s="9">
        <v>45568</v>
      </c>
      <c r="G1216" s="5" t="s">
        <v>37</v>
      </c>
      <c r="H1216" s="5"/>
      <c r="I1216" s="5"/>
      <c r="J1216" s="5"/>
      <c r="K1216" s="5"/>
      <c r="L1216" s="5"/>
      <c r="M1216" s="5"/>
      <c r="N1216" s="5"/>
    </row>
    <row r="1217" spans="1:14" ht="22.5" customHeight="1" x14ac:dyDescent="0.2">
      <c r="A1217" s="22" t="s">
        <v>1819</v>
      </c>
      <c r="B1217" s="3" t="s">
        <v>34</v>
      </c>
      <c r="C1217" s="3" t="s">
        <v>1216</v>
      </c>
      <c r="D1217" s="14" t="s">
        <v>2450</v>
      </c>
      <c r="E1217" s="3" t="s">
        <v>691</v>
      </c>
      <c r="F1217" s="9">
        <v>45568</v>
      </c>
      <c r="G1217" s="5" t="s">
        <v>37</v>
      </c>
      <c r="H1217" s="5"/>
      <c r="I1217" s="5"/>
      <c r="J1217" s="5"/>
      <c r="K1217" s="5"/>
      <c r="L1217" s="5"/>
      <c r="M1217" s="5"/>
      <c r="N1217" s="5"/>
    </row>
    <row r="1218" spans="1:14" ht="22.5" customHeight="1" x14ac:dyDescent="0.2">
      <c r="A1218" s="22" t="s">
        <v>1820</v>
      </c>
      <c r="B1218" s="3" t="s">
        <v>34</v>
      </c>
      <c r="C1218" s="3" t="s">
        <v>1216</v>
      </c>
      <c r="D1218" s="14" t="s">
        <v>2944</v>
      </c>
      <c r="E1218" s="3" t="s">
        <v>1321</v>
      </c>
      <c r="F1218" s="9">
        <v>45568</v>
      </c>
      <c r="G1218" s="5" t="s">
        <v>37</v>
      </c>
      <c r="H1218" s="5"/>
      <c r="I1218" s="5"/>
      <c r="J1218" s="5"/>
      <c r="K1218" s="5"/>
      <c r="L1218" s="5"/>
      <c r="M1218" s="5"/>
      <c r="N1218" s="5"/>
    </row>
    <row r="1219" spans="1:14" ht="22.5" customHeight="1" x14ac:dyDescent="0.2">
      <c r="A1219" s="22" t="s">
        <v>1821</v>
      </c>
      <c r="B1219" s="3" t="s">
        <v>34</v>
      </c>
      <c r="C1219" s="3" t="s">
        <v>1216</v>
      </c>
      <c r="D1219" s="14" t="s">
        <v>3079</v>
      </c>
      <c r="E1219" s="3" t="s">
        <v>1646</v>
      </c>
      <c r="F1219" s="9">
        <v>45568</v>
      </c>
      <c r="G1219" s="5" t="s">
        <v>37</v>
      </c>
      <c r="H1219" s="5"/>
      <c r="I1219" s="5"/>
      <c r="J1219" s="5"/>
      <c r="K1219" s="5"/>
      <c r="L1219" s="5"/>
      <c r="M1219" s="5"/>
      <c r="N1219" s="5"/>
    </row>
    <row r="1220" spans="1:14" ht="22.5" customHeight="1" x14ac:dyDescent="0.2">
      <c r="A1220" s="22" t="s">
        <v>1822</v>
      </c>
      <c r="B1220" s="3" t="s">
        <v>34</v>
      </c>
      <c r="C1220" s="3" t="s">
        <v>1216</v>
      </c>
      <c r="D1220" s="14" t="s">
        <v>3079</v>
      </c>
      <c r="E1220" s="3" t="s">
        <v>1646</v>
      </c>
      <c r="F1220" s="9">
        <v>45568</v>
      </c>
      <c r="G1220" s="5" t="s">
        <v>37</v>
      </c>
      <c r="H1220" s="5"/>
      <c r="I1220" s="5"/>
      <c r="J1220" s="5"/>
      <c r="K1220" s="5"/>
      <c r="L1220" s="5"/>
      <c r="M1220" s="5"/>
      <c r="N1220" s="5"/>
    </row>
    <row r="1221" spans="1:14" ht="22.5" customHeight="1" x14ac:dyDescent="0.2">
      <c r="A1221" s="22" t="s">
        <v>1823</v>
      </c>
      <c r="B1221" s="3" t="s">
        <v>34</v>
      </c>
      <c r="C1221" s="3" t="s">
        <v>1216</v>
      </c>
      <c r="D1221" s="14" t="s">
        <v>3079</v>
      </c>
      <c r="E1221" s="3" t="s">
        <v>1646</v>
      </c>
      <c r="F1221" s="9">
        <v>45566</v>
      </c>
      <c r="G1221" s="5" t="s">
        <v>37</v>
      </c>
      <c r="H1221" s="5"/>
      <c r="I1221" s="5"/>
      <c r="J1221" s="5"/>
      <c r="K1221" s="5"/>
      <c r="L1221" s="5"/>
      <c r="M1221" s="5"/>
      <c r="N1221" s="5"/>
    </row>
    <row r="1222" spans="1:14" ht="22.5" customHeight="1" x14ac:dyDescent="0.2">
      <c r="A1222" s="22" t="s">
        <v>1824</v>
      </c>
      <c r="B1222" s="3" t="s">
        <v>34</v>
      </c>
      <c r="C1222" s="3" t="s">
        <v>1216</v>
      </c>
      <c r="D1222" s="14" t="s">
        <v>3079</v>
      </c>
      <c r="E1222" s="3" t="s">
        <v>1646</v>
      </c>
      <c r="F1222" s="9">
        <v>45565</v>
      </c>
      <c r="G1222" s="5" t="s">
        <v>37</v>
      </c>
      <c r="H1222" s="5"/>
      <c r="I1222" s="5"/>
      <c r="J1222" s="5"/>
      <c r="K1222" s="5"/>
      <c r="L1222" s="5"/>
      <c r="M1222" s="5"/>
      <c r="N1222" s="5"/>
    </row>
    <row r="1223" spans="1:14" ht="22.5" customHeight="1" x14ac:dyDescent="0.2">
      <c r="A1223" s="22" t="s">
        <v>1825</v>
      </c>
      <c r="B1223" s="3" t="s">
        <v>34</v>
      </c>
      <c r="C1223" s="3" t="s">
        <v>1216</v>
      </c>
      <c r="D1223" s="14" t="s">
        <v>2474</v>
      </c>
      <c r="E1223" s="3" t="s">
        <v>737</v>
      </c>
      <c r="F1223" s="9">
        <v>45565</v>
      </c>
      <c r="G1223" s="5" t="s">
        <v>2095</v>
      </c>
      <c r="H1223" s="5"/>
      <c r="I1223" s="5"/>
      <c r="J1223" s="5"/>
      <c r="K1223" s="5"/>
      <c r="L1223" s="5"/>
      <c r="M1223" s="5"/>
      <c r="N1223" s="5"/>
    </row>
    <row r="1224" spans="1:14" ht="22.5" customHeight="1" x14ac:dyDescent="0.2">
      <c r="A1224" s="22" t="s">
        <v>1826</v>
      </c>
      <c r="B1224" s="3" t="s">
        <v>34</v>
      </c>
      <c r="C1224" s="3" t="s">
        <v>1216</v>
      </c>
      <c r="D1224" s="14" t="s">
        <v>3080</v>
      </c>
      <c r="E1224" s="3" t="s">
        <v>522</v>
      </c>
      <c r="F1224" s="9">
        <v>45561</v>
      </c>
      <c r="G1224" s="5" t="s">
        <v>2433</v>
      </c>
      <c r="H1224" s="5"/>
      <c r="I1224" s="5"/>
      <c r="J1224" s="5"/>
      <c r="K1224" s="5"/>
      <c r="L1224" s="5"/>
      <c r="M1224" s="5"/>
      <c r="N1224" s="5"/>
    </row>
    <row r="1225" spans="1:14" ht="22.5" customHeight="1" x14ac:dyDescent="0.2">
      <c r="A1225" s="22" t="s">
        <v>1827</v>
      </c>
      <c r="B1225" s="3" t="s">
        <v>34</v>
      </c>
      <c r="C1225" s="3" t="s">
        <v>1216</v>
      </c>
      <c r="D1225" s="14" t="s">
        <v>2374</v>
      </c>
      <c r="E1225" s="3" t="s">
        <v>522</v>
      </c>
      <c r="F1225" s="9">
        <v>45561</v>
      </c>
      <c r="G1225" s="5" t="s">
        <v>37</v>
      </c>
      <c r="H1225" s="5"/>
      <c r="I1225" s="5"/>
      <c r="J1225" s="5"/>
      <c r="K1225" s="5"/>
      <c r="L1225" s="5"/>
      <c r="M1225" s="5"/>
      <c r="N1225" s="5"/>
    </row>
    <row r="1226" spans="1:14" ht="22.5" customHeight="1" x14ac:dyDescent="0.2">
      <c r="A1226" s="22" t="s">
        <v>1828</v>
      </c>
      <c r="B1226" s="3" t="s">
        <v>34</v>
      </c>
      <c r="C1226" s="3" t="s">
        <v>1216</v>
      </c>
      <c r="D1226" s="14" t="s">
        <v>3081</v>
      </c>
      <c r="E1226" s="3" t="s">
        <v>522</v>
      </c>
      <c r="F1226" s="9">
        <v>45561</v>
      </c>
      <c r="G1226" s="5" t="s">
        <v>37</v>
      </c>
      <c r="H1226" s="5"/>
      <c r="I1226" s="5"/>
      <c r="J1226" s="5"/>
      <c r="K1226" s="5"/>
      <c r="L1226" s="5"/>
      <c r="M1226" s="5"/>
      <c r="N1226" s="5"/>
    </row>
    <row r="1227" spans="1:14" ht="22.5" customHeight="1" x14ac:dyDescent="0.2">
      <c r="A1227" s="22" t="s">
        <v>1829</v>
      </c>
      <c r="B1227" s="3" t="s">
        <v>34</v>
      </c>
      <c r="C1227" s="3" t="s">
        <v>1216</v>
      </c>
      <c r="D1227" s="14" t="s">
        <v>3079</v>
      </c>
      <c r="E1227" s="3" t="s">
        <v>1646</v>
      </c>
      <c r="F1227" s="9">
        <v>45561</v>
      </c>
      <c r="G1227" s="5" t="s">
        <v>37</v>
      </c>
      <c r="H1227" s="5"/>
      <c r="I1227" s="5"/>
      <c r="J1227" s="5"/>
      <c r="K1227" s="5"/>
      <c r="L1227" s="5"/>
      <c r="M1227" s="5"/>
      <c r="N1227" s="5"/>
    </row>
    <row r="1228" spans="1:14" ht="22.5" customHeight="1" x14ac:dyDescent="0.2">
      <c r="A1228" s="22" t="s">
        <v>1830</v>
      </c>
      <c r="B1228" s="3" t="s">
        <v>34</v>
      </c>
      <c r="C1228" s="3" t="s">
        <v>1216</v>
      </c>
      <c r="D1228" s="14" t="s">
        <v>3082</v>
      </c>
      <c r="E1228" s="3" t="s">
        <v>522</v>
      </c>
      <c r="F1228" s="9">
        <v>45560</v>
      </c>
      <c r="G1228" s="5" t="s">
        <v>2095</v>
      </c>
      <c r="H1228" s="5"/>
      <c r="I1228" s="5"/>
      <c r="J1228" s="5"/>
      <c r="K1228" s="5"/>
      <c r="L1228" s="5"/>
      <c r="M1228" s="5"/>
      <c r="N1228" s="5"/>
    </row>
    <row r="1229" spans="1:14" ht="22.5" customHeight="1" x14ac:dyDescent="0.2">
      <c r="A1229" s="22" t="s">
        <v>1831</v>
      </c>
      <c r="B1229" s="3" t="s">
        <v>34</v>
      </c>
      <c r="C1229" s="3" t="s">
        <v>1216</v>
      </c>
      <c r="D1229" s="14" t="s">
        <v>3083</v>
      </c>
      <c r="E1229" s="3" t="s">
        <v>522</v>
      </c>
      <c r="F1229" s="9">
        <v>45560</v>
      </c>
      <c r="G1229" s="5" t="s">
        <v>2433</v>
      </c>
      <c r="H1229" s="5"/>
      <c r="I1229" s="5"/>
      <c r="J1229" s="5"/>
      <c r="K1229" s="5"/>
      <c r="L1229" s="5"/>
      <c r="M1229" s="5"/>
      <c r="N1229" s="5"/>
    </row>
    <row r="1230" spans="1:14" ht="22.5" customHeight="1" x14ac:dyDescent="0.2">
      <c r="A1230" s="22" t="s">
        <v>1832</v>
      </c>
      <c r="B1230" s="3" t="s">
        <v>34</v>
      </c>
      <c r="C1230" s="3" t="s">
        <v>1216</v>
      </c>
      <c r="D1230" s="14" t="s">
        <v>3084</v>
      </c>
      <c r="E1230" s="3" t="s">
        <v>522</v>
      </c>
      <c r="F1230" s="9">
        <v>45560</v>
      </c>
      <c r="G1230" s="5" t="s">
        <v>2095</v>
      </c>
      <c r="H1230" s="5"/>
      <c r="I1230" s="5"/>
      <c r="J1230" s="5"/>
      <c r="K1230" s="5"/>
      <c r="L1230" s="5"/>
      <c r="M1230" s="5"/>
      <c r="N1230" s="5"/>
    </row>
    <row r="1231" spans="1:14" ht="22.5" customHeight="1" x14ac:dyDescent="0.2">
      <c r="A1231" s="22" t="s">
        <v>1833</v>
      </c>
      <c r="B1231" s="3" t="s">
        <v>34</v>
      </c>
      <c r="C1231" s="3" t="s">
        <v>1216</v>
      </c>
      <c r="D1231" s="14" t="s">
        <v>2492</v>
      </c>
      <c r="E1231" s="3" t="s">
        <v>739</v>
      </c>
      <c r="F1231" s="9">
        <v>45559</v>
      </c>
      <c r="G1231" s="5" t="s">
        <v>2095</v>
      </c>
      <c r="H1231" s="5"/>
      <c r="I1231" s="5"/>
      <c r="J1231" s="5"/>
      <c r="K1231" s="5"/>
      <c r="L1231" s="5"/>
      <c r="M1231" s="5"/>
      <c r="N1231" s="5"/>
    </row>
    <row r="1232" spans="1:14" ht="22.5" customHeight="1" x14ac:dyDescent="0.2">
      <c r="A1232" s="22" t="s">
        <v>1834</v>
      </c>
      <c r="B1232" s="3" t="s">
        <v>34</v>
      </c>
      <c r="C1232" s="3" t="s">
        <v>1216</v>
      </c>
      <c r="D1232" s="14" t="s">
        <v>3085</v>
      </c>
      <c r="E1232" s="3" t="s">
        <v>1386</v>
      </c>
      <c r="F1232" s="9">
        <v>45558</v>
      </c>
      <c r="G1232" s="5" t="s">
        <v>2095</v>
      </c>
      <c r="H1232" s="5"/>
      <c r="I1232" s="5"/>
      <c r="J1232" s="5"/>
      <c r="K1232" s="5"/>
      <c r="L1232" s="5"/>
      <c r="M1232" s="5"/>
      <c r="N1232" s="5"/>
    </row>
    <row r="1233" spans="1:14" ht="22.5" customHeight="1" x14ac:dyDescent="0.2">
      <c r="A1233" s="22" t="s">
        <v>1835</v>
      </c>
      <c r="B1233" s="3" t="s">
        <v>34</v>
      </c>
      <c r="C1233" s="3" t="s">
        <v>1216</v>
      </c>
      <c r="D1233" s="14" t="s">
        <v>3079</v>
      </c>
      <c r="E1233" s="3" t="s">
        <v>1646</v>
      </c>
      <c r="F1233" s="9">
        <v>45558</v>
      </c>
      <c r="G1233" s="5" t="s">
        <v>37</v>
      </c>
      <c r="H1233" s="5"/>
      <c r="I1233" s="5"/>
      <c r="J1233" s="5"/>
      <c r="K1233" s="5"/>
      <c r="L1233" s="5"/>
      <c r="M1233" s="5"/>
      <c r="N1233" s="5"/>
    </row>
    <row r="1234" spans="1:14" ht="22.5" customHeight="1" x14ac:dyDescent="0.2">
      <c r="A1234" s="22" t="s">
        <v>1836</v>
      </c>
      <c r="B1234" s="3" t="s">
        <v>34</v>
      </c>
      <c r="C1234" s="3" t="s">
        <v>1216</v>
      </c>
      <c r="D1234" s="14" t="s">
        <v>3086</v>
      </c>
      <c r="E1234" s="3" t="s">
        <v>1409</v>
      </c>
      <c r="F1234" s="9">
        <v>45558</v>
      </c>
      <c r="G1234" s="5" t="s">
        <v>2095</v>
      </c>
      <c r="H1234" s="5"/>
      <c r="I1234" s="5"/>
      <c r="J1234" s="5"/>
      <c r="K1234" s="5"/>
      <c r="L1234" s="5"/>
      <c r="M1234" s="5"/>
      <c r="N1234" s="5"/>
    </row>
    <row r="1235" spans="1:14" ht="22.5" customHeight="1" x14ac:dyDescent="0.2">
      <c r="A1235" s="22" t="s">
        <v>1837</v>
      </c>
      <c r="B1235" s="3" t="s">
        <v>34</v>
      </c>
      <c r="C1235" s="3" t="s">
        <v>1216</v>
      </c>
      <c r="D1235" s="14" t="s">
        <v>3086</v>
      </c>
      <c r="E1235" s="3" t="s">
        <v>1409</v>
      </c>
      <c r="F1235" s="9">
        <v>45558</v>
      </c>
      <c r="G1235" s="5" t="s">
        <v>2095</v>
      </c>
      <c r="H1235" s="5"/>
      <c r="I1235" s="5"/>
      <c r="J1235" s="5"/>
      <c r="K1235" s="5"/>
      <c r="L1235" s="5"/>
      <c r="M1235" s="5"/>
      <c r="N1235" s="5"/>
    </row>
    <row r="1236" spans="1:14" ht="22.5" customHeight="1" x14ac:dyDescent="0.2">
      <c r="A1236" s="22" t="s">
        <v>1838</v>
      </c>
      <c r="B1236" s="3" t="s">
        <v>34</v>
      </c>
      <c r="C1236" s="3" t="s">
        <v>1216</v>
      </c>
      <c r="D1236" s="14" t="s">
        <v>3057</v>
      </c>
      <c r="E1236" s="3" t="s">
        <v>739</v>
      </c>
      <c r="F1236" s="9">
        <v>45558</v>
      </c>
      <c r="G1236" s="5" t="s">
        <v>2095</v>
      </c>
      <c r="H1236" s="5"/>
      <c r="I1236" s="5"/>
      <c r="J1236" s="5"/>
      <c r="K1236" s="5"/>
      <c r="L1236" s="5"/>
      <c r="M1236" s="5"/>
      <c r="N1236" s="5"/>
    </row>
    <row r="1237" spans="1:14" ht="22.5" customHeight="1" x14ac:dyDescent="0.2">
      <c r="A1237" s="22" t="s">
        <v>1839</v>
      </c>
      <c r="B1237" s="3" t="s">
        <v>34</v>
      </c>
      <c r="C1237" s="3" t="s">
        <v>1216</v>
      </c>
      <c r="D1237" s="14" t="s">
        <v>2947</v>
      </c>
      <c r="E1237" s="3" t="s">
        <v>1349</v>
      </c>
      <c r="F1237" s="9">
        <v>45557</v>
      </c>
      <c r="G1237" s="5" t="s">
        <v>37</v>
      </c>
      <c r="H1237" s="5"/>
      <c r="I1237" s="5"/>
      <c r="J1237" s="5"/>
      <c r="K1237" s="5"/>
      <c r="L1237" s="5"/>
      <c r="M1237" s="5"/>
      <c r="N1237" s="5"/>
    </row>
    <row r="1238" spans="1:14" ht="22.5" customHeight="1" x14ac:dyDescent="0.2">
      <c r="A1238" s="22" t="s">
        <v>1840</v>
      </c>
      <c r="B1238" s="3" t="s">
        <v>34</v>
      </c>
      <c r="C1238" s="3" t="s">
        <v>1216</v>
      </c>
      <c r="D1238" s="14" t="s">
        <v>2161</v>
      </c>
      <c r="E1238" s="3" t="s">
        <v>1409</v>
      </c>
      <c r="F1238" s="9">
        <v>45555</v>
      </c>
      <c r="G1238" s="5" t="s">
        <v>2095</v>
      </c>
      <c r="H1238" s="5"/>
      <c r="I1238" s="5"/>
      <c r="J1238" s="5"/>
      <c r="K1238" s="5"/>
      <c r="L1238" s="5"/>
      <c r="M1238" s="5"/>
      <c r="N1238" s="5"/>
    </row>
    <row r="1239" spans="1:14" ht="22.5" customHeight="1" x14ac:dyDescent="0.2">
      <c r="A1239" s="22" t="s">
        <v>1841</v>
      </c>
      <c r="B1239" s="3" t="s">
        <v>34</v>
      </c>
      <c r="C1239" s="3" t="s">
        <v>1216</v>
      </c>
      <c r="D1239" s="14" t="s">
        <v>2161</v>
      </c>
      <c r="E1239" s="3" t="s">
        <v>1409</v>
      </c>
      <c r="F1239" s="9">
        <v>45555</v>
      </c>
      <c r="G1239" s="5" t="s">
        <v>2095</v>
      </c>
      <c r="H1239" s="5"/>
      <c r="I1239" s="5"/>
      <c r="J1239" s="5"/>
      <c r="K1239" s="5"/>
      <c r="L1239" s="5"/>
      <c r="M1239" s="5"/>
      <c r="N1239" s="5"/>
    </row>
    <row r="1240" spans="1:14" ht="22.5" customHeight="1" x14ac:dyDescent="0.2">
      <c r="A1240" s="22" t="s">
        <v>1842</v>
      </c>
      <c r="B1240" s="3" t="s">
        <v>34</v>
      </c>
      <c r="C1240" s="3" t="s">
        <v>1216</v>
      </c>
      <c r="D1240" s="14" t="s">
        <v>2944</v>
      </c>
      <c r="E1240" s="3" t="s">
        <v>1321</v>
      </c>
      <c r="F1240" s="9">
        <v>45555</v>
      </c>
      <c r="G1240" s="5" t="s">
        <v>37</v>
      </c>
      <c r="H1240" s="5"/>
      <c r="I1240" s="5"/>
      <c r="J1240" s="5"/>
      <c r="K1240" s="5"/>
      <c r="L1240" s="5"/>
      <c r="M1240" s="5"/>
      <c r="N1240" s="5"/>
    </row>
    <row r="1241" spans="1:14" ht="22.5" customHeight="1" x14ac:dyDescent="0.2">
      <c r="A1241" s="22" t="s">
        <v>1843</v>
      </c>
      <c r="B1241" s="3" t="s">
        <v>34</v>
      </c>
      <c r="C1241" s="3" t="s">
        <v>1216</v>
      </c>
      <c r="D1241" s="14" t="s">
        <v>3087</v>
      </c>
      <c r="E1241" s="3" t="s">
        <v>1330</v>
      </c>
      <c r="F1241" s="9">
        <v>45555</v>
      </c>
      <c r="G1241" s="5" t="s">
        <v>2095</v>
      </c>
      <c r="H1241" s="5"/>
      <c r="I1241" s="5"/>
      <c r="J1241" s="5"/>
      <c r="K1241" s="5"/>
      <c r="L1241" s="5"/>
      <c r="M1241" s="5"/>
      <c r="N1241" s="5"/>
    </row>
    <row r="1242" spans="1:14" ht="22.5" customHeight="1" x14ac:dyDescent="0.2">
      <c r="A1242" s="22" t="s">
        <v>1844</v>
      </c>
      <c r="B1242" s="3" t="s">
        <v>34</v>
      </c>
      <c r="C1242" s="3" t="s">
        <v>1216</v>
      </c>
      <c r="D1242" s="14" t="s">
        <v>3088</v>
      </c>
      <c r="E1242" s="3" t="s">
        <v>1814</v>
      </c>
      <c r="F1242" s="9">
        <v>45555</v>
      </c>
      <c r="G1242" s="5" t="s">
        <v>2095</v>
      </c>
      <c r="H1242" s="5"/>
      <c r="I1242" s="5"/>
      <c r="J1242" s="5"/>
      <c r="K1242" s="5"/>
      <c r="L1242" s="5"/>
      <c r="M1242" s="5"/>
      <c r="N1242" s="5"/>
    </row>
    <row r="1243" spans="1:14" ht="22.5" customHeight="1" x14ac:dyDescent="0.2">
      <c r="A1243" s="22" t="s">
        <v>1845</v>
      </c>
      <c r="B1243" s="3" t="s">
        <v>34</v>
      </c>
      <c r="C1243" s="3" t="s">
        <v>1216</v>
      </c>
      <c r="D1243" s="14" t="s">
        <v>3079</v>
      </c>
      <c r="E1243" s="3" t="s">
        <v>1646</v>
      </c>
      <c r="F1243" s="9">
        <v>45555</v>
      </c>
      <c r="G1243" s="5" t="s">
        <v>37</v>
      </c>
      <c r="H1243" s="5"/>
      <c r="I1243" s="5"/>
      <c r="J1243" s="5"/>
      <c r="K1243" s="5"/>
      <c r="L1243" s="5"/>
      <c r="M1243" s="5"/>
      <c r="N1243" s="5"/>
    </row>
    <row r="1244" spans="1:14" ht="22.5" customHeight="1" x14ac:dyDescent="0.2">
      <c r="A1244" s="22" t="s">
        <v>1846</v>
      </c>
      <c r="B1244" s="3" t="s">
        <v>34</v>
      </c>
      <c r="C1244" s="3" t="s">
        <v>1216</v>
      </c>
      <c r="D1244" s="14" t="s">
        <v>3079</v>
      </c>
      <c r="E1244" s="3" t="s">
        <v>1646</v>
      </c>
      <c r="F1244" s="9">
        <v>45554</v>
      </c>
      <c r="G1244" s="5" t="s">
        <v>37</v>
      </c>
      <c r="H1244" s="5"/>
      <c r="I1244" s="5"/>
      <c r="J1244" s="5"/>
      <c r="K1244" s="5"/>
      <c r="L1244" s="5"/>
      <c r="M1244" s="5"/>
      <c r="N1244" s="5"/>
    </row>
    <row r="1245" spans="1:14" ht="22.5" customHeight="1" x14ac:dyDescent="0.2">
      <c r="A1245" s="22" t="s">
        <v>1847</v>
      </c>
      <c r="B1245" s="3" t="s">
        <v>34</v>
      </c>
      <c r="C1245" s="3" t="s">
        <v>1216</v>
      </c>
      <c r="D1245" s="14" t="s">
        <v>3079</v>
      </c>
      <c r="E1245" s="3" t="s">
        <v>1646</v>
      </c>
      <c r="F1245" s="9">
        <v>45553</v>
      </c>
      <c r="G1245" s="5" t="s">
        <v>37</v>
      </c>
      <c r="H1245" s="5"/>
      <c r="I1245" s="5"/>
      <c r="J1245" s="5"/>
      <c r="K1245" s="5"/>
      <c r="L1245" s="5"/>
      <c r="M1245" s="5"/>
      <c r="N1245" s="5"/>
    </row>
    <row r="1246" spans="1:14" ht="22.5" customHeight="1" x14ac:dyDescent="0.2">
      <c r="A1246" s="22" t="s">
        <v>1848</v>
      </c>
      <c r="B1246" s="3" t="s">
        <v>34</v>
      </c>
      <c r="C1246" s="3" t="s">
        <v>1216</v>
      </c>
      <c r="D1246" s="14" t="s">
        <v>3079</v>
      </c>
      <c r="E1246" s="3" t="s">
        <v>1646</v>
      </c>
      <c r="F1246" s="9">
        <v>45553</v>
      </c>
      <c r="G1246" s="5" t="s">
        <v>37</v>
      </c>
      <c r="H1246" s="5"/>
      <c r="I1246" s="5"/>
      <c r="J1246" s="5"/>
      <c r="K1246" s="5"/>
      <c r="L1246" s="5"/>
      <c r="M1246" s="5"/>
      <c r="N1246" s="5"/>
    </row>
    <row r="1247" spans="1:14" ht="22.5" customHeight="1" x14ac:dyDescent="0.2">
      <c r="A1247" s="22" t="s">
        <v>1849</v>
      </c>
      <c r="B1247" s="3" t="s">
        <v>34</v>
      </c>
      <c r="C1247" s="3" t="s">
        <v>1216</v>
      </c>
      <c r="D1247" s="14" t="s">
        <v>3079</v>
      </c>
      <c r="E1247" s="3" t="s">
        <v>1646</v>
      </c>
      <c r="F1247" s="9">
        <v>45553</v>
      </c>
      <c r="G1247" s="5" t="s">
        <v>37</v>
      </c>
      <c r="H1247" s="5"/>
      <c r="I1247" s="5"/>
      <c r="J1247" s="5"/>
      <c r="K1247" s="5"/>
      <c r="L1247" s="5"/>
      <c r="M1247" s="5"/>
      <c r="N1247" s="5"/>
    </row>
    <row r="1248" spans="1:14" ht="22.5" customHeight="1" x14ac:dyDescent="0.2">
      <c r="A1248" s="22" t="s">
        <v>1850</v>
      </c>
      <c r="B1248" s="3" t="s">
        <v>34</v>
      </c>
      <c r="C1248" s="3" t="s">
        <v>1216</v>
      </c>
      <c r="D1248" s="14" t="s">
        <v>3089</v>
      </c>
      <c r="E1248" s="3" t="s">
        <v>1851</v>
      </c>
      <c r="F1248" s="9">
        <v>45553</v>
      </c>
      <c r="G1248" s="5" t="s">
        <v>2095</v>
      </c>
      <c r="H1248" s="5"/>
      <c r="I1248" s="5"/>
      <c r="J1248" s="5"/>
      <c r="K1248" s="5"/>
      <c r="L1248" s="5"/>
      <c r="M1248" s="5"/>
      <c r="N1248" s="5"/>
    </row>
    <row r="1249" spans="1:14" ht="22.5" customHeight="1" x14ac:dyDescent="0.2">
      <c r="A1249" s="22" t="s">
        <v>1852</v>
      </c>
      <c r="B1249" s="3" t="s">
        <v>34</v>
      </c>
      <c r="C1249" s="3" t="s">
        <v>1216</v>
      </c>
      <c r="D1249" s="14" t="s">
        <v>3089</v>
      </c>
      <c r="E1249" s="3" t="s">
        <v>1851</v>
      </c>
      <c r="F1249" s="9">
        <v>45553</v>
      </c>
      <c r="G1249" s="5" t="s">
        <v>37</v>
      </c>
      <c r="H1249" s="5"/>
      <c r="I1249" s="5"/>
      <c r="J1249" s="5"/>
      <c r="K1249" s="5"/>
      <c r="L1249" s="5"/>
      <c r="M1249" s="5"/>
      <c r="N1249" s="5"/>
    </row>
    <row r="1250" spans="1:14" ht="22.5" customHeight="1" x14ac:dyDescent="0.2">
      <c r="A1250" s="22" t="s">
        <v>1853</v>
      </c>
      <c r="B1250" s="3" t="s">
        <v>34</v>
      </c>
      <c r="C1250" s="3" t="s">
        <v>1216</v>
      </c>
      <c r="D1250" s="14" t="s">
        <v>3079</v>
      </c>
      <c r="E1250" s="3" t="s">
        <v>1646</v>
      </c>
      <c r="F1250" s="9">
        <v>45553</v>
      </c>
      <c r="G1250" s="5" t="s">
        <v>37</v>
      </c>
      <c r="H1250" s="5"/>
      <c r="I1250" s="5"/>
      <c r="J1250" s="5"/>
      <c r="K1250" s="5"/>
      <c r="L1250" s="5"/>
      <c r="M1250" s="5"/>
      <c r="N1250" s="5"/>
    </row>
    <row r="1251" spans="1:14" ht="22.5" customHeight="1" x14ac:dyDescent="0.2">
      <c r="A1251" s="22" t="s">
        <v>1854</v>
      </c>
      <c r="B1251" s="3" t="s">
        <v>34</v>
      </c>
      <c r="C1251" s="3" t="s">
        <v>1216</v>
      </c>
      <c r="D1251" s="14" t="s">
        <v>3079</v>
      </c>
      <c r="E1251" s="3" t="s">
        <v>1646</v>
      </c>
      <c r="F1251" s="9">
        <v>45553</v>
      </c>
      <c r="G1251" s="5" t="s">
        <v>37</v>
      </c>
      <c r="H1251" s="5"/>
      <c r="I1251" s="5"/>
      <c r="J1251" s="5"/>
      <c r="K1251" s="5"/>
      <c r="L1251" s="5"/>
      <c r="M1251" s="5"/>
      <c r="N1251" s="5"/>
    </row>
    <row r="1252" spans="1:14" ht="22.5" customHeight="1" x14ac:dyDescent="0.2">
      <c r="A1252" s="22" t="s">
        <v>1855</v>
      </c>
      <c r="B1252" s="3" t="s">
        <v>34</v>
      </c>
      <c r="C1252" s="3" t="s">
        <v>1216</v>
      </c>
      <c r="D1252" s="14" t="s">
        <v>3078</v>
      </c>
      <c r="E1252" s="3" t="s">
        <v>1814</v>
      </c>
      <c r="F1252" s="9">
        <v>45552</v>
      </c>
      <c r="G1252" s="5" t="s">
        <v>2095</v>
      </c>
      <c r="H1252" s="5"/>
      <c r="I1252" s="5"/>
      <c r="J1252" s="5"/>
      <c r="K1252" s="5"/>
      <c r="L1252" s="5"/>
      <c r="M1252" s="5"/>
      <c r="N1252" s="5"/>
    </row>
    <row r="1253" spans="1:14" ht="22.5" customHeight="1" x14ac:dyDescent="0.2">
      <c r="A1253" s="22" t="s">
        <v>1856</v>
      </c>
      <c r="B1253" s="3" t="s">
        <v>34</v>
      </c>
      <c r="C1253" s="3" t="s">
        <v>1216</v>
      </c>
      <c r="D1253" s="14" t="s">
        <v>3078</v>
      </c>
      <c r="E1253" s="3" t="s">
        <v>1814</v>
      </c>
      <c r="F1253" s="9">
        <v>45552</v>
      </c>
      <c r="G1253" s="5" t="s">
        <v>2110</v>
      </c>
      <c r="H1253" s="5"/>
      <c r="I1253" s="5"/>
      <c r="J1253" s="5"/>
      <c r="K1253" s="5"/>
      <c r="L1253" s="5"/>
      <c r="M1253" s="5"/>
      <c r="N1253" s="5"/>
    </row>
    <row r="1254" spans="1:14" ht="22.5" customHeight="1" x14ac:dyDescent="0.2">
      <c r="A1254" s="22" t="s">
        <v>1857</v>
      </c>
      <c r="B1254" s="3" t="s">
        <v>34</v>
      </c>
      <c r="C1254" s="3" t="s">
        <v>1216</v>
      </c>
      <c r="D1254" s="14" t="s">
        <v>3079</v>
      </c>
      <c r="E1254" s="3" t="s">
        <v>1646</v>
      </c>
      <c r="F1254" s="9">
        <v>45552</v>
      </c>
      <c r="G1254" s="5" t="s">
        <v>37</v>
      </c>
      <c r="H1254" s="5"/>
      <c r="I1254" s="5"/>
      <c r="J1254" s="5"/>
      <c r="K1254" s="5"/>
      <c r="L1254" s="5"/>
      <c r="M1254" s="5"/>
      <c r="N1254" s="5"/>
    </row>
    <row r="1255" spans="1:14" ht="22.5" customHeight="1" x14ac:dyDescent="0.2">
      <c r="A1255" s="22" t="s">
        <v>1858</v>
      </c>
      <c r="B1255" s="3" t="s">
        <v>34</v>
      </c>
      <c r="C1255" s="3" t="s">
        <v>1216</v>
      </c>
      <c r="D1255" s="14" t="s">
        <v>3079</v>
      </c>
      <c r="E1255" s="3" t="s">
        <v>1646</v>
      </c>
      <c r="F1255" s="9">
        <v>45552</v>
      </c>
      <c r="G1255" s="5" t="s">
        <v>37</v>
      </c>
      <c r="H1255" s="5"/>
      <c r="I1255" s="5"/>
      <c r="J1255" s="5"/>
      <c r="K1255" s="5"/>
      <c r="L1255" s="5"/>
      <c r="M1255" s="5"/>
      <c r="N1255" s="5"/>
    </row>
    <row r="1256" spans="1:14" ht="22.5" customHeight="1" x14ac:dyDescent="0.2">
      <c r="A1256" s="22" t="s">
        <v>1859</v>
      </c>
      <c r="B1256" s="3" t="s">
        <v>34</v>
      </c>
      <c r="C1256" s="3" t="s">
        <v>1216</v>
      </c>
      <c r="D1256" s="14" t="s">
        <v>2947</v>
      </c>
      <c r="E1256" s="3" t="s">
        <v>1349</v>
      </c>
      <c r="F1256" s="9">
        <v>45552</v>
      </c>
      <c r="G1256" s="5" t="s">
        <v>2095</v>
      </c>
      <c r="H1256" s="5"/>
      <c r="I1256" s="5"/>
      <c r="J1256" s="5"/>
      <c r="K1256" s="5"/>
      <c r="L1256" s="5"/>
      <c r="M1256" s="5"/>
      <c r="N1256" s="5"/>
    </row>
    <row r="1257" spans="1:14" ht="22.5" customHeight="1" x14ac:dyDescent="0.2">
      <c r="A1257" s="22" t="s">
        <v>1860</v>
      </c>
      <c r="B1257" s="3" t="s">
        <v>34</v>
      </c>
      <c r="C1257" s="3" t="s">
        <v>1216</v>
      </c>
      <c r="D1257" s="14" t="s">
        <v>2947</v>
      </c>
      <c r="E1257" s="3" t="s">
        <v>1349</v>
      </c>
      <c r="F1257" s="9">
        <v>45552</v>
      </c>
      <c r="G1257" s="5" t="s">
        <v>2095</v>
      </c>
      <c r="H1257" s="5"/>
      <c r="I1257" s="5"/>
      <c r="J1257" s="5"/>
      <c r="K1257" s="5"/>
      <c r="L1257" s="5"/>
      <c r="M1257" s="5"/>
      <c r="N1257" s="5"/>
    </row>
    <row r="1258" spans="1:14" ht="22.5" customHeight="1" x14ac:dyDescent="0.2">
      <c r="A1258" s="22" t="s">
        <v>1861</v>
      </c>
      <c r="B1258" s="3" t="s">
        <v>34</v>
      </c>
      <c r="C1258" s="3" t="s">
        <v>1216</v>
      </c>
      <c r="D1258" s="14" t="s">
        <v>2474</v>
      </c>
      <c r="E1258" s="3" t="s">
        <v>737</v>
      </c>
      <c r="F1258" s="9">
        <v>45552</v>
      </c>
      <c r="G1258" s="5" t="s">
        <v>37</v>
      </c>
      <c r="H1258" s="5"/>
      <c r="I1258" s="5"/>
      <c r="J1258" s="5"/>
      <c r="K1258" s="5"/>
      <c r="L1258" s="5"/>
      <c r="M1258" s="5"/>
      <c r="N1258" s="5"/>
    </row>
    <row r="1259" spans="1:14" ht="22.5" customHeight="1" x14ac:dyDescent="0.2">
      <c r="A1259" s="22" t="s">
        <v>1862</v>
      </c>
      <c r="B1259" s="3" t="s">
        <v>34</v>
      </c>
      <c r="C1259" s="3" t="s">
        <v>1216</v>
      </c>
      <c r="D1259" s="14" t="s">
        <v>2474</v>
      </c>
      <c r="E1259" s="3" t="s">
        <v>737</v>
      </c>
      <c r="F1259" s="9">
        <v>45552</v>
      </c>
      <c r="G1259" s="5" t="s">
        <v>37</v>
      </c>
      <c r="H1259" s="5"/>
      <c r="I1259" s="5"/>
      <c r="J1259" s="5"/>
      <c r="K1259" s="5"/>
      <c r="L1259" s="5"/>
      <c r="M1259" s="5"/>
      <c r="N1259" s="5"/>
    </row>
    <row r="1260" spans="1:14" ht="22.5" customHeight="1" x14ac:dyDescent="0.2">
      <c r="A1260" s="22" t="s">
        <v>1863</v>
      </c>
      <c r="B1260" s="3" t="s">
        <v>34</v>
      </c>
      <c r="C1260" s="3" t="s">
        <v>1216</v>
      </c>
      <c r="D1260" s="14" t="s">
        <v>3090</v>
      </c>
      <c r="E1260" s="3" t="s">
        <v>1734</v>
      </c>
      <c r="F1260" s="9">
        <v>45551</v>
      </c>
      <c r="G1260" s="5" t="s">
        <v>2095</v>
      </c>
      <c r="H1260" s="5"/>
      <c r="I1260" s="5"/>
      <c r="J1260" s="5"/>
      <c r="K1260" s="5"/>
      <c r="L1260" s="5"/>
      <c r="M1260" s="5"/>
      <c r="N1260" s="5"/>
    </row>
    <row r="1261" spans="1:14" ht="22.5" customHeight="1" x14ac:dyDescent="0.2">
      <c r="A1261" s="22" t="s">
        <v>1864</v>
      </c>
      <c r="B1261" s="3" t="s">
        <v>34</v>
      </c>
      <c r="C1261" s="3" t="s">
        <v>1216</v>
      </c>
      <c r="D1261" s="14" t="s">
        <v>2474</v>
      </c>
      <c r="E1261" s="3" t="s">
        <v>737</v>
      </c>
      <c r="F1261" s="9">
        <v>45551</v>
      </c>
      <c r="G1261" s="5" t="s">
        <v>37</v>
      </c>
      <c r="H1261" s="5"/>
      <c r="I1261" s="5"/>
      <c r="J1261" s="5"/>
      <c r="K1261" s="5"/>
      <c r="L1261" s="5"/>
      <c r="M1261" s="5"/>
      <c r="N1261" s="5"/>
    </row>
    <row r="1262" spans="1:14" ht="22.5" customHeight="1" x14ac:dyDescent="0.2">
      <c r="A1262" s="22" t="s">
        <v>1865</v>
      </c>
      <c r="B1262" s="3" t="s">
        <v>34</v>
      </c>
      <c r="C1262" s="3" t="s">
        <v>1216</v>
      </c>
      <c r="D1262" s="14" t="s">
        <v>3076</v>
      </c>
      <c r="E1262" s="3" t="s">
        <v>1805</v>
      </c>
      <c r="F1262" s="9">
        <v>45551</v>
      </c>
      <c r="G1262" s="5" t="s">
        <v>37</v>
      </c>
      <c r="H1262" s="5"/>
      <c r="I1262" s="5"/>
      <c r="J1262" s="5"/>
      <c r="K1262" s="5"/>
      <c r="L1262" s="5"/>
      <c r="M1262" s="5"/>
      <c r="N1262" s="5"/>
    </row>
    <row r="1263" spans="1:14" ht="22.5" customHeight="1" x14ac:dyDescent="0.2">
      <c r="A1263" s="22" t="s">
        <v>1866</v>
      </c>
      <c r="B1263" s="3" t="s">
        <v>34</v>
      </c>
      <c r="C1263" s="3" t="s">
        <v>1216</v>
      </c>
      <c r="D1263" s="14" t="s">
        <v>3076</v>
      </c>
      <c r="E1263" s="3" t="s">
        <v>1805</v>
      </c>
      <c r="F1263" s="9">
        <v>45551</v>
      </c>
      <c r="G1263" s="5" t="s">
        <v>2443</v>
      </c>
      <c r="H1263" s="5"/>
      <c r="I1263" s="5"/>
      <c r="J1263" s="5"/>
      <c r="K1263" s="5"/>
      <c r="L1263" s="5"/>
      <c r="M1263" s="5"/>
      <c r="N1263" s="5"/>
    </row>
    <row r="1264" spans="1:14" ht="22.5" customHeight="1" x14ac:dyDescent="0.2">
      <c r="A1264" s="22" t="s">
        <v>1867</v>
      </c>
      <c r="B1264" s="3" t="s">
        <v>34</v>
      </c>
      <c r="C1264" s="3" t="s">
        <v>1216</v>
      </c>
      <c r="D1264" s="14" t="s">
        <v>3076</v>
      </c>
      <c r="E1264" s="3" t="s">
        <v>1805</v>
      </c>
      <c r="F1264" s="9">
        <v>45551</v>
      </c>
      <c r="G1264" s="5" t="s">
        <v>37</v>
      </c>
      <c r="H1264" s="5"/>
      <c r="I1264" s="5"/>
      <c r="J1264" s="5"/>
      <c r="K1264" s="5"/>
      <c r="L1264" s="5"/>
      <c r="M1264" s="5"/>
      <c r="N1264" s="5"/>
    </row>
    <row r="1265" spans="1:14" ht="22.5" customHeight="1" x14ac:dyDescent="0.2">
      <c r="A1265" s="22" t="s">
        <v>1868</v>
      </c>
      <c r="B1265" s="3" t="s">
        <v>34</v>
      </c>
      <c r="C1265" s="3" t="s">
        <v>1216</v>
      </c>
      <c r="D1265" s="14" t="s">
        <v>2474</v>
      </c>
      <c r="E1265" s="3" t="s">
        <v>737</v>
      </c>
      <c r="F1265" s="9">
        <v>45551</v>
      </c>
      <c r="G1265" s="5" t="s">
        <v>2110</v>
      </c>
      <c r="H1265" s="5"/>
      <c r="I1265" s="5"/>
      <c r="J1265" s="5"/>
      <c r="K1265" s="5"/>
      <c r="L1265" s="5"/>
      <c r="M1265" s="5"/>
      <c r="N1265" s="5"/>
    </row>
    <row r="1266" spans="1:14" ht="22.5" customHeight="1" x14ac:dyDescent="0.2">
      <c r="A1266" s="22" t="s">
        <v>1869</v>
      </c>
      <c r="B1266" s="3" t="s">
        <v>34</v>
      </c>
      <c r="C1266" s="3" t="s">
        <v>1216</v>
      </c>
      <c r="D1266" s="14" t="s">
        <v>3091</v>
      </c>
      <c r="E1266" s="3" t="s">
        <v>1805</v>
      </c>
      <c r="F1266" s="9">
        <v>45551</v>
      </c>
      <c r="G1266" s="5" t="s">
        <v>2433</v>
      </c>
      <c r="H1266" s="5"/>
      <c r="I1266" s="5"/>
      <c r="J1266" s="5"/>
      <c r="K1266" s="5"/>
      <c r="L1266" s="5"/>
      <c r="M1266" s="5"/>
      <c r="N1266" s="5"/>
    </row>
    <row r="1267" spans="1:14" ht="22.5" customHeight="1" x14ac:dyDescent="0.2">
      <c r="A1267" s="22" t="s">
        <v>1870</v>
      </c>
      <c r="B1267" s="3" t="s">
        <v>34</v>
      </c>
      <c r="C1267" s="3" t="s">
        <v>1216</v>
      </c>
      <c r="D1267" s="14" t="s">
        <v>3091</v>
      </c>
      <c r="E1267" s="3" t="s">
        <v>1805</v>
      </c>
      <c r="F1267" s="9">
        <v>45551</v>
      </c>
      <c r="G1267" s="5" t="s">
        <v>2095</v>
      </c>
      <c r="H1267" s="5"/>
      <c r="I1267" s="5"/>
      <c r="J1267" s="5"/>
      <c r="K1267" s="5"/>
      <c r="L1267" s="5"/>
      <c r="M1267" s="5"/>
      <c r="N1267" s="5"/>
    </row>
    <row r="1268" spans="1:14" ht="22.5" customHeight="1" x14ac:dyDescent="0.2">
      <c r="A1268" s="22" t="s">
        <v>1871</v>
      </c>
      <c r="B1268" s="3" t="s">
        <v>34</v>
      </c>
      <c r="C1268" s="3" t="s">
        <v>1216</v>
      </c>
      <c r="D1268" s="14" t="s">
        <v>2442</v>
      </c>
      <c r="E1268" s="3" t="s">
        <v>311</v>
      </c>
      <c r="F1268" s="9">
        <v>45547</v>
      </c>
      <c r="G1268" s="5" t="s">
        <v>2095</v>
      </c>
      <c r="H1268" s="5"/>
      <c r="I1268" s="5"/>
      <c r="J1268" s="5"/>
      <c r="K1268" s="5"/>
      <c r="L1268" s="5"/>
      <c r="M1268" s="5"/>
      <c r="N1268" s="5"/>
    </row>
    <row r="1269" spans="1:14" ht="22.5" customHeight="1" x14ac:dyDescent="0.2">
      <c r="A1269" s="22" t="s">
        <v>1872</v>
      </c>
      <c r="B1269" s="3" t="s">
        <v>34</v>
      </c>
      <c r="C1269" s="3" t="s">
        <v>1216</v>
      </c>
      <c r="D1269" s="14" t="s">
        <v>2402</v>
      </c>
      <c r="E1269" s="3" t="s">
        <v>622</v>
      </c>
      <c r="F1269" s="9">
        <v>45546</v>
      </c>
      <c r="G1269" s="5" t="s">
        <v>2095</v>
      </c>
      <c r="H1269" s="5"/>
      <c r="I1269" s="5"/>
      <c r="J1269" s="5"/>
      <c r="K1269" s="5"/>
      <c r="L1269" s="5"/>
      <c r="M1269" s="5"/>
      <c r="N1269" s="5"/>
    </row>
    <row r="1270" spans="1:14" ht="22.5" customHeight="1" x14ac:dyDescent="0.2">
      <c r="A1270" s="22" t="s">
        <v>1873</v>
      </c>
      <c r="B1270" s="3" t="s">
        <v>34</v>
      </c>
      <c r="C1270" s="3" t="s">
        <v>1216</v>
      </c>
      <c r="D1270" s="14" t="s">
        <v>3092</v>
      </c>
      <c r="E1270" s="3" t="s">
        <v>737</v>
      </c>
      <c r="F1270" s="9">
        <v>45545</v>
      </c>
      <c r="G1270" s="5" t="s">
        <v>2095</v>
      </c>
      <c r="H1270" s="5"/>
      <c r="I1270" s="5"/>
      <c r="J1270" s="5"/>
      <c r="K1270" s="5"/>
      <c r="L1270" s="5"/>
      <c r="M1270" s="5"/>
      <c r="N1270" s="5"/>
    </row>
    <row r="1271" spans="1:14" ht="22.5" customHeight="1" x14ac:dyDescent="0.2">
      <c r="A1271" s="22" t="s">
        <v>1874</v>
      </c>
      <c r="B1271" s="3" t="s">
        <v>34</v>
      </c>
      <c r="C1271" s="3" t="s">
        <v>1216</v>
      </c>
      <c r="D1271" s="14" t="s">
        <v>3093</v>
      </c>
      <c r="E1271" s="3" t="s">
        <v>1814</v>
      </c>
      <c r="F1271" s="9">
        <v>45545</v>
      </c>
      <c r="G1271" s="5" t="s">
        <v>2095</v>
      </c>
      <c r="H1271" s="5"/>
      <c r="I1271" s="5"/>
      <c r="J1271" s="5"/>
      <c r="K1271" s="5"/>
      <c r="L1271" s="5"/>
      <c r="M1271" s="5"/>
      <c r="N1271" s="5"/>
    </row>
    <row r="1272" spans="1:14" ht="22.5" customHeight="1" x14ac:dyDescent="0.2">
      <c r="A1272" s="22" t="s">
        <v>1875</v>
      </c>
      <c r="B1272" s="3" t="s">
        <v>34</v>
      </c>
      <c r="C1272" s="3" t="s">
        <v>1216</v>
      </c>
      <c r="D1272" s="14" t="s">
        <v>2474</v>
      </c>
      <c r="E1272" s="3" t="s">
        <v>737</v>
      </c>
      <c r="F1272" s="9">
        <v>45541</v>
      </c>
      <c r="G1272" s="5" t="s">
        <v>2095</v>
      </c>
      <c r="H1272" s="5"/>
      <c r="I1272" s="5"/>
      <c r="J1272" s="5"/>
      <c r="K1272" s="5"/>
      <c r="L1272" s="5"/>
      <c r="M1272" s="5"/>
      <c r="N1272" s="5"/>
    </row>
    <row r="1273" spans="1:14" ht="22.5" customHeight="1" x14ac:dyDescent="0.2">
      <c r="A1273" s="22" t="s">
        <v>1876</v>
      </c>
      <c r="B1273" s="3" t="s">
        <v>34</v>
      </c>
      <c r="C1273" s="3" t="s">
        <v>1216</v>
      </c>
      <c r="D1273" s="14" t="s">
        <v>3047</v>
      </c>
      <c r="E1273" s="3" t="s">
        <v>1734</v>
      </c>
      <c r="F1273" s="9">
        <v>45541</v>
      </c>
      <c r="G1273" s="5" t="s">
        <v>2095</v>
      </c>
      <c r="H1273" s="5"/>
      <c r="I1273" s="5"/>
      <c r="J1273" s="5"/>
      <c r="K1273" s="5"/>
      <c r="L1273" s="5"/>
      <c r="M1273" s="5"/>
      <c r="N1273" s="5"/>
    </row>
    <row r="1274" spans="1:14" ht="22.5" customHeight="1" x14ac:dyDescent="0.2">
      <c r="A1274" s="22" t="s">
        <v>1877</v>
      </c>
      <c r="B1274" s="3" t="s">
        <v>34</v>
      </c>
      <c r="C1274" s="3" t="s">
        <v>1216</v>
      </c>
      <c r="D1274" s="14" t="s">
        <v>3042</v>
      </c>
      <c r="E1274" s="3" t="s">
        <v>1646</v>
      </c>
      <c r="F1274" s="9">
        <v>45541</v>
      </c>
      <c r="G1274" s="5" t="s">
        <v>2095</v>
      </c>
      <c r="H1274" s="5"/>
      <c r="I1274" s="5"/>
      <c r="J1274" s="5"/>
      <c r="K1274" s="5"/>
      <c r="L1274" s="5"/>
      <c r="M1274" s="5"/>
      <c r="N1274" s="5"/>
    </row>
    <row r="1275" spans="1:14" ht="22.5" customHeight="1" x14ac:dyDescent="0.2">
      <c r="A1275" s="22" t="s">
        <v>1878</v>
      </c>
      <c r="B1275" s="3" t="s">
        <v>34</v>
      </c>
      <c r="C1275" s="3" t="s">
        <v>1216</v>
      </c>
      <c r="D1275" s="14" t="s">
        <v>2474</v>
      </c>
      <c r="E1275" s="3" t="s">
        <v>737</v>
      </c>
      <c r="F1275" s="9">
        <v>45540</v>
      </c>
      <c r="G1275" s="5" t="s">
        <v>2095</v>
      </c>
      <c r="H1275" s="5"/>
      <c r="I1275" s="5"/>
      <c r="J1275" s="5"/>
      <c r="K1275" s="5"/>
      <c r="L1275" s="5"/>
      <c r="M1275" s="5"/>
      <c r="N1275" s="5"/>
    </row>
    <row r="1276" spans="1:14" ht="22.5" customHeight="1" x14ac:dyDescent="0.2">
      <c r="A1276" s="22" t="s">
        <v>1879</v>
      </c>
      <c r="B1276" s="3" t="s">
        <v>34</v>
      </c>
      <c r="C1276" s="3" t="s">
        <v>1216</v>
      </c>
      <c r="D1276" s="14" t="s">
        <v>3079</v>
      </c>
      <c r="E1276" s="3" t="s">
        <v>1646</v>
      </c>
      <c r="F1276" s="9">
        <v>45540</v>
      </c>
      <c r="G1276" s="5" t="s">
        <v>37</v>
      </c>
      <c r="H1276" s="5"/>
      <c r="I1276" s="5"/>
      <c r="J1276" s="5"/>
      <c r="K1276" s="5"/>
      <c r="L1276" s="5"/>
      <c r="M1276" s="5"/>
      <c r="N1276" s="5"/>
    </row>
    <row r="1277" spans="1:14" ht="22.5" customHeight="1" x14ac:dyDescent="0.2">
      <c r="A1277" s="22" t="s">
        <v>1880</v>
      </c>
      <c r="B1277" s="3" t="s">
        <v>34</v>
      </c>
      <c r="C1277" s="3" t="s">
        <v>1216</v>
      </c>
      <c r="D1277" s="14" t="s">
        <v>3079</v>
      </c>
      <c r="E1277" s="3" t="s">
        <v>1646</v>
      </c>
      <c r="F1277" s="9">
        <v>45540</v>
      </c>
      <c r="G1277" s="5" t="s">
        <v>2095</v>
      </c>
      <c r="H1277" s="5"/>
      <c r="I1277" s="5"/>
      <c r="J1277" s="5"/>
      <c r="K1277" s="5"/>
      <c r="L1277" s="5"/>
      <c r="M1277" s="5"/>
      <c r="N1277" s="5"/>
    </row>
    <row r="1278" spans="1:14" ht="22.5" customHeight="1" x14ac:dyDescent="0.2">
      <c r="A1278" s="22" t="s">
        <v>1881</v>
      </c>
      <c r="B1278" s="3" t="s">
        <v>34</v>
      </c>
      <c r="C1278" s="3" t="s">
        <v>1216</v>
      </c>
      <c r="D1278" s="14" t="s">
        <v>2169</v>
      </c>
      <c r="E1278" s="3" t="s">
        <v>1436</v>
      </c>
      <c r="F1278" s="9">
        <v>45540</v>
      </c>
      <c r="G1278" s="5" t="s">
        <v>2095</v>
      </c>
      <c r="H1278" s="5"/>
      <c r="I1278" s="5"/>
      <c r="J1278" s="5"/>
      <c r="K1278" s="5"/>
      <c r="L1278" s="5"/>
      <c r="M1278" s="5"/>
      <c r="N1278" s="5"/>
    </row>
    <row r="1279" spans="1:14" ht="22.5" customHeight="1" x14ac:dyDescent="0.2">
      <c r="A1279" s="22" t="s">
        <v>1882</v>
      </c>
      <c r="B1279" s="3" t="s">
        <v>34</v>
      </c>
      <c r="C1279" s="3" t="s">
        <v>1216</v>
      </c>
      <c r="D1279" s="14" t="s">
        <v>2178</v>
      </c>
      <c r="E1279" s="3" t="s">
        <v>1330</v>
      </c>
      <c r="F1279" s="9">
        <v>45540</v>
      </c>
      <c r="G1279" s="5" t="s">
        <v>2095</v>
      </c>
      <c r="H1279" s="5"/>
      <c r="I1279" s="5"/>
      <c r="J1279" s="5"/>
      <c r="K1279" s="5"/>
      <c r="L1279" s="5"/>
      <c r="M1279" s="5"/>
      <c r="N1279" s="5"/>
    </row>
    <row r="1280" spans="1:14" ht="22.5" customHeight="1" x14ac:dyDescent="0.2">
      <c r="A1280" s="22" t="s">
        <v>1883</v>
      </c>
      <c r="B1280" s="3" t="s">
        <v>34</v>
      </c>
      <c r="C1280" s="3" t="s">
        <v>1216</v>
      </c>
      <c r="D1280" s="14" t="s">
        <v>2512</v>
      </c>
      <c r="E1280" s="3" t="s">
        <v>893</v>
      </c>
      <c r="F1280" s="9">
        <v>45540</v>
      </c>
      <c r="G1280" s="5" t="s">
        <v>37</v>
      </c>
      <c r="H1280" s="5"/>
      <c r="I1280" s="5"/>
      <c r="J1280" s="5"/>
      <c r="K1280" s="5"/>
      <c r="L1280" s="5"/>
      <c r="M1280" s="5"/>
      <c r="N1280" s="5"/>
    </row>
    <row r="1281" spans="1:14" ht="22.5" customHeight="1" x14ac:dyDescent="0.2">
      <c r="A1281" s="22" t="s">
        <v>1884</v>
      </c>
      <c r="B1281" s="3" t="s">
        <v>34</v>
      </c>
      <c r="C1281" s="3" t="s">
        <v>1216</v>
      </c>
      <c r="D1281" s="14" t="s">
        <v>2178</v>
      </c>
      <c r="E1281" s="3" t="s">
        <v>1330</v>
      </c>
      <c r="F1281" s="9">
        <v>45538</v>
      </c>
      <c r="G1281" s="5" t="s">
        <v>37</v>
      </c>
      <c r="H1281" s="5"/>
      <c r="I1281" s="5"/>
      <c r="J1281" s="5"/>
      <c r="K1281" s="5"/>
      <c r="L1281" s="5"/>
      <c r="M1281" s="5"/>
      <c r="N1281" s="5"/>
    </row>
    <row r="1282" spans="1:14" ht="22.5" customHeight="1" x14ac:dyDescent="0.2">
      <c r="A1282" s="22" t="s">
        <v>1885</v>
      </c>
      <c r="B1282" s="3" t="s">
        <v>34</v>
      </c>
      <c r="C1282" s="3" t="s">
        <v>1216</v>
      </c>
      <c r="D1282" s="14" t="s">
        <v>3042</v>
      </c>
      <c r="E1282" s="3" t="s">
        <v>1646</v>
      </c>
      <c r="F1282" s="9">
        <v>45532</v>
      </c>
      <c r="G1282" s="5" t="s">
        <v>2110</v>
      </c>
      <c r="H1282" s="5"/>
      <c r="I1282" s="5"/>
      <c r="J1282" s="5"/>
      <c r="K1282" s="5"/>
      <c r="L1282" s="5"/>
      <c r="M1282" s="5"/>
      <c r="N1282" s="5"/>
    </row>
    <row r="1283" spans="1:14" ht="22.5" customHeight="1" x14ac:dyDescent="0.2">
      <c r="A1283" s="22" t="s">
        <v>1886</v>
      </c>
      <c r="B1283" s="3" t="s">
        <v>34</v>
      </c>
      <c r="C1283" s="3" t="s">
        <v>1216</v>
      </c>
      <c r="D1283" s="14" t="s">
        <v>3079</v>
      </c>
      <c r="E1283" s="3" t="s">
        <v>1646</v>
      </c>
      <c r="F1283" s="9">
        <v>45532</v>
      </c>
      <c r="G1283" s="5" t="s">
        <v>37</v>
      </c>
      <c r="H1283" s="5"/>
      <c r="I1283" s="5"/>
      <c r="J1283" s="5"/>
      <c r="K1283" s="5"/>
      <c r="L1283" s="5"/>
      <c r="M1283" s="5"/>
      <c r="N1283" s="5"/>
    </row>
    <row r="1284" spans="1:14" ht="22.5" customHeight="1" x14ac:dyDescent="0.2">
      <c r="A1284" s="22" t="s">
        <v>1887</v>
      </c>
      <c r="B1284" s="3" t="s">
        <v>34</v>
      </c>
      <c r="C1284" s="3" t="s">
        <v>1216</v>
      </c>
      <c r="D1284" s="14" t="s">
        <v>2169</v>
      </c>
      <c r="E1284" s="3" t="s">
        <v>1436</v>
      </c>
      <c r="F1284" s="9">
        <v>45532</v>
      </c>
      <c r="G1284" s="5" t="s">
        <v>2095</v>
      </c>
      <c r="H1284" s="5"/>
      <c r="I1284" s="5"/>
      <c r="J1284" s="5"/>
      <c r="K1284" s="5"/>
      <c r="L1284" s="5"/>
      <c r="M1284" s="5"/>
      <c r="N1284" s="5"/>
    </row>
    <row r="1285" spans="1:14" ht="22.5" customHeight="1" x14ac:dyDescent="0.2">
      <c r="A1285" s="22" t="s">
        <v>1888</v>
      </c>
      <c r="B1285" s="3" t="s">
        <v>34</v>
      </c>
      <c r="C1285" s="3" t="s">
        <v>1216</v>
      </c>
      <c r="D1285" s="14" t="s">
        <v>2169</v>
      </c>
      <c r="E1285" s="3" t="s">
        <v>1436</v>
      </c>
      <c r="F1285" s="9">
        <v>45531</v>
      </c>
      <c r="G1285" s="5" t="s">
        <v>37</v>
      </c>
      <c r="H1285" s="5"/>
      <c r="I1285" s="5"/>
      <c r="J1285" s="5"/>
      <c r="K1285" s="5"/>
      <c r="L1285" s="5"/>
      <c r="M1285" s="5"/>
      <c r="N1285" s="5"/>
    </row>
    <row r="1286" spans="1:14" ht="22.5" customHeight="1" x14ac:dyDescent="0.2">
      <c r="A1286" s="22" t="s">
        <v>1889</v>
      </c>
      <c r="B1286" s="3" t="s">
        <v>34</v>
      </c>
      <c r="C1286" s="3" t="s">
        <v>1216</v>
      </c>
      <c r="D1286" s="14" t="s">
        <v>2134</v>
      </c>
      <c r="E1286" s="3" t="s">
        <v>1330</v>
      </c>
      <c r="F1286" s="9">
        <v>45530</v>
      </c>
      <c r="G1286" s="5" t="s">
        <v>2095</v>
      </c>
      <c r="H1286" s="5"/>
      <c r="I1286" s="5"/>
      <c r="J1286" s="5"/>
      <c r="K1286" s="5"/>
      <c r="L1286" s="5"/>
      <c r="M1286" s="5"/>
      <c r="N1286" s="5"/>
    </row>
    <row r="1287" spans="1:14" ht="22.5" customHeight="1" x14ac:dyDescent="0.2">
      <c r="A1287" s="22" t="s">
        <v>1890</v>
      </c>
      <c r="B1287" s="3" t="s">
        <v>34</v>
      </c>
      <c r="C1287" s="3" t="s">
        <v>1216</v>
      </c>
      <c r="D1287" s="14" t="s">
        <v>3094</v>
      </c>
      <c r="E1287" s="3" t="s">
        <v>1891</v>
      </c>
      <c r="F1287" s="9">
        <v>45529</v>
      </c>
      <c r="G1287" s="5" t="s">
        <v>37</v>
      </c>
      <c r="H1287" s="5"/>
      <c r="I1287" s="5"/>
      <c r="J1287" s="5"/>
      <c r="K1287" s="5"/>
      <c r="L1287" s="5"/>
      <c r="M1287" s="5"/>
      <c r="N1287" s="5"/>
    </row>
    <row r="1288" spans="1:14" ht="22.5" customHeight="1" x14ac:dyDescent="0.2">
      <c r="A1288" s="22" t="s">
        <v>1892</v>
      </c>
      <c r="B1288" s="3" t="s">
        <v>34</v>
      </c>
      <c r="C1288" s="3" t="s">
        <v>1216</v>
      </c>
      <c r="D1288" s="14" t="s">
        <v>3076</v>
      </c>
      <c r="E1288" s="3" t="s">
        <v>1805</v>
      </c>
      <c r="F1288" s="9">
        <v>45529</v>
      </c>
      <c r="G1288" s="5" t="s">
        <v>2443</v>
      </c>
      <c r="H1288" s="5"/>
      <c r="I1288" s="5"/>
      <c r="J1288" s="5"/>
      <c r="K1288" s="5"/>
      <c r="L1288" s="5"/>
      <c r="M1288" s="5"/>
      <c r="N1288" s="5"/>
    </row>
    <row r="1289" spans="1:14" ht="22.5" customHeight="1" x14ac:dyDescent="0.2">
      <c r="A1289" s="22" t="s">
        <v>1893</v>
      </c>
      <c r="B1289" s="3" t="s">
        <v>34</v>
      </c>
      <c r="C1289" s="3" t="s">
        <v>1216</v>
      </c>
      <c r="D1289" s="14" t="s">
        <v>2474</v>
      </c>
      <c r="E1289" s="3" t="s">
        <v>737</v>
      </c>
      <c r="F1289" s="9">
        <v>45528</v>
      </c>
      <c r="G1289" s="5" t="s">
        <v>2443</v>
      </c>
      <c r="H1289" s="5"/>
      <c r="I1289" s="5"/>
      <c r="J1289" s="5"/>
      <c r="K1289" s="5"/>
      <c r="L1289" s="5"/>
      <c r="M1289" s="5"/>
      <c r="N1289" s="5"/>
    </row>
    <row r="1290" spans="1:14" ht="22.5" customHeight="1" x14ac:dyDescent="0.2">
      <c r="A1290" s="22" t="s">
        <v>1894</v>
      </c>
      <c r="B1290" s="3" t="s">
        <v>34</v>
      </c>
      <c r="C1290" s="3" t="s">
        <v>1216</v>
      </c>
      <c r="D1290" s="14" t="s">
        <v>3095</v>
      </c>
      <c r="E1290" s="3" t="s">
        <v>1895</v>
      </c>
      <c r="F1290" s="9">
        <v>45526</v>
      </c>
      <c r="G1290" s="5" t="s">
        <v>37</v>
      </c>
      <c r="H1290" s="5"/>
      <c r="I1290" s="5"/>
      <c r="J1290" s="5"/>
      <c r="K1290" s="5"/>
      <c r="L1290" s="5"/>
      <c r="M1290" s="5"/>
      <c r="N1290" s="5"/>
    </row>
    <row r="1291" spans="1:14" ht="22.5" customHeight="1" x14ac:dyDescent="0.2">
      <c r="A1291" s="22" t="s">
        <v>1896</v>
      </c>
      <c r="B1291" s="3" t="s">
        <v>34</v>
      </c>
      <c r="C1291" s="3" t="s">
        <v>1216</v>
      </c>
      <c r="D1291" s="14" t="s">
        <v>3095</v>
      </c>
      <c r="E1291" s="3" t="s">
        <v>1895</v>
      </c>
      <c r="F1291" s="9">
        <v>45526</v>
      </c>
      <c r="G1291" s="5" t="s">
        <v>37</v>
      </c>
      <c r="H1291" s="5"/>
      <c r="I1291" s="5"/>
      <c r="J1291" s="5"/>
      <c r="K1291" s="5"/>
      <c r="L1291" s="5"/>
      <c r="M1291" s="5"/>
      <c r="N1291" s="5"/>
    </row>
    <row r="1292" spans="1:14" ht="22.5" customHeight="1" x14ac:dyDescent="0.2">
      <c r="A1292" s="22" t="s">
        <v>1897</v>
      </c>
      <c r="B1292" s="3" t="s">
        <v>34</v>
      </c>
      <c r="C1292" s="3" t="s">
        <v>1216</v>
      </c>
      <c r="D1292" s="14" t="s">
        <v>3090</v>
      </c>
      <c r="E1292" s="3" t="s">
        <v>1734</v>
      </c>
      <c r="F1292" s="9">
        <v>45524</v>
      </c>
      <c r="G1292" s="5" t="s">
        <v>37</v>
      </c>
      <c r="H1292" s="5"/>
      <c r="I1292" s="5"/>
      <c r="J1292" s="5"/>
      <c r="K1292" s="5"/>
      <c r="L1292" s="5"/>
      <c r="M1292" s="5"/>
      <c r="N1292" s="5"/>
    </row>
    <row r="1293" spans="1:14" ht="22.5" customHeight="1" x14ac:dyDescent="0.2">
      <c r="A1293" s="22" t="s">
        <v>1898</v>
      </c>
      <c r="B1293" s="3" t="s">
        <v>34</v>
      </c>
      <c r="C1293" s="3" t="s">
        <v>1216</v>
      </c>
      <c r="D1293" s="14" t="s">
        <v>3092</v>
      </c>
      <c r="E1293" s="3" t="s">
        <v>737</v>
      </c>
      <c r="F1293" s="9">
        <v>45524</v>
      </c>
      <c r="G1293" s="5" t="s">
        <v>2095</v>
      </c>
      <c r="H1293" s="5"/>
      <c r="I1293" s="5"/>
      <c r="J1293" s="5"/>
      <c r="K1293" s="5"/>
      <c r="L1293" s="5"/>
      <c r="M1293" s="5"/>
      <c r="N1293" s="5"/>
    </row>
    <row r="1294" spans="1:14" ht="22.5" customHeight="1" x14ac:dyDescent="0.2">
      <c r="A1294" s="22" t="s">
        <v>1899</v>
      </c>
      <c r="B1294" s="3" t="s">
        <v>34</v>
      </c>
      <c r="C1294" s="3" t="s">
        <v>1216</v>
      </c>
      <c r="D1294" s="14" t="s">
        <v>3024</v>
      </c>
      <c r="E1294" s="3" t="s">
        <v>1646</v>
      </c>
      <c r="F1294" s="9">
        <v>45524</v>
      </c>
      <c r="G1294" s="5" t="s">
        <v>2095</v>
      </c>
      <c r="H1294" s="5"/>
      <c r="I1294" s="5"/>
      <c r="J1294" s="5"/>
      <c r="K1294" s="5"/>
      <c r="L1294" s="5"/>
      <c r="M1294" s="5"/>
      <c r="N1294" s="5"/>
    </row>
    <row r="1295" spans="1:14" ht="22.5" customHeight="1" x14ac:dyDescent="0.2">
      <c r="A1295" s="22" t="s">
        <v>1900</v>
      </c>
      <c r="B1295" s="3" t="s">
        <v>34</v>
      </c>
      <c r="C1295" s="3" t="s">
        <v>1216</v>
      </c>
      <c r="D1295" s="14" t="s">
        <v>2169</v>
      </c>
      <c r="E1295" s="3" t="s">
        <v>1436</v>
      </c>
      <c r="F1295" s="9">
        <v>45524</v>
      </c>
      <c r="G1295" s="5" t="s">
        <v>37</v>
      </c>
      <c r="H1295" s="5"/>
      <c r="I1295" s="5"/>
      <c r="J1295" s="5"/>
      <c r="K1295" s="5"/>
      <c r="L1295" s="5"/>
      <c r="M1295" s="5"/>
      <c r="N1295" s="5"/>
    </row>
    <row r="1296" spans="1:14" ht="22.5" customHeight="1" x14ac:dyDescent="0.2">
      <c r="A1296" s="22" t="s">
        <v>1901</v>
      </c>
      <c r="B1296" s="3" t="s">
        <v>34</v>
      </c>
      <c r="C1296" s="3" t="s">
        <v>1216</v>
      </c>
      <c r="D1296" s="14" t="s">
        <v>3096</v>
      </c>
      <c r="E1296" s="3" t="s">
        <v>1902</v>
      </c>
      <c r="F1296" s="9">
        <v>45523</v>
      </c>
      <c r="G1296" s="5" t="s">
        <v>2095</v>
      </c>
      <c r="H1296" s="5"/>
      <c r="I1296" s="5"/>
      <c r="J1296" s="5"/>
      <c r="K1296" s="5"/>
      <c r="L1296" s="5"/>
      <c r="M1296" s="5"/>
      <c r="N1296" s="5"/>
    </row>
    <row r="1297" spans="1:14" ht="22.5" customHeight="1" x14ac:dyDescent="0.2">
      <c r="A1297" s="22" t="s">
        <v>1903</v>
      </c>
      <c r="B1297" s="3" t="s">
        <v>34</v>
      </c>
      <c r="C1297" s="3" t="s">
        <v>1216</v>
      </c>
      <c r="D1297" s="14" t="s">
        <v>2178</v>
      </c>
      <c r="E1297" s="3" t="s">
        <v>1330</v>
      </c>
      <c r="F1297" s="9">
        <v>45516</v>
      </c>
      <c r="G1297" s="5" t="s">
        <v>2467</v>
      </c>
      <c r="H1297" s="5"/>
      <c r="I1297" s="5"/>
      <c r="J1297" s="5"/>
      <c r="K1297" s="5"/>
      <c r="L1297" s="5"/>
      <c r="M1297" s="5"/>
      <c r="N1297" s="5"/>
    </row>
    <row r="1298" spans="1:14" ht="22.5" customHeight="1" x14ac:dyDescent="0.2">
      <c r="A1298" s="22" t="s">
        <v>1904</v>
      </c>
      <c r="B1298" s="3" t="s">
        <v>34</v>
      </c>
      <c r="C1298" s="3" t="s">
        <v>1216</v>
      </c>
      <c r="D1298" s="14" t="s">
        <v>2178</v>
      </c>
      <c r="E1298" s="3" t="s">
        <v>1330</v>
      </c>
      <c r="F1298" s="9">
        <v>45516</v>
      </c>
      <c r="G1298" s="5" t="s">
        <v>37</v>
      </c>
      <c r="H1298" s="5"/>
      <c r="I1298" s="5"/>
      <c r="J1298" s="5"/>
      <c r="K1298" s="5"/>
      <c r="L1298" s="5"/>
      <c r="M1298" s="5"/>
      <c r="N1298" s="5"/>
    </row>
    <row r="1299" spans="1:14" ht="22.5" customHeight="1" x14ac:dyDescent="0.2">
      <c r="A1299" s="22" t="s">
        <v>1905</v>
      </c>
      <c r="B1299" s="3" t="s">
        <v>34</v>
      </c>
      <c r="C1299" s="3" t="s">
        <v>1216</v>
      </c>
      <c r="D1299" s="14" t="s">
        <v>2178</v>
      </c>
      <c r="E1299" s="3" t="s">
        <v>1330</v>
      </c>
      <c r="F1299" s="9">
        <v>45516</v>
      </c>
      <c r="G1299" s="5" t="s">
        <v>2095</v>
      </c>
      <c r="H1299" s="5"/>
      <c r="I1299" s="5"/>
      <c r="J1299" s="5"/>
      <c r="K1299" s="5"/>
      <c r="L1299" s="5"/>
      <c r="M1299" s="5"/>
      <c r="N1299" s="5"/>
    </row>
    <row r="1300" spans="1:14" ht="22.5" customHeight="1" x14ac:dyDescent="0.2">
      <c r="A1300" s="22" t="s">
        <v>1906</v>
      </c>
      <c r="B1300" s="3" t="s">
        <v>34</v>
      </c>
      <c r="C1300" s="3" t="s">
        <v>1216</v>
      </c>
      <c r="D1300" s="14" t="s">
        <v>3047</v>
      </c>
      <c r="E1300" s="3" t="s">
        <v>1734</v>
      </c>
      <c r="F1300" s="9">
        <v>45513</v>
      </c>
      <c r="G1300" s="5" t="s">
        <v>2095</v>
      </c>
      <c r="H1300" s="5"/>
      <c r="I1300" s="5"/>
      <c r="J1300" s="5"/>
      <c r="K1300" s="5"/>
      <c r="L1300" s="5"/>
      <c r="M1300" s="5"/>
      <c r="N1300" s="5"/>
    </row>
    <row r="1301" spans="1:14" ht="22.5" customHeight="1" x14ac:dyDescent="0.2">
      <c r="A1301" s="22" t="s">
        <v>1907</v>
      </c>
      <c r="B1301" s="3" t="s">
        <v>34</v>
      </c>
      <c r="C1301" s="3" t="s">
        <v>1216</v>
      </c>
      <c r="D1301" s="14" t="s">
        <v>3042</v>
      </c>
      <c r="E1301" s="3" t="s">
        <v>1646</v>
      </c>
      <c r="F1301" s="9">
        <v>45512</v>
      </c>
      <c r="G1301" s="5" t="s">
        <v>37</v>
      </c>
      <c r="H1301" s="5"/>
      <c r="I1301" s="5"/>
      <c r="J1301" s="5"/>
      <c r="K1301" s="5"/>
      <c r="L1301" s="5"/>
      <c r="M1301" s="5"/>
      <c r="N1301" s="5"/>
    </row>
    <row r="1302" spans="1:14" ht="22.5" customHeight="1" x14ac:dyDescent="0.2">
      <c r="A1302" s="22" t="s">
        <v>1908</v>
      </c>
      <c r="B1302" s="3" t="s">
        <v>34</v>
      </c>
      <c r="C1302" s="3" t="s">
        <v>1216</v>
      </c>
      <c r="D1302" s="14" t="s">
        <v>3079</v>
      </c>
      <c r="E1302" s="3" t="s">
        <v>1646</v>
      </c>
      <c r="F1302" s="9">
        <v>45512</v>
      </c>
      <c r="G1302" s="5" t="s">
        <v>37</v>
      </c>
      <c r="H1302" s="5"/>
      <c r="I1302" s="5"/>
      <c r="J1302" s="5"/>
      <c r="K1302" s="5"/>
      <c r="L1302" s="5"/>
      <c r="M1302" s="5"/>
      <c r="N1302" s="5"/>
    </row>
    <row r="1303" spans="1:14" ht="22.5" customHeight="1" x14ac:dyDescent="0.2">
      <c r="A1303" s="22" t="s">
        <v>1909</v>
      </c>
      <c r="B1303" s="3" t="s">
        <v>34</v>
      </c>
      <c r="C1303" s="3" t="s">
        <v>1216</v>
      </c>
      <c r="D1303" s="14" t="s">
        <v>2157</v>
      </c>
      <c r="E1303" s="3" t="s">
        <v>1386</v>
      </c>
      <c r="F1303" s="9">
        <v>45510</v>
      </c>
      <c r="G1303" s="5" t="s">
        <v>2095</v>
      </c>
      <c r="H1303" s="5"/>
      <c r="I1303" s="5"/>
      <c r="J1303" s="5"/>
      <c r="K1303" s="5"/>
      <c r="L1303" s="5"/>
      <c r="M1303" s="5"/>
      <c r="N1303" s="5"/>
    </row>
    <row r="1304" spans="1:14" ht="22.5" customHeight="1" x14ac:dyDescent="0.2">
      <c r="A1304" s="22" t="s">
        <v>1910</v>
      </c>
      <c r="B1304" s="3" t="s">
        <v>34</v>
      </c>
      <c r="C1304" s="3" t="s">
        <v>1216</v>
      </c>
      <c r="D1304" s="14" t="s">
        <v>2601</v>
      </c>
      <c r="E1304" s="3" t="s">
        <v>1112</v>
      </c>
      <c r="F1304" s="9">
        <v>45502</v>
      </c>
      <c r="G1304" s="5" t="s">
        <v>2095</v>
      </c>
      <c r="H1304" s="5"/>
      <c r="I1304" s="5"/>
      <c r="J1304" s="5"/>
      <c r="K1304" s="5"/>
      <c r="L1304" s="5"/>
      <c r="M1304" s="5"/>
      <c r="N1304" s="5"/>
    </row>
    <row r="1305" spans="1:14" ht="22.5" customHeight="1" x14ac:dyDescent="0.2">
      <c r="A1305" s="22" t="s">
        <v>1911</v>
      </c>
      <c r="B1305" s="3" t="s">
        <v>34</v>
      </c>
      <c r="C1305" s="3" t="s">
        <v>1216</v>
      </c>
      <c r="D1305" s="14" t="s">
        <v>3069</v>
      </c>
      <c r="E1305" s="3" t="s">
        <v>1783</v>
      </c>
      <c r="F1305" s="9">
        <v>45498</v>
      </c>
      <c r="G1305" s="5" t="s">
        <v>2443</v>
      </c>
      <c r="H1305" s="5"/>
      <c r="I1305" s="5"/>
      <c r="J1305" s="5"/>
      <c r="K1305" s="5"/>
      <c r="L1305" s="5"/>
      <c r="M1305" s="5"/>
      <c r="N1305" s="5"/>
    </row>
    <row r="1306" spans="1:14" ht="22.5" customHeight="1" x14ac:dyDescent="0.2">
      <c r="A1306" s="22" t="s">
        <v>1912</v>
      </c>
      <c r="B1306" s="3" t="s">
        <v>34</v>
      </c>
      <c r="C1306" s="3" t="s">
        <v>1216</v>
      </c>
      <c r="D1306" s="14" t="s">
        <v>3097</v>
      </c>
      <c r="E1306" s="3" t="s">
        <v>1347</v>
      </c>
      <c r="F1306" s="9">
        <v>45494</v>
      </c>
      <c r="G1306" s="5" t="s">
        <v>37</v>
      </c>
      <c r="H1306" s="5"/>
      <c r="I1306" s="5"/>
      <c r="J1306" s="5"/>
      <c r="K1306" s="5"/>
      <c r="L1306" s="5"/>
      <c r="M1306" s="5"/>
      <c r="N1306" s="5"/>
    </row>
    <row r="1307" spans="1:14" ht="22.5" customHeight="1" x14ac:dyDescent="0.2">
      <c r="A1307" s="22" t="s">
        <v>1913</v>
      </c>
      <c r="B1307" s="3" t="s">
        <v>34</v>
      </c>
      <c r="C1307" s="3" t="s">
        <v>1216</v>
      </c>
      <c r="D1307" s="14" t="s">
        <v>3091</v>
      </c>
      <c r="E1307" s="3" t="s">
        <v>1805</v>
      </c>
      <c r="F1307" s="9">
        <v>45490</v>
      </c>
      <c r="G1307" s="5" t="s">
        <v>37</v>
      </c>
      <c r="H1307" s="5"/>
      <c r="I1307" s="5"/>
      <c r="J1307" s="5"/>
      <c r="K1307" s="5"/>
      <c r="L1307" s="5"/>
      <c r="M1307" s="5"/>
      <c r="N1307" s="5"/>
    </row>
    <row r="1308" spans="1:14" ht="22.5" customHeight="1" x14ac:dyDescent="0.2">
      <c r="A1308" s="22" t="s">
        <v>1914</v>
      </c>
      <c r="B1308" s="3" t="s">
        <v>34</v>
      </c>
      <c r="C1308" s="3" t="s">
        <v>1216</v>
      </c>
      <c r="D1308" s="14" t="s">
        <v>3098</v>
      </c>
      <c r="E1308" s="3" t="s">
        <v>1330</v>
      </c>
      <c r="F1308" s="9">
        <v>45489</v>
      </c>
      <c r="G1308" s="5" t="s">
        <v>2095</v>
      </c>
      <c r="H1308" s="5"/>
      <c r="I1308" s="5"/>
      <c r="J1308" s="5"/>
      <c r="K1308" s="5"/>
      <c r="L1308" s="5"/>
      <c r="M1308" s="5"/>
      <c r="N1308" s="5"/>
    </row>
    <row r="1309" spans="1:14" ht="22.5" customHeight="1" x14ac:dyDescent="0.2">
      <c r="A1309" s="22" t="s">
        <v>1915</v>
      </c>
      <c r="B1309" s="3" t="s">
        <v>34</v>
      </c>
      <c r="C1309" s="3" t="s">
        <v>1216</v>
      </c>
      <c r="D1309" s="14" t="s">
        <v>2474</v>
      </c>
      <c r="E1309" s="3" t="s">
        <v>737</v>
      </c>
      <c r="F1309" s="9">
        <v>45484</v>
      </c>
      <c r="G1309" s="5" t="s">
        <v>2095</v>
      </c>
      <c r="H1309" s="5"/>
      <c r="I1309" s="5"/>
      <c r="J1309" s="5"/>
      <c r="K1309" s="5"/>
      <c r="L1309" s="5"/>
      <c r="M1309" s="5"/>
      <c r="N1309" s="5"/>
    </row>
    <row r="1310" spans="1:14" ht="22.5" customHeight="1" x14ac:dyDescent="0.2">
      <c r="A1310" s="22" t="s">
        <v>1916</v>
      </c>
      <c r="B1310" s="3" t="s">
        <v>34</v>
      </c>
      <c r="C1310" s="3" t="s">
        <v>1216</v>
      </c>
      <c r="D1310" s="14" t="s">
        <v>2474</v>
      </c>
      <c r="E1310" s="3" t="s">
        <v>737</v>
      </c>
      <c r="F1310" s="9">
        <v>45484</v>
      </c>
      <c r="G1310" s="5" t="s">
        <v>2095</v>
      </c>
      <c r="H1310" s="5"/>
      <c r="I1310" s="5"/>
      <c r="J1310" s="5"/>
      <c r="K1310" s="5"/>
      <c r="L1310" s="5"/>
      <c r="M1310" s="5"/>
      <c r="N1310" s="5"/>
    </row>
    <row r="1311" spans="1:14" ht="22.5" customHeight="1" x14ac:dyDescent="0.2">
      <c r="A1311" s="22" t="s">
        <v>1917</v>
      </c>
      <c r="B1311" s="3" t="s">
        <v>34</v>
      </c>
      <c r="C1311" s="3" t="s">
        <v>1216</v>
      </c>
      <c r="D1311" s="14" t="s">
        <v>2165</v>
      </c>
      <c r="E1311" s="3" t="s">
        <v>1347</v>
      </c>
      <c r="F1311" s="9">
        <v>45482</v>
      </c>
      <c r="G1311" s="5" t="s">
        <v>2095</v>
      </c>
      <c r="H1311" s="5"/>
      <c r="I1311" s="5"/>
      <c r="J1311" s="5"/>
      <c r="K1311" s="5"/>
      <c r="L1311" s="5"/>
      <c r="M1311" s="5"/>
      <c r="N1311" s="5"/>
    </row>
    <row r="1312" spans="1:14" ht="22.5" customHeight="1" x14ac:dyDescent="0.2">
      <c r="A1312" s="22" t="s">
        <v>1918</v>
      </c>
      <c r="B1312" s="3" t="s">
        <v>34</v>
      </c>
      <c r="C1312" s="3" t="s">
        <v>1216</v>
      </c>
      <c r="D1312" s="14" t="s">
        <v>2164</v>
      </c>
      <c r="E1312" s="3" t="s">
        <v>1347</v>
      </c>
      <c r="F1312" s="9">
        <v>45481</v>
      </c>
      <c r="G1312" s="5" t="s">
        <v>2095</v>
      </c>
      <c r="H1312" s="5"/>
      <c r="I1312" s="5"/>
      <c r="J1312" s="5"/>
      <c r="K1312" s="5"/>
      <c r="L1312" s="5"/>
      <c r="M1312" s="5"/>
      <c r="N1312" s="5"/>
    </row>
    <row r="1313" spans="1:14" ht="22.5" customHeight="1" x14ac:dyDescent="0.2">
      <c r="A1313" s="22" t="s">
        <v>1919</v>
      </c>
      <c r="B1313" s="3" t="s">
        <v>34</v>
      </c>
      <c r="C1313" s="3" t="s">
        <v>1216</v>
      </c>
      <c r="D1313" s="14" t="s">
        <v>3099</v>
      </c>
      <c r="E1313" s="3" t="s">
        <v>1386</v>
      </c>
      <c r="F1313" s="9">
        <v>45478</v>
      </c>
      <c r="G1313" s="5" t="s">
        <v>2095</v>
      </c>
      <c r="H1313" s="5"/>
      <c r="I1313" s="5"/>
      <c r="J1313" s="5"/>
      <c r="K1313" s="5"/>
      <c r="L1313" s="5"/>
      <c r="M1313" s="5"/>
      <c r="N1313" s="5"/>
    </row>
    <row r="1314" spans="1:14" ht="22.5" customHeight="1" x14ac:dyDescent="0.2">
      <c r="A1314" s="22" t="s">
        <v>1920</v>
      </c>
      <c r="B1314" s="3" t="s">
        <v>34</v>
      </c>
      <c r="C1314" s="3" t="s">
        <v>1216</v>
      </c>
      <c r="D1314" s="14" t="s">
        <v>3097</v>
      </c>
      <c r="E1314" s="3" t="s">
        <v>1347</v>
      </c>
      <c r="F1314" s="9">
        <v>45478</v>
      </c>
      <c r="G1314" s="5" t="s">
        <v>2095</v>
      </c>
      <c r="H1314" s="5"/>
      <c r="I1314" s="5"/>
      <c r="J1314" s="5"/>
      <c r="K1314" s="5"/>
      <c r="L1314" s="5"/>
      <c r="M1314" s="5"/>
      <c r="N1314" s="5"/>
    </row>
    <row r="1315" spans="1:14" ht="22.5" customHeight="1" x14ac:dyDescent="0.2">
      <c r="A1315" s="22" t="s">
        <v>1921</v>
      </c>
      <c r="B1315" s="3" t="s">
        <v>34</v>
      </c>
      <c r="C1315" s="3" t="s">
        <v>1216</v>
      </c>
      <c r="D1315" s="14" t="s">
        <v>2155</v>
      </c>
      <c r="E1315" s="3" t="s">
        <v>1386</v>
      </c>
      <c r="F1315" s="9">
        <v>45478</v>
      </c>
      <c r="G1315" s="5" t="s">
        <v>2095</v>
      </c>
      <c r="H1315" s="5"/>
      <c r="I1315" s="5"/>
      <c r="J1315" s="5"/>
      <c r="K1315" s="5"/>
      <c r="L1315" s="5"/>
      <c r="M1315" s="5"/>
      <c r="N1315" s="5"/>
    </row>
    <row r="1316" spans="1:14" ht="22.5" customHeight="1" x14ac:dyDescent="0.2">
      <c r="A1316" s="22" t="s">
        <v>1922</v>
      </c>
      <c r="B1316" s="3" t="s">
        <v>34</v>
      </c>
      <c r="C1316" s="3" t="s">
        <v>1216</v>
      </c>
      <c r="D1316" s="14" t="s">
        <v>2608</v>
      </c>
      <c r="E1316" s="3" t="s">
        <v>1117</v>
      </c>
      <c r="F1316" s="9">
        <v>45477</v>
      </c>
      <c r="G1316" s="5" t="s">
        <v>37</v>
      </c>
      <c r="H1316" s="5"/>
      <c r="I1316" s="5"/>
      <c r="J1316" s="5"/>
      <c r="K1316" s="5"/>
      <c r="L1316" s="5"/>
      <c r="M1316" s="5"/>
      <c r="N1316" s="5"/>
    </row>
    <row r="1317" spans="1:14" ht="22.5" customHeight="1" x14ac:dyDescent="0.2">
      <c r="A1317" s="22" t="s">
        <v>1923</v>
      </c>
      <c r="B1317" s="3" t="s">
        <v>34</v>
      </c>
      <c r="C1317" s="3" t="s">
        <v>1216</v>
      </c>
      <c r="D1317" s="14" t="s">
        <v>3100</v>
      </c>
      <c r="E1317" s="3" t="s">
        <v>1330</v>
      </c>
      <c r="F1317" s="9">
        <v>45477</v>
      </c>
      <c r="G1317" s="5" t="s">
        <v>2095</v>
      </c>
      <c r="H1317" s="5"/>
      <c r="I1317" s="5"/>
      <c r="J1317" s="5"/>
      <c r="K1317" s="5"/>
      <c r="L1317" s="5"/>
      <c r="M1317" s="5"/>
      <c r="N1317" s="5"/>
    </row>
    <row r="1318" spans="1:14" ht="22.5" customHeight="1" x14ac:dyDescent="0.2">
      <c r="A1318" s="22" t="s">
        <v>1924</v>
      </c>
      <c r="B1318" s="3" t="s">
        <v>34</v>
      </c>
      <c r="C1318" s="3" t="s">
        <v>1216</v>
      </c>
      <c r="D1318" s="14" t="s">
        <v>3090</v>
      </c>
      <c r="E1318" s="3" t="s">
        <v>1734</v>
      </c>
      <c r="F1318" s="9">
        <v>45475</v>
      </c>
      <c r="G1318" s="5" t="s">
        <v>2095</v>
      </c>
      <c r="H1318" s="5"/>
      <c r="I1318" s="5"/>
      <c r="J1318" s="5"/>
      <c r="K1318" s="5"/>
      <c r="L1318" s="5"/>
      <c r="M1318" s="5"/>
      <c r="N1318" s="5"/>
    </row>
    <row r="1319" spans="1:14" ht="22.5" customHeight="1" x14ac:dyDescent="0.2">
      <c r="A1319" s="22" t="s">
        <v>1925</v>
      </c>
      <c r="B1319" s="3" t="s">
        <v>34</v>
      </c>
      <c r="C1319" s="3" t="s">
        <v>1216</v>
      </c>
      <c r="D1319" s="14" t="s">
        <v>3058</v>
      </c>
      <c r="E1319" s="3" t="s">
        <v>739</v>
      </c>
      <c r="F1319" s="9">
        <v>45471</v>
      </c>
      <c r="G1319" s="5" t="s">
        <v>2095</v>
      </c>
      <c r="H1319" s="5"/>
      <c r="I1319" s="5"/>
      <c r="J1319" s="5"/>
      <c r="K1319" s="5"/>
      <c r="L1319" s="5"/>
      <c r="M1319" s="5"/>
      <c r="N1319" s="5"/>
    </row>
    <row r="1320" spans="1:14" ht="22.5" customHeight="1" x14ac:dyDescent="0.2">
      <c r="A1320" s="22" t="s">
        <v>1926</v>
      </c>
      <c r="B1320" s="3" t="s">
        <v>34</v>
      </c>
      <c r="C1320" s="3" t="s">
        <v>1216</v>
      </c>
      <c r="D1320" s="14" t="s">
        <v>3101</v>
      </c>
      <c r="E1320" s="3" t="s">
        <v>737</v>
      </c>
      <c r="F1320" s="9">
        <v>45468</v>
      </c>
      <c r="G1320" s="5" t="s">
        <v>2095</v>
      </c>
      <c r="H1320" s="5"/>
      <c r="I1320" s="5"/>
      <c r="J1320" s="5"/>
      <c r="K1320" s="5"/>
      <c r="L1320" s="5"/>
      <c r="M1320" s="5"/>
      <c r="N1320" s="5"/>
    </row>
    <row r="1321" spans="1:14" ht="22.5" customHeight="1" x14ac:dyDescent="0.2">
      <c r="A1321" s="22" t="s">
        <v>1927</v>
      </c>
      <c r="B1321" s="3" t="s">
        <v>34</v>
      </c>
      <c r="C1321" s="3" t="s">
        <v>1216</v>
      </c>
      <c r="D1321" s="14" t="s">
        <v>2169</v>
      </c>
      <c r="E1321" s="3" t="s">
        <v>1436</v>
      </c>
      <c r="F1321" s="9">
        <v>45462</v>
      </c>
      <c r="G1321" s="5" t="s">
        <v>2095</v>
      </c>
      <c r="H1321" s="5"/>
      <c r="I1321" s="5"/>
      <c r="J1321" s="5"/>
      <c r="K1321" s="5"/>
      <c r="L1321" s="5"/>
      <c r="M1321" s="5"/>
      <c r="N1321" s="5"/>
    </row>
    <row r="1322" spans="1:14" ht="22.5" customHeight="1" x14ac:dyDescent="0.2">
      <c r="A1322" s="22" t="s">
        <v>1928</v>
      </c>
      <c r="B1322" s="3" t="s">
        <v>34</v>
      </c>
      <c r="C1322" s="3" t="s">
        <v>1216</v>
      </c>
      <c r="D1322" s="14" t="s">
        <v>3058</v>
      </c>
      <c r="E1322" s="3" t="s">
        <v>739</v>
      </c>
      <c r="F1322" s="9">
        <v>45461</v>
      </c>
      <c r="G1322" s="5" t="s">
        <v>2095</v>
      </c>
      <c r="H1322" s="5"/>
      <c r="I1322" s="5"/>
      <c r="J1322" s="5"/>
      <c r="K1322" s="5"/>
      <c r="L1322" s="5"/>
      <c r="M1322" s="5"/>
      <c r="N1322" s="5"/>
    </row>
    <row r="1323" spans="1:14" ht="22.5" customHeight="1" x14ac:dyDescent="0.2">
      <c r="A1323" s="22" t="s">
        <v>1929</v>
      </c>
      <c r="B1323" s="3" t="s">
        <v>34</v>
      </c>
      <c r="C1323" s="3" t="s">
        <v>1216</v>
      </c>
      <c r="D1323" s="14" t="s">
        <v>3090</v>
      </c>
      <c r="E1323" s="3" t="s">
        <v>1734</v>
      </c>
      <c r="F1323" s="9">
        <v>45457</v>
      </c>
      <c r="G1323" s="5" t="s">
        <v>37</v>
      </c>
      <c r="H1323" s="5"/>
      <c r="I1323" s="5"/>
      <c r="J1323" s="5"/>
      <c r="K1323" s="5"/>
      <c r="L1323" s="5"/>
      <c r="M1323" s="5"/>
      <c r="N1323" s="5"/>
    </row>
    <row r="1324" spans="1:14" ht="22.5" customHeight="1" x14ac:dyDescent="0.2">
      <c r="A1324" s="22" t="s">
        <v>1930</v>
      </c>
      <c r="B1324" s="3" t="s">
        <v>34</v>
      </c>
      <c r="C1324" s="3" t="s">
        <v>1216</v>
      </c>
      <c r="D1324" s="14" t="s">
        <v>3102</v>
      </c>
      <c r="E1324" s="3" t="s">
        <v>1734</v>
      </c>
      <c r="F1324" s="9">
        <v>45457</v>
      </c>
      <c r="G1324" s="5" t="s">
        <v>2095</v>
      </c>
      <c r="H1324" s="5"/>
      <c r="I1324" s="5"/>
      <c r="J1324" s="5"/>
      <c r="K1324" s="5"/>
      <c r="L1324" s="5"/>
      <c r="M1324" s="5"/>
      <c r="N1324" s="5"/>
    </row>
    <row r="1325" spans="1:14" ht="22.5" customHeight="1" x14ac:dyDescent="0.2">
      <c r="A1325" s="22" t="s">
        <v>1931</v>
      </c>
      <c r="B1325" s="3" t="s">
        <v>34</v>
      </c>
      <c r="C1325" s="3" t="s">
        <v>1216</v>
      </c>
      <c r="D1325" s="14" t="s">
        <v>2156</v>
      </c>
      <c r="E1325" s="3" t="s">
        <v>1392</v>
      </c>
      <c r="F1325" s="9">
        <v>45456</v>
      </c>
      <c r="G1325" s="5" t="s">
        <v>2095</v>
      </c>
      <c r="H1325" s="5"/>
      <c r="I1325" s="5"/>
      <c r="J1325" s="5"/>
      <c r="K1325" s="5"/>
      <c r="L1325" s="5"/>
      <c r="M1325" s="5"/>
      <c r="N1325" s="5"/>
    </row>
    <row r="1326" spans="1:14" ht="22.5" customHeight="1" x14ac:dyDescent="0.2">
      <c r="A1326" s="22" t="s">
        <v>1932</v>
      </c>
      <c r="B1326" s="3" t="s">
        <v>34</v>
      </c>
      <c r="C1326" s="3" t="s">
        <v>1216</v>
      </c>
      <c r="D1326" s="14" t="s">
        <v>3103</v>
      </c>
      <c r="E1326" s="3" t="s">
        <v>801</v>
      </c>
      <c r="F1326" s="9">
        <v>45455</v>
      </c>
      <c r="G1326" s="5" t="s">
        <v>1254</v>
      </c>
      <c r="H1326" s="5"/>
      <c r="I1326" s="5"/>
      <c r="J1326" s="5"/>
      <c r="K1326" s="5"/>
      <c r="L1326" s="5"/>
      <c r="M1326" s="5"/>
      <c r="N1326" s="5"/>
    </row>
    <row r="1327" spans="1:14" ht="22.5" customHeight="1" x14ac:dyDescent="0.2">
      <c r="A1327" s="22" t="s">
        <v>1934</v>
      </c>
      <c r="B1327" s="3" t="s">
        <v>34</v>
      </c>
      <c r="C1327" s="3" t="s">
        <v>1216</v>
      </c>
      <c r="D1327" s="14" t="s">
        <v>3103</v>
      </c>
      <c r="E1327" s="3" t="s">
        <v>801</v>
      </c>
      <c r="F1327" s="9">
        <v>45455</v>
      </c>
      <c r="G1327" s="5" t="s">
        <v>37</v>
      </c>
      <c r="H1327" s="5"/>
      <c r="I1327" s="5"/>
      <c r="J1327" s="5"/>
      <c r="K1327" s="5"/>
      <c r="L1327" s="5"/>
      <c r="M1327" s="5"/>
      <c r="N1327" s="5"/>
    </row>
    <row r="1328" spans="1:14" ht="22.5" customHeight="1" x14ac:dyDescent="0.2">
      <c r="A1328" s="22" t="s">
        <v>1935</v>
      </c>
      <c r="B1328" s="3" t="s">
        <v>34</v>
      </c>
      <c r="C1328" s="3" t="s">
        <v>1216</v>
      </c>
      <c r="D1328" s="14" t="s">
        <v>3104</v>
      </c>
      <c r="E1328" s="3" t="s">
        <v>1392</v>
      </c>
      <c r="F1328" s="9">
        <v>45455</v>
      </c>
      <c r="G1328" s="5" t="s">
        <v>2095</v>
      </c>
      <c r="H1328" s="5"/>
      <c r="I1328" s="5"/>
      <c r="J1328" s="5"/>
      <c r="K1328" s="5"/>
      <c r="L1328" s="5"/>
      <c r="M1328" s="5"/>
      <c r="N1328" s="5"/>
    </row>
    <row r="1329" spans="1:14" ht="22.5" customHeight="1" x14ac:dyDescent="0.2">
      <c r="A1329" s="22" t="s">
        <v>1936</v>
      </c>
      <c r="B1329" s="3" t="s">
        <v>34</v>
      </c>
      <c r="C1329" s="3" t="s">
        <v>1216</v>
      </c>
      <c r="D1329" s="14" t="s">
        <v>3105</v>
      </c>
      <c r="E1329" s="3" t="s">
        <v>1724</v>
      </c>
      <c r="F1329" s="9">
        <v>45455</v>
      </c>
      <c r="G1329" s="5" t="s">
        <v>2095</v>
      </c>
      <c r="H1329" s="5"/>
      <c r="I1329" s="5"/>
      <c r="J1329" s="5"/>
      <c r="K1329" s="5"/>
      <c r="L1329" s="5"/>
      <c r="M1329" s="5"/>
      <c r="N1329" s="5"/>
    </row>
    <row r="1330" spans="1:14" ht="22.5" customHeight="1" x14ac:dyDescent="0.2">
      <c r="A1330" s="22" t="s">
        <v>1937</v>
      </c>
      <c r="B1330" s="3" t="s">
        <v>34</v>
      </c>
      <c r="C1330" s="3" t="s">
        <v>1216</v>
      </c>
      <c r="D1330" s="14" t="s">
        <v>3071</v>
      </c>
      <c r="E1330" s="3" t="s">
        <v>1724</v>
      </c>
      <c r="F1330" s="9">
        <v>45455</v>
      </c>
      <c r="G1330" s="5" t="s">
        <v>2095</v>
      </c>
      <c r="H1330" s="5"/>
      <c r="I1330" s="5"/>
      <c r="J1330" s="5"/>
      <c r="K1330" s="5"/>
      <c r="L1330" s="5"/>
      <c r="M1330" s="5"/>
      <c r="N1330" s="5"/>
    </row>
    <row r="1331" spans="1:14" ht="22.5" customHeight="1" x14ac:dyDescent="0.2">
      <c r="A1331" s="22" t="s">
        <v>1938</v>
      </c>
      <c r="B1331" s="3" t="s">
        <v>34</v>
      </c>
      <c r="C1331" s="3" t="s">
        <v>1216</v>
      </c>
      <c r="D1331" s="14" t="s">
        <v>3106</v>
      </c>
      <c r="E1331" s="3" t="s">
        <v>1646</v>
      </c>
      <c r="F1331" s="9">
        <v>45453</v>
      </c>
      <c r="G1331" s="5" t="s">
        <v>2095</v>
      </c>
      <c r="H1331" s="5"/>
      <c r="I1331" s="5"/>
      <c r="J1331" s="5"/>
      <c r="K1331" s="5"/>
      <c r="L1331" s="5"/>
      <c r="M1331" s="5"/>
      <c r="N1331" s="5"/>
    </row>
    <row r="1332" spans="1:14" ht="22.5" customHeight="1" x14ac:dyDescent="0.2">
      <c r="A1332" s="22" t="s">
        <v>1939</v>
      </c>
      <c r="B1332" s="3" t="s">
        <v>34</v>
      </c>
      <c r="C1332" s="3" t="s">
        <v>1216</v>
      </c>
      <c r="D1332" s="14" t="s">
        <v>3103</v>
      </c>
      <c r="E1332" s="3" t="s">
        <v>801</v>
      </c>
      <c r="F1332" s="9">
        <v>45449</v>
      </c>
      <c r="G1332" s="5" t="s">
        <v>37</v>
      </c>
      <c r="H1332" s="5"/>
      <c r="I1332" s="5"/>
      <c r="J1332" s="5"/>
      <c r="K1332" s="5"/>
      <c r="L1332" s="5"/>
      <c r="M1332" s="5"/>
      <c r="N1332" s="5"/>
    </row>
    <row r="1333" spans="1:14" ht="22.5" customHeight="1" x14ac:dyDescent="0.2">
      <c r="A1333" s="22" t="s">
        <v>1940</v>
      </c>
      <c r="B1333" s="3" t="s">
        <v>34</v>
      </c>
      <c r="C1333" s="3" t="s">
        <v>1216</v>
      </c>
      <c r="D1333" s="14" t="s">
        <v>3024</v>
      </c>
      <c r="E1333" s="3" t="s">
        <v>1646</v>
      </c>
      <c r="F1333" s="9">
        <v>45449</v>
      </c>
      <c r="G1333" s="5" t="s">
        <v>2095</v>
      </c>
      <c r="H1333" s="5"/>
      <c r="I1333" s="5"/>
      <c r="J1333" s="5"/>
      <c r="K1333" s="5"/>
      <c r="L1333" s="5"/>
      <c r="M1333" s="5"/>
      <c r="N1333" s="5"/>
    </row>
    <row r="1334" spans="1:14" ht="22.5" customHeight="1" x14ac:dyDescent="0.2">
      <c r="A1334" s="22" t="s">
        <v>1941</v>
      </c>
      <c r="B1334" s="3" t="s">
        <v>34</v>
      </c>
      <c r="C1334" s="3" t="s">
        <v>1216</v>
      </c>
      <c r="D1334" s="14" t="s">
        <v>3103</v>
      </c>
      <c r="E1334" s="3" t="s">
        <v>801</v>
      </c>
      <c r="F1334" s="9">
        <v>45447</v>
      </c>
      <c r="G1334" s="5" t="s">
        <v>37</v>
      </c>
      <c r="H1334" s="5"/>
      <c r="I1334" s="5"/>
      <c r="J1334" s="5"/>
      <c r="K1334" s="5"/>
      <c r="L1334" s="5"/>
      <c r="M1334" s="5"/>
      <c r="N1334" s="5"/>
    </row>
    <row r="1335" spans="1:14" ht="22.5" customHeight="1" x14ac:dyDescent="0.2">
      <c r="A1335" s="22" t="s">
        <v>1942</v>
      </c>
      <c r="B1335" s="3" t="s">
        <v>34</v>
      </c>
      <c r="C1335" s="3" t="s">
        <v>1216</v>
      </c>
      <c r="D1335" s="14" t="s">
        <v>3069</v>
      </c>
      <c r="E1335" s="3" t="s">
        <v>1783</v>
      </c>
      <c r="F1335" s="9">
        <v>45446</v>
      </c>
      <c r="G1335" s="5" t="s">
        <v>2095</v>
      </c>
      <c r="H1335" s="5"/>
      <c r="I1335" s="5"/>
      <c r="J1335" s="5"/>
      <c r="K1335" s="5"/>
      <c r="L1335" s="5"/>
      <c r="M1335" s="5"/>
      <c r="N1335" s="5"/>
    </row>
    <row r="1336" spans="1:14" ht="22.5" customHeight="1" x14ac:dyDescent="0.2">
      <c r="A1336" s="22" t="s">
        <v>1943</v>
      </c>
      <c r="B1336" s="3" t="s">
        <v>34</v>
      </c>
      <c r="C1336" s="3" t="s">
        <v>1216</v>
      </c>
      <c r="D1336" s="14" t="s">
        <v>3061</v>
      </c>
      <c r="E1336" s="3" t="s">
        <v>1762</v>
      </c>
      <c r="F1336" s="9">
        <v>45446</v>
      </c>
      <c r="G1336" s="5" t="s">
        <v>2095</v>
      </c>
      <c r="H1336" s="5"/>
      <c r="I1336" s="5"/>
      <c r="J1336" s="5"/>
      <c r="K1336" s="5"/>
      <c r="L1336" s="5"/>
      <c r="M1336" s="5"/>
      <c r="N1336" s="5"/>
    </row>
    <row r="1337" spans="1:14" ht="22.5" customHeight="1" x14ac:dyDescent="0.2">
      <c r="A1337" s="22" t="s">
        <v>1944</v>
      </c>
      <c r="B1337" s="3" t="s">
        <v>34</v>
      </c>
      <c r="C1337" s="3" t="s">
        <v>1216</v>
      </c>
      <c r="D1337" s="14" t="s">
        <v>3107</v>
      </c>
      <c r="E1337" s="3" t="s">
        <v>1409</v>
      </c>
      <c r="F1337" s="9">
        <v>45446</v>
      </c>
      <c r="G1337" s="5" t="s">
        <v>2095</v>
      </c>
      <c r="H1337" s="5"/>
      <c r="I1337" s="5"/>
      <c r="J1337" s="5"/>
      <c r="K1337" s="5"/>
      <c r="L1337" s="5"/>
      <c r="M1337" s="5"/>
      <c r="N1337" s="5"/>
    </row>
    <row r="1338" spans="1:14" ht="22.5" customHeight="1" x14ac:dyDescent="0.2">
      <c r="A1338" s="22" t="s">
        <v>1945</v>
      </c>
      <c r="B1338" s="3" t="s">
        <v>34</v>
      </c>
      <c r="C1338" s="3" t="s">
        <v>1216</v>
      </c>
      <c r="D1338" s="14" t="s">
        <v>2168</v>
      </c>
      <c r="E1338" s="3" t="s">
        <v>1436</v>
      </c>
      <c r="F1338" s="9">
        <v>45446</v>
      </c>
      <c r="G1338" s="5" t="s">
        <v>2095</v>
      </c>
      <c r="H1338" s="5"/>
      <c r="I1338" s="5"/>
      <c r="J1338" s="5"/>
      <c r="K1338" s="5"/>
      <c r="L1338" s="5"/>
      <c r="M1338" s="5"/>
      <c r="N1338" s="5"/>
    </row>
    <row r="1339" spans="1:14" ht="22.5" customHeight="1" x14ac:dyDescent="0.2">
      <c r="A1339" s="22" t="s">
        <v>1946</v>
      </c>
      <c r="B1339" s="3" t="s">
        <v>34</v>
      </c>
      <c r="C1339" s="3" t="s">
        <v>1216</v>
      </c>
      <c r="D1339" s="14" t="s">
        <v>2492</v>
      </c>
      <c r="E1339" s="3" t="s">
        <v>739</v>
      </c>
      <c r="F1339" s="9">
        <v>45443</v>
      </c>
      <c r="G1339" s="5" t="s">
        <v>2095</v>
      </c>
      <c r="H1339" s="5"/>
      <c r="I1339" s="5"/>
      <c r="J1339" s="5"/>
      <c r="K1339" s="5"/>
      <c r="L1339" s="5"/>
      <c r="M1339" s="5"/>
      <c r="N1339" s="5"/>
    </row>
    <row r="1340" spans="1:14" ht="22.5" customHeight="1" x14ac:dyDescent="0.2">
      <c r="A1340" s="22" t="s">
        <v>1947</v>
      </c>
      <c r="B1340" s="3" t="s">
        <v>34</v>
      </c>
      <c r="C1340" s="3" t="s">
        <v>1216</v>
      </c>
      <c r="D1340" s="14" t="s">
        <v>3024</v>
      </c>
      <c r="E1340" s="3" t="s">
        <v>1646</v>
      </c>
      <c r="F1340" s="9">
        <v>45443</v>
      </c>
      <c r="G1340" s="5" t="s">
        <v>2095</v>
      </c>
      <c r="H1340" s="5"/>
      <c r="I1340" s="5"/>
      <c r="J1340" s="5"/>
      <c r="K1340" s="5"/>
      <c r="L1340" s="5"/>
      <c r="M1340" s="5"/>
      <c r="N1340" s="5"/>
    </row>
    <row r="1341" spans="1:14" ht="22.5" customHeight="1" x14ac:dyDescent="0.2">
      <c r="A1341" s="21" t="s">
        <v>1948</v>
      </c>
      <c r="B1341" s="3" t="s">
        <v>34</v>
      </c>
      <c r="C1341" s="3" t="s">
        <v>1216</v>
      </c>
      <c r="D1341" s="14" t="s">
        <v>3108</v>
      </c>
      <c r="E1341" s="3" t="s">
        <v>1412</v>
      </c>
      <c r="F1341" s="9">
        <v>45443</v>
      </c>
      <c r="G1341" s="5" t="s">
        <v>2095</v>
      </c>
      <c r="H1341" s="5"/>
      <c r="I1341" s="5"/>
      <c r="J1341" s="5"/>
      <c r="K1341" s="5"/>
      <c r="L1341" s="5"/>
      <c r="M1341" s="5"/>
      <c r="N1341" s="5"/>
    </row>
    <row r="1342" spans="1:14" ht="22.5" customHeight="1" x14ac:dyDescent="0.2">
      <c r="A1342" s="22" t="s">
        <v>1949</v>
      </c>
      <c r="B1342" s="3" t="s">
        <v>34</v>
      </c>
      <c r="C1342" s="3" t="s">
        <v>1216</v>
      </c>
      <c r="D1342" s="14" t="s">
        <v>3069</v>
      </c>
      <c r="E1342" s="3" t="s">
        <v>1783</v>
      </c>
      <c r="F1342" s="9">
        <v>45443</v>
      </c>
      <c r="G1342" s="5" t="s">
        <v>37</v>
      </c>
      <c r="H1342" s="5"/>
      <c r="I1342" s="5"/>
      <c r="J1342" s="5"/>
      <c r="K1342" s="5"/>
      <c r="L1342" s="5"/>
      <c r="M1342" s="5"/>
      <c r="N1342" s="5"/>
    </row>
    <row r="1343" spans="1:14" ht="22.5" customHeight="1" x14ac:dyDescent="0.2">
      <c r="A1343" s="22" t="s">
        <v>1950</v>
      </c>
      <c r="B1343" s="3" t="s">
        <v>34</v>
      </c>
      <c r="C1343" s="3" t="s">
        <v>1216</v>
      </c>
      <c r="D1343" s="14" t="s">
        <v>2162</v>
      </c>
      <c r="E1343" s="3" t="s">
        <v>1412</v>
      </c>
      <c r="F1343" s="9">
        <v>45441</v>
      </c>
      <c r="G1343" s="5" t="s">
        <v>2095</v>
      </c>
      <c r="H1343" s="5"/>
      <c r="I1343" s="5"/>
      <c r="J1343" s="5"/>
      <c r="K1343" s="5"/>
      <c r="L1343" s="5"/>
      <c r="M1343" s="5"/>
      <c r="N1343" s="5"/>
    </row>
    <row r="1344" spans="1:14" ht="22.5" customHeight="1" x14ac:dyDescent="0.2">
      <c r="A1344" s="22" t="s">
        <v>1951</v>
      </c>
      <c r="B1344" s="3" t="s">
        <v>34</v>
      </c>
      <c r="C1344" s="3" t="s">
        <v>1216</v>
      </c>
      <c r="D1344" s="14" t="s">
        <v>3079</v>
      </c>
      <c r="E1344" s="3" t="s">
        <v>1646</v>
      </c>
      <c r="F1344" s="9">
        <v>45441</v>
      </c>
      <c r="G1344" s="5" t="s">
        <v>2095</v>
      </c>
      <c r="H1344" s="5"/>
      <c r="I1344" s="5"/>
      <c r="J1344" s="5"/>
      <c r="K1344" s="5"/>
      <c r="L1344" s="5"/>
      <c r="M1344" s="5"/>
      <c r="N1344" s="5"/>
    </row>
    <row r="1345" spans="1:14" ht="22.5" customHeight="1" x14ac:dyDescent="0.2">
      <c r="A1345" s="22" t="s">
        <v>1952</v>
      </c>
      <c r="B1345" s="3" t="s">
        <v>34</v>
      </c>
      <c r="C1345" s="3" t="s">
        <v>1216</v>
      </c>
      <c r="D1345" s="14" t="s">
        <v>3042</v>
      </c>
      <c r="E1345" s="3" t="s">
        <v>1646</v>
      </c>
      <c r="F1345" s="9">
        <v>45439</v>
      </c>
      <c r="G1345" s="5" t="s">
        <v>2095</v>
      </c>
      <c r="H1345" s="5"/>
      <c r="I1345" s="5"/>
      <c r="J1345" s="5"/>
      <c r="K1345" s="5"/>
      <c r="L1345" s="5"/>
      <c r="M1345" s="5"/>
      <c r="N1345" s="5"/>
    </row>
    <row r="1346" spans="1:14" ht="22.5" customHeight="1" x14ac:dyDescent="0.2">
      <c r="A1346" s="22" t="s">
        <v>1953</v>
      </c>
      <c r="B1346" s="3" t="s">
        <v>34</v>
      </c>
      <c r="C1346" s="3" t="s">
        <v>1216</v>
      </c>
      <c r="D1346" s="14" t="s">
        <v>3109</v>
      </c>
      <c r="E1346" s="3" t="s">
        <v>1954</v>
      </c>
      <c r="F1346" s="9">
        <v>45433</v>
      </c>
      <c r="G1346" s="5" t="s">
        <v>2095</v>
      </c>
      <c r="H1346" s="5"/>
      <c r="I1346" s="5"/>
      <c r="J1346" s="5"/>
      <c r="K1346" s="5"/>
      <c r="L1346" s="5"/>
      <c r="M1346" s="5"/>
      <c r="N1346" s="5"/>
    </row>
    <row r="1347" spans="1:14" ht="22.5" customHeight="1" x14ac:dyDescent="0.2">
      <c r="A1347" s="22" t="s">
        <v>1955</v>
      </c>
      <c r="B1347" s="3" t="s">
        <v>34</v>
      </c>
      <c r="C1347" s="3" t="s">
        <v>1216</v>
      </c>
      <c r="D1347" s="14" t="s">
        <v>2474</v>
      </c>
      <c r="E1347" s="3" t="s">
        <v>737</v>
      </c>
      <c r="F1347" s="9">
        <v>45432</v>
      </c>
      <c r="G1347" s="5" t="s">
        <v>2095</v>
      </c>
      <c r="H1347" s="5"/>
      <c r="I1347" s="5"/>
      <c r="J1347" s="5"/>
      <c r="K1347" s="5"/>
      <c r="L1347" s="5"/>
      <c r="M1347" s="5"/>
      <c r="N1347" s="5"/>
    </row>
    <row r="1348" spans="1:14" ht="22.5" customHeight="1" x14ac:dyDescent="0.2">
      <c r="A1348" s="22" t="s">
        <v>1956</v>
      </c>
      <c r="B1348" s="3" t="s">
        <v>34</v>
      </c>
      <c r="C1348" s="3" t="s">
        <v>1216</v>
      </c>
      <c r="D1348" s="14" t="s">
        <v>3026</v>
      </c>
      <c r="E1348" s="3" t="s">
        <v>1689</v>
      </c>
      <c r="F1348" s="9">
        <v>45432</v>
      </c>
      <c r="G1348" s="5" t="s">
        <v>2095</v>
      </c>
      <c r="H1348" s="5"/>
      <c r="I1348" s="5"/>
      <c r="J1348" s="5"/>
      <c r="K1348" s="5"/>
      <c r="L1348" s="5"/>
      <c r="M1348" s="5"/>
      <c r="N1348" s="5"/>
    </row>
    <row r="1349" spans="1:14" ht="22.5" customHeight="1" x14ac:dyDescent="0.2">
      <c r="A1349" s="22" t="s">
        <v>1957</v>
      </c>
      <c r="B1349" s="3" t="s">
        <v>34</v>
      </c>
      <c r="C1349" s="3" t="s">
        <v>1216</v>
      </c>
      <c r="D1349" s="14" t="s">
        <v>3110</v>
      </c>
      <c r="E1349" s="3" t="s">
        <v>1958</v>
      </c>
      <c r="F1349" s="9">
        <v>45428</v>
      </c>
      <c r="G1349" s="5" t="s">
        <v>2095</v>
      </c>
      <c r="H1349" s="5"/>
      <c r="I1349" s="5"/>
      <c r="J1349" s="5"/>
      <c r="K1349" s="5"/>
      <c r="L1349" s="5"/>
      <c r="M1349" s="5"/>
      <c r="N1349" s="5"/>
    </row>
    <row r="1350" spans="1:14" ht="22.5" customHeight="1" x14ac:dyDescent="0.2">
      <c r="A1350" s="22" t="s">
        <v>1959</v>
      </c>
      <c r="B1350" s="3" t="s">
        <v>34</v>
      </c>
      <c r="C1350" s="3" t="s">
        <v>1216</v>
      </c>
      <c r="D1350" s="14" t="s">
        <v>2608</v>
      </c>
      <c r="E1350" s="3" t="s">
        <v>1117</v>
      </c>
      <c r="F1350" s="9">
        <v>45427</v>
      </c>
      <c r="G1350" s="5" t="s">
        <v>2095</v>
      </c>
      <c r="H1350" s="5"/>
      <c r="I1350" s="5"/>
      <c r="J1350" s="5"/>
      <c r="K1350" s="5"/>
      <c r="L1350" s="5"/>
      <c r="M1350" s="5"/>
      <c r="N1350" s="5"/>
    </row>
    <row r="1351" spans="1:14" ht="22.5" customHeight="1" x14ac:dyDescent="0.2">
      <c r="A1351" s="22" t="s">
        <v>1960</v>
      </c>
      <c r="B1351" s="3" t="s">
        <v>34</v>
      </c>
      <c r="C1351" s="3" t="s">
        <v>1216</v>
      </c>
      <c r="D1351" s="14" t="s">
        <v>3111</v>
      </c>
      <c r="E1351" s="3" t="s">
        <v>1734</v>
      </c>
      <c r="F1351" s="9">
        <v>45427</v>
      </c>
      <c r="G1351" s="5" t="s">
        <v>2095</v>
      </c>
      <c r="H1351" s="5"/>
      <c r="I1351" s="5"/>
      <c r="J1351" s="5"/>
      <c r="K1351" s="5"/>
      <c r="L1351" s="5"/>
      <c r="M1351" s="5"/>
      <c r="N1351" s="5"/>
    </row>
    <row r="1352" spans="1:14" ht="22.5" customHeight="1" x14ac:dyDescent="0.2">
      <c r="A1352" s="22" t="s">
        <v>1961</v>
      </c>
      <c r="B1352" s="3" t="s">
        <v>34</v>
      </c>
      <c r="C1352" s="3" t="s">
        <v>1216</v>
      </c>
      <c r="D1352" s="14" t="s">
        <v>3112</v>
      </c>
      <c r="E1352" s="3" t="s">
        <v>1409</v>
      </c>
      <c r="F1352" s="9">
        <v>45427</v>
      </c>
      <c r="G1352" s="5" t="s">
        <v>2095</v>
      </c>
      <c r="H1352" s="5"/>
      <c r="I1352" s="5"/>
      <c r="J1352" s="5"/>
      <c r="K1352" s="5"/>
      <c r="L1352" s="5"/>
      <c r="M1352" s="5"/>
      <c r="N1352" s="5"/>
    </row>
    <row r="1353" spans="1:14" ht="22.5" customHeight="1" x14ac:dyDescent="0.2">
      <c r="A1353" s="22" t="s">
        <v>1962</v>
      </c>
      <c r="B1353" s="3" t="s">
        <v>34</v>
      </c>
      <c r="C1353" s="3" t="s">
        <v>1216</v>
      </c>
      <c r="D1353" s="14" t="s">
        <v>3113</v>
      </c>
      <c r="E1353" s="3" t="s">
        <v>1963</v>
      </c>
      <c r="F1353" s="9">
        <v>45426</v>
      </c>
      <c r="G1353" s="5" t="s">
        <v>2095</v>
      </c>
      <c r="H1353" s="5"/>
      <c r="I1353" s="5"/>
      <c r="J1353" s="5"/>
      <c r="K1353" s="5"/>
      <c r="L1353" s="5"/>
      <c r="M1353" s="5"/>
      <c r="N1353" s="5"/>
    </row>
    <row r="1354" spans="1:14" ht="22.5" customHeight="1" x14ac:dyDescent="0.2">
      <c r="A1354" s="22" t="s">
        <v>1964</v>
      </c>
      <c r="B1354" s="3" t="s">
        <v>34</v>
      </c>
      <c r="C1354" s="3" t="s">
        <v>1216</v>
      </c>
      <c r="D1354" s="14" t="s">
        <v>3114</v>
      </c>
      <c r="E1354" s="3" t="s">
        <v>1436</v>
      </c>
      <c r="F1354" s="9">
        <v>45425</v>
      </c>
      <c r="G1354" s="5" t="s">
        <v>2095</v>
      </c>
      <c r="H1354" s="5"/>
      <c r="I1354" s="5"/>
      <c r="J1354" s="5"/>
      <c r="K1354" s="5"/>
      <c r="L1354" s="5"/>
      <c r="M1354" s="5"/>
      <c r="N1354" s="5"/>
    </row>
    <row r="1355" spans="1:14" ht="22.5" customHeight="1" x14ac:dyDescent="0.2">
      <c r="A1355" s="22" t="s">
        <v>1965</v>
      </c>
      <c r="B1355" s="3" t="s">
        <v>34</v>
      </c>
      <c r="C1355" s="3" t="s">
        <v>1216</v>
      </c>
      <c r="D1355" s="14" t="s">
        <v>3115</v>
      </c>
      <c r="E1355" s="3" t="s">
        <v>1409</v>
      </c>
      <c r="F1355" s="9">
        <v>45425</v>
      </c>
      <c r="G1355" s="5" t="s">
        <v>2095</v>
      </c>
      <c r="H1355" s="5"/>
      <c r="I1355" s="5"/>
      <c r="J1355" s="5"/>
      <c r="K1355" s="5"/>
      <c r="L1355" s="5"/>
      <c r="M1355" s="5"/>
      <c r="N1355" s="5"/>
    </row>
    <row r="1356" spans="1:14" ht="22.5" customHeight="1" x14ac:dyDescent="0.2">
      <c r="A1356" s="22" t="s">
        <v>1966</v>
      </c>
      <c r="B1356" s="3" t="s">
        <v>34</v>
      </c>
      <c r="C1356" s="3" t="s">
        <v>1216</v>
      </c>
      <c r="D1356" s="14" t="s">
        <v>3116</v>
      </c>
      <c r="E1356" s="3" t="s">
        <v>739</v>
      </c>
      <c r="F1356" s="9">
        <v>45422</v>
      </c>
      <c r="G1356" s="5" t="s">
        <v>2095</v>
      </c>
      <c r="H1356" s="5"/>
      <c r="I1356" s="5"/>
      <c r="J1356" s="5"/>
      <c r="K1356" s="5"/>
      <c r="L1356" s="5"/>
      <c r="M1356" s="5"/>
      <c r="N1356" s="5"/>
    </row>
    <row r="1357" spans="1:14" ht="22.5" customHeight="1" x14ac:dyDescent="0.2">
      <c r="A1357" s="22" t="s">
        <v>1967</v>
      </c>
      <c r="B1357" s="3" t="s">
        <v>34</v>
      </c>
      <c r="C1357" s="3" t="s">
        <v>1216</v>
      </c>
      <c r="D1357" s="14" t="s">
        <v>3025</v>
      </c>
      <c r="E1357" s="3" t="s">
        <v>1658</v>
      </c>
      <c r="F1357" s="9">
        <v>45421</v>
      </c>
      <c r="G1357" s="5" t="s">
        <v>37</v>
      </c>
      <c r="H1357" s="5"/>
      <c r="I1357" s="5"/>
      <c r="J1357" s="5"/>
      <c r="K1357" s="5"/>
      <c r="L1357" s="5"/>
      <c r="M1357" s="5"/>
      <c r="N1357" s="5"/>
    </row>
    <row r="1358" spans="1:14" ht="22.5" customHeight="1" x14ac:dyDescent="0.2">
      <c r="A1358" s="22" t="s">
        <v>1968</v>
      </c>
      <c r="B1358" s="3" t="s">
        <v>34</v>
      </c>
      <c r="C1358" s="3" t="s">
        <v>1216</v>
      </c>
      <c r="D1358" s="14" t="s">
        <v>2608</v>
      </c>
      <c r="E1358" s="3" t="s">
        <v>1117</v>
      </c>
      <c r="F1358" s="9">
        <v>45420</v>
      </c>
      <c r="G1358" s="5" t="s">
        <v>2095</v>
      </c>
      <c r="H1358" s="5"/>
      <c r="I1358" s="5"/>
      <c r="J1358" s="5"/>
      <c r="K1358" s="5"/>
      <c r="L1358" s="5"/>
      <c r="M1358" s="5"/>
      <c r="N1358" s="5"/>
    </row>
    <row r="1359" spans="1:14" ht="22.5" customHeight="1" x14ac:dyDescent="0.2">
      <c r="A1359" s="22" t="s">
        <v>1969</v>
      </c>
      <c r="B1359" s="3" t="s">
        <v>34</v>
      </c>
      <c r="C1359" s="3" t="s">
        <v>1216</v>
      </c>
      <c r="D1359" s="14" t="s">
        <v>3024</v>
      </c>
      <c r="E1359" s="3" t="s">
        <v>1646</v>
      </c>
      <c r="F1359" s="9">
        <v>45415</v>
      </c>
      <c r="G1359" s="5" t="s">
        <v>2095</v>
      </c>
      <c r="H1359" s="5"/>
      <c r="I1359" s="5"/>
      <c r="J1359" s="5"/>
      <c r="K1359" s="5"/>
      <c r="L1359" s="5"/>
      <c r="M1359" s="5"/>
      <c r="N1359" s="5"/>
    </row>
    <row r="1360" spans="1:14" ht="22.5" customHeight="1" x14ac:dyDescent="0.2">
      <c r="A1360" s="22" t="s">
        <v>1970</v>
      </c>
      <c r="B1360" s="3" t="s">
        <v>34</v>
      </c>
      <c r="C1360" s="3" t="s">
        <v>1216</v>
      </c>
      <c r="D1360" s="14" t="s">
        <v>3117</v>
      </c>
      <c r="E1360" s="3" t="s">
        <v>1963</v>
      </c>
      <c r="F1360" s="9">
        <v>45415</v>
      </c>
      <c r="G1360" s="5" t="s">
        <v>2095</v>
      </c>
      <c r="H1360" s="5"/>
      <c r="I1360" s="5"/>
      <c r="J1360" s="5"/>
      <c r="K1360" s="5"/>
      <c r="L1360" s="5"/>
      <c r="M1360" s="5"/>
      <c r="N1360" s="5"/>
    </row>
    <row r="1361" spans="1:14" ht="22.5" customHeight="1" x14ac:dyDescent="0.2">
      <c r="A1361" s="22" t="s">
        <v>1971</v>
      </c>
      <c r="B1361" s="3" t="s">
        <v>34</v>
      </c>
      <c r="C1361" s="3" t="s">
        <v>1216</v>
      </c>
      <c r="D1361" s="14" t="s">
        <v>3118</v>
      </c>
      <c r="E1361" s="3" t="s">
        <v>1963</v>
      </c>
      <c r="F1361" s="9">
        <v>45415</v>
      </c>
      <c r="G1361" s="5" t="s">
        <v>2095</v>
      </c>
      <c r="H1361" s="5"/>
      <c r="I1361" s="5"/>
      <c r="J1361" s="5"/>
      <c r="K1361" s="5"/>
      <c r="L1361" s="5"/>
      <c r="M1361" s="5"/>
      <c r="N1361" s="5"/>
    </row>
    <row r="1362" spans="1:14" ht="22.5" customHeight="1" x14ac:dyDescent="0.2">
      <c r="A1362" s="22" t="s">
        <v>1972</v>
      </c>
      <c r="B1362" s="3" t="s">
        <v>34</v>
      </c>
      <c r="C1362" s="3" t="s">
        <v>1216</v>
      </c>
      <c r="D1362" s="14" t="s">
        <v>3114</v>
      </c>
      <c r="E1362" s="3" t="s">
        <v>1436</v>
      </c>
      <c r="F1362" s="9">
        <v>45414</v>
      </c>
      <c r="G1362" s="5" t="s">
        <v>2095</v>
      </c>
      <c r="H1362" s="5"/>
      <c r="I1362" s="5"/>
      <c r="J1362" s="5"/>
      <c r="K1362" s="5"/>
      <c r="L1362" s="5"/>
      <c r="M1362" s="5"/>
      <c r="N1362" s="5"/>
    </row>
    <row r="1363" spans="1:14" ht="22.5" customHeight="1" x14ac:dyDescent="0.2">
      <c r="A1363" s="22" t="s">
        <v>1973</v>
      </c>
      <c r="B1363" s="3" t="s">
        <v>34</v>
      </c>
      <c r="C1363" s="3" t="s">
        <v>1216</v>
      </c>
      <c r="D1363" s="14" t="s">
        <v>3025</v>
      </c>
      <c r="E1363" s="3" t="s">
        <v>1658</v>
      </c>
      <c r="F1363" s="9">
        <v>45412</v>
      </c>
      <c r="G1363" s="5" t="s">
        <v>2095</v>
      </c>
      <c r="H1363" s="5"/>
      <c r="I1363" s="5"/>
      <c r="J1363" s="5"/>
      <c r="K1363" s="5"/>
      <c r="L1363" s="5"/>
      <c r="M1363" s="5"/>
      <c r="N1363" s="5"/>
    </row>
    <row r="1364" spans="1:14" ht="22.5" customHeight="1" x14ac:dyDescent="0.2">
      <c r="A1364" s="22" t="s">
        <v>1974</v>
      </c>
      <c r="B1364" s="3" t="s">
        <v>34</v>
      </c>
      <c r="C1364" s="3" t="s">
        <v>1216</v>
      </c>
      <c r="D1364" s="14" t="s">
        <v>3119</v>
      </c>
      <c r="E1364" s="3" t="s">
        <v>1963</v>
      </c>
      <c r="F1364" s="9">
        <v>45408</v>
      </c>
      <c r="G1364" s="5" t="s">
        <v>2095</v>
      </c>
      <c r="H1364" s="5"/>
      <c r="I1364" s="5"/>
      <c r="J1364" s="5"/>
      <c r="K1364" s="5"/>
      <c r="L1364" s="5"/>
      <c r="M1364" s="5"/>
      <c r="N1364" s="5"/>
    </row>
    <row r="1365" spans="1:14" ht="22.5" customHeight="1" x14ac:dyDescent="0.2">
      <c r="A1365" s="22" t="s">
        <v>1975</v>
      </c>
      <c r="B1365" s="3" t="s">
        <v>34</v>
      </c>
      <c r="C1365" s="3" t="s">
        <v>1216</v>
      </c>
      <c r="D1365" s="14" t="s">
        <v>3120</v>
      </c>
      <c r="E1365" s="3" t="s">
        <v>1963</v>
      </c>
      <c r="F1365" s="9">
        <v>45408</v>
      </c>
      <c r="G1365" s="5" t="s">
        <v>2095</v>
      </c>
      <c r="H1365" s="5"/>
      <c r="I1365" s="5"/>
      <c r="J1365" s="5"/>
      <c r="K1365" s="5"/>
      <c r="L1365" s="5"/>
      <c r="M1365" s="5"/>
      <c r="N1365" s="5"/>
    </row>
    <row r="1366" spans="1:14" ht="22.5" customHeight="1" x14ac:dyDescent="0.2">
      <c r="A1366" s="22" t="s">
        <v>1976</v>
      </c>
      <c r="B1366" s="3" t="s">
        <v>34</v>
      </c>
      <c r="C1366" s="3" t="s">
        <v>1216</v>
      </c>
      <c r="D1366" s="14" t="s">
        <v>3025</v>
      </c>
      <c r="E1366" s="3" t="s">
        <v>1658</v>
      </c>
      <c r="F1366" s="9">
        <v>45408</v>
      </c>
      <c r="G1366" s="5" t="s">
        <v>2095</v>
      </c>
      <c r="H1366" s="5"/>
      <c r="I1366" s="5"/>
      <c r="J1366" s="5"/>
      <c r="K1366" s="5"/>
      <c r="L1366" s="5"/>
      <c r="M1366" s="5"/>
      <c r="N1366" s="5"/>
    </row>
    <row r="1367" spans="1:14" ht="22.5" customHeight="1" x14ac:dyDescent="0.2">
      <c r="A1367" s="22" t="s">
        <v>1977</v>
      </c>
      <c r="B1367" s="3" t="s">
        <v>34</v>
      </c>
      <c r="C1367" s="3" t="s">
        <v>1216</v>
      </c>
      <c r="D1367" s="14" t="s">
        <v>3114</v>
      </c>
      <c r="E1367" s="3" t="s">
        <v>1436</v>
      </c>
      <c r="F1367" s="9">
        <v>45406</v>
      </c>
      <c r="G1367" s="5" t="s">
        <v>2095</v>
      </c>
      <c r="H1367" s="5"/>
      <c r="I1367" s="5"/>
      <c r="J1367" s="5"/>
      <c r="K1367" s="5"/>
      <c r="L1367" s="5"/>
      <c r="M1367" s="5"/>
      <c r="N1367" s="5"/>
    </row>
    <row r="1368" spans="1:14" ht="22.5" customHeight="1" x14ac:dyDescent="0.2">
      <c r="A1368" s="22" t="s">
        <v>1978</v>
      </c>
      <c r="B1368" s="3" t="s">
        <v>34</v>
      </c>
      <c r="C1368" s="3" t="s">
        <v>1216</v>
      </c>
      <c r="D1368" s="14" t="s">
        <v>2399</v>
      </c>
      <c r="E1368" s="3" t="s">
        <v>494</v>
      </c>
      <c r="F1368" s="9">
        <v>45401</v>
      </c>
      <c r="G1368" s="5" t="s">
        <v>2095</v>
      </c>
      <c r="H1368" s="5"/>
      <c r="I1368" s="5"/>
      <c r="J1368" s="5"/>
      <c r="K1368" s="5"/>
      <c r="L1368" s="5"/>
      <c r="M1368" s="5"/>
      <c r="N1368" s="5"/>
    </row>
    <row r="1369" spans="1:14" ht="22.5" customHeight="1" x14ac:dyDescent="0.2">
      <c r="A1369" s="22" t="s">
        <v>1979</v>
      </c>
      <c r="B1369" s="3" t="s">
        <v>34</v>
      </c>
      <c r="C1369" s="3" t="s">
        <v>1216</v>
      </c>
      <c r="D1369" s="14" t="s">
        <v>2399</v>
      </c>
      <c r="E1369" s="3" t="s">
        <v>494</v>
      </c>
      <c r="F1369" s="9">
        <v>45398</v>
      </c>
      <c r="G1369" s="5" t="s">
        <v>37</v>
      </c>
      <c r="H1369" s="5"/>
      <c r="I1369" s="5"/>
      <c r="J1369" s="5"/>
      <c r="K1369" s="5"/>
      <c r="L1369" s="5"/>
      <c r="M1369" s="5"/>
      <c r="N1369" s="5"/>
    </row>
    <row r="1370" spans="1:14" ht="22.5" customHeight="1" x14ac:dyDescent="0.2">
      <c r="A1370" s="22" t="s">
        <v>1980</v>
      </c>
      <c r="B1370" s="3" t="s">
        <v>34</v>
      </c>
      <c r="C1370" s="3" t="s">
        <v>1216</v>
      </c>
      <c r="D1370" s="14" t="s">
        <v>3071</v>
      </c>
      <c r="E1370" s="3" t="s">
        <v>1724</v>
      </c>
      <c r="F1370" s="9">
        <v>45394</v>
      </c>
      <c r="G1370" s="5" t="s">
        <v>2095</v>
      </c>
      <c r="H1370" s="5"/>
      <c r="I1370" s="5"/>
      <c r="J1370" s="5"/>
      <c r="K1370" s="5"/>
      <c r="L1370" s="5"/>
      <c r="M1370" s="5"/>
      <c r="N1370" s="5"/>
    </row>
    <row r="1371" spans="1:14" ht="22.5" customHeight="1" x14ac:dyDescent="0.2">
      <c r="A1371" s="22" t="s">
        <v>1981</v>
      </c>
      <c r="B1371" s="3" t="s">
        <v>34</v>
      </c>
      <c r="C1371" s="3" t="s">
        <v>1216</v>
      </c>
      <c r="D1371" s="14" t="s">
        <v>3121</v>
      </c>
      <c r="E1371" s="3" t="s">
        <v>1724</v>
      </c>
      <c r="F1371" s="9">
        <v>45394</v>
      </c>
      <c r="G1371" s="5" t="s">
        <v>2095</v>
      </c>
      <c r="H1371" s="5"/>
      <c r="I1371" s="5"/>
      <c r="J1371" s="5"/>
      <c r="K1371" s="5"/>
      <c r="L1371" s="5"/>
      <c r="M1371" s="5"/>
      <c r="N1371" s="5"/>
    </row>
    <row r="1372" spans="1:14" ht="22.5" customHeight="1" x14ac:dyDescent="0.2">
      <c r="A1372" s="22" t="s">
        <v>1982</v>
      </c>
      <c r="B1372" s="3" t="s">
        <v>34</v>
      </c>
      <c r="C1372" s="3" t="s">
        <v>1216</v>
      </c>
      <c r="D1372" s="14" t="s">
        <v>3122</v>
      </c>
      <c r="E1372" s="3" t="s">
        <v>1983</v>
      </c>
      <c r="F1372" s="9">
        <v>45393</v>
      </c>
      <c r="G1372" s="5" t="s">
        <v>2095</v>
      </c>
      <c r="H1372" s="5"/>
      <c r="I1372" s="5"/>
      <c r="J1372" s="5"/>
      <c r="K1372" s="5"/>
      <c r="L1372" s="5"/>
      <c r="M1372" s="5"/>
      <c r="N1372" s="5"/>
    </row>
    <row r="1373" spans="1:14" ht="22.5" customHeight="1" x14ac:dyDescent="0.2">
      <c r="A1373" s="22" t="s">
        <v>1984</v>
      </c>
      <c r="B1373" s="3" t="s">
        <v>34</v>
      </c>
      <c r="C1373" s="3" t="s">
        <v>1216</v>
      </c>
      <c r="D1373" s="14" t="s">
        <v>3123</v>
      </c>
      <c r="E1373" s="3" t="s">
        <v>1985</v>
      </c>
      <c r="F1373" s="9">
        <v>45393</v>
      </c>
      <c r="G1373" s="5" t="s">
        <v>2095</v>
      </c>
      <c r="H1373" s="5"/>
      <c r="I1373" s="5"/>
      <c r="J1373" s="5"/>
      <c r="K1373" s="5"/>
      <c r="L1373" s="5"/>
      <c r="M1373" s="5"/>
      <c r="N1373" s="5"/>
    </row>
    <row r="1374" spans="1:14" ht="22.5" customHeight="1" x14ac:dyDescent="0.2">
      <c r="A1374" s="22" t="s">
        <v>1986</v>
      </c>
      <c r="B1374" s="3" t="s">
        <v>34</v>
      </c>
      <c r="C1374" s="3" t="s">
        <v>1216</v>
      </c>
      <c r="D1374" s="14" t="s">
        <v>3058</v>
      </c>
      <c r="E1374" s="3" t="s">
        <v>739</v>
      </c>
      <c r="F1374" s="9">
        <v>45391</v>
      </c>
      <c r="G1374" s="5" t="s">
        <v>37</v>
      </c>
      <c r="H1374" s="5"/>
      <c r="I1374" s="5"/>
      <c r="J1374" s="5"/>
      <c r="K1374" s="5"/>
      <c r="L1374" s="5"/>
      <c r="M1374" s="5"/>
      <c r="N1374" s="5"/>
    </row>
    <row r="1375" spans="1:14" ht="22.5" customHeight="1" x14ac:dyDescent="0.2">
      <c r="A1375" s="22" t="s">
        <v>1987</v>
      </c>
      <c r="B1375" s="3" t="s">
        <v>34</v>
      </c>
      <c r="C1375" s="3" t="s">
        <v>1216</v>
      </c>
      <c r="D1375" s="14" t="s">
        <v>3061</v>
      </c>
      <c r="E1375" s="3" t="s">
        <v>1762</v>
      </c>
      <c r="F1375" s="9">
        <v>45391</v>
      </c>
      <c r="G1375" s="5" t="s">
        <v>2095</v>
      </c>
      <c r="H1375" s="5"/>
      <c r="I1375" s="5"/>
      <c r="J1375" s="5"/>
      <c r="K1375" s="5"/>
      <c r="L1375" s="5"/>
      <c r="M1375" s="5"/>
      <c r="N1375" s="5"/>
    </row>
    <row r="1376" spans="1:14" ht="22.5" customHeight="1" x14ac:dyDescent="0.2">
      <c r="A1376" s="22" t="s">
        <v>1988</v>
      </c>
      <c r="B1376" s="3" t="s">
        <v>34</v>
      </c>
      <c r="C1376" s="3" t="s">
        <v>1216</v>
      </c>
      <c r="D1376" s="14" t="s">
        <v>3124</v>
      </c>
      <c r="E1376" s="3" t="s">
        <v>1958</v>
      </c>
      <c r="F1376" s="9">
        <v>45390</v>
      </c>
      <c r="G1376" s="5" t="s">
        <v>2095</v>
      </c>
      <c r="H1376" s="5"/>
      <c r="I1376" s="5"/>
      <c r="J1376" s="5"/>
      <c r="K1376" s="5"/>
      <c r="L1376" s="5"/>
      <c r="M1376" s="5"/>
      <c r="N1376" s="5"/>
    </row>
    <row r="1377" spans="1:14" ht="22.5" customHeight="1" x14ac:dyDescent="0.2">
      <c r="A1377" s="22" t="s">
        <v>1989</v>
      </c>
      <c r="B1377" s="3" t="s">
        <v>34</v>
      </c>
      <c r="C1377" s="3" t="s">
        <v>1216</v>
      </c>
      <c r="D1377" s="14" t="s">
        <v>2474</v>
      </c>
      <c r="E1377" s="3" t="s">
        <v>737</v>
      </c>
      <c r="F1377" s="9">
        <v>45390</v>
      </c>
      <c r="G1377" s="5" t="s">
        <v>2095</v>
      </c>
      <c r="H1377" s="5"/>
      <c r="I1377" s="5"/>
      <c r="J1377" s="5"/>
      <c r="K1377" s="5"/>
      <c r="L1377" s="5"/>
      <c r="M1377" s="5"/>
      <c r="N1377" s="5"/>
    </row>
    <row r="1378" spans="1:14" ht="22.5" customHeight="1" x14ac:dyDescent="0.2">
      <c r="A1378" s="22" t="s">
        <v>1990</v>
      </c>
      <c r="B1378" s="3" t="s">
        <v>34</v>
      </c>
      <c r="C1378" s="3" t="s">
        <v>1216</v>
      </c>
      <c r="D1378" s="14" t="s">
        <v>3125</v>
      </c>
      <c r="E1378" s="3" t="s">
        <v>1991</v>
      </c>
      <c r="F1378" s="9">
        <v>45386</v>
      </c>
      <c r="G1378" s="5" t="s">
        <v>2095</v>
      </c>
      <c r="H1378" s="5"/>
      <c r="I1378" s="5"/>
      <c r="J1378" s="5"/>
      <c r="K1378" s="5"/>
      <c r="L1378" s="5"/>
      <c r="M1378" s="5"/>
      <c r="N1378" s="5"/>
    </row>
    <row r="1379" spans="1:14" ht="22.5" customHeight="1" x14ac:dyDescent="0.2">
      <c r="A1379" s="22" t="s">
        <v>1992</v>
      </c>
      <c r="B1379" s="3" t="s">
        <v>34</v>
      </c>
      <c r="C1379" s="3" t="s">
        <v>1216</v>
      </c>
      <c r="D1379" s="14" t="s">
        <v>3126</v>
      </c>
      <c r="E1379" s="3" t="s">
        <v>1963</v>
      </c>
      <c r="F1379" s="9">
        <v>45385</v>
      </c>
      <c r="G1379" s="5" t="s">
        <v>2095</v>
      </c>
      <c r="H1379" s="5"/>
      <c r="I1379" s="5"/>
      <c r="J1379" s="5"/>
      <c r="K1379" s="5"/>
      <c r="L1379" s="5"/>
      <c r="M1379" s="5"/>
      <c r="N1379" s="5"/>
    </row>
    <row r="1380" spans="1:14" ht="22.5" customHeight="1" x14ac:dyDescent="0.2">
      <c r="A1380" s="22" t="s">
        <v>1993</v>
      </c>
      <c r="B1380" s="3" t="s">
        <v>34</v>
      </c>
      <c r="C1380" s="3" t="s">
        <v>1216</v>
      </c>
      <c r="D1380" s="14" t="s">
        <v>3126</v>
      </c>
      <c r="E1380" s="3" t="s">
        <v>1963</v>
      </c>
      <c r="F1380" s="9">
        <v>45385</v>
      </c>
      <c r="G1380" s="5" t="s">
        <v>2095</v>
      </c>
      <c r="H1380" s="5"/>
      <c r="I1380" s="5"/>
      <c r="J1380" s="5"/>
      <c r="K1380" s="5"/>
      <c r="L1380" s="5"/>
      <c r="M1380" s="5"/>
      <c r="N1380" s="5"/>
    </row>
    <row r="1381" spans="1:14" ht="22.5" customHeight="1" x14ac:dyDescent="0.2">
      <c r="A1381" s="22" t="s">
        <v>1994</v>
      </c>
      <c r="B1381" s="3" t="s">
        <v>34</v>
      </c>
      <c r="C1381" s="3" t="s">
        <v>1216</v>
      </c>
      <c r="D1381" s="14" t="s">
        <v>2608</v>
      </c>
      <c r="E1381" s="3" t="s">
        <v>1117</v>
      </c>
      <c r="F1381" s="9">
        <v>45383</v>
      </c>
      <c r="G1381" s="5" t="s">
        <v>2095</v>
      </c>
      <c r="H1381" s="5"/>
      <c r="I1381" s="5"/>
      <c r="J1381" s="5"/>
      <c r="K1381" s="5"/>
      <c r="L1381" s="5"/>
      <c r="M1381" s="5"/>
      <c r="N1381" s="5"/>
    </row>
    <row r="1382" spans="1:14" ht="22.5" customHeight="1" x14ac:dyDescent="0.2">
      <c r="A1382" s="22" t="s">
        <v>1995</v>
      </c>
      <c r="B1382" s="3" t="s">
        <v>34</v>
      </c>
      <c r="C1382" s="3" t="s">
        <v>1216</v>
      </c>
      <c r="D1382" s="14" t="s">
        <v>3122</v>
      </c>
      <c r="E1382" s="3" t="s">
        <v>1983</v>
      </c>
      <c r="F1382" s="9">
        <v>45383</v>
      </c>
      <c r="G1382" s="5" t="s">
        <v>37</v>
      </c>
      <c r="H1382" s="5"/>
      <c r="I1382" s="5"/>
      <c r="J1382" s="5"/>
      <c r="K1382" s="5"/>
      <c r="L1382" s="5"/>
      <c r="M1382" s="5"/>
      <c r="N1382" s="5"/>
    </row>
    <row r="1383" spans="1:14" ht="22.5" customHeight="1" x14ac:dyDescent="0.2">
      <c r="A1383" s="22" t="s">
        <v>1996</v>
      </c>
      <c r="B1383" s="3" t="s">
        <v>34</v>
      </c>
      <c r="C1383" s="3" t="s">
        <v>1216</v>
      </c>
      <c r="D1383" s="14" t="s">
        <v>3025</v>
      </c>
      <c r="E1383" s="3" t="s">
        <v>1658</v>
      </c>
      <c r="F1383" s="9">
        <v>45378</v>
      </c>
      <c r="G1383" s="5" t="s">
        <v>37</v>
      </c>
      <c r="H1383" s="5"/>
      <c r="I1383" s="5"/>
      <c r="J1383" s="5"/>
      <c r="K1383" s="5"/>
      <c r="L1383" s="5"/>
      <c r="M1383" s="5"/>
      <c r="N1383" s="5"/>
    </row>
    <row r="1384" spans="1:14" ht="22.5" customHeight="1" x14ac:dyDescent="0.2">
      <c r="A1384" s="22" t="s">
        <v>1997</v>
      </c>
      <c r="B1384" s="3" t="s">
        <v>34</v>
      </c>
      <c r="C1384" s="3" t="s">
        <v>1216</v>
      </c>
      <c r="D1384" s="14" t="s">
        <v>3127</v>
      </c>
      <c r="E1384" s="3" t="s">
        <v>1998</v>
      </c>
      <c r="F1384" s="9">
        <v>45373</v>
      </c>
      <c r="G1384" s="5" t="s">
        <v>2095</v>
      </c>
      <c r="H1384" s="5"/>
      <c r="I1384" s="5"/>
      <c r="J1384" s="5"/>
      <c r="K1384" s="5"/>
      <c r="L1384" s="5"/>
      <c r="M1384" s="5"/>
      <c r="N1384" s="5"/>
    </row>
    <row r="1385" spans="1:14" ht="22.5" customHeight="1" x14ac:dyDescent="0.2">
      <c r="A1385" s="22" t="s">
        <v>2001</v>
      </c>
      <c r="B1385" s="3" t="s">
        <v>34</v>
      </c>
      <c r="C1385" s="3" t="s">
        <v>1216</v>
      </c>
      <c r="D1385" s="14" t="s">
        <v>3113</v>
      </c>
      <c r="E1385" s="3" t="s">
        <v>1963</v>
      </c>
      <c r="F1385" s="9">
        <v>45372</v>
      </c>
      <c r="G1385" s="5" t="s">
        <v>2095</v>
      </c>
      <c r="H1385" s="5"/>
      <c r="I1385" s="5"/>
      <c r="J1385" s="5"/>
      <c r="K1385" s="5"/>
      <c r="L1385" s="5"/>
      <c r="M1385" s="5"/>
      <c r="N1385" s="5"/>
    </row>
    <row r="1386" spans="1:14" ht="22.5" customHeight="1" x14ac:dyDescent="0.2">
      <c r="A1386" s="22" t="s">
        <v>2002</v>
      </c>
      <c r="B1386" s="3" t="s">
        <v>34</v>
      </c>
      <c r="C1386" s="3" t="s">
        <v>1216</v>
      </c>
      <c r="D1386" s="14" t="s">
        <v>3128</v>
      </c>
      <c r="E1386" s="3" t="s">
        <v>1963</v>
      </c>
      <c r="F1386" s="9">
        <v>45372</v>
      </c>
      <c r="G1386" s="5" t="s">
        <v>2095</v>
      </c>
      <c r="H1386" s="5"/>
      <c r="I1386" s="5"/>
      <c r="J1386" s="5"/>
      <c r="K1386" s="5"/>
      <c r="L1386" s="5"/>
      <c r="M1386" s="5"/>
      <c r="N1386" s="5"/>
    </row>
    <row r="1387" spans="1:14" ht="22.5" customHeight="1" x14ac:dyDescent="0.2">
      <c r="A1387" s="22" t="s">
        <v>2003</v>
      </c>
      <c r="B1387" s="3" t="s">
        <v>34</v>
      </c>
      <c r="C1387" s="3" t="s">
        <v>1216</v>
      </c>
      <c r="D1387" s="14" t="s">
        <v>3129</v>
      </c>
      <c r="E1387" s="3" t="s">
        <v>1963</v>
      </c>
      <c r="F1387" s="9">
        <v>45372</v>
      </c>
      <c r="G1387" s="5" t="s">
        <v>2095</v>
      </c>
      <c r="H1387" s="5"/>
      <c r="I1387" s="5"/>
      <c r="J1387" s="5"/>
      <c r="K1387" s="5"/>
      <c r="L1387" s="5"/>
      <c r="M1387" s="5"/>
      <c r="N1387" s="5"/>
    </row>
    <row r="1388" spans="1:14" ht="22.5" customHeight="1" x14ac:dyDescent="0.2">
      <c r="A1388" s="22" t="s">
        <v>2004</v>
      </c>
      <c r="B1388" s="3" t="s">
        <v>34</v>
      </c>
      <c r="C1388" s="3" t="s">
        <v>1216</v>
      </c>
      <c r="D1388" s="14" t="s">
        <v>2870</v>
      </c>
      <c r="E1388" s="3" t="s">
        <v>2005</v>
      </c>
      <c r="F1388" s="9">
        <v>45372</v>
      </c>
      <c r="G1388" s="5" t="s">
        <v>37</v>
      </c>
      <c r="H1388" s="5"/>
      <c r="I1388" s="5"/>
      <c r="J1388" s="5"/>
      <c r="K1388" s="5"/>
      <c r="L1388" s="5"/>
      <c r="M1388" s="5"/>
      <c r="N1388" s="5"/>
    </row>
    <row r="1389" spans="1:14" ht="22.5" customHeight="1" x14ac:dyDescent="0.2">
      <c r="A1389" s="22" t="s">
        <v>2006</v>
      </c>
      <c r="B1389" s="3" t="s">
        <v>34</v>
      </c>
      <c r="C1389" s="3" t="s">
        <v>1216</v>
      </c>
      <c r="D1389" s="14" t="s">
        <v>2872</v>
      </c>
      <c r="E1389" s="3" t="s">
        <v>2005</v>
      </c>
      <c r="F1389" s="9">
        <v>45372</v>
      </c>
      <c r="G1389" s="5" t="s">
        <v>37</v>
      </c>
      <c r="H1389" s="5"/>
      <c r="I1389" s="5"/>
      <c r="J1389" s="5"/>
      <c r="K1389" s="5"/>
      <c r="L1389" s="5"/>
      <c r="M1389" s="5"/>
      <c r="N1389" s="5"/>
    </row>
    <row r="1390" spans="1:14" ht="22.5" customHeight="1" x14ac:dyDescent="0.2">
      <c r="A1390" s="22" t="s">
        <v>2007</v>
      </c>
      <c r="B1390" s="3" t="s">
        <v>34</v>
      </c>
      <c r="C1390" s="3" t="s">
        <v>1216</v>
      </c>
      <c r="D1390" s="14" t="s">
        <v>2874</v>
      </c>
      <c r="E1390" s="3" t="s">
        <v>2005</v>
      </c>
      <c r="F1390" s="9">
        <v>45372</v>
      </c>
      <c r="G1390" s="5" t="s">
        <v>37</v>
      </c>
      <c r="H1390" s="5"/>
      <c r="I1390" s="5"/>
      <c r="J1390" s="5"/>
      <c r="K1390" s="5"/>
      <c r="L1390" s="5"/>
      <c r="M1390" s="5"/>
      <c r="N1390" s="5"/>
    </row>
    <row r="1391" spans="1:14" ht="22.5" customHeight="1" x14ac:dyDescent="0.2">
      <c r="A1391" s="22" t="s">
        <v>2008</v>
      </c>
      <c r="B1391" s="3" t="s">
        <v>34</v>
      </c>
      <c r="C1391" s="3" t="s">
        <v>1216</v>
      </c>
      <c r="D1391" s="14" t="s">
        <v>2868</v>
      </c>
      <c r="E1391" s="3" t="s">
        <v>2005</v>
      </c>
      <c r="F1391" s="9">
        <v>45372</v>
      </c>
      <c r="G1391" s="5" t="s">
        <v>37</v>
      </c>
      <c r="H1391" s="5"/>
      <c r="I1391" s="5"/>
      <c r="J1391" s="5"/>
      <c r="K1391" s="5"/>
      <c r="L1391" s="5"/>
      <c r="M1391" s="5"/>
      <c r="N1391" s="5"/>
    </row>
    <row r="1392" spans="1:14" ht="22.5" customHeight="1" x14ac:dyDescent="0.2">
      <c r="A1392" s="22" t="s">
        <v>2009</v>
      </c>
      <c r="B1392" s="3" t="s">
        <v>34</v>
      </c>
      <c r="C1392" s="3" t="s">
        <v>1216</v>
      </c>
      <c r="D1392" s="14" t="s">
        <v>3069</v>
      </c>
      <c r="E1392" s="3" t="s">
        <v>1783</v>
      </c>
      <c r="F1392" s="9">
        <v>45366</v>
      </c>
      <c r="G1392" s="5" t="s">
        <v>37</v>
      </c>
      <c r="H1392" s="5"/>
      <c r="I1392" s="5"/>
      <c r="J1392" s="5"/>
      <c r="K1392" s="5"/>
      <c r="L1392" s="5"/>
      <c r="M1392" s="5"/>
      <c r="N1392" s="5"/>
    </row>
    <row r="1393" spans="1:14" ht="22.5" customHeight="1" x14ac:dyDescent="0.2">
      <c r="A1393" s="22" t="s">
        <v>2010</v>
      </c>
      <c r="B1393" s="3" t="s">
        <v>34</v>
      </c>
      <c r="C1393" s="3" t="s">
        <v>1216</v>
      </c>
      <c r="D1393" s="14" t="s">
        <v>3069</v>
      </c>
      <c r="E1393" s="3" t="s">
        <v>1783</v>
      </c>
      <c r="F1393" s="9">
        <v>45366</v>
      </c>
      <c r="G1393" s="5" t="s">
        <v>2095</v>
      </c>
      <c r="H1393" s="5"/>
      <c r="I1393" s="5"/>
      <c r="J1393" s="5"/>
      <c r="K1393" s="5"/>
      <c r="L1393" s="5"/>
      <c r="M1393" s="5"/>
      <c r="N1393" s="5"/>
    </row>
    <row r="1394" spans="1:14" ht="22.5" customHeight="1" x14ac:dyDescent="0.2">
      <c r="A1394" s="22" t="s">
        <v>2013</v>
      </c>
      <c r="B1394" s="3" t="s">
        <v>34</v>
      </c>
      <c r="C1394" s="3" t="s">
        <v>1216</v>
      </c>
      <c r="D1394" s="14" t="s">
        <v>3057</v>
      </c>
      <c r="E1394" s="3" t="s">
        <v>739</v>
      </c>
      <c r="F1394" s="9">
        <v>45364</v>
      </c>
      <c r="G1394" s="5" t="s">
        <v>2095</v>
      </c>
      <c r="H1394" s="5"/>
      <c r="I1394" s="5"/>
      <c r="J1394" s="5"/>
      <c r="K1394" s="5"/>
      <c r="L1394" s="5"/>
      <c r="M1394" s="5"/>
      <c r="N1394" s="5"/>
    </row>
    <row r="1395" spans="1:14" ht="22.5" customHeight="1" x14ac:dyDescent="0.2">
      <c r="A1395" s="22" t="s">
        <v>2015</v>
      </c>
      <c r="B1395" s="3" t="s">
        <v>34</v>
      </c>
      <c r="C1395" s="3" t="s">
        <v>1216</v>
      </c>
      <c r="D1395" s="14" t="s">
        <v>3059</v>
      </c>
      <c r="E1395" s="3" t="s">
        <v>739</v>
      </c>
      <c r="F1395" s="9">
        <v>45364</v>
      </c>
      <c r="G1395" s="5" t="s">
        <v>2095</v>
      </c>
      <c r="H1395" s="5"/>
      <c r="I1395" s="5"/>
      <c r="J1395" s="5"/>
      <c r="K1395" s="5"/>
      <c r="L1395" s="5"/>
      <c r="M1395" s="5"/>
      <c r="N1395" s="5"/>
    </row>
    <row r="1396" spans="1:14" ht="22.5" customHeight="1" x14ac:dyDescent="0.2">
      <c r="A1396" s="22" t="s">
        <v>2017</v>
      </c>
      <c r="B1396" s="3" t="s">
        <v>34</v>
      </c>
      <c r="C1396" s="3" t="s">
        <v>1216</v>
      </c>
      <c r="D1396" s="14" t="s">
        <v>3116</v>
      </c>
      <c r="E1396" s="3" t="s">
        <v>739</v>
      </c>
      <c r="F1396" s="9">
        <v>45363</v>
      </c>
      <c r="G1396" s="5" t="s">
        <v>2095</v>
      </c>
      <c r="H1396" s="5"/>
      <c r="I1396" s="5"/>
      <c r="J1396" s="5"/>
      <c r="K1396" s="5"/>
      <c r="L1396" s="5"/>
      <c r="M1396" s="5"/>
      <c r="N1396" s="5"/>
    </row>
    <row r="1397" spans="1:14" ht="22.5" customHeight="1" x14ac:dyDescent="0.2">
      <c r="A1397" s="22" t="s">
        <v>2019</v>
      </c>
      <c r="B1397" s="3" t="s">
        <v>34</v>
      </c>
      <c r="C1397" s="3" t="s">
        <v>1216</v>
      </c>
      <c r="D1397" s="14" t="s">
        <v>2492</v>
      </c>
      <c r="E1397" s="3" t="s">
        <v>739</v>
      </c>
      <c r="F1397" s="9">
        <v>45363</v>
      </c>
      <c r="G1397" s="5" t="s">
        <v>2095</v>
      </c>
      <c r="H1397" s="5"/>
      <c r="I1397" s="5"/>
      <c r="J1397" s="5"/>
      <c r="K1397" s="5"/>
      <c r="L1397" s="5"/>
      <c r="M1397" s="5"/>
      <c r="N1397" s="5"/>
    </row>
    <row r="1398" spans="1:14" ht="22.5" customHeight="1" x14ac:dyDescent="0.2">
      <c r="A1398" s="22" t="s">
        <v>2021</v>
      </c>
      <c r="B1398" s="3" t="s">
        <v>34</v>
      </c>
      <c r="C1398" s="3" t="s">
        <v>1216</v>
      </c>
      <c r="D1398" s="14" t="s">
        <v>3130</v>
      </c>
      <c r="E1398" s="3" t="s">
        <v>737</v>
      </c>
      <c r="F1398" s="9">
        <v>45363</v>
      </c>
      <c r="G1398" s="5" t="s">
        <v>2095</v>
      </c>
      <c r="H1398" s="5"/>
      <c r="I1398" s="5"/>
      <c r="J1398" s="5"/>
      <c r="K1398" s="5"/>
      <c r="L1398" s="5"/>
      <c r="M1398" s="5"/>
      <c r="N1398" s="5"/>
    </row>
    <row r="1399" spans="1:14" ht="22.5" customHeight="1" x14ac:dyDescent="0.2">
      <c r="A1399" s="22" t="s">
        <v>2024</v>
      </c>
      <c r="B1399" s="3" t="s">
        <v>34</v>
      </c>
      <c r="C1399" s="3" t="s">
        <v>1216</v>
      </c>
      <c r="D1399" s="14" t="s">
        <v>3060</v>
      </c>
      <c r="E1399" s="3" t="s">
        <v>737</v>
      </c>
      <c r="F1399" s="9">
        <v>45363</v>
      </c>
      <c r="G1399" s="5" t="s">
        <v>2095</v>
      </c>
      <c r="H1399" s="5"/>
      <c r="I1399" s="5"/>
      <c r="J1399" s="5"/>
      <c r="K1399" s="5"/>
      <c r="L1399" s="5"/>
      <c r="M1399" s="5"/>
      <c r="N1399" s="5"/>
    </row>
    <row r="1400" spans="1:14" ht="22.5" customHeight="1" x14ac:dyDescent="0.2">
      <c r="A1400" s="22" t="s">
        <v>2026</v>
      </c>
      <c r="B1400" s="3" t="s">
        <v>34</v>
      </c>
      <c r="C1400" s="3" t="s">
        <v>1216</v>
      </c>
      <c r="D1400" s="14" t="s">
        <v>2474</v>
      </c>
      <c r="E1400" s="3" t="s">
        <v>737</v>
      </c>
      <c r="F1400" s="9">
        <v>45362</v>
      </c>
      <c r="G1400" s="5" t="s">
        <v>2095</v>
      </c>
      <c r="H1400" s="5"/>
      <c r="I1400" s="5"/>
      <c r="J1400" s="5"/>
      <c r="K1400" s="5"/>
      <c r="L1400" s="5"/>
      <c r="M1400" s="5"/>
      <c r="N1400" s="5"/>
    </row>
    <row r="1401" spans="1:14" ht="22.5" customHeight="1" x14ac:dyDescent="0.2">
      <c r="A1401" s="22" t="s">
        <v>2028</v>
      </c>
      <c r="B1401" s="3" t="s">
        <v>34</v>
      </c>
      <c r="C1401" s="3" t="s">
        <v>1216</v>
      </c>
      <c r="D1401" s="14" t="s">
        <v>3126</v>
      </c>
      <c r="E1401" s="3" t="s">
        <v>1963</v>
      </c>
      <c r="F1401" s="9">
        <v>45356</v>
      </c>
      <c r="G1401" s="5" t="s">
        <v>2095</v>
      </c>
      <c r="H1401" s="5"/>
      <c r="I1401" s="5"/>
      <c r="J1401" s="5"/>
      <c r="K1401" s="5"/>
      <c r="L1401" s="5"/>
      <c r="M1401" s="5"/>
      <c r="N1401" s="5"/>
    </row>
    <row r="1402" spans="1:14" ht="22.5" customHeight="1" x14ac:dyDescent="0.2">
      <c r="A1402" s="22" t="s">
        <v>2029</v>
      </c>
      <c r="B1402" s="3" t="s">
        <v>34</v>
      </c>
      <c r="C1402" s="3" t="s">
        <v>1216</v>
      </c>
      <c r="D1402" s="14" t="s">
        <v>2868</v>
      </c>
      <c r="E1402" s="3" t="s">
        <v>2005</v>
      </c>
      <c r="F1402" s="9">
        <v>45336</v>
      </c>
      <c r="G1402" s="5" t="s">
        <v>37</v>
      </c>
      <c r="H1402" s="5"/>
      <c r="I1402" s="5"/>
      <c r="J1402" s="5"/>
      <c r="K1402" s="5"/>
      <c r="L1402" s="5"/>
      <c r="M1402" s="5"/>
      <c r="N1402" s="5"/>
    </row>
    <row r="1403" spans="1:14" ht="22.5" customHeight="1" x14ac:dyDescent="0.2">
      <c r="A1403" s="22" t="s">
        <v>2030</v>
      </c>
      <c r="B1403" s="3" t="s">
        <v>34</v>
      </c>
      <c r="C1403" s="3" t="s">
        <v>1216</v>
      </c>
      <c r="D1403" s="14" t="s">
        <v>2878</v>
      </c>
      <c r="E1403" s="3" t="s">
        <v>2005</v>
      </c>
      <c r="F1403" s="9">
        <v>45324</v>
      </c>
      <c r="G1403" s="5" t="s">
        <v>2095</v>
      </c>
      <c r="H1403" s="5"/>
      <c r="I1403" s="5"/>
      <c r="J1403" s="5"/>
      <c r="K1403" s="5"/>
      <c r="L1403" s="5"/>
      <c r="M1403" s="5"/>
      <c r="N1403" s="5"/>
    </row>
    <row r="1404" spans="1:14" ht="22.5" customHeight="1" x14ac:dyDescent="0.2">
      <c r="A1404" s="22" t="s">
        <v>3131</v>
      </c>
      <c r="B1404" s="3" t="s">
        <v>34</v>
      </c>
      <c r="C1404" s="3" t="s">
        <v>1216</v>
      </c>
      <c r="D1404" s="14" t="s">
        <v>3123</v>
      </c>
      <c r="E1404" s="3" t="s">
        <v>1985</v>
      </c>
      <c r="F1404" s="9">
        <v>45246</v>
      </c>
      <c r="G1404" s="5" t="s">
        <v>2095</v>
      </c>
      <c r="H1404" s="5"/>
      <c r="I1404" s="5"/>
      <c r="J1404" s="5"/>
      <c r="K1404" s="5"/>
      <c r="L1404" s="5"/>
      <c r="M1404" s="5"/>
      <c r="N1404" s="5"/>
    </row>
    <row r="1405" spans="1:14" ht="22.5" customHeight="1" x14ac:dyDescent="0.2">
      <c r="A1405" s="18" t="s">
        <v>3132</v>
      </c>
      <c r="B1405" s="7" t="s">
        <v>34</v>
      </c>
      <c r="C1405" s="7" t="s">
        <v>1216</v>
      </c>
      <c r="D1405" s="18" t="s">
        <v>2878</v>
      </c>
      <c r="E1405" s="7" t="s">
        <v>2005</v>
      </c>
      <c r="F1405" s="23">
        <v>45244</v>
      </c>
      <c r="G1405" s="7" t="s">
        <v>2095</v>
      </c>
      <c r="H1405" s="5"/>
      <c r="I1405" s="5"/>
      <c r="J1405" s="5"/>
      <c r="K1405" s="5"/>
      <c r="L1405" s="5"/>
      <c r="M1405" s="5"/>
      <c r="N1405" s="5"/>
    </row>
    <row r="1406" spans="1:14" ht="22.5" customHeight="1" x14ac:dyDescent="0.2">
      <c r="A1406" s="18" t="s">
        <v>3133</v>
      </c>
      <c r="B1406" s="7" t="s">
        <v>34</v>
      </c>
      <c r="C1406" s="7" t="s">
        <v>1216</v>
      </c>
      <c r="D1406" s="18" t="s">
        <v>2870</v>
      </c>
      <c r="E1406" s="7" t="s">
        <v>2005</v>
      </c>
      <c r="F1406" s="23">
        <v>45244</v>
      </c>
      <c r="G1406" s="7" t="s">
        <v>2095</v>
      </c>
      <c r="H1406" s="5"/>
      <c r="I1406" s="5"/>
      <c r="J1406" s="5"/>
      <c r="K1406" s="5"/>
      <c r="L1406" s="5"/>
      <c r="M1406" s="5"/>
      <c r="N1406" s="5"/>
    </row>
    <row r="1407" spans="1:14" ht="22.5" customHeight="1" x14ac:dyDescent="0.2">
      <c r="A1407" s="18" t="s">
        <v>3134</v>
      </c>
      <c r="B1407" s="7" t="s">
        <v>34</v>
      </c>
      <c r="C1407" s="7" t="s">
        <v>1216</v>
      </c>
      <c r="D1407" s="18" t="s">
        <v>2874</v>
      </c>
      <c r="E1407" s="7" t="s">
        <v>2005</v>
      </c>
      <c r="F1407" s="23">
        <v>45244</v>
      </c>
      <c r="G1407" s="7" t="s">
        <v>2095</v>
      </c>
      <c r="H1407" s="5"/>
      <c r="I1407" s="5"/>
      <c r="J1407" s="5"/>
      <c r="K1407" s="5"/>
      <c r="L1407" s="5"/>
      <c r="M1407" s="5"/>
      <c r="N1407" s="5"/>
    </row>
    <row r="1408" spans="1:14" ht="22.5" customHeight="1" x14ac:dyDescent="0.2">
      <c r="A1408" s="18" t="s">
        <v>3135</v>
      </c>
      <c r="B1408" s="7" t="s">
        <v>34</v>
      </c>
      <c r="C1408" s="7" t="s">
        <v>1216</v>
      </c>
      <c r="D1408" s="18" t="s">
        <v>2868</v>
      </c>
      <c r="E1408" s="7" t="s">
        <v>2005</v>
      </c>
      <c r="F1408" s="24">
        <v>45244</v>
      </c>
      <c r="G1408" s="7" t="s">
        <v>2095</v>
      </c>
      <c r="H1408" s="5"/>
      <c r="I1408" s="5"/>
      <c r="J1408" s="5"/>
      <c r="K1408" s="5"/>
      <c r="L1408" s="5"/>
      <c r="M1408" s="5"/>
      <c r="N1408" s="5"/>
    </row>
    <row r="1409" spans="1:14" ht="22.5" customHeight="1" x14ac:dyDescent="0.2">
      <c r="A1409" s="18" t="s">
        <v>3136</v>
      </c>
      <c r="B1409" s="7" t="s">
        <v>34</v>
      </c>
      <c r="C1409" s="7" t="s">
        <v>1216</v>
      </c>
      <c r="D1409" s="18" t="s">
        <v>2872</v>
      </c>
      <c r="E1409" s="7" t="s">
        <v>2005</v>
      </c>
      <c r="F1409" s="24">
        <v>45244</v>
      </c>
      <c r="G1409" s="7" t="s">
        <v>2095</v>
      </c>
      <c r="H1409" s="5"/>
      <c r="I1409" s="5"/>
      <c r="J1409" s="5"/>
      <c r="K1409" s="5"/>
      <c r="L1409" s="5"/>
      <c r="M1409" s="5"/>
      <c r="N1409" s="5"/>
    </row>
    <row r="1410" spans="1:14" ht="22.5" customHeight="1" x14ac:dyDescent="0.2">
      <c r="A1410" s="18" t="s">
        <v>3137</v>
      </c>
      <c r="B1410" s="7" t="s">
        <v>34</v>
      </c>
      <c r="C1410" s="7" t="s">
        <v>1216</v>
      </c>
      <c r="D1410" s="18" t="s">
        <v>2878</v>
      </c>
      <c r="E1410" s="7" t="s">
        <v>2005</v>
      </c>
      <c r="F1410" s="23">
        <v>45239</v>
      </c>
      <c r="G1410" s="7" t="s">
        <v>2095</v>
      </c>
      <c r="H1410" s="5"/>
      <c r="I1410" s="5"/>
      <c r="J1410" s="5"/>
      <c r="K1410" s="5"/>
      <c r="L1410" s="5"/>
      <c r="M1410" s="5"/>
      <c r="N1410" s="5"/>
    </row>
    <row r="1411" spans="1:14" ht="22.5" customHeight="1" x14ac:dyDescent="0.2">
      <c r="A1411" s="18" t="s">
        <v>3138</v>
      </c>
      <c r="B1411" s="7" t="s">
        <v>34</v>
      </c>
      <c r="C1411" s="7" t="s">
        <v>1216</v>
      </c>
      <c r="D1411" s="18" t="s">
        <v>3139</v>
      </c>
      <c r="E1411" s="7" t="s">
        <v>3140</v>
      </c>
      <c r="F1411" s="23">
        <v>45237</v>
      </c>
      <c r="G1411" s="7" t="s">
        <v>37</v>
      </c>
      <c r="H1411" s="5"/>
      <c r="I1411" s="5"/>
      <c r="J1411" s="5"/>
      <c r="K1411" s="5"/>
      <c r="L1411" s="5"/>
      <c r="M1411" s="5"/>
      <c r="N1411" s="5"/>
    </row>
    <row r="1412" spans="1:14" ht="22.5" customHeight="1" x14ac:dyDescent="0.2">
      <c r="A1412" s="18" t="s">
        <v>3141</v>
      </c>
      <c r="B1412" s="7" t="s">
        <v>34</v>
      </c>
      <c r="C1412" s="7" t="s">
        <v>1216</v>
      </c>
      <c r="D1412" s="18" t="s">
        <v>2876</v>
      </c>
      <c r="E1412" s="7" t="s">
        <v>2005</v>
      </c>
      <c r="F1412" s="24">
        <v>45225</v>
      </c>
      <c r="G1412" s="7" t="s">
        <v>37</v>
      </c>
      <c r="H1412" s="5"/>
      <c r="I1412" s="5"/>
      <c r="J1412" s="5"/>
      <c r="K1412" s="5"/>
      <c r="L1412" s="5"/>
      <c r="M1412" s="5"/>
      <c r="N1412" s="5"/>
    </row>
    <row r="1413" spans="1:14" ht="22.5" customHeight="1" x14ac:dyDescent="0.2">
      <c r="A1413" s="18" t="s">
        <v>3142</v>
      </c>
      <c r="B1413" s="7" t="s">
        <v>34</v>
      </c>
      <c r="C1413" s="7" t="s">
        <v>1216</v>
      </c>
      <c r="D1413" s="18" t="s">
        <v>2874</v>
      </c>
      <c r="E1413" s="7" t="s">
        <v>2005</v>
      </c>
      <c r="F1413" s="24">
        <v>45225</v>
      </c>
      <c r="G1413" s="7" t="s">
        <v>2095</v>
      </c>
      <c r="H1413" s="5"/>
      <c r="I1413" s="5"/>
      <c r="J1413" s="5"/>
      <c r="K1413" s="5"/>
      <c r="L1413" s="5"/>
      <c r="M1413" s="5"/>
      <c r="N1413" s="5"/>
    </row>
    <row r="1414" spans="1:14" ht="22.5" customHeight="1" x14ac:dyDescent="0.2">
      <c r="A1414" s="18" t="s">
        <v>3143</v>
      </c>
      <c r="B1414" s="7" t="s">
        <v>34</v>
      </c>
      <c r="C1414" s="7" t="s">
        <v>1216</v>
      </c>
      <c r="D1414" s="18" t="s">
        <v>2868</v>
      </c>
      <c r="E1414" s="7" t="s">
        <v>2005</v>
      </c>
      <c r="F1414" s="24">
        <v>45225</v>
      </c>
      <c r="G1414" s="7" t="s">
        <v>2095</v>
      </c>
      <c r="H1414" s="5"/>
      <c r="I1414" s="5"/>
      <c r="J1414" s="5"/>
      <c r="K1414" s="5"/>
      <c r="L1414" s="5"/>
      <c r="M1414" s="5"/>
      <c r="N1414" s="5"/>
    </row>
    <row r="1415" spans="1:14" ht="22.5" customHeight="1" x14ac:dyDescent="0.2">
      <c r="A1415" s="18" t="s">
        <v>3144</v>
      </c>
      <c r="B1415" s="7" t="s">
        <v>34</v>
      </c>
      <c r="C1415" s="7" t="s">
        <v>1216</v>
      </c>
      <c r="D1415" s="18" t="s">
        <v>2872</v>
      </c>
      <c r="E1415" s="7" t="s">
        <v>2005</v>
      </c>
      <c r="F1415" s="24">
        <v>45225</v>
      </c>
      <c r="G1415" s="7" t="s">
        <v>2095</v>
      </c>
      <c r="H1415" s="5"/>
      <c r="I1415" s="5"/>
      <c r="J1415" s="5"/>
      <c r="K1415" s="5"/>
      <c r="L1415" s="5"/>
      <c r="M1415" s="5"/>
      <c r="N1415" s="5"/>
    </row>
    <row r="1416" spans="1:14" ht="22.5" customHeight="1" x14ac:dyDescent="0.2">
      <c r="A1416" s="18" t="s">
        <v>3145</v>
      </c>
      <c r="B1416" s="7" t="s">
        <v>34</v>
      </c>
      <c r="C1416" s="7" t="s">
        <v>1216</v>
      </c>
      <c r="D1416" s="18" t="s">
        <v>3109</v>
      </c>
      <c r="E1416" s="7" t="s">
        <v>1954</v>
      </c>
      <c r="F1416" s="24">
        <v>45224</v>
      </c>
      <c r="G1416" s="7" t="s">
        <v>2095</v>
      </c>
      <c r="H1416" s="5"/>
      <c r="I1416" s="5"/>
      <c r="J1416" s="5"/>
      <c r="K1416" s="5"/>
      <c r="L1416" s="5"/>
      <c r="M1416" s="5"/>
      <c r="N1416" s="5"/>
    </row>
    <row r="1417" spans="1:14" ht="22.5" customHeight="1" x14ac:dyDescent="0.2">
      <c r="A1417" s="18" t="s">
        <v>3146</v>
      </c>
      <c r="B1417" s="7" t="s">
        <v>34</v>
      </c>
      <c r="C1417" s="7" t="s">
        <v>1216</v>
      </c>
      <c r="D1417" s="18" t="s">
        <v>3147</v>
      </c>
      <c r="E1417" s="7" t="s">
        <v>3148</v>
      </c>
      <c r="F1417" s="24">
        <v>45217</v>
      </c>
      <c r="G1417" s="7" t="s">
        <v>2095</v>
      </c>
      <c r="H1417" s="5"/>
      <c r="I1417" s="5"/>
      <c r="J1417" s="5"/>
      <c r="K1417" s="5"/>
      <c r="L1417" s="5"/>
      <c r="M1417" s="5"/>
      <c r="N1417" s="5"/>
    </row>
    <row r="1418" spans="1:14" ht="22.5" customHeight="1" x14ac:dyDescent="0.2">
      <c r="A1418" s="18" t="s">
        <v>3149</v>
      </c>
      <c r="B1418" s="7" t="s">
        <v>34</v>
      </c>
      <c r="C1418" s="7" t="s">
        <v>1216</v>
      </c>
      <c r="D1418" s="18" t="s">
        <v>3150</v>
      </c>
      <c r="E1418" s="7" t="s">
        <v>3151</v>
      </c>
      <c r="F1418" s="24">
        <v>45210</v>
      </c>
      <c r="G1418" s="7" t="s">
        <v>2095</v>
      </c>
      <c r="H1418" s="5"/>
      <c r="I1418" s="5"/>
      <c r="J1418" s="5"/>
      <c r="K1418" s="5"/>
      <c r="L1418" s="5"/>
      <c r="M1418" s="5"/>
      <c r="N1418" s="5"/>
    </row>
    <row r="1419" spans="1:14" ht="22.5" customHeight="1" x14ac:dyDescent="0.2">
      <c r="A1419" s="18" t="s">
        <v>3152</v>
      </c>
      <c r="B1419" s="7" t="s">
        <v>34</v>
      </c>
      <c r="C1419" s="7" t="s">
        <v>1216</v>
      </c>
      <c r="D1419" s="18" t="s">
        <v>3113</v>
      </c>
      <c r="E1419" s="7" t="s">
        <v>1963</v>
      </c>
      <c r="F1419" s="23">
        <v>45195</v>
      </c>
      <c r="G1419" s="7" t="s">
        <v>2095</v>
      </c>
      <c r="H1419" s="5"/>
      <c r="I1419" s="5"/>
      <c r="J1419" s="5"/>
      <c r="K1419" s="5"/>
      <c r="L1419" s="5"/>
      <c r="M1419" s="5"/>
      <c r="N1419" s="5"/>
    </row>
    <row r="1420" spans="1:14" ht="22.5" customHeight="1" x14ac:dyDescent="0.2">
      <c r="A1420" s="18" t="s">
        <v>3153</v>
      </c>
      <c r="B1420" s="7" t="s">
        <v>34</v>
      </c>
      <c r="C1420" s="7" t="s">
        <v>1216</v>
      </c>
      <c r="D1420" s="18" t="s">
        <v>3128</v>
      </c>
      <c r="E1420" s="7" t="s">
        <v>1963</v>
      </c>
      <c r="F1420" s="23">
        <v>45195</v>
      </c>
      <c r="G1420" s="7" t="s">
        <v>2095</v>
      </c>
      <c r="H1420" s="5"/>
      <c r="I1420" s="5"/>
      <c r="J1420" s="5"/>
      <c r="K1420" s="5"/>
      <c r="L1420" s="5"/>
      <c r="M1420" s="5"/>
      <c r="N1420" s="5"/>
    </row>
    <row r="1421" spans="1:14" ht="22.5" customHeight="1" x14ac:dyDescent="0.2">
      <c r="A1421" s="18" t="s">
        <v>3154</v>
      </c>
      <c r="B1421" s="7" t="s">
        <v>34</v>
      </c>
      <c r="C1421" s="7" t="s">
        <v>1216</v>
      </c>
      <c r="D1421" s="18" t="s">
        <v>3129</v>
      </c>
      <c r="E1421" s="7" t="s">
        <v>1963</v>
      </c>
      <c r="F1421" s="23">
        <v>45195</v>
      </c>
      <c r="G1421" s="7" t="s">
        <v>2095</v>
      </c>
      <c r="H1421" s="5"/>
      <c r="I1421" s="5"/>
      <c r="J1421" s="5"/>
      <c r="K1421" s="5"/>
      <c r="L1421" s="5"/>
      <c r="M1421" s="5"/>
      <c r="N1421" s="5"/>
    </row>
    <row r="1422" spans="1:14" ht="22.5" customHeight="1" x14ac:dyDescent="0.2">
      <c r="A1422" s="18" t="s">
        <v>3155</v>
      </c>
      <c r="B1422" s="7" t="s">
        <v>34</v>
      </c>
      <c r="C1422" s="7" t="s">
        <v>1216</v>
      </c>
      <c r="D1422" s="18" t="s">
        <v>2868</v>
      </c>
      <c r="E1422" s="7" t="s">
        <v>2005</v>
      </c>
      <c r="F1422" s="23">
        <v>45193</v>
      </c>
      <c r="G1422" s="7" t="s">
        <v>2095</v>
      </c>
      <c r="H1422" s="5"/>
      <c r="I1422" s="5"/>
      <c r="J1422" s="5"/>
      <c r="K1422" s="5"/>
      <c r="L1422" s="5"/>
      <c r="M1422" s="5"/>
      <c r="N1422" s="5"/>
    </row>
    <row r="1423" spans="1:14" ht="22.5" customHeight="1" x14ac:dyDescent="0.2">
      <c r="A1423" s="18" t="s">
        <v>3156</v>
      </c>
      <c r="B1423" s="7" t="s">
        <v>34</v>
      </c>
      <c r="C1423" s="7" t="s">
        <v>1216</v>
      </c>
      <c r="D1423" s="18" t="s">
        <v>2870</v>
      </c>
      <c r="E1423" s="7" t="s">
        <v>2005</v>
      </c>
      <c r="F1423" s="23">
        <v>45193</v>
      </c>
      <c r="G1423" s="7" t="s">
        <v>2095</v>
      </c>
      <c r="H1423" s="5"/>
      <c r="I1423" s="5"/>
      <c r="J1423" s="5"/>
      <c r="K1423" s="5"/>
      <c r="L1423" s="5"/>
      <c r="M1423" s="5"/>
      <c r="N1423" s="5"/>
    </row>
    <row r="1424" spans="1:14" ht="22.5" customHeight="1" x14ac:dyDescent="0.2">
      <c r="A1424" s="18" t="s">
        <v>3157</v>
      </c>
      <c r="B1424" s="7" t="s">
        <v>34</v>
      </c>
      <c r="C1424" s="7" t="s">
        <v>1216</v>
      </c>
      <c r="D1424" s="18" t="s">
        <v>2874</v>
      </c>
      <c r="E1424" s="7" t="s">
        <v>2005</v>
      </c>
      <c r="F1424" s="23">
        <v>45193</v>
      </c>
      <c r="G1424" s="7" t="s">
        <v>2095</v>
      </c>
      <c r="H1424" s="5"/>
      <c r="I1424" s="5"/>
      <c r="J1424" s="5"/>
      <c r="K1424" s="5"/>
      <c r="L1424" s="5"/>
      <c r="M1424" s="5"/>
      <c r="N1424" s="5"/>
    </row>
    <row r="1425" spans="1:14" ht="22.5" customHeight="1" x14ac:dyDescent="0.2">
      <c r="A1425" s="18" t="s">
        <v>3158</v>
      </c>
      <c r="B1425" s="7" t="s">
        <v>34</v>
      </c>
      <c r="C1425" s="7" t="s">
        <v>1216</v>
      </c>
      <c r="D1425" s="18" t="s">
        <v>2872</v>
      </c>
      <c r="E1425" s="7" t="s">
        <v>2005</v>
      </c>
      <c r="F1425" s="23">
        <v>45193</v>
      </c>
      <c r="G1425" s="7" t="s">
        <v>2095</v>
      </c>
      <c r="H1425" s="5"/>
      <c r="I1425" s="5"/>
      <c r="J1425" s="5"/>
      <c r="K1425" s="5"/>
      <c r="L1425" s="5"/>
      <c r="M1425" s="5"/>
      <c r="N1425" s="5"/>
    </row>
    <row r="1426" spans="1:14" ht="22.5" customHeight="1" x14ac:dyDescent="0.2">
      <c r="A1426" s="18" t="s">
        <v>3159</v>
      </c>
      <c r="B1426" s="7" t="s">
        <v>34</v>
      </c>
      <c r="C1426" s="7" t="s">
        <v>1216</v>
      </c>
      <c r="D1426" s="18" t="s">
        <v>2876</v>
      </c>
      <c r="E1426" s="7" t="s">
        <v>2005</v>
      </c>
      <c r="F1426" s="23">
        <v>45193</v>
      </c>
      <c r="G1426" s="7" t="s">
        <v>2095</v>
      </c>
      <c r="H1426" s="5"/>
      <c r="I1426" s="5"/>
      <c r="J1426" s="5"/>
      <c r="K1426" s="5"/>
      <c r="L1426" s="5"/>
      <c r="M1426" s="5"/>
      <c r="N1426" s="5"/>
    </row>
    <row r="1427" spans="1:14" ht="22.5" customHeight="1" x14ac:dyDescent="0.2">
      <c r="A1427" s="18" t="s">
        <v>3160</v>
      </c>
      <c r="B1427" s="7" t="s">
        <v>34</v>
      </c>
      <c r="C1427" s="7" t="s">
        <v>1216</v>
      </c>
      <c r="D1427" s="18" t="s">
        <v>2878</v>
      </c>
      <c r="E1427" s="7" t="s">
        <v>2005</v>
      </c>
      <c r="F1427" s="23">
        <v>45193</v>
      </c>
      <c r="G1427" s="7" t="s">
        <v>2095</v>
      </c>
      <c r="H1427" s="5"/>
      <c r="I1427" s="5"/>
      <c r="J1427" s="5"/>
      <c r="K1427" s="5"/>
      <c r="L1427" s="5"/>
      <c r="M1427" s="5"/>
      <c r="N1427" s="5"/>
    </row>
    <row r="1428" spans="1:14" ht="22.5" customHeight="1" x14ac:dyDescent="0.2">
      <c r="A1428" s="18" t="s">
        <v>3161</v>
      </c>
      <c r="B1428" s="7" t="s">
        <v>34</v>
      </c>
      <c r="C1428" s="7" t="s">
        <v>1216</v>
      </c>
      <c r="D1428" s="18" t="s">
        <v>2876</v>
      </c>
      <c r="E1428" s="7" t="s">
        <v>2005</v>
      </c>
      <c r="F1428" s="23">
        <v>45167</v>
      </c>
      <c r="G1428" s="7" t="s">
        <v>2095</v>
      </c>
      <c r="H1428" s="5"/>
      <c r="I1428" s="5"/>
      <c r="J1428" s="5"/>
      <c r="K1428" s="5"/>
      <c r="L1428" s="5"/>
      <c r="M1428" s="5"/>
      <c r="N1428" s="5"/>
    </row>
    <row r="1429" spans="1:14" ht="22.5" customHeight="1" x14ac:dyDescent="0.2">
      <c r="A1429" s="18" t="s">
        <v>3162</v>
      </c>
      <c r="B1429" s="7" t="s">
        <v>34</v>
      </c>
      <c r="C1429" s="7" t="s">
        <v>1216</v>
      </c>
      <c r="D1429" s="18" t="s">
        <v>2878</v>
      </c>
      <c r="E1429" s="7" t="s">
        <v>2005</v>
      </c>
      <c r="F1429" s="23">
        <v>45167</v>
      </c>
      <c r="G1429" s="7" t="s">
        <v>2095</v>
      </c>
      <c r="H1429" s="5"/>
      <c r="I1429" s="5"/>
      <c r="J1429" s="5"/>
      <c r="K1429" s="5"/>
      <c r="L1429" s="5"/>
      <c r="M1429" s="5"/>
      <c r="N1429" s="5"/>
    </row>
    <row r="1430" spans="1:14" ht="22.5" customHeight="1" x14ac:dyDescent="0.2">
      <c r="A1430" s="18" t="s">
        <v>3163</v>
      </c>
      <c r="B1430" s="7" t="s">
        <v>34</v>
      </c>
      <c r="C1430" s="7" t="s">
        <v>1216</v>
      </c>
      <c r="D1430" s="18" t="s">
        <v>3164</v>
      </c>
      <c r="E1430" s="7" t="s">
        <v>3165</v>
      </c>
      <c r="F1430" s="23">
        <v>45149</v>
      </c>
      <c r="G1430" s="7" t="s">
        <v>2095</v>
      </c>
      <c r="H1430" s="5"/>
      <c r="I1430" s="5"/>
      <c r="J1430" s="5"/>
      <c r="K1430" s="5"/>
      <c r="L1430" s="5"/>
      <c r="M1430" s="5"/>
      <c r="N1430" s="5"/>
    </row>
    <row r="1431" spans="1:14" ht="22.5" customHeight="1" x14ac:dyDescent="0.2">
      <c r="A1431" s="18" t="s">
        <v>3166</v>
      </c>
      <c r="B1431" s="7" t="s">
        <v>34</v>
      </c>
      <c r="C1431" s="7" t="s">
        <v>1216</v>
      </c>
      <c r="D1431" s="18" t="s">
        <v>2878</v>
      </c>
      <c r="E1431" s="7" t="s">
        <v>2005</v>
      </c>
      <c r="F1431" s="23">
        <v>45132</v>
      </c>
      <c r="G1431" s="7" t="s">
        <v>2095</v>
      </c>
      <c r="H1431" s="5"/>
      <c r="I1431" s="5"/>
      <c r="J1431" s="5"/>
      <c r="K1431" s="5"/>
      <c r="L1431" s="5"/>
      <c r="M1431" s="5"/>
      <c r="N1431" s="5"/>
    </row>
    <row r="1432" spans="1:14" ht="22.5" customHeight="1" x14ac:dyDescent="0.2">
      <c r="A1432" s="18" t="s">
        <v>3167</v>
      </c>
      <c r="B1432" s="7" t="s">
        <v>34</v>
      </c>
      <c r="C1432" s="7" t="s">
        <v>1216</v>
      </c>
      <c r="D1432" s="18" t="s">
        <v>2876</v>
      </c>
      <c r="E1432" s="7" t="s">
        <v>2005</v>
      </c>
      <c r="F1432" s="23">
        <v>45132</v>
      </c>
      <c r="G1432" s="7" t="s">
        <v>2095</v>
      </c>
      <c r="H1432" s="5"/>
      <c r="I1432" s="5"/>
      <c r="J1432" s="5"/>
      <c r="K1432" s="5"/>
      <c r="L1432" s="5"/>
      <c r="M1432" s="5"/>
      <c r="N1432" s="5"/>
    </row>
    <row r="1433" spans="1:14" ht="22.5" customHeight="1" x14ac:dyDescent="0.2">
      <c r="A1433" s="18" t="s">
        <v>3168</v>
      </c>
      <c r="B1433" s="7" t="s">
        <v>34</v>
      </c>
      <c r="C1433" s="7" t="s">
        <v>1216</v>
      </c>
      <c r="D1433" s="18" t="s">
        <v>3169</v>
      </c>
      <c r="E1433" s="7" t="s">
        <v>3170</v>
      </c>
      <c r="F1433" s="23">
        <v>45131</v>
      </c>
      <c r="G1433" s="7" t="s">
        <v>2095</v>
      </c>
      <c r="H1433" s="5"/>
      <c r="I1433" s="5"/>
      <c r="J1433" s="5"/>
      <c r="K1433" s="5"/>
      <c r="L1433" s="5"/>
      <c r="M1433" s="5"/>
      <c r="N1433" s="5"/>
    </row>
    <row r="1434" spans="1:14" ht="22.5" customHeight="1" x14ac:dyDescent="0.2">
      <c r="A1434" s="18" t="s">
        <v>3171</v>
      </c>
      <c r="B1434" s="7" t="s">
        <v>34</v>
      </c>
      <c r="C1434" s="7" t="s">
        <v>1216</v>
      </c>
      <c r="D1434" s="18" t="s">
        <v>2868</v>
      </c>
      <c r="E1434" s="7" t="s">
        <v>2005</v>
      </c>
      <c r="F1434" s="23">
        <v>45127</v>
      </c>
      <c r="G1434" s="7" t="s">
        <v>37</v>
      </c>
      <c r="H1434" s="5"/>
      <c r="I1434" s="5"/>
      <c r="J1434" s="5"/>
      <c r="K1434" s="5"/>
      <c r="L1434" s="5"/>
      <c r="M1434" s="5"/>
      <c r="N1434" s="5"/>
    </row>
    <row r="1435" spans="1:14" ht="22.5" customHeight="1" x14ac:dyDescent="0.2">
      <c r="A1435" s="18" t="s">
        <v>3172</v>
      </c>
      <c r="B1435" s="7" t="s">
        <v>34</v>
      </c>
      <c r="C1435" s="7" t="s">
        <v>1216</v>
      </c>
      <c r="D1435" s="18" t="s">
        <v>3173</v>
      </c>
      <c r="E1435" s="7" t="s">
        <v>3174</v>
      </c>
      <c r="F1435" s="23">
        <v>45126</v>
      </c>
      <c r="G1435" s="7" t="s">
        <v>2095</v>
      </c>
      <c r="H1435" s="5"/>
      <c r="I1435" s="5"/>
      <c r="J1435" s="5"/>
      <c r="K1435" s="5"/>
      <c r="L1435" s="5"/>
      <c r="M1435" s="5"/>
      <c r="N1435" s="5"/>
    </row>
    <row r="1436" spans="1:14" ht="22.5" customHeight="1" x14ac:dyDescent="0.2">
      <c r="A1436" s="18" t="s">
        <v>3175</v>
      </c>
      <c r="B1436" s="7" t="s">
        <v>34</v>
      </c>
      <c r="C1436" s="7" t="s">
        <v>1216</v>
      </c>
      <c r="D1436" s="18" t="s">
        <v>3120</v>
      </c>
      <c r="E1436" s="7" t="s">
        <v>1963</v>
      </c>
      <c r="F1436" s="23">
        <v>45119</v>
      </c>
      <c r="G1436" s="7" t="s">
        <v>2095</v>
      </c>
      <c r="H1436" s="5"/>
      <c r="I1436" s="5"/>
      <c r="J1436" s="5"/>
      <c r="K1436" s="5"/>
      <c r="L1436" s="5"/>
      <c r="M1436" s="5"/>
      <c r="N1436" s="5"/>
    </row>
    <row r="1437" spans="1:14" ht="22.5" customHeight="1" x14ac:dyDescent="0.2">
      <c r="A1437" s="18" t="s">
        <v>3176</v>
      </c>
      <c r="B1437" s="7" t="s">
        <v>34</v>
      </c>
      <c r="C1437" s="7" t="s">
        <v>1216</v>
      </c>
      <c r="D1437" s="18" t="s">
        <v>3126</v>
      </c>
      <c r="E1437" s="7" t="s">
        <v>1963</v>
      </c>
      <c r="F1437" s="23">
        <v>45119</v>
      </c>
      <c r="G1437" s="7" t="s">
        <v>2095</v>
      </c>
      <c r="H1437" s="5"/>
      <c r="I1437" s="5"/>
      <c r="J1437" s="5"/>
      <c r="K1437" s="5"/>
      <c r="L1437" s="5"/>
      <c r="M1437" s="5"/>
      <c r="N1437" s="5"/>
    </row>
    <row r="1438" spans="1:14" ht="22.5" customHeight="1" x14ac:dyDescent="0.2">
      <c r="A1438" s="18" t="s">
        <v>3177</v>
      </c>
      <c r="B1438" s="7" t="s">
        <v>34</v>
      </c>
      <c r="C1438" s="7" t="s">
        <v>1216</v>
      </c>
      <c r="D1438" s="18" t="s">
        <v>3178</v>
      </c>
      <c r="E1438" s="7" t="s">
        <v>1963</v>
      </c>
      <c r="F1438" s="23">
        <v>45119</v>
      </c>
      <c r="G1438" s="7" t="s">
        <v>2095</v>
      </c>
      <c r="H1438" s="5"/>
      <c r="I1438" s="5"/>
      <c r="J1438" s="5"/>
      <c r="K1438" s="5"/>
      <c r="L1438" s="5"/>
      <c r="M1438" s="5"/>
      <c r="N1438" s="5"/>
    </row>
    <row r="1439" spans="1:14" ht="22.5" customHeight="1" x14ac:dyDescent="0.2">
      <c r="A1439" s="18" t="s">
        <v>3179</v>
      </c>
      <c r="B1439" s="7" t="s">
        <v>34</v>
      </c>
      <c r="C1439" s="7" t="s">
        <v>1216</v>
      </c>
      <c r="D1439" s="18" t="s">
        <v>3113</v>
      </c>
      <c r="E1439" s="7" t="s">
        <v>1963</v>
      </c>
      <c r="F1439" s="23">
        <v>45119</v>
      </c>
      <c r="G1439" s="7" t="s">
        <v>2095</v>
      </c>
      <c r="H1439" s="5"/>
      <c r="I1439" s="5"/>
      <c r="J1439" s="5"/>
      <c r="K1439" s="5"/>
      <c r="L1439" s="5"/>
      <c r="M1439" s="5"/>
      <c r="N1439" s="5"/>
    </row>
    <row r="1440" spans="1:14" ht="22.5" customHeight="1" x14ac:dyDescent="0.2">
      <c r="A1440" s="18" t="s">
        <v>3180</v>
      </c>
      <c r="B1440" s="7" t="s">
        <v>34</v>
      </c>
      <c r="C1440" s="7" t="s">
        <v>1216</v>
      </c>
      <c r="D1440" s="18" t="s">
        <v>3128</v>
      </c>
      <c r="E1440" s="7" t="s">
        <v>1963</v>
      </c>
      <c r="F1440" s="23">
        <v>45119</v>
      </c>
      <c r="G1440" s="7" t="s">
        <v>2095</v>
      </c>
      <c r="H1440" s="5"/>
      <c r="I1440" s="5"/>
      <c r="J1440" s="5"/>
      <c r="K1440" s="5"/>
      <c r="L1440" s="5"/>
      <c r="M1440" s="5"/>
      <c r="N1440" s="5"/>
    </row>
    <row r="1441" spans="1:14" ht="22.5" customHeight="1" x14ac:dyDescent="0.2">
      <c r="A1441" s="18" t="s">
        <v>3181</v>
      </c>
      <c r="B1441" s="7" t="s">
        <v>34</v>
      </c>
      <c r="C1441" s="7" t="s">
        <v>1216</v>
      </c>
      <c r="D1441" s="18" t="s">
        <v>3182</v>
      </c>
      <c r="E1441" s="7" t="s">
        <v>1963</v>
      </c>
      <c r="F1441" s="23">
        <v>45119</v>
      </c>
      <c r="G1441" s="7" t="s">
        <v>37</v>
      </c>
      <c r="H1441" s="5"/>
      <c r="I1441" s="5"/>
      <c r="J1441" s="5"/>
      <c r="K1441" s="5"/>
      <c r="L1441" s="5"/>
      <c r="M1441" s="5"/>
      <c r="N1441" s="5"/>
    </row>
    <row r="1442" spans="1:14" ht="22.5" customHeight="1" x14ac:dyDescent="0.2">
      <c r="A1442" s="18" t="s">
        <v>3183</v>
      </c>
      <c r="B1442" s="7" t="s">
        <v>34</v>
      </c>
      <c r="C1442" s="7" t="s">
        <v>1216</v>
      </c>
      <c r="D1442" s="18" t="s">
        <v>3117</v>
      </c>
      <c r="E1442" s="7" t="s">
        <v>1963</v>
      </c>
      <c r="F1442" s="23">
        <v>45119</v>
      </c>
      <c r="G1442" s="7" t="s">
        <v>2095</v>
      </c>
      <c r="H1442" s="5"/>
      <c r="I1442" s="5"/>
      <c r="J1442" s="5"/>
      <c r="K1442" s="5"/>
      <c r="L1442" s="5"/>
      <c r="M1442" s="5"/>
      <c r="N1442" s="5"/>
    </row>
    <row r="1443" spans="1:14" ht="22.5" customHeight="1" x14ac:dyDescent="0.2">
      <c r="A1443" s="18" t="s">
        <v>3184</v>
      </c>
      <c r="B1443" s="7" t="s">
        <v>34</v>
      </c>
      <c r="C1443" s="7" t="s">
        <v>1216</v>
      </c>
      <c r="D1443" s="18" t="s">
        <v>3118</v>
      </c>
      <c r="E1443" s="7" t="s">
        <v>1963</v>
      </c>
      <c r="F1443" s="23">
        <v>45119</v>
      </c>
      <c r="G1443" s="7" t="s">
        <v>2095</v>
      </c>
      <c r="H1443" s="5"/>
      <c r="I1443" s="5"/>
      <c r="J1443" s="5"/>
      <c r="K1443" s="5"/>
      <c r="L1443" s="5"/>
      <c r="M1443" s="5"/>
      <c r="N1443" s="5"/>
    </row>
    <row r="1444" spans="1:14" ht="22.5" customHeight="1" x14ac:dyDescent="0.2">
      <c r="A1444" s="18" t="s">
        <v>3185</v>
      </c>
      <c r="B1444" s="7" t="s">
        <v>34</v>
      </c>
      <c r="C1444" s="7" t="s">
        <v>1216</v>
      </c>
      <c r="D1444" s="18" t="s">
        <v>3129</v>
      </c>
      <c r="E1444" s="7" t="s">
        <v>1963</v>
      </c>
      <c r="F1444" s="23">
        <v>45119</v>
      </c>
      <c r="G1444" s="7" t="s">
        <v>2095</v>
      </c>
      <c r="H1444" s="5"/>
      <c r="I1444" s="5"/>
      <c r="J1444" s="5"/>
      <c r="K1444" s="5"/>
      <c r="L1444" s="5"/>
      <c r="M1444" s="5"/>
      <c r="N1444" s="5"/>
    </row>
    <row r="1445" spans="1:14" ht="22.5" customHeight="1" x14ac:dyDescent="0.2">
      <c r="A1445" s="18" t="s">
        <v>3186</v>
      </c>
      <c r="B1445" s="7" t="s">
        <v>34</v>
      </c>
      <c r="C1445" s="7" t="s">
        <v>1216</v>
      </c>
      <c r="D1445" s="18" t="s">
        <v>3119</v>
      </c>
      <c r="E1445" s="7" t="s">
        <v>1963</v>
      </c>
      <c r="F1445" s="23">
        <v>45119</v>
      </c>
      <c r="G1445" s="7" t="s">
        <v>2095</v>
      </c>
      <c r="H1445" s="5"/>
      <c r="I1445" s="5"/>
      <c r="J1445" s="5"/>
      <c r="K1445" s="5"/>
      <c r="L1445" s="5"/>
      <c r="M1445" s="5"/>
      <c r="N1445" s="5"/>
    </row>
    <row r="1446" spans="1:14" ht="22.5" customHeight="1" x14ac:dyDescent="0.2">
      <c r="A1446" s="18" t="s">
        <v>3187</v>
      </c>
      <c r="B1446" s="7" t="s">
        <v>34</v>
      </c>
      <c r="C1446" s="7" t="s">
        <v>1216</v>
      </c>
      <c r="D1446" s="18" t="s">
        <v>3109</v>
      </c>
      <c r="E1446" s="7" t="s">
        <v>1954</v>
      </c>
      <c r="F1446" s="23">
        <v>45112</v>
      </c>
      <c r="G1446" s="7" t="s">
        <v>2095</v>
      </c>
      <c r="H1446" s="5"/>
      <c r="I1446" s="5"/>
      <c r="J1446" s="5"/>
      <c r="K1446" s="5"/>
      <c r="L1446" s="5"/>
      <c r="M1446" s="5"/>
      <c r="N1446" s="5"/>
    </row>
    <row r="1447" spans="1:14" ht="22.5" customHeight="1" x14ac:dyDescent="0.2">
      <c r="A1447" s="18" t="s">
        <v>3188</v>
      </c>
      <c r="B1447" s="7" t="s">
        <v>34</v>
      </c>
      <c r="C1447" s="7" t="s">
        <v>1216</v>
      </c>
      <c r="D1447" s="18" t="s">
        <v>3189</v>
      </c>
      <c r="E1447" s="7" t="s">
        <v>3190</v>
      </c>
      <c r="F1447" s="23">
        <v>45111</v>
      </c>
      <c r="G1447" s="7" t="s">
        <v>2095</v>
      </c>
      <c r="H1447" s="5"/>
      <c r="I1447" s="5"/>
      <c r="J1447" s="5"/>
      <c r="K1447" s="5"/>
      <c r="L1447" s="5"/>
      <c r="M1447" s="5"/>
      <c r="N1447" s="5"/>
    </row>
    <row r="1448" spans="1:14" ht="22.5" customHeight="1" x14ac:dyDescent="0.2">
      <c r="A1448" s="18" t="s">
        <v>3191</v>
      </c>
      <c r="B1448" s="7" t="s">
        <v>34</v>
      </c>
      <c r="C1448" s="7" t="s">
        <v>1216</v>
      </c>
      <c r="D1448" s="18" t="s">
        <v>3192</v>
      </c>
      <c r="E1448" s="7" t="s">
        <v>3193</v>
      </c>
      <c r="F1448" s="23">
        <v>45110</v>
      </c>
      <c r="G1448" s="7" t="s">
        <v>2095</v>
      </c>
      <c r="H1448" s="5"/>
      <c r="I1448" s="5"/>
      <c r="J1448" s="5"/>
      <c r="K1448" s="5"/>
      <c r="L1448" s="5"/>
      <c r="M1448" s="5"/>
      <c r="N1448" s="5"/>
    </row>
    <row r="1449" spans="1:14" ht="22.5" customHeight="1" x14ac:dyDescent="0.2">
      <c r="A1449" s="18" t="s">
        <v>3194</v>
      </c>
      <c r="B1449" s="7" t="s">
        <v>34</v>
      </c>
      <c r="C1449" s="7" t="s">
        <v>1216</v>
      </c>
      <c r="D1449" s="18" t="s">
        <v>2868</v>
      </c>
      <c r="E1449" s="7" t="s">
        <v>2005</v>
      </c>
      <c r="F1449" s="23">
        <v>45096</v>
      </c>
      <c r="G1449" s="7" t="s">
        <v>2095</v>
      </c>
      <c r="H1449" s="5"/>
      <c r="I1449" s="5"/>
      <c r="J1449" s="5"/>
      <c r="K1449" s="5"/>
      <c r="L1449" s="5"/>
      <c r="M1449" s="5"/>
      <c r="N1449" s="5"/>
    </row>
    <row r="1450" spans="1:14" ht="22.5" customHeight="1" x14ac:dyDescent="0.2">
      <c r="A1450" s="18" t="s">
        <v>3195</v>
      </c>
      <c r="B1450" s="7" t="s">
        <v>34</v>
      </c>
      <c r="C1450" s="7" t="s">
        <v>1216</v>
      </c>
      <c r="D1450" s="18" t="s">
        <v>3196</v>
      </c>
      <c r="E1450" s="7" t="s">
        <v>2005</v>
      </c>
      <c r="F1450" s="23">
        <v>45096</v>
      </c>
      <c r="G1450" s="7" t="s">
        <v>2110</v>
      </c>
      <c r="H1450" s="5"/>
      <c r="I1450" s="5"/>
      <c r="J1450" s="5"/>
      <c r="K1450" s="5"/>
      <c r="L1450" s="5"/>
      <c r="M1450" s="5"/>
      <c r="N1450" s="5"/>
    </row>
    <row r="1451" spans="1:14" ht="22.5" customHeight="1" x14ac:dyDescent="0.2">
      <c r="A1451" s="18" t="s">
        <v>3197</v>
      </c>
      <c r="B1451" s="7" t="s">
        <v>34</v>
      </c>
      <c r="C1451" s="7" t="s">
        <v>1216</v>
      </c>
      <c r="D1451" s="18" t="s">
        <v>2870</v>
      </c>
      <c r="E1451" s="7" t="s">
        <v>2005</v>
      </c>
      <c r="F1451" s="23">
        <v>45096</v>
      </c>
      <c r="G1451" s="7" t="s">
        <v>2095</v>
      </c>
      <c r="H1451" s="5"/>
      <c r="I1451" s="5"/>
      <c r="J1451" s="5"/>
      <c r="K1451" s="5"/>
      <c r="L1451" s="5"/>
      <c r="M1451" s="5"/>
      <c r="N1451" s="5"/>
    </row>
    <row r="1452" spans="1:14" ht="22.5" customHeight="1" x14ac:dyDescent="0.2">
      <c r="A1452" s="18" t="s">
        <v>3198</v>
      </c>
      <c r="B1452" s="7" t="s">
        <v>34</v>
      </c>
      <c r="C1452" s="7" t="s">
        <v>1216</v>
      </c>
      <c r="D1452" s="18" t="s">
        <v>2872</v>
      </c>
      <c r="E1452" s="7" t="s">
        <v>2005</v>
      </c>
      <c r="F1452" s="23">
        <v>45096</v>
      </c>
      <c r="G1452" s="7" t="s">
        <v>2095</v>
      </c>
      <c r="H1452" s="5"/>
      <c r="I1452" s="5"/>
      <c r="J1452" s="5"/>
      <c r="K1452" s="5"/>
      <c r="L1452" s="5"/>
      <c r="M1452" s="5"/>
      <c r="N1452" s="5"/>
    </row>
    <row r="1453" spans="1:14" ht="22.5" customHeight="1" x14ac:dyDescent="0.2">
      <c r="A1453" s="18" t="s">
        <v>3199</v>
      </c>
      <c r="B1453" s="7" t="s">
        <v>34</v>
      </c>
      <c r="C1453" s="7" t="s">
        <v>1216</v>
      </c>
      <c r="D1453" s="18" t="s">
        <v>2874</v>
      </c>
      <c r="E1453" s="7" t="s">
        <v>2005</v>
      </c>
      <c r="F1453" s="23">
        <v>45096</v>
      </c>
      <c r="G1453" s="7" t="s">
        <v>2095</v>
      </c>
      <c r="H1453" s="5"/>
      <c r="I1453" s="5"/>
      <c r="J1453" s="5"/>
      <c r="K1453" s="5"/>
      <c r="L1453" s="5"/>
      <c r="M1453" s="5"/>
      <c r="N1453" s="5"/>
    </row>
    <row r="1454" spans="1:14" ht="22.5" customHeight="1" x14ac:dyDescent="0.2">
      <c r="A1454" s="18" t="s">
        <v>3200</v>
      </c>
      <c r="B1454" s="7" t="s">
        <v>34</v>
      </c>
      <c r="C1454" s="7" t="s">
        <v>1216</v>
      </c>
      <c r="D1454" s="18" t="s">
        <v>2876</v>
      </c>
      <c r="E1454" s="7" t="s">
        <v>2005</v>
      </c>
      <c r="F1454" s="23">
        <v>45096</v>
      </c>
      <c r="G1454" s="7" t="s">
        <v>2095</v>
      </c>
      <c r="H1454" s="5"/>
      <c r="I1454" s="5"/>
      <c r="J1454" s="5"/>
      <c r="K1454" s="5"/>
      <c r="L1454" s="5"/>
      <c r="M1454" s="5"/>
      <c r="N1454" s="5"/>
    </row>
    <row r="1455" spans="1:14" ht="22.5" customHeight="1" x14ac:dyDescent="0.2">
      <c r="A1455" s="18" t="s">
        <v>3201</v>
      </c>
      <c r="B1455" s="7" t="s">
        <v>34</v>
      </c>
      <c r="C1455" s="7" t="s">
        <v>1216</v>
      </c>
      <c r="D1455" s="18" t="s">
        <v>2878</v>
      </c>
      <c r="E1455" s="7" t="s">
        <v>2005</v>
      </c>
      <c r="F1455" s="23">
        <v>45096</v>
      </c>
      <c r="G1455" s="7" t="s">
        <v>2095</v>
      </c>
      <c r="H1455" s="5"/>
      <c r="I1455" s="5"/>
      <c r="J1455" s="5"/>
      <c r="K1455" s="5"/>
      <c r="L1455" s="5"/>
      <c r="M1455" s="5"/>
      <c r="N1455" s="5"/>
    </row>
    <row r="1456" spans="1:14" ht="22.5" customHeight="1" x14ac:dyDescent="0.2">
      <c r="A1456" s="18" t="s">
        <v>3202</v>
      </c>
      <c r="B1456" s="7" t="s">
        <v>34</v>
      </c>
      <c r="C1456" s="7" t="s">
        <v>1216</v>
      </c>
      <c r="D1456" s="18" t="s">
        <v>2866</v>
      </c>
      <c r="E1456" s="7" t="s">
        <v>2005</v>
      </c>
      <c r="F1456" s="23">
        <v>45096</v>
      </c>
      <c r="G1456" s="7" t="s">
        <v>2095</v>
      </c>
      <c r="H1456" s="5"/>
      <c r="I1456" s="5"/>
      <c r="J1456" s="5"/>
      <c r="K1456" s="5"/>
      <c r="L1456" s="5"/>
      <c r="M1456" s="5"/>
      <c r="N1456" s="5"/>
    </row>
    <row r="1457" spans="1:14" ht="22.5" customHeight="1" x14ac:dyDescent="0.2">
      <c r="A1457" s="18" t="s">
        <v>3203</v>
      </c>
      <c r="B1457" s="7" t="s">
        <v>34</v>
      </c>
      <c r="C1457" s="7" t="s">
        <v>1216</v>
      </c>
      <c r="D1457" s="18" t="s">
        <v>2863</v>
      </c>
      <c r="E1457" s="7" t="s">
        <v>2005</v>
      </c>
      <c r="F1457" s="23">
        <v>45096</v>
      </c>
      <c r="G1457" s="7" t="s">
        <v>2095</v>
      </c>
      <c r="H1457" s="5"/>
      <c r="I1457" s="5"/>
      <c r="J1457" s="5"/>
      <c r="K1457" s="5"/>
      <c r="L1457" s="5"/>
      <c r="M1457" s="5"/>
      <c r="N1457" s="5"/>
    </row>
    <row r="1458" spans="1:14" ht="22.5" customHeight="1" x14ac:dyDescent="0.2">
      <c r="A1458" s="18" t="s">
        <v>3204</v>
      </c>
      <c r="B1458" s="7" t="s">
        <v>34</v>
      </c>
      <c r="C1458" s="7" t="s">
        <v>1216</v>
      </c>
      <c r="D1458" s="18" t="s">
        <v>3205</v>
      </c>
      <c r="E1458" s="7" t="s">
        <v>3206</v>
      </c>
      <c r="F1458" s="23">
        <v>45092</v>
      </c>
      <c r="G1458" s="7" t="s">
        <v>37</v>
      </c>
      <c r="H1458" s="5"/>
      <c r="I1458" s="5"/>
      <c r="J1458" s="5"/>
      <c r="K1458" s="5"/>
      <c r="L1458" s="5"/>
      <c r="M1458" s="5"/>
      <c r="N1458" s="5"/>
    </row>
    <row r="1459" spans="1:14" ht="22.5" customHeight="1" x14ac:dyDescent="0.2">
      <c r="A1459" s="18" t="s">
        <v>3207</v>
      </c>
      <c r="B1459" s="7" t="s">
        <v>34</v>
      </c>
      <c r="C1459" s="7" t="s">
        <v>1216</v>
      </c>
      <c r="D1459" s="18" t="s">
        <v>3208</v>
      </c>
      <c r="E1459" s="7" t="s">
        <v>1783</v>
      </c>
      <c r="F1459" s="23">
        <v>45084</v>
      </c>
      <c r="G1459" s="7" t="s">
        <v>2095</v>
      </c>
      <c r="H1459" s="5"/>
      <c r="I1459" s="5"/>
      <c r="J1459" s="5"/>
      <c r="K1459" s="5"/>
      <c r="L1459" s="5"/>
      <c r="M1459" s="5"/>
      <c r="N1459" s="5"/>
    </row>
    <row r="1460" spans="1:14" ht="22.5" customHeight="1" x14ac:dyDescent="0.2">
      <c r="A1460" s="18" t="s">
        <v>3209</v>
      </c>
      <c r="B1460" s="7" t="s">
        <v>34</v>
      </c>
      <c r="C1460" s="7" t="s">
        <v>1216</v>
      </c>
      <c r="D1460" s="18" t="s">
        <v>2878</v>
      </c>
      <c r="E1460" s="7" t="s">
        <v>2005</v>
      </c>
      <c r="F1460" s="23">
        <v>45082</v>
      </c>
      <c r="G1460" s="7" t="s">
        <v>37</v>
      </c>
      <c r="H1460" s="5"/>
      <c r="I1460" s="5"/>
      <c r="J1460" s="5"/>
      <c r="K1460" s="5"/>
      <c r="L1460" s="5"/>
      <c r="M1460" s="5"/>
      <c r="N1460" s="5"/>
    </row>
    <row r="1461" spans="1:14" ht="22.5" customHeight="1" x14ac:dyDescent="0.2">
      <c r="A1461" s="18" t="s">
        <v>3210</v>
      </c>
      <c r="B1461" s="7" t="s">
        <v>34</v>
      </c>
      <c r="C1461" s="7" t="s">
        <v>1216</v>
      </c>
      <c r="D1461" s="18" t="s">
        <v>3211</v>
      </c>
      <c r="E1461" s="7" t="s">
        <v>3212</v>
      </c>
      <c r="F1461" s="23">
        <v>45068</v>
      </c>
      <c r="G1461" s="7" t="s">
        <v>2095</v>
      </c>
      <c r="H1461" s="5"/>
      <c r="I1461" s="5"/>
      <c r="J1461" s="5"/>
      <c r="K1461" s="5"/>
      <c r="L1461" s="5"/>
      <c r="M1461" s="5"/>
      <c r="N1461" s="5"/>
    </row>
    <row r="1462" spans="1:14" ht="22.5" customHeight="1" x14ac:dyDescent="0.2">
      <c r="A1462" s="18" t="s">
        <v>3213</v>
      </c>
      <c r="B1462" s="7" t="s">
        <v>34</v>
      </c>
      <c r="C1462" s="7" t="s">
        <v>1216</v>
      </c>
      <c r="D1462" s="18" t="s">
        <v>3164</v>
      </c>
      <c r="E1462" s="7" t="s">
        <v>3165</v>
      </c>
      <c r="F1462" s="23">
        <v>45049</v>
      </c>
      <c r="G1462" s="7" t="s">
        <v>2095</v>
      </c>
      <c r="H1462" s="5"/>
      <c r="I1462" s="5"/>
      <c r="J1462" s="5"/>
      <c r="K1462" s="5"/>
      <c r="L1462" s="5"/>
      <c r="M1462" s="5"/>
      <c r="N1462" s="5"/>
    </row>
    <row r="1463" spans="1:14" ht="22.5" customHeight="1" x14ac:dyDescent="0.2">
      <c r="A1463" s="18" t="s">
        <v>3214</v>
      </c>
      <c r="B1463" s="7" t="s">
        <v>34</v>
      </c>
      <c r="C1463" s="7" t="s">
        <v>1216</v>
      </c>
      <c r="D1463" s="18" t="s">
        <v>3215</v>
      </c>
      <c r="E1463" s="7" t="s">
        <v>3216</v>
      </c>
      <c r="F1463" s="23">
        <v>45026</v>
      </c>
      <c r="G1463" s="7" t="s">
        <v>2095</v>
      </c>
      <c r="H1463" s="5"/>
      <c r="I1463" s="5"/>
      <c r="J1463" s="5"/>
      <c r="K1463" s="5"/>
      <c r="L1463" s="5"/>
      <c r="M1463" s="5"/>
      <c r="N1463" s="5"/>
    </row>
    <row r="1464" spans="1:14" ht="22.5" customHeight="1" x14ac:dyDescent="0.2">
      <c r="A1464" s="18" t="s">
        <v>3217</v>
      </c>
      <c r="B1464" s="7" t="s">
        <v>34</v>
      </c>
      <c r="C1464" s="7" t="s">
        <v>1216</v>
      </c>
      <c r="D1464" s="18" t="s">
        <v>3218</v>
      </c>
      <c r="E1464" s="7" t="s">
        <v>3219</v>
      </c>
      <c r="F1464" s="23">
        <v>45006</v>
      </c>
      <c r="G1464" s="7" t="s">
        <v>2095</v>
      </c>
      <c r="H1464" s="5"/>
      <c r="I1464" s="5"/>
      <c r="J1464" s="5"/>
      <c r="K1464" s="5"/>
      <c r="L1464" s="5"/>
      <c r="M1464" s="5"/>
      <c r="N1464" s="5"/>
    </row>
    <row r="1465" spans="1:14" ht="22.5" customHeight="1" x14ac:dyDescent="0.2">
      <c r="H1465" s="5"/>
      <c r="I1465" s="5"/>
      <c r="J1465" s="5"/>
      <c r="K1465" s="5"/>
      <c r="L1465" s="5"/>
      <c r="M1465" s="5"/>
      <c r="N1465" s="5"/>
    </row>
    <row r="1466" spans="1:14" ht="22.5" customHeight="1" x14ac:dyDescent="0.2">
      <c r="H1466" s="5"/>
      <c r="I1466" s="5"/>
      <c r="J1466" s="5"/>
      <c r="K1466" s="5"/>
      <c r="L1466" s="5"/>
      <c r="M1466" s="5"/>
      <c r="N1466" s="5"/>
    </row>
    <row r="1467" spans="1:14" ht="22.5" customHeight="1" x14ac:dyDescent="0.2">
      <c r="H1467" s="5"/>
      <c r="I1467" s="5"/>
      <c r="J1467" s="5"/>
      <c r="K1467" s="5"/>
      <c r="L1467" s="5"/>
      <c r="M1467" s="5"/>
      <c r="N1467" s="5"/>
    </row>
    <row r="1468" spans="1:14" ht="22.5" customHeight="1" x14ac:dyDescent="0.2">
      <c r="H1468" s="5"/>
      <c r="I1468" s="5"/>
      <c r="J1468" s="5"/>
      <c r="K1468" s="5"/>
      <c r="L1468" s="5"/>
      <c r="M1468" s="5"/>
      <c r="N1468" s="5"/>
    </row>
    <row r="1469" spans="1:14" ht="22.5" customHeight="1" x14ac:dyDescent="0.2">
      <c r="H1469" s="5"/>
      <c r="I1469" s="5"/>
      <c r="J1469" s="5"/>
      <c r="K1469" s="5"/>
      <c r="L1469" s="5"/>
      <c r="M1469" s="5"/>
      <c r="N1469" s="5"/>
    </row>
    <row r="1470" spans="1:14" ht="22.5" customHeight="1" x14ac:dyDescent="0.2">
      <c r="H1470" s="5"/>
      <c r="I1470" s="5"/>
      <c r="J1470" s="5"/>
      <c r="K1470" s="5"/>
      <c r="L1470" s="5"/>
      <c r="M1470" s="5"/>
      <c r="N1470" s="5"/>
    </row>
    <row r="1471" spans="1:14" ht="22.5" customHeight="1" x14ac:dyDescent="0.2">
      <c r="H1471" s="5"/>
      <c r="I1471" s="5"/>
      <c r="J1471" s="5"/>
      <c r="K1471" s="5"/>
      <c r="L1471" s="5"/>
      <c r="M1471" s="5"/>
      <c r="N1471" s="5"/>
    </row>
    <row r="1472" spans="1:14" ht="22.5" customHeight="1" x14ac:dyDescent="0.2">
      <c r="H1472" s="5"/>
      <c r="I1472" s="5"/>
      <c r="J1472" s="5"/>
      <c r="K1472" s="5"/>
      <c r="L1472" s="5"/>
      <c r="M1472" s="5"/>
      <c r="N1472" s="5"/>
    </row>
    <row r="1473" spans="8:14" ht="22.5" customHeight="1" x14ac:dyDescent="0.2">
      <c r="H1473" s="5"/>
      <c r="I1473" s="5"/>
      <c r="J1473" s="5"/>
      <c r="K1473" s="5"/>
      <c r="L1473" s="5"/>
      <c r="M1473" s="5"/>
      <c r="N1473" s="5"/>
    </row>
    <row r="1474" spans="8:14" ht="22.5" customHeight="1" x14ac:dyDescent="0.2">
      <c r="H1474" s="5"/>
      <c r="I1474" s="5"/>
      <c r="J1474" s="5"/>
      <c r="K1474" s="5"/>
      <c r="L1474" s="5"/>
      <c r="M1474" s="5"/>
      <c r="N1474" s="5"/>
    </row>
    <row r="1475" spans="8:14" ht="22.5" customHeight="1" x14ac:dyDescent="0.2">
      <c r="H1475" s="5"/>
      <c r="I1475" s="5"/>
      <c r="J1475" s="5"/>
      <c r="K1475" s="5"/>
      <c r="L1475" s="5"/>
      <c r="M1475" s="5"/>
      <c r="N1475" s="5"/>
    </row>
    <row r="1476" spans="8:14" ht="22.5" customHeight="1" x14ac:dyDescent="0.2">
      <c r="H1476" s="5"/>
      <c r="I1476" s="5"/>
      <c r="J1476" s="5"/>
      <c r="K1476" s="5"/>
      <c r="L1476" s="5"/>
      <c r="M1476" s="5"/>
      <c r="N1476" s="5"/>
    </row>
    <row r="1477" spans="8:14" ht="22.5" customHeight="1" x14ac:dyDescent="0.2">
      <c r="H1477" s="5"/>
      <c r="I1477" s="5"/>
      <c r="J1477" s="5"/>
      <c r="K1477" s="5"/>
      <c r="L1477" s="5"/>
      <c r="M1477" s="5"/>
      <c r="N1477" s="5"/>
    </row>
    <row r="1478" spans="8:14" ht="22.5" customHeight="1" x14ac:dyDescent="0.2">
      <c r="H1478" s="5"/>
      <c r="I1478" s="5"/>
      <c r="J1478" s="5"/>
      <c r="K1478" s="5"/>
      <c r="L1478" s="5"/>
      <c r="M1478" s="5"/>
      <c r="N1478" s="5"/>
    </row>
    <row r="1479" spans="8:14" ht="22.5" customHeight="1" x14ac:dyDescent="0.2">
      <c r="H1479" s="5"/>
      <c r="I1479" s="5"/>
      <c r="J1479" s="5"/>
      <c r="K1479" s="5"/>
      <c r="L1479" s="5"/>
      <c r="M1479" s="5"/>
      <c r="N1479" s="5"/>
    </row>
    <row r="1480" spans="8:14" ht="22.5" customHeight="1" x14ac:dyDescent="0.2">
      <c r="H1480" s="5"/>
      <c r="I1480" s="5"/>
      <c r="J1480" s="5"/>
      <c r="K1480" s="5"/>
      <c r="L1480" s="5"/>
      <c r="M1480" s="5"/>
      <c r="N1480" s="5"/>
    </row>
    <row r="1481" spans="8:14" ht="22.5" customHeight="1" x14ac:dyDescent="0.2">
      <c r="H1481" s="5"/>
      <c r="I1481" s="5"/>
      <c r="J1481" s="5"/>
      <c r="K1481" s="5"/>
      <c r="L1481" s="5"/>
      <c r="M1481" s="5"/>
      <c r="N1481" s="5"/>
    </row>
    <row r="1482" spans="8:14" ht="22.5" customHeight="1" x14ac:dyDescent="0.2">
      <c r="H1482" s="5"/>
      <c r="I1482" s="5"/>
      <c r="J1482" s="5"/>
      <c r="K1482" s="5"/>
      <c r="L1482" s="5"/>
      <c r="M1482" s="5"/>
      <c r="N1482" s="5"/>
    </row>
    <row r="1483" spans="8:14" ht="22.5" customHeight="1" x14ac:dyDescent="0.2">
      <c r="H1483" s="5"/>
      <c r="I1483" s="5"/>
      <c r="J1483" s="5"/>
      <c r="K1483" s="5"/>
      <c r="L1483" s="5"/>
      <c r="M1483" s="5"/>
      <c r="N1483" s="5"/>
    </row>
    <row r="1484" spans="8:14" ht="22.5" customHeight="1" x14ac:dyDescent="0.2">
      <c r="H1484" s="5"/>
      <c r="I1484" s="5"/>
      <c r="J1484" s="5"/>
      <c r="K1484" s="5"/>
      <c r="L1484" s="5"/>
      <c r="M1484" s="5"/>
      <c r="N1484" s="5"/>
    </row>
    <row r="1485" spans="8:14" ht="22.5" customHeight="1" x14ac:dyDescent="0.2">
      <c r="H1485" s="5"/>
      <c r="I1485" s="5"/>
      <c r="J1485" s="5"/>
      <c r="K1485" s="5"/>
      <c r="L1485" s="5"/>
      <c r="M1485" s="5"/>
      <c r="N1485" s="5"/>
    </row>
    <row r="1486" spans="8:14" ht="22.5" customHeight="1" x14ac:dyDescent="0.2">
      <c r="H1486" s="5"/>
      <c r="I1486" s="5"/>
      <c r="J1486" s="5"/>
      <c r="K1486" s="5"/>
      <c r="L1486" s="5"/>
      <c r="M1486" s="5"/>
      <c r="N1486" s="5"/>
    </row>
    <row r="1487" spans="8:14" ht="22.5" customHeight="1" x14ac:dyDescent="0.2">
      <c r="H1487" s="5"/>
      <c r="I1487" s="5"/>
      <c r="J1487" s="5"/>
      <c r="K1487" s="5"/>
      <c r="L1487" s="5"/>
      <c r="M1487" s="5"/>
      <c r="N1487" s="5"/>
    </row>
    <row r="1488" spans="8:14" ht="22.5" customHeight="1" x14ac:dyDescent="0.2">
      <c r="H1488" s="5"/>
      <c r="I1488" s="5"/>
      <c r="J1488" s="5"/>
      <c r="K1488" s="5"/>
      <c r="L1488" s="5"/>
      <c r="M1488" s="5"/>
      <c r="N1488" s="5"/>
    </row>
    <row r="1489" spans="8:14" ht="22.5" customHeight="1" x14ac:dyDescent="0.2">
      <c r="H1489" s="5"/>
      <c r="I1489" s="5"/>
      <c r="J1489" s="5"/>
      <c r="K1489" s="5"/>
      <c r="L1489" s="5"/>
      <c r="M1489" s="5"/>
      <c r="N1489" s="5"/>
    </row>
    <row r="1490" spans="8:14" ht="22.5" customHeight="1" x14ac:dyDescent="0.2">
      <c r="H1490" s="5"/>
      <c r="I1490" s="5"/>
      <c r="J1490" s="5"/>
      <c r="K1490" s="5"/>
      <c r="L1490" s="5"/>
      <c r="M1490" s="5"/>
      <c r="N1490" s="5"/>
    </row>
    <row r="1491" spans="8:14" ht="22.5" customHeight="1" x14ac:dyDescent="0.2">
      <c r="H1491" s="5"/>
      <c r="I1491" s="5"/>
      <c r="J1491" s="5"/>
      <c r="K1491" s="5"/>
      <c r="L1491" s="5"/>
      <c r="M1491" s="5"/>
      <c r="N1491" s="5"/>
    </row>
    <row r="1492" spans="8:14" ht="22.5" customHeight="1" x14ac:dyDescent="0.2">
      <c r="H1492" s="5"/>
      <c r="I1492" s="5"/>
      <c r="J1492" s="5"/>
      <c r="K1492" s="5"/>
      <c r="L1492" s="5"/>
      <c r="M1492" s="5"/>
      <c r="N1492" s="5"/>
    </row>
    <row r="1493" spans="8:14" ht="22.5" customHeight="1" x14ac:dyDescent="0.2">
      <c r="H1493" s="5"/>
      <c r="I1493" s="5"/>
      <c r="J1493" s="5"/>
      <c r="K1493" s="5"/>
      <c r="L1493" s="5"/>
      <c r="M1493" s="5"/>
      <c r="N1493" s="5"/>
    </row>
    <row r="1494" spans="8:14" ht="22.5" customHeight="1" x14ac:dyDescent="0.2">
      <c r="H1494" s="5"/>
      <c r="I1494" s="5"/>
      <c r="J1494" s="5"/>
      <c r="K1494" s="5"/>
      <c r="L1494" s="5"/>
      <c r="M1494" s="5"/>
      <c r="N1494" s="5"/>
    </row>
    <row r="1495" spans="8:14" ht="22.5" customHeight="1" x14ac:dyDescent="0.2">
      <c r="H1495" s="5"/>
      <c r="I1495" s="5"/>
      <c r="J1495" s="5"/>
      <c r="K1495" s="5"/>
      <c r="L1495" s="5"/>
      <c r="M1495" s="5"/>
      <c r="N1495" s="5"/>
    </row>
    <row r="1496" spans="8:14" ht="22.5" customHeight="1" x14ac:dyDescent="0.2">
      <c r="H1496" s="5"/>
      <c r="I1496" s="5"/>
      <c r="J1496" s="5"/>
      <c r="K1496" s="5"/>
      <c r="L1496" s="5"/>
      <c r="M1496" s="5"/>
      <c r="N1496" s="5"/>
    </row>
    <row r="1497" spans="8:14" ht="22.5" customHeight="1" x14ac:dyDescent="0.2">
      <c r="H1497" s="5"/>
      <c r="I1497" s="5"/>
      <c r="J1497" s="5"/>
      <c r="K1497" s="5"/>
      <c r="L1497" s="5"/>
      <c r="M1497" s="5"/>
      <c r="N1497" s="5"/>
    </row>
    <row r="1498" spans="8:14" ht="22.5" customHeight="1" x14ac:dyDescent="0.2">
      <c r="H1498" s="5"/>
      <c r="I1498" s="5"/>
      <c r="J1498" s="5"/>
      <c r="K1498" s="5"/>
      <c r="L1498" s="5"/>
      <c r="M1498" s="5"/>
      <c r="N1498" s="5"/>
    </row>
    <row r="1499" spans="8:14" ht="22.5" customHeight="1" x14ac:dyDescent="0.2">
      <c r="H1499" s="5"/>
      <c r="I1499" s="5"/>
      <c r="J1499" s="5"/>
      <c r="K1499" s="5"/>
      <c r="L1499" s="5"/>
      <c r="M1499" s="5"/>
      <c r="N1499" s="5"/>
    </row>
    <row r="1500" spans="8:14" ht="22.5" customHeight="1" x14ac:dyDescent="0.2">
      <c r="H1500" s="5"/>
      <c r="I1500" s="5"/>
      <c r="J1500" s="5"/>
      <c r="K1500" s="5"/>
      <c r="L1500" s="5"/>
      <c r="M1500" s="5"/>
      <c r="N1500" s="5"/>
    </row>
    <row r="1501" spans="8:14" ht="22.5" customHeight="1" x14ac:dyDescent="0.2">
      <c r="H1501" s="5"/>
      <c r="I1501" s="5"/>
      <c r="J1501" s="5"/>
      <c r="K1501" s="5"/>
      <c r="L1501" s="5"/>
      <c r="M1501" s="5"/>
      <c r="N1501" s="5"/>
    </row>
    <row r="1502" spans="8:14" ht="22.5" customHeight="1" x14ac:dyDescent="0.2">
      <c r="H1502" s="5"/>
      <c r="I1502" s="5"/>
      <c r="J1502" s="5"/>
      <c r="K1502" s="5"/>
      <c r="L1502" s="5"/>
      <c r="M1502" s="5"/>
      <c r="N1502" s="5"/>
    </row>
    <row r="1503" spans="8:14" ht="22.5" customHeight="1" x14ac:dyDescent="0.2">
      <c r="H1503" s="5"/>
      <c r="I1503" s="5"/>
      <c r="J1503" s="5"/>
      <c r="K1503" s="5"/>
      <c r="L1503" s="5"/>
      <c r="M1503" s="5"/>
      <c r="N1503" s="5"/>
    </row>
    <row r="1504" spans="8:14" ht="22.5" customHeight="1" x14ac:dyDescent="0.2">
      <c r="H1504" s="5"/>
      <c r="I1504" s="5"/>
      <c r="J1504" s="5"/>
      <c r="K1504" s="5"/>
      <c r="L1504" s="5"/>
      <c r="M1504" s="5"/>
      <c r="N1504" s="5"/>
    </row>
    <row r="1505" spans="8:14" ht="22.5" customHeight="1" x14ac:dyDescent="0.2">
      <c r="H1505" s="5"/>
      <c r="I1505" s="5"/>
      <c r="J1505" s="5"/>
      <c r="K1505" s="5"/>
      <c r="L1505" s="5"/>
      <c r="M1505" s="5"/>
      <c r="N1505" s="5"/>
    </row>
    <row r="1506" spans="8:14" ht="22.5" customHeight="1" x14ac:dyDescent="0.2">
      <c r="H1506" s="5"/>
      <c r="I1506" s="5"/>
      <c r="J1506" s="5"/>
      <c r="K1506" s="5"/>
      <c r="L1506" s="5"/>
      <c r="M1506" s="5"/>
      <c r="N1506" s="5"/>
    </row>
    <row r="1507" spans="8:14" ht="22.5" customHeight="1" x14ac:dyDescent="0.2">
      <c r="H1507" s="5"/>
      <c r="I1507" s="5"/>
      <c r="J1507" s="5"/>
      <c r="K1507" s="5"/>
      <c r="L1507" s="5"/>
      <c r="M1507" s="5"/>
      <c r="N1507" s="5"/>
    </row>
    <row r="1508" spans="8:14" ht="22.5" customHeight="1" x14ac:dyDescent="0.2">
      <c r="H1508" s="5"/>
      <c r="I1508" s="5"/>
      <c r="J1508" s="5"/>
      <c r="K1508" s="5"/>
      <c r="L1508" s="5"/>
      <c r="M1508" s="5"/>
      <c r="N1508" s="5"/>
    </row>
    <row r="1509" spans="8:14" ht="22.5" customHeight="1" x14ac:dyDescent="0.2">
      <c r="H1509" s="5"/>
      <c r="I1509" s="5"/>
      <c r="J1509" s="5"/>
      <c r="K1509" s="5"/>
      <c r="L1509" s="5"/>
      <c r="M1509" s="5"/>
      <c r="N1509" s="5"/>
    </row>
    <row r="1510" spans="8:14" ht="22.5" customHeight="1" x14ac:dyDescent="0.2">
      <c r="H1510" s="5"/>
      <c r="I1510" s="5"/>
      <c r="J1510" s="5"/>
      <c r="K1510" s="5"/>
      <c r="L1510" s="5"/>
      <c r="M1510" s="5"/>
      <c r="N1510" s="5"/>
    </row>
    <row r="1511" spans="8:14" ht="22.5" customHeight="1" x14ac:dyDescent="0.2">
      <c r="H1511" s="5"/>
      <c r="I1511" s="5"/>
      <c r="J1511" s="5"/>
      <c r="K1511" s="5"/>
      <c r="L1511" s="5"/>
      <c r="M1511" s="5"/>
      <c r="N1511" s="5"/>
    </row>
    <row r="1512" spans="8:14" ht="22.5" customHeight="1" x14ac:dyDescent="0.2">
      <c r="H1512" s="5"/>
      <c r="I1512" s="5"/>
      <c r="J1512" s="5"/>
      <c r="K1512" s="5"/>
      <c r="L1512" s="5"/>
      <c r="M1512" s="5"/>
      <c r="N1512" s="5"/>
    </row>
    <row r="1513" spans="8:14" ht="22.5" customHeight="1" x14ac:dyDescent="0.2">
      <c r="H1513" s="5"/>
      <c r="I1513" s="5"/>
      <c r="J1513" s="5"/>
      <c r="K1513" s="5"/>
      <c r="L1513" s="5"/>
      <c r="M1513" s="5"/>
      <c r="N1513" s="5"/>
    </row>
    <row r="1514" spans="8:14" ht="22.5" customHeight="1" x14ac:dyDescent="0.2">
      <c r="H1514" s="5"/>
      <c r="I1514" s="5"/>
      <c r="J1514" s="5"/>
      <c r="K1514" s="5"/>
      <c r="L1514" s="5"/>
      <c r="M1514" s="5"/>
      <c r="N1514" s="5"/>
    </row>
    <row r="1515" spans="8:14" ht="22.5" customHeight="1" x14ac:dyDescent="0.2">
      <c r="H1515" s="5"/>
      <c r="I1515" s="5"/>
      <c r="J1515" s="5"/>
      <c r="K1515" s="5"/>
      <c r="L1515" s="5"/>
      <c r="M1515" s="5"/>
      <c r="N1515" s="5"/>
    </row>
    <row r="1516" spans="8:14" ht="22.5" customHeight="1" x14ac:dyDescent="0.2">
      <c r="H1516" s="5"/>
      <c r="I1516" s="5"/>
      <c r="J1516" s="5"/>
      <c r="K1516" s="5"/>
      <c r="L1516" s="5"/>
      <c r="M1516" s="5"/>
      <c r="N1516" s="5"/>
    </row>
    <row r="1517" spans="8:14" ht="22.5" customHeight="1" x14ac:dyDescent="0.2">
      <c r="H1517" s="5"/>
      <c r="I1517" s="5"/>
      <c r="J1517" s="5"/>
      <c r="K1517" s="5"/>
      <c r="L1517" s="5"/>
      <c r="M1517" s="5"/>
      <c r="N1517" s="5"/>
    </row>
    <row r="1518" spans="8:14" ht="22.5" customHeight="1" x14ac:dyDescent="0.2">
      <c r="H1518" s="5"/>
      <c r="I1518" s="5"/>
      <c r="J1518" s="5"/>
      <c r="K1518" s="5"/>
      <c r="L1518" s="5"/>
      <c r="M1518" s="5"/>
      <c r="N1518" s="5"/>
    </row>
    <row r="1519" spans="8:14" ht="22.5" customHeight="1" x14ac:dyDescent="0.2">
      <c r="H1519" s="5"/>
      <c r="I1519" s="5"/>
      <c r="J1519" s="5"/>
      <c r="K1519" s="5"/>
      <c r="L1519" s="5"/>
      <c r="M1519" s="5"/>
      <c r="N1519" s="5"/>
    </row>
    <row r="1520" spans="8:14" ht="22.5" customHeight="1" x14ac:dyDescent="0.2">
      <c r="H1520" s="5"/>
      <c r="I1520" s="5"/>
      <c r="J1520" s="5"/>
      <c r="K1520" s="5"/>
      <c r="L1520" s="5"/>
      <c r="M1520" s="5"/>
      <c r="N1520" s="5"/>
    </row>
    <row r="1521" spans="8:14" ht="22.5" customHeight="1" x14ac:dyDescent="0.2">
      <c r="H1521" s="5"/>
      <c r="I1521" s="5"/>
      <c r="J1521" s="5"/>
      <c r="K1521" s="5"/>
      <c r="L1521" s="5"/>
      <c r="M1521" s="5"/>
      <c r="N1521" s="5"/>
    </row>
    <row r="1522" spans="8:14" ht="22.5" customHeight="1" x14ac:dyDescent="0.2">
      <c r="H1522" s="5"/>
      <c r="I1522" s="5"/>
      <c r="J1522" s="5"/>
      <c r="K1522" s="5"/>
      <c r="L1522" s="5"/>
      <c r="M1522" s="5"/>
      <c r="N1522" s="5"/>
    </row>
    <row r="1523" spans="8:14" ht="22.5" customHeight="1" x14ac:dyDescent="0.2">
      <c r="H1523" s="5"/>
      <c r="I1523" s="5"/>
      <c r="J1523" s="5"/>
      <c r="K1523" s="5"/>
      <c r="L1523" s="5"/>
      <c r="M1523" s="5"/>
      <c r="N1523" s="5"/>
    </row>
    <row r="1524" spans="8:14" ht="22.5" customHeight="1" x14ac:dyDescent="0.2">
      <c r="H1524" s="5"/>
      <c r="I1524" s="5"/>
      <c r="J1524" s="5"/>
      <c r="K1524" s="5"/>
      <c r="L1524" s="5"/>
      <c r="M1524" s="5"/>
      <c r="N1524" s="5"/>
    </row>
    <row r="1525" spans="8:14" ht="22.5" customHeight="1" x14ac:dyDescent="0.2">
      <c r="H1525" s="5"/>
      <c r="I1525" s="5"/>
      <c r="J1525" s="5"/>
      <c r="K1525" s="5"/>
      <c r="L1525" s="5"/>
      <c r="M1525" s="5"/>
      <c r="N1525" s="5"/>
    </row>
    <row r="1526" spans="8:14" ht="22.5" customHeight="1" x14ac:dyDescent="0.2">
      <c r="H1526" s="5"/>
      <c r="I1526" s="5"/>
      <c r="J1526" s="5"/>
      <c r="K1526" s="5"/>
      <c r="L1526" s="5"/>
      <c r="M1526" s="5"/>
      <c r="N1526" s="5"/>
    </row>
    <row r="1527" spans="8:14" ht="22.5" customHeight="1" x14ac:dyDescent="0.2">
      <c r="H1527" s="5"/>
      <c r="I1527" s="5"/>
      <c r="J1527" s="5"/>
      <c r="K1527" s="5"/>
      <c r="L1527" s="5"/>
      <c r="M1527" s="5"/>
      <c r="N1527" s="5"/>
    </row>
    <row r="1528" spans="8:14" ht="22.5" customHeight="1" x14ac:dyDescent="0.2">
      <c r="H1528" s="5"/>
      <c r="I1528" s="5"/>
      <c r="J1528" s="5"/>
      <c r="K1528" s="5"/>
      <c r="L1528" s="5"/>
      <c r="M1528" s="5"/>
      <c r="N1528" s="5"/>
    </row>
    <row r="1529" spans="8:14" ht="22.5" customHeight="1" x14ac:dyDescent="0.2">
      <c r="H1529" s="5"/>
      <c r="I1529" s="5"/>
      <c r="J1529" s="5"/>
      <c r="K1529" s="5"/>
      <c r="L1529" s="5"/>
      <c r="M1529" s="5"/>
      <c r="N1529" s="5"/>
    </row>
    <row r="1530" spans="8:14" ht="22.5" customHeight="1" x14ac:dyDescent="0.2">
      <c r="H1530" s="5"/>
      <c r="I1530" s="5"/>
      <c r="J1530" s="5"/>
      <c r="K1530" s="5"/>
      <c r="L1530" s="5"/>
      <c r="M1530" s="5"/>
      <c r="N1530" s="5"/>
    </row>
    <row r="1531" spans="8:14" ht="22.5" customHeight="1" x14ac:dyDescent="0.2">
      <c r="H1531" s="5"/>
      <c r="I1531" s="5"/>
      <c r="J1531" s="5"/>
      <c r="K1531" s="5"/>
      <c r="L1531" s="5"/>
      <c r="M1531" s="5"/>
      <c r="N1531" s="5"/>
    </row>
    <row r="1532" spans="8:14" ht="22.5" customHeight="1" x14ac:dyDescent="0.2">
      <c r="H1532" s="5"/>
      <c r="I1532" s="5"/>
      <c r="J1532" s="5"/>
      <c r="K1532" s="5"/>
      <c r="L1532" s="5"/>
      <c r="M1532" s="5"/>
      <c r="N1532" s="5"/>
    </row>
    <row r="1533" spans="8:14" ht="22.5" customHeight="1" x14ac:dyDescent="0.2">
      <c r="H1533" s="5"/>
      <c r="I1533" s="5"/>
      <c r="J1533" s="5"/>
      <c r="K1533" s="5"/>
      <c r="L1533" s="5"/>
      <c r="M1533" s="5"/>
      <c r="N1533" s="5"/>
    </row>
    <row r="1534" spans="8:14" ht="22.5" customHeight="1" x14ac:dyDescent="0.2">
      <c r="H1534" s="5"/>
      <c r="I1534" s="5"/>
      <c r="J1534" s="5"/>
      <c r="K1534" s="5"/>
      <c r="L1534" s="5"/>
      <c r="M1534" s="5"/>
      <c r="N1534" s="5"/>
    </row>
    <row r="1535" spans="8:14" ht="22.5" customHeight="1" x14ac:dyDescent="0.2">
      <c r="H1535" s="5"/>
      <c r="I1535" s="5"/>
      <c r="J1535" s="5"/>
      <c r="K1535" s="5"/>
      <c r="L1535" s="5"/>
      <c r="M1535" s="5"/>
      <c r="N1535" s="5"/>
    </row>
    <row r="1536" spans="8:14" ht="22.5" customHeight="1" x14ac:dyDescent="0.2">
      <c r="H1536" s="5"/>
      <c r="I1536" s="5"/>
      <c r="J1536" s="5"/>
      <c r="K1536" s="5"/>
      <c r="L1536" s="5"/>
      <c r="M1536" s="5"/>
      <c r="N1536" s="5"/>
    </row>
    <row r="1537" spans="8:14" ht="22.5" customHeight="1" x14ac:dyDescent="0.2">
      <c r="H1537" s="5"/>
      <c r="I1537" s="5"/>
      <c r="J1537" s="5"/>
      <c r="K1537" s="5"/>
      <c r="L1537" s="5"/>
      <c r="M1537" s="5"/>
      <c r="N1537" s="5"/>
    </row>
    <row r="1538" spans="8:14" ht="22.5" customHeight="1" x14ac:dyDescent="0.2">
      <c r="H1538" s="5"/>
      <c r="I1538" s="5"/>
      <c r="J1538" s="5"/>
      <c r="K1538" s="5"/>
      <c r="L1538" s="5"/>
      <c r="M1538" s="5"/>
      <c r="N1538" s="5"/>
    </row>
    <row r="1539" spans="8:14" ht="22.5" customHeight="1" x14ac:dyDescent="0.2">
      <c r="H1539" s="5"/>
      <c r="I1539" s="5"/>
      <c r="J1539" s="5"/>
      <c r="K1539" s="5"/>
      <c r="L1539" s="5"/>
      <c r="M1539" s="5"/>
      <c r="N1539" s="5"/>
    </row>
    <row r="1540" spans="8:14" ht="22.5" customHeight="1" x14ac:dyDescent="0.2">
      <c r="H1540" s="5"/>
      <c r="I1540" s="5"/>
      <c r="J1540" s="5"/>
      <c r="K1540" s="5"/>
      <c r="L1540" s="5"/>
      <c r="M1540" s="5"/>
      <c r="N1540" s="5"/>
    </row>
    <row r="1541" spans="8:14" ht="22.5" customHeight="1" x14ac:dyDescent="0.2">
      <c r="H1541" s="5"/>
      <c r="I1541" s="5"/>
      <c r="J1541" s="5"/>
      <c r="K1541" s="5"/>
      <c r="L1541" s="5"/>
      <c r="M1541" s="5"/>
      <c r="N1541" s="5"/>
    </row>
    <row r="1542" spans="8:14" ht="22.5" customHeight="1" x14ac:dyDescent="0.2">
      <c r="H1542" s="5"/>
      <c r="I1542" s="5"/>
      <c r="J1542" s="5"/>
      <c r="K1542" s="5"/>
      <c r="L1542" s="5"/>
      <c r="M1542" s="5"/>
      <c r="N1542" s="5"/>
    </row>
    <row r="1543" spans="8:14" ht="22.5" customHeight="1" x14ac:dyDescent="0.2">
      <c r="H1543" s="5"/>
      <c r="I1543" s="5"/>
      <c r="J1543" s="5"/>
      <c r="K1543" s="5"/>
      <c r="L1543" s="5"/>
      <c r="M1543" s="5"/>
      <c r="N1543" s="5"/>
    </row>
    <row r="1544" spans="8:14" ht="22.5" customHeight="1" x14ac:dyDescent="0.2">
      <c r="H1544" s="5"/>
      <c r="I1544" s="5"/>
      <c r="J1544" s="5"/>
      <c r="K1544" s="5"/>
      <c r="L1544" s="5"/>
      <c r="M1544" s="5"/>
      <c r="N1544" s="5"/>
    </row>
    <row r="1545" spans="8:14" ht="22.5" customHeight="1" x14ac:dyDescent="0.2">
      <c r="H1545" s="5"/>
      <c r="I1545" s="5"/>
      <c r="J1545" s="5"/>
      <c r="K1545" s="5"/>
      <c r="L1545" s="5"/>
      <c r="M1545" s="5"/>
      <c r="N1545" s="5"/>
    </row>
    <row r="1546" spans="8:14" ht="22.5" customHeight="1" x14ac:dyDescent="0.2">
      <c r="H1546" s="5"/>
      <c r="I1546" s="5"/>
      <c r="J1546" s="5"/>
      <c r="K1546" s="5"/>
      <c r="L1546" s="5"/>
      <c r="M1546" s="5"/>
      <c r="N1546" s="5"/>
    </row>
    <row r="1547" spans="8:14" ht="22.5" customHeight="1" x14ac:dyDescent="0.2">
      <c r="H1547" s="5"/>
      <c r="I1547" s="5"/>
      <c r="J1547" s="5"/>
      <c r="K1547" s="5"/>
      <c r="L1547" s="5"/>
      <c r="M1547" s="5"/>
      <c r="N1547" s="5"/>
    </row>
    <row r="1548" spans="8:14" ht="22.5" customHeight="1" x14ac:dyDescent="0.2">
      <c r="H1548" s="5"/>
      <c r="I1548" s="5"/>
      <c r="J1548" s="5"/>
      <c r="K1548" s="5"/>
      <c r="L1548" s="5"/>
      <c r="M1548" s="5"/>
      <c r="N1548" s="5"/>
    </row>
    <row r="1549" spans="8:14" ht="22.5" customHeight="1" x14ac:dyDescent="0.2">
      <c r="H1549" s="5"/>
      <c r="I1549" s="5"/>
      <c r="J1549" s="5"/>
      <c r="K1549" s="5"/>
      <c r="L1549" s="5"/>
      <c r="M1549" s="5"/>
      <c r="N1549" s="5"/>
    </row>
    <row r="1550" spans="8:14" ht="22.5" customHeight="1" x14ac:dyDescent="0.2">
      <c r="H1550" s="5"/>
      <c r="I1550" s="5"/>
      <c r="J1550" s="5"/>
      <c r="K1550" s="5"/>
      <c r="L1550" s="5"/>
      <c r="M1550" s="5"/>
      <c r="N1550" s="5"/>
    </row>
    <row r="1551" spans="8:14" ht="22.5" customHeight="1" x14ac:dyDescent="0.2">
      <c r="H1551" s="5"/>
      <c r="I1551" s="5"/>
      <c r="J1551" s="5"/>
      <c r="K1551" s="5"/>
      <c r="L1551" s="5"/>
      <c r="M1551" s="5"/>
      <c r="N1551" s="5"/>
    </row>
    <row r="1552" spans="8:14" ht="22.5" customHeight="1" x14ac:dyDescent="0.2">
      <c r="H1552" s="5"/>
      <c r="I1552" s="5"/>
      <c r="J1552" s="5"/>
      <c r="K1552" s="5"/>
      <c r="L1552" s="5"/>
      <c r="M1552" s="5"/>
      <c r="N1552" s="5"/>
    </row>
    <row r="1553" spans="8:14" ht="22.5" customHeight="1" x14ac:dyDescent="0.2">
      <c r="H1553" s="5"/>
      <c r="I1553" s="5"/>
      <c r="J1553" s="5"/>
      <c r="K1553" s="5"/>
      <c r="L1553" s="5"/>
      <c r="M1553" s="5"/>
      <c r="N1553" s="5"/>
    </row>
    <row r="1554" spans="8:14" ht="22.5" customHeight="1" x14ac:dyDescent="0.2">
      <c r="H1554" s="5"/>
      <c r="I1554" s="5"/>
      <c r="J1554" s="5"/>
      <c r="K1554" s="5"/>
      <c r="L1554" s="5"/>
      <c r="M1554" s="5"/>
      <c r="N1554" s="5"/>
    </row>
    <row r="1555" spans="8:14" ht="22.5" customHeight="1" x14ac:dyDescent="0.2">
      <c r="H1555" s="5"/>
      <c r="I1555" s="5"/>
      <c r="J1555" s="5"/>
      <c r="K1555" s="5"/>
      <c r="L1555" s="5"/>
      <c r="M1555" s="5"/>
      <c r="N1555" s="5"/>
    </row>
    <row r="1556" spans="8:14" ht="22.5" customHeight="1" x14ac:dyDescent="0.2">
      <c r="H1556" s="5"/>
      <c r="I1556" s="5"/>
      <c r="J1556" s="5"/>
      <c r="K1556" s="5"/>
      <c r="L1556" s="5"/>
      <c r="M1556" s="5"/>
      <c r="N1556" s="5"/>
    </row>
    <row r="1557" spans="8:14" ht="22.5" customHeight="1" x14ac:dyDescent="0.2">
      <c r="H1557" s="5"/>
      <c r="I1557" s="5"/>
      <c r="J1557" s="5"/>
      <c r="K1557" s="5"/>
      <c r="L1557" s="5"/>
      <c r="M1557" s="5"/>
      <c r="N1557" s="5"/>
    </row>
    <row r="1558" spans="8:14" ht="22.5" customHeight="1" x14ac:dyDescent="0.2">
      <c r="H1558" s="5"/>
      <c r="I1558" s="5"/>
      <c r="J1558" s="5"/>
      <c r="K1558" s="5"/>
      <c r="L1558" s="5"/>
      <c r="M1558" s="5"/>
      <c r="N1558" s="5"/>
    </row>
    <row r="1559" spans="8:14" ht="22.5" customHeight="1" x14ac:dyDescent="0.2">
      <c r="H1559" s="5"/>
      <c r="I1559" s="5"/>
      <c r="J1559" s="5"/>
      <c r="K1559" s="5"/>
      <c r="L1559" s="5"/>
      <c r="M1559" s="5"/>
      <c r="N1559" s="5"/>
    </row>
    <row r="1560" spans="8:14" ht="22.5" customHeight="1" x14ac:dyDescent="0.2">
      <c r="H1560" s="5"/>
      <c r="I1560" s="5"/>
      <c r="J1560" s="5"/>
      <c r="K1560" s="5"/>
      <c r="L1560" s="5"/>
      <c r="M1560" s="5"/>
      <c r="N1560" s="5"/>
    </row>
    <row r="1561" spans="8:14" ht="22.5" customHeight="1" x14ac:dyDescent="0.2">
      <c r="H1561" s="5"/>
      <c r="I1561" s="5"/>
      <c r="J1561" s="5"/>
      <c r="K1561" s="5"/>
      <c r="L1561" s="5"/>
      <c r="M1561" s="5"/>
      <c r="N1561" s="5"/>
    </row>
    <row r="1562" spans="8:14" ht="22.5" customHeight="1" x14ac:dyDescent="0.2">
      <c r="H1562" s="5"/>
      <c r="I1562" s="5"/>
      <c r="J1562" s="5"/>
      <c r="K1562" s="5"/>
      <c r="L1562" s="5"/>
      <c r="M1562" s="5"/>
      <c r="N1562" s="5"/>
    </row>
    <row r="1563" spans="8:14" ht="22.5" customHeight="1" x14ac:dyDescent="0.2">
      <c r="H1563" s="5"/>
      <c r="I1563" s="5"/>
      <c r="J1563" s="5"/>
      <c r="K1563" s="5"/>
      <c r="L1563" s="5"/>
      <c r="M1563" s="5"/>
      <c r="N1563" s="5"/>
    </row>
    <row r="1564" spans="8:14" ht="22.5" customHeight="1" x14ac:dyDescent="0.2">
      <c r="H1564" s="5"/>
      <c r="I1564" s="5"/>
      <c r="J1564" s="5"/>
      <c r="K1564" s="5"/>
      <c r="L1564" s="5"/>
      <c r="M1564" s="5"/>
      <c r="N1564" s="5"/>
    </row>
    <row r="1565" spans="8:14" ht="22.5" customHeight="1" x14ac:dyDescent="0.2">
      <c r="H1565" s="5"/>
      <c r="I1565" s="5"/>
      <c r="J1565" s="5"/>
      <c r="K1565" s="5"/>
      <c r="L1565" s="5"/>
      <c r="M1565" s="5"/>
      <c r="N1565" s="5"/>
    </row>
    <row r="1566" spans="8:14" ht="22.5" customHeight="1" x14ac:dyDescent="0.2">
      <c r="H1566" s="5"/>
      <c r="I1566" s="5"/>
      <c r="J1566" s="5"/>
      <c r="K1566" s="5"/>
      <c r="L1566" s="5"/>
      <c r="M1566" s="5"/>
      <c r="N1566" s="5"/>
    </row>
    <row r="1567" spans="8:14" ht="22.5" customHeight="1" x14ac:dyDescent="0.2">
      <c r="H1567" s="5"/>
      <c r="I1567" s="5"/>
      <c r="J1567" s="5"/>
      <c r="K1567" s="5"/>
      <c r="L1567" s="5"/>
      <c r="M1567" s="5"/>
      <c r="N1567" s="5"/>
    </row>
    <row r="1568" spans="8:14" ht="22.5" customHeight="1" x14ac:dyDescent="0.2">
      <c r="H1568" s="5"/>
      <c r="I1568" s="5"/>
      <c r="J1568" s="5"/>
      <c r="K1568" s="5"/>
      <c r="L1568" s="5"/>
      <c r="M1568" s="5"/>
      <c r="N1568" s="5"/>
    </row>
    <row r="1569" spans="8:14" ht="22.5" customHeight="1" x14ac:dyDescent="0.2">
      <c r="H1569" s="5"/>
      <c r="I1569" s="5"/>
      <c r="J1569" s="5"/>
      <c r="K1569" s="5"/>
      <c r="L1569" s="5"/>
      <c r="M1569" s="5"/>
      <c r="N1569" s="5"/>
    </row>
    <row r="1570" spans="8:14" ht="22.5" customHeight="1" x14ac:dyDescent="0.2">
      <c r="H1570" s="5"/>
      <c r="I1570" s="5"/>
      <c r="J1570" s="5"/>
      <c r="K1570" s="5"/>
      <c r="L1570" s="5"/>
      <c r="M1570" s="5"/>
      <c r="N1570" s="5"/>
    </row>
    <row r="1571" spans="8:14" ht="22.5" customHeight="1" x14ac:dyDescent="0.2">
      <c r="H1571" s="5"/>
      <c r="I1571" s="5"/>
      <c r="J1571" s="5"/>
      <c r="K1571" s="5"/>
      <c r="L1571" s="5"/>
      <c r="M1571" s="5"/>
      <c r="N1571" s="5"/>
    </row>
    <row r="1572" spans="8:14" ht="22.5" customHeight="1" x14ac:dyDescent="0.2">
      <c r="H1572" s="5"/>
      <c r="I1572" s="5"/>
      <c r="J1572" s="5"/>
      <c r="K1572" s="5"/>
      <c r="L1572" s="5"/>
      <c r="M1572" s="5"/>
      <c r="N1572" s="5"/>
    </row>
    <row r="1573" spans="8:14" ht="22.5" customHeight="1" x14ac:dyDescent="0.2">
      <c r="H1573" s="5"/>
      <c r="I1573" s="5"/>
      <c r="J1573" s="5"/>
      <c r="K1573" s="5"/>
      <c r="L1573" s="5"/>
      <c r="M1573" s="5"/>
      <c r="N1573" s="5"/>
    </row>
    <row r="1574" spans="8:14" ht="22.5" customHeight="1" x14ac:dyDescent="0.2">
      <c r="H1574" s="5"/>
      <c r="I1574" s="5"/>
      <c r="J1574" s="5"/>
      <c r="K1574" s="5"/>
      <c r="L1574" s="5"/>
      <c r="M1574" s="5"/>
      <c r="N1574" s="5"/>
    </row>
    <row r="1575" spans="8:14" ht="22.5" customHeight="1" x14ac:dyDescent="0.2">
      <c r="H1575" s="5"/>
      <c r="I1575" s="5"/>
      <c r="J1575" s="5"/>
      <c r="K1575" s="5"/>
      <c r="L1575" s="5"/>
      <c r="M1575" s="5"/>
      <c r="N1575" s="5"/>
    </row>
    <row r="1576" spans="8:14" ht="22.5" customHeight="1" x14ac:dyDescent="0.2">
      <c r="H1576" s="5"/>
      <c r="I1576" s="5"/>
      <c r="J1576" s="5"/>
      <c r="K1576" s="5"/>
      <c r="L1576" s="5"/>
      <c r="M1576" s="5"/>
      <c r="N1576" s="5"/>
    </row>
    <row r="1577" spans="8:14" ht="22.5" customHeight="1" x14ac:dyDescent="0.2">
      <c r="H1577" s="5"/>
      <c r="I1577" s="5"/>
      <c r="J1577" s="5"/>
      <c r="K1577" s="5"/>
      <c r="L1577" s="5"/>
      <c r="M1577" s="5"/>
      <c r="N1577" s="5"/>
    </row>
    <row r="1578" spans="8:14" ht="22.5" customHeight="1" x14ac:dyDescent="0.2">
      <c r="H1578" s="5"/>
      <c r="I1578" s="5"/>
      <c r="J1578" s="5"/>
      <c r="K1578" s="5"/>
      <c r="L1578" s="5"/>
      <c r="M1578" s="5"/>
      <c r="N1578" s="5"/>
    </row>
    <row r="1579" spans="8:14" ht="22.5" customHeight="1" x14ac:dyDescent="0.2">
      <c r="H1579" s="5"/>
      <c r="I1579" s="5"/>
      <c r="J1579" s="5"/>
      <c r="K1579" s="5"/>
      <c r="L1579" s="5"/>
      <c r="M1579" s="5"/>
      <c r="N1579" s="5"/>
    </row>
    <row r="1580" spans="8:14" ht="22.5" customHeight="1" x14ac:dyDescent="0.2">
      <c r="H1580" s="5"/>
      <c r="I1580" s="5"/>
      <c r="J1580" s="5"/>
      <c r="K1580" s="5"/>
      <c r="L1580" s="5"/>
      <c r="M1580" s="5"/>
      <c r="N1580" s="5"/>
    </row>
    <row r="1581" spans="8:14" ht="22.5" customHeight="1" x14ac:dyDescent="0.2">
      <c r="H1581" s="5"/>
      <c r="I1581" s="5"/>
      <c r="J1581" s="5"/>
      <c r="K1581" s="5"/>
      <c r="L1581" s="5"/>
      <c r="M1581" s="5"/>
      <c r="N1581" s="5"/>
    </row>
    <row r="1582" spans="8:14" ht="22.5" customHeight="1" x14ac:dyDescent="0.2">
      <c r="H1582" s="5"/>
      <c r="I1582" s="5"/>
      <c r="J1582" s="5"/>
      <c r="K1582" s="5"/>
      <c r="L1582" s="5"/>
      <c r="M1582" s="5"/>
      <c r="N1582" s="5"/>
    </row>
    <row r="1583" spans="8:14" ht="22.5" customHeight="1" x14ac:dyDescent="0.2">
      <c r="H1583" s="5"/>
      <c r="I1583" s="5"/>
      <c r="J1583" s="5"/>
      <c r="K1583" s="5"/>
      <c r="L1583" s="5"/>
      <c r="M1583" s="5"/>
      <c r="N1583" s="5"/>
    </row>
    <row r="1584" spans="8:14" ht="22.5" customHeight="1" x14ac:dyDescent="0.2">
      <c r="H1584" s="5"/>
      <c r="I1584" s="5"/>
      <c r="J1584" s="5"/>
      <c r="K1584" s="5"/>
      <c r="L1584" s="5"/>
      <c r="M1584" s="5"/>
      <c r="N1584" s="5"/>
    </row>
    <row r="1585" spans="8:14" ht="22.5" customHeight="1" x14ac:dyDescent="0.2">
      <c r="H1585" s="5"/>
      <c r="I1585" s="5"/>
      <c r="J1585" s="5"/>
      <c r="K1585" s="5"/>
      <c r="L1585" s="5"/>
      <c r="M1585" s="5"/>
      <c r="N1585" s="5"/>
    </row>
    <row r="1586" spans="8:14" ht="22.5" customHeight="1" x14ac:dyDescent="0.2">
      <c r="H1586" s="5"/>
      <c r="I1586" s="5"/>
      <c r="J1586" s="5"/>
      <c r="K1586" s="5"/>
      <c r="L1586" s="5"/>
      <c r="M1586" s="5"/>
      <c r="N1586" s="5"/>
    </row>
    <row r="1587" spans="8:14" ht="22.5" customHeight="1" x14ac:dyDescent="0.2">
      <c r="H1587" s="5"/>
      <c r="I1587" s="5"/>
      <c r="J1587" s="5"/>
      <c r="K1587" s="5"/>
      <c r="L1587" s="5"/>
      <c r="M1587" s="5"/>
      <c r="N1587" s="5"/>
    </row>
    <row r="1588" spans="8:14" ht="22.5" customHeight="1" x14ac:dyDescent="0.2">
      <c r="H1588" s="5"/>
      <c r="I1588" s="5"/>
      <c r="J1588" s="5"/>
      <c r="K1588" s="5"/>
      <c r="L1588" s="5"/>
      <c r="M1588" s="5"/>
      <c r="N1588" s="5"/>
    </row>
    <row r="1589" spans="8:14" ht="22.5" customHeight="1" x14ac:dyDescent="0.2">
      <c r="H1589" s="5"/>
      <c r="I1589" s="5"/>
      <c r="J1589" s="5"/>
      <c r="K1589" s="5"/>
      <c r="L1589" s="5"/>
      <c r="M1589" s="5"/>
      <c r="N1589" s="5"/>
    </row>
    <row r="1590" spans="8:14" ht="22.5" customHeight="1" x14ac:dyDescent="0.2">
      <c r="H1590" s="5"/>
      <c r="I1590" s="5"/>
      <c r="J1590" s="5"/>
      <c r="K1590" s="5"/>
      <c r="L1590" s="5"/>
      <c r="M1590" s="5"/>
      <c r="N1590" s="5"/>
    </row>
    <row r="1591" spans="8:14" ht="22.5" customHeight="1" x14ac:dyDescent="0.2">
      <c r="H1591" s="5"/>
      <c r="I1591" s="5"/>
      <c r="J1591" s="5"/>
      <c r="K1591" s="5"/>
      <c r="L1591" s="5"/>
      <c r="M1591" s="5"/>
      <c r="N1591" s="5"/>
    </row>
    <row r="1592" spans="8:14" ht="22.5" customHeight="1" x14ac:dyDescent="0.2">
      <c r="H1592" s="5"/>
      <c r="I1592" s="5"/>
      <c r="J1592" s="5"/>
      <c r="K1592" s="5"/>
      <c r="L1592" s="5"/>
      <c r="M1592" s="5"/>
      <c r="N1592" s="5"/>
    </row>
    <row r="1593" spans="8:14" ht="22.5" customHeight="1" x14ac:dyDescent="0.2">
      <c r="H1593" s="5"/>
      <c r="I1593" s="5"/>
      <c r="J1593" s="5"/>
      <c r="K1593" s="5"/>
      <c r="L1593" s="5"/>
      <c r="M1593" s="5"/>
      <c r="N1593" s="5"/>
    </row>
    <row r="1594" spans="8:14" ht="22.5" customHeight="1" x14ac:dyDescent="0.2">
      <c r="H1594" s="5"/>
      <c r="I1594" s="5"/>
      <c r="J1594" s="5"/>
      <c r="K1594" s="5"/>
      <c r="L1594" s="5"/>
      <c r="M1594" s="5"/>
      <c r="N1594" s="5"/>
    </row>
    <row r="1595" spans="8:14" ht="22.5" customHeight="1" x14ac:dyDescent="0.2">
      <c r="H1595" s="5"/>
      <c r="I1595" s="5"/>
      <c r="J1595" s="5"/>
      <c r="K1595" s="5"/>
      <c r="L1595" s="5"/>
      <c r="M1595" s="5"/>
      <c r="N1595" s="5"/>
    </row>
    <row r="1596" spans="8:14" ht="22.5" customHeight="1" x14ac:dyDescent="0.2">
      <c r="H1596" s="5"/>
      <c r="I1596" s="5"/>
      <c r="J1596" s="5"/>
      <c r="K1596" s="5"/>
      <c r="L1596" s="5"/>
      <c r="M1596" s="5"/>
      <c r="N1596" s="5"/>
    </row>
    <row r="1597" spans="8:14" ht="22.5" customHeight="1" x14ac:dyDescent="0.2">
      <c r="H1597" s="5"/>
      <c r="I1597" s="5"/>
      <c r="J1597" s="5"/>
      <c r="K1597" s="5"/>
      <c r="L1597" s="5"/>
      <c r="M1597" s="5"/>
      <c r="N1597" s="5"/>
    </row>
    <row r="1598" spans="8:14" ht="22.5" customHeight="1" x14ac:dyDescent="0.2">
      <c r="H1598" s="5"/>
      <c r="I1598" s="5"/>
      <c r="J1598" s="5"/>
      <c r="K1598" s="5"/>
      <c r="L1598" s="5"/>
      <c r="M1598" s="5"/>
      <c r="N1598" s="5"/>
    </row>
    <row r="1599" spans="8:14" ht="22.5" customHeight="1" x14ac:dyDescent="0.2">
      <c r="H1599" s="5"/>
      <c r="I1599" s="5"/>
      <c r="J1599" s="5"/>
      <c r="K1599" s="5"/>
      <c r="L1599" s="5"/>
      <c r="M1599" s="5"/>
      <c r="N1599" s="5"/>
    </row>
    <row r="1600" spans="8:14" ht="22.5" customHeight="1" x14ac:dyDescent="0.2">
      <c r="H1600" s="5"/>
      <c r="I1600" s="5"/>
      <c r="J1600" s="5"/>
      <c r="K1600" s="5"/>
      <c r="L1600" s="5"/>
      <c r="M1600" s="5"/>
      <c r="N1600" s="5"/>
    </row>
    <row r="1601" spans="8:14" ht="22.5" customHeight="1" x14ac:dyDescent="0.2">
      <c r="H1601" s="5"/>
      <c r="I1601" s="5"/>
      <c r="J1601" s="5"/>
      <c r="K1601" s="5"/>
      <c r="L1601" s="5"/>
      <c r="M1601" s="5"/>
      <c r="N1601" s="5"/>
    </row>
    <row r="1602" spans="8:14" ht="22.5" customHeight="1" x14ac:dyDescent="0.2">
      <c r="H1602" s="5"/>
      <c r="I1602" s="5"/>
      <c r="J1602" s="5"/>
      <c r="K1602" s="5"/>
      <c r="L1602" s="5"/>
      <c r="M1602" s="5"/>
      <c r="N1602" s="5"/>
    </row>
    <row r="1603" spans="8:14" ht="22.5" customHeight="1" x14ac:dyDescent="0.2">
      <c r="H1603" s="5"/>
      <c r="I1603" s="5"/>
      <c r="J1603" s="5"/>
      <c r="K1603" s="5"/>
      <c r="L1603" s="5"/>
      <c r="M1603" s="5"/>
      <c r="N1603" s="5"/>
    </row>
    <row r="1604" spans="8:14" ht="22.5" customHeight="1" x14ac:dyDescent="0.2">
      <c r="H1604" s="5"/>
      <c r="I1604" s="5"/>
      <c r="J1604" s="5"/>
      <c r="K1604" s="5"/>
      <c r="L1604" s="5"/>
      <c r="M1604" s="5"/>
      <c r="N1604" s="5"/>
    </row>
    <row r="1605" spans="8:14" ht="22.5" customHeight="1" x14ac:dyDescent="0.2">
      <c r="H1605" s="5"/>
      <c r="I1605" s="5"/>
      <c r="J1605" s="5"/>
      <c r="K1605" s="5"/>
      <c r="L1605" s="5"/>
      <c r="M1605" s="5"/>
      <c r="N1605" s="5"/>
    </row>
    <row r="1606" spans="8:14" ht="22.5" customHeight="1" x14ac:dyDescent="0.2">
      <c r="H1606" s="5"/>
      <c r="I1606" s="5"/>
      <c r="J1606" s="5"/>
      <c r="K1606" s="5"/>
      <c r="L1606" s="5"/>
      <c r="M1606" s="5"/>
      <c r="N1606" s="5"/>
    </row>
    <row r="1607" spans="8:14" ht="22.5" customHeight="1" x14ac:dyDescent="0.2">
      <c r="H1607" s="5"/>
      <c r="I1607" s="5"/>
      <c r="J1607" s="5"/>
      <c r="K1607" s="5"/>
      <c r="L1607" s="5"/>
      <c r="M1607" s="5"/>
      <c r="N1607" s="5"/>
    </row>
    <row r="1608" spans="8:14" ht="22.5" customHeight="1" x14ac:dyDescent="0.2">
      <c r="H1608" s="5"/>
      <c r="I1608" s="5"/>
      <c r="J1608" s="5"/>
      <c r="K1608" s="5"/>
      <c r="L1608" s="5"/>
      <c r="M1608" s="5"/>
      <c r="N1608" s="5"/>
    </row>
    <row r="1609" spans="8:14" ht="22.5" customHeight="1" x14ac:dyDescent="0.2">
      <c r="H1609" s="5"/>
      <c r="I1609" s="5"/>
      <c r="J1609" s="5"/>
      <c r="K1609" s="5"/>
      <c r="L1609" s="5"/>
      <c r="M1609" s="5"/>
      <c r="N1609" s="5"/>
    </row>
    <row r="1610" spans="8:14" ht="22.5" customHeight="1" x14ac:dyDescent="0.2">
      <c r="H1610" s="5"/>
      <c r="I1610" s="5"/>
      <c r="J1610" s="5"/>
      <c r="K1610" s="5"/>
      <c r="L1610" s="5"/>
      <c r="M1610" s="5"/>
      <c r="N1610" s="5"/>
    </row>
    <row r="1611" spans="8:14" ht="22.5" customHeight="1" x14ac:dyDescent="0.2">
      <c r="H1611" s="5"/>
      <c r="I1611" s="5"/>
      <c r="J1611" s="5"/>
      <c r="K1611" s="5"/>
      <c r="L1611" s="5"/>
      <c r="M1611" s="5"/>
      <c r="N1611" s="5"/>
    </row>
    <row r="1612" spans="8:14" ht="22.5" customHeight="1" x14ac:dyDescent="0.2">
      <c r="H1612" s="5"/>
      <c r="I1612" s="5"/>
      <c r="J1612" s="5"/>
      <c r="K1612" s="5"/>
      <c r="L1612" s="5"/>
      <c r="M1612" s="5"/>
      <c r="N1612" s="5"/>
    </row>
    <row r="1613" spans="8:14" ht="22.5" customHeight="1" x14ac:dyDescent="0.2">
      <c r="H1613" s="5"/>
      <c r="I1613" s="5"/>
      <c r="J1613" s="5"/>
      <c r="K1613" s="5"/>
      <c r="L1613" s="5"/>
      <c r="M1613" s="5"/>
      <c r="N1613" s="5"/>
    </row>
    <row r="1614" spans="8:14" ht="22.5" customHeight="1" x14ac:dyDescent="0.2">
      <c r="H1614" s="5"/>
      <c r="I1614" s="5"/>
      <c r="J1614" s="5"/>
      <c r="K1614" s="5"/>
      <c r="L1614" s="5"/>
      <c r="M1614" s="5"/>
      <c r="N1614" s="5"/>
    </row>
    <row r="1615" spans="8:14" ht="22.5" customHeight="1" x14ac:dyDescent="0.2">
      <c r="H1615" s="5"/>
      <c r="I1615" s="5"/>
      <c r="J1615" s="5"/>
      <c r="K1615" s="5"/>
      <c r="L1615" s="5"/>
      <c r="M1615" s="5"/>
      <c r="N1615" s="5"/>
    </row>
    <row r="1616" spans="8:14" ht="22.5" customHeight="1" x14ac:dyDescent="0.2">
      <c r="H1616" s="5"/>
      <c r="I1616" s="5"/>
      <c r="J1616" s="5"/>
      <c r="K1616" s="5"/>
      <c r="L1616" s="5"/>
      <c r="M1616" s="5"/>
      <c r="N1616" s="5"/>
    </row>
    <row r="1617" spans="8:14" ht="22.5" customHeight="1" x14ac:dyDescent="0.2">
      <c r="H1617" s="5"/>
      <c r="I1617" s="5"/>
      <c r="J1617" s="5"/>
      <c r="K1617" s="5"/>
      <c r="L1617" s="5"/>
      <c r="M1617" s="5"/>
      <c r="N1617" s="5"/>
    </row>
    <row r="1618" spans="8:14" ht="22.5" customHeight="1" x14ac:dyDescent="0.2">
      <c r="H1618" s="5"/>
      <c r="I1618" s="5"/>
      <c r="J1618" s="5"/>
      <c r="K1618" s="5"/>
      <c r="L1618" s="5"/>
      <c r="M1618" s="5"/>
      <c r="N1618" s="5"/>
    </row>
    <row r="1619" spans="8:14" ht="22.5" customHeight="1" x14ac:dyDescent="0.2">
      <c r="H1619" s="5"/>
      <c r="I1619" s="5"/>
      <c r="J1619" s="5"/>
      <c r="K1619" s="5"/>
      <c r="L1619" s="5"/>
      <c r="M1619" s="5"/>
      <c r="N1619" s="5"/>
    </row>
    <row r="1620" spans="8:14" ht="22.5" customHeight="1" x14ac:dyDescent="0.2">
      <c r="H1620" s="5"/>
      <c r="I1620" s="5"/>
      <c r="J1620" s="5"/>
      <c r="K1620" s="5"/>
      <c r="L1620" s="5"/>
      <c r="M1620" s="5"/>
      <c r="N1620" s="5"/>
    </row>
    <row r="1621" spans="8:14" ht="22.5" customHeight="1" x14ac:dyDescent="0.2">
      <c r="H1621" s="5"/>
      <c r="I1621" s="5"/>
      <c r="J1621" s="5"/>
      <c r="K1621" s="5"/>
      <c r="L1621" s="5"/>
      <c r="M1621" s="5"/>
      <c r="N1621" s="5"/>
    </row>
    <row r="1622" spans="8:14" ht="22.5" customHeight="1" x14ac:dyDescent="0.2">
      <c r="H1622" s="5"/>
      <c r="I1622" s="5"/>
      <c r="J1622" s="5"/>
      <c r="K1622" s="5"/>
      <c r="L1622" s="5"/>
      <c r="M1622" s="5"/>
      <c r="N1622" s="5"/>
    </row>
    <row r="1623" spans="8:14" ht="22.5" customHeight="1" x14ac:dyDescent="0.2">
      <c r="H1623" s="5"/>
      <c r="I1623" s="5"/>
      <c r="J1623" s="5"/>
      <c r="K1623" s="5"/>
      <c r="L1623" s="5"/>
      <c r="M1623" s="5"/>
      <c r="N1623" s="5"/>
    </row>
    <row r="1624" spans="8:14" ht="22.5" customHeight="1" x14ac:dyDescent="0.2">
      <c r="H1624" s="5"/>
      <c r="I1624" s="5"/>
      <c r="J1624" s="5"/>
      <c r="K1624" s="5"/>
      <c r="L1624" s="5"/>
      <c r="M1624" s="5"/>
      <c r="N1624" s="5"/>
    </row>
    <row r="1625" spans="8:14" ht="22.5" customHeight="1" x14ac:dyDescent="0.2">
      <c r="H1625" s="5"/>
      <c r="I1625" s="5"/>
      <c r="J1625" s="5"/>
      <c r="K1625" s="5"/>
      <c r="L1625" s="5"/>
      <c r="M1625" s="5"/>
      <c r="N1625" s="5"/>
    </row>
    <row r="1626" spans="8:14" ht="22.5" customHeight="1" x14ac:dyDescent="0.2">
      <c r="H1626" s="5"/>
      <c r="I1626" s="5"/>
      <c r="J1626" s="5"/>
      <c r="K1626" s="5"/>
      <c r="L1626" s="5"/>
      <c r="M1626" s="5"/>
      <c r="N1626" s="5"/>
    </row>
    <row r="1627" spans="8:14" ht="22.5" customHeight="1" x14ac:dyDescent="0.2">
      <c r="H1627" s="5"/>
      <c r="I1627" s="5"/>
      <c r="J1627" s="5"/>
      <c r="K1627" s="5"/>
      <c r="L1627" s="5"/>
      <c r="M1627" s="5"/>
      <c r="N1627" s="5"/>
    </row>
    <row r="1628" spans="8:14" ht="22.5" customHeight="1" x14ac:dyDescent="0.2">
      <c r="H1628" s="5"/>
      <c r="I1628" s="5"/>
      <c r="J1628" s="5"/>
      <c r="K1628" s="5"/>
      <c r="L1628" s="5"/>
      <c r="M1628" s="5"/>
      <c r="N1628" s="5"/>
    </row>
    <row r="1629" spans="8:14" ht="22.5" customHeight="1" x14ac:dyDescent="0.2">
      <c r="H1629" s="5"/>
      <c r="I1629" s="5"/>
      <c r="J1629" s="5"/>
      <c r="K1629" s="5"/>
      <c r="L1629" s="5"/>
      <c r="M1629" s="5"/>
      <c r="N1629" s="5"/>
    </row>
    <row r="1630" spans="8:14" ht="22.5" customHeight="1" x14ac:dyDescent="0.2">
      <c r="H1630" s="5"/>
      <c r="I1630" s="5"/>
      <c r="J1630" s="5"/>
      <c r="K1630" s="5"/>
      <c r="L1630" s="5"/>
      <c r="M1630" s="5"/>
      <c r="N1630" s="5"/>
    </row>
    <row r="1631" spans="8:14" ht="22.5" customHeight="1" x14ac:dyDescent="0.2">
      <c r="H1631" s="5"/>
      <c r="I1631" s="5"/>
      <c r="J1631" s="5"/>
      <c r="K1631" s="5"/>
      <c r="L1631" s="5"/>
      <c r="M1631" s="5"/>
      <c r="N1631" s="5"/>
    </row>
    <row r="1632" spans="8:14" ht="22.5" customHeight="1" x14ac:dyDescent="0.2">
      <c r="H1632" s="5"/>
      <c r="I1632" s="5"/>
      <c r="J1632" s="5"/>
      <c r="K1632" s="5"/>
      <c r="L1632" s="5"/>
      <c r="M1632" s="5"/>
      <c r="N1632" s="5"/>
    </row>
    <row r="1633" spans="8:14" ht="22.5" customHeight="1" x14ac:dyDescent="0.2">
      <c r="H1633" s="5"/>
      <c r="I1633" s="5"/>
      <c r="J1633" s="5"/>
      <c r="K1633" s="5"/>
      <c r="L1633" s="5"/>
      <c r="M1633" s="5"/>
      <c r="N1633" s="5"/>
    </row>
    <row r="1634" spans="8:14" ht="22.5" customHeight="1" x14ac:dyDescent="0.2">
      <c r="H1634" s="5"/>
      <c r="I1634" s="5"/>
      <c r="J1634" s="5"/>
      <c r="K1634" s="5"/>
      <c r="L1634" s="5"/>
      <c r="M1634" s="5"/>
      <c r="N1634" s="5"/>
    </row>
    <row r="1635" spans="8:14" ht="22.5" customHeight="1" x14ac:dyDescent="0.2">
      <c r="H1635" s="5"/>
      <c r="I1635" s="5"/>
      <c r="J1635" s="5"/>
      <c r="K1635" s="5"/>
      <c r="L1635" s="5"/>
      <c r="M1635" s="5"/>
      <c r="N1635" s="5"/>
    </row>
    <row r="1636" spans="8:14" ht="22.5" customHeight="1" x14ac:dyDescent="0.2">
      <c r="H1636" s="5"/>
      <c r="I1636" s="5"/>
      <c r="J1636" s="5"/>
      <c r="K1636" s="5"/>
      <c r="L1636" s="5"/>
      <c r="M1636" s="5"/>
      <c r="N1636" s="5"/>
    </row>
    <row r="1637" spans="8:14" ht="22.5" customHeight="1" x14ac:dyDescent="0.2">
      <c r="H1637" s="5"/>
      <c r="I1637" s="5"/>
      <c r="J1637" s="5"/>
      <c r="K1637" s="5"/>
      <c r="L1637" s="5"/>
      <c r="M1637" s="5"/>
      <c r="N1637" s="5"/>
    </row>
    <row r="1638" spans="8:14" ht="22.5" customHeight="1" x14ac:dyDescent="0.2">
      <c r="H1638" s="5"/>
      <c r="I1638" s="5"/>
      <c r="J1638" s="5"/>
      <c r="K1638" s="5"/>
      <c r="L1638" s="5"/>
      <c r="M1638" s="5"/>
      <c r="N1638" s="5"/>
    </row>
    <row r="1639" spans="8:14" ht="22.5" customHeight="1" x14ac:dyDescent="0.2">
      <c r="H1639" s="5"/>
      <c r="I1639" s="5"/>
      <c r="J1639" s="5"/>
      <c r="K1639" s="5"/>
      <c r="L1639" s="5"/>
      <c r="M1639" s="5"/>
      <c r="N1639" s="5"/>
    </row>
    <row r="1640" spans="8:14" ht="22.5" customHeight="1" x14ac:dyDescent="0.2">
      <c r="H1640" s="5"/>
      <c r="I1640" s="5"/>
      <c r="J1640" s="5"/>
      <c r="K1640" s="5"/>
      <c r="L1640" s="5"/>
      <c r="M1640" s="5"/>
      <c r="N1640" s="5"/>
    </row>
    <row r="1641" spans="8:14" ht="22.5" customHeight="1" x14ac:dyDescent="0.2">
      <c r="H1641" s="5"/>
      <c r="I1641" s="5"/>
      <c r="J1641" s="5"/>
      <c r="K1641" s="5"/>
      <c r="L1641" s="5"/>
      <c r="M1641" s="5"/>
      <c r="N1641" s="5"/>
    </row>
    <row r="1642" spans="8:14" ht="22.5" customHeight="1" x14ac:dyDescent="0.2">
      <c r="H1642" s="5"/>
      <c r="I1642" s="5"/>
      <c r="J1642" s="5"/>
      <c r="K1642" s="5"/>
      <c r="L1642" s="5"/>
      <c r="M1642" s="5"/>
      <c r="N1642" s="5"/>
    </row>
    <row r="1643" spans="8:14" ht="22.5" customHeight="1" x14ac:dyDescent="0.2">
      <c r="H1643" s="5"/>
      <c r="I1643" s="5"/>
      <c r="J1643" s="5"/>
      <c r="K1643" s="5"/>
      <c r="L1643" s="5"/>
      <c r="M1643" s="5"/>
      <c r="N1643" s="5"/>
    </row>
    <row r="1644" spans="8:14" ht="22.5" customHeight="1" x14ac:dyDescent="0.2">
      <c r="H1644" s="5"/>
      <c r="I1644" s="5"/>
      <c r="J1644" s="5"/>
      <c r="K1644" s="5"/>
      <c r="L1644" s="5"/>
      <c r="M1644" s="5"/>
      <c r="N1644" s="5"/>
    </row>
    <row r="1645" spans="8:14" ht="22.5" customHeight="1" x14ac:dyDescent="0.2">
      <c r="H1645" s="5"/>
      <c r="I1645" s="5"/>
      <c r="J1645" s="5"/>
      <c r="K1645" s="5"/>
      <c r="L1645" s="5"/>
      <c r="M1645" s="5"/>
      <c r="N1645" s="5"/>
    </row>
    <row r="1646" spans="8:14" ht="22.5" customHeight="1" x14ac:dyDescent="0.2">
      <c r="H1646" s="5"/>
      <c r="I1646" s="5"/>
      <c r="J1646" s="5"/>
      <c r="K1646" s="5"/>
      <c r="L1646" s="5"/>
      <c r="M1646" s="5"/>
      <c r="N1646" s="5"/>
    </row>
    <row r="1647" spans="8:14" ht="22.5" customHeight="1" x14ac:dyDescent="0.2">
      <c r="H1647" s="5"/>
      <c r="I1647" s="5"/>
      <c r="J1647" s="5"/>
      <c r="K1647" s="5"/>
      <c r="L1647" s="5"/>
      <c r="M1647" s="5"/>
      <c r="N1647" s="5"/>
    </row>
    <row r="1648" spans="8:14" ht="22.5" customHeight="1" x14ac:dyDescent="0.2">
      <c r="H1648" s="5"/>
      <c r="I1648" s="5"/>
      <c r="J1648" s="5"/>
      <c r="K1648" s="5"/>
      <c r="L1648" s="5"/>
      <c r="M1648" s="5"/>
      <c r="N1648" s="5"/>
    </row>
    <row r="1649" spans="8:14" ht="22.5" customHeight="1" x14ac:dyDescent="0.2">
      <c r="H1649" s="5"/>
      <c r="I1649" s="5"/>
      <c r="J1649" s="5"/>
      <c r="K1649" s="5"/>
      <c r="L1649" s="5"/>
      <c r="M1649" s="5"/>
      <c r="N1649" s="5"/>
    </row>
    <row r="1650" spans="8:14" ht="22.5" customHeight="1" x14ac:dyDescent="0.2">
      <c r="H1650" s="5"/>
      <c r="I1650" s="5"/>
      <c r="J1650" s="5"/>
      <c r="K1650" s="5"/>
      <c r="L1650" s="5"/>
      <c r="M1650" s="5"/>
      <c r="N1650" s="5"/>
    </row>
    <row r="1651" spans="8:14" ht="22.5" customHeight="1" x14ac:dyDescent="0.2">
      <c r="H1651" s="5"/>
      <c r="I1651" s="5"/>
      <c r="J1651" s="5"/>
      <c r="K1651" s="5"/>
      <c r="L1651" s="5"/>
      <c r="M1651" s="5"/>
      <c r="N1651" s="5"/>
    </row>
    <row r="1652" spans="8:14" ht="22.5" customHeight="1" x14ac:dyDescent="0.2">
      <c r="H1652" s="5"/>
      <c r="I1652" s="5"/>
      <c r="J1652" s="5"/>
      <c r="K1652" s="5"/>
      <c r="L1652" s="5"/>
      <c r="M1652" s="5"/>
      <c r="N1652" s="5"/>
    </row>
    <row r="1653" spans="8:14" ht="22.5" customHeight="1" x14ac:dyDescent="0.2">
      <c r="H1653" s="5"/>
      <c r="I1653" s="5"/>
      <c r="J1653" s="5"/>
      <c r="K1653" s="5"/>
      <c r="L1653" s="5"/>
      <c r="M1653" s="5"/>
      <c r="N1653" s="5"/>
    </row>
    <row r="1654" spans="8:14" ht="22.5" customHeight="1" x14ac:dyDescent="0.2">
      <c r="H1654" s="5"/>
      <c r="I1654" s="5"/>
      <c r="J1654" s="5"/>
      <c r="K1654" s="5"/>
      <c r="L1654" s="5"/>
      <c r="M1654" s="5"/>
      <c r="N1654" s="5"/>
    </row>
    <row r="1655" spans="8:14" ht="22.5" customHeight="1" x14ac:dyDescent="0.2">
      <c r="H1655" s="5"/>
      <c r="I1655" s="5"/>
      <c r="J1655" s="5"/>
      <c r="K1655" s="5"/>
      <c r="L1655" s="5"/>
      <c r="M1655" s="5"/>
      <c r="N1655" s="5"/>
    </row>
    <row r="1656" spans="8:14" ht="22.5" customHeight="1" x14ac:dyDescent="0.2">
      <c r="H1656" s="5"/>
      <c r="I1656" s="5"/>
      <c r="J1656" s="5"/>
      <c r="K1656" s="5"/>
      <c r="L1656" s="5"/>
      <c r="M1656" s="5"/>
      <c r="N1656" s="5"/>
    </row>
    <row r="1657" spans="8:14" ht="22.5" customHeight="1" x14ac:dyDescent="0.2">
      <c r="H1657" s="5"/>
      <c r="I1657" s="5"/>
      <c r="J1657" s="5"/>
      <c r="K1657" s="5"/>
      <c r="L1657" s="5"/>
      <c r="M1657" s="5"/>
      <c r="N1657" s="5"/>
    </row>
    <row r="1658" spans="8:14" ht="22.5" customHeight="1" x14ac:dyDescent="0.2">
      <c r="H1658" s="5"/>
      <c r="I1658" s="5"/>
      <c r="J1658" s="5"/>
      <c r="K1658" s="5"/>
      <c r="L1658" s="5"/>
      <c r="M1658" s="5"/>
      <c r="N1658" s="5"/>
    </row>
    <row r="1659" spans="8:14" ht="22.5" customHeight="1" x14ac:dyDescent="0.2">
      <c r="H1659" s="5"/>
      <c r="I1659" s="5"/>
      <c r="J1659" s="5"/>
      <c r="K1659" s="5"/>
      <c r="L1659" s="5"/>
      <c r="M1659" s="5"/>
      <c r="N1659" s="5"/>
    </row>
    <row r="1660" spans="8:14" ht="22.5" customHeight="1" x14ac:dyDescent="0.2">
      <c r="H1660" s="5"/>
      <c r="I1660" s="5"/>
      <c r="J1660" s="5"/>
      <c r="K1660" s="5"/>
      <c r="L1660" s="5"/>
      <c r="M1660" s="5"/>
      <c r="N1660" s="5"/>
    </row>
    <row r="1661" spans="8:14" ht="22.5" customHeight="1" x14ac:dyDescent="0.2">
      <c r="H1661" s="5"/>
      <c r="I1661" s="5"/>
      <c r="J1661" s="5"/>
      <c r="K1661" s="5"/>
      <c r="L1661" s="5"/>
      <c r="M1661" s="5"/>
      <c r="N1661" s="5"/>
    </row>
    <row r="1662" spans="8:14" ht="22.5" customHeight="1" x14ac:dyDescent="0.2">
      <c r="H1662" s="5"/>
      <c r="I1662" s="5"/>
      <c r="J1662" s="5"/>
      <c r="K1662" s="5"/>
      <c r="L1662" s="5"/>
      <c r="M1662" s="5"/>
      <c r="N1662" s="5"/>
    </row>
    <row r="1663" spans="8:14" ht="22.5" customHeight="1" x14ac:dyDescent="0.2">
      <c r="H1663" s="5"/>
      <c r="I1663" s="5"/>
      <c r="J1663" s="5"/>
      <c r="K1663" s="5"/>
      <c r="L1663" s="5"/>
      <c r="M1663" s="5"/>
      <c r="N1663" s="5"/>
    </row>
    <row r="1664" spans="8:14" ht="22.5" customHeight="1" x14ac:dyDescent="0.2">
      <c r="H1664" s="5"/>
      <c r="I1664" s="5"/>
      <c r="J1664" s="5"/>
      <c r="K1664" s="5"/>
      <c r="L1664" s="5"/>
      <c r="M1664" s="5"/>
      <c r="N1664" s="5"/>
    </row>
    <row r="1665" spans="8:14" ht="22.5" customHeight="1" x14ac:dyDescent="0.2">
      <c r="H1665" s="5"/>
      <c r="I1665" s="5"/>
      <c r="J1665" s="5"/>
      <c r="K1665" s="5"/>
      <c r="L1665" s="5"/>
      <c r="M1665" s="5"/>
      <c r="N1665" s="5"/>
    </row>
    <row r="1666" spans="8:14" ht="22.5" customHeight="1" x14ac:dyDescent="0.2">
      <c r="H1666" s="5"/>
      <c r="I1666" s="5"/>
      <c r="J1666" s="5"/>
      <c r="K1666" s="5"/>
      <c r="L1666" s="5"/>
      <c r="M1666" s="5"/>
      <c r="N1666" s="5"/>
    </row>
    <row r="1667" spans="8:14" ht="22.5" customHeight="1" x14ac:dyDescent="0.2">
      <c r="H1667" s="5"/>
      <c r="I1667" s="5"/>
      <c r="J1667" s="5"/>
      <c r="K1667" s="5"/>
      <c r="L1667" s="5"/>
      <c r="M1667" s="5"/>
      <c r="N1667" s="5"/>
    </row>
    <row r="1668" spans="8:14" ht="22.5" customHeight="1" x14ac:dyDescent="0.2">
      <c r="H1668" s="5"/>
      <c r="I1668" s="5"/>
      <c r="J1668" s="5"/>
      <c r="K1668" s="5"/>
      <c r="L1668" s="5"/>
      <c r="M1668" s="5"/>
      <c r="N1668" s="5"/>
    </row>
    <row r="1669" spans="8:14" ht="22.5" customHeight="1" x14ac:dyDescent="0.2">
      <c r="H1669" s="5"/>
      <c r="I1669" s="5"/>
      <c r="J1669" s="5"/>
      <c r="K1669" s="5"/>
      <c r="L1669" s="5"/>
      <c r="M1669" s="5"/>
      <c r="N1669" s="5"/>
    </row>
    <row r="1670" spans="8:14" ht="22.5" customHeight="1" x14ac:dyDescent="0.2">
      <c r="H1670" s="5"/>
      <c r="I1670" s="5"/>
      <c r="J1670" s="5"/>
      <c r="K1670" s="5"/>
      <c r="L1670" s="5"/>
      <c r="M1670" s="5"/>
      <c r="N1670" s="5"/>
    </row>
    <row r="1671" spans="8:14" ht="22.5" customHeight="1" x14ac:dyDescent="0.2">
      <c r="H1671" s="5"/>
      <c r="I1671" s="5"/>
      <c r="J1671" s="5"/>
      <c r="K1671" s="5"/>
      <c r="L1671" s="5"/>
      <c r="M1671" s="5"/>
      <c r="N1671" s="5"/>
    </row>
    <row r="1672" spans="8:14" ht="22.5" customHeight="1" x14ac:dyDescent="0.2">
      <c r="H1672" s="5"/>
      <c r="I1672" s="5"/>
      <c r="J1672" s="5"/>
      <c r="K1672" s="5"/>
      <c r="L1672" s="5"/>
      <c r="M1672" s="5"/>
      <c r="N1672" s="5"/>
    </row>
    <row r="1673" spans="8:14" ht="22.5" customHeight="1" x14ac:dyDescent="0.2">
      <c r="H1673" s="5"/>
      <c r="I1673" s="5"/>
      <c r="J1673" s="5"/>
      <c r="K1673" s="5"/>
      <c r="L1673" s="5"/>
      <c r="M1673" s="5"/>
      <c r="N1673" s="5"/>
    </row>
    <row r="1674" spans="8:14" ht="22.5" customHeight="1" x14ac:dyDescent="0.2">
      <c r="H1674" s="5"/>
      <c r="I1674" s="5"/>
      <c r="J1674" s="5"/>
      <c r="K1674" s="5"/>
      <c r="L1674" s="5"/>
      <c r="M1674" s="5"/>
      <c r="N1674" s="5"/>
    </row>
    <row r="1675" spans="8:14" ht="22.5" customHeight="1" x14ac:dyDescent="0.2">
      <c r="H1675" s="5"/>
      <c r="I1675" s="5"/>
      <c r="J1675" s="5"/>
      <c r="K1675" s="5"/>
      <c r="L1675" s="5"/>
      <c r="M1675" s="5"/>
      <c r="N1675" s="5"/>
    </row>
    <row r="1676" spans="8:14" ht="22.5" customHeight="1" x14ac:dyDescent="0.2">
      <c r="H1676" s="5"/>
      <c r="I1676" s="5"/>
      <c r="J1676" s="5"/>
      <c r="K1676" s="5"/>
      <c r="L1676" s="5"/>
      <c r="M1676" s="5"/>
      <c r="N1676" s="5"/>
    </row>
    <row r="1677" spans="8:14" ht="22.5" customHeight="1" x14ac:dyDescent="0.2">
      <c r="H1677" s="5"/>
      <c r="I1677" s="5"/>
      <c r="J1677" s="5"/>
      <c r="K1677" s="5"/>
      <c r="L1677" s="5"/>
      <c r="M1677" s="5"/>
      <c r="N1677" s="5"/>
    </row>
    <row r="1678" spans="8:14" ht="22.5" customHeight="1" x14ac:dyDescent="0.2">
      <c r="H1678" s="5"/>
      <c r="I1678" s="5"/>
      <c r="J1678" s="5"/>
      <c r="K1678" s="5"/>
      <c r="L1678" s="5"/>
      <c r="M1678" s="5"/>
      <c r="N1678" s="5"/>
    </row>
    <row r="1679" spans="8:14" ht="22.5" customHeight="1" x14ac:dyDescent="0.2">
      <c r="H1679" s="5"/>
      <c r="I1679" s="5"/>
      <c r="J1679" s="5"/>
      <c r="K1679" s="5"/>
      <c r="L1679" s="5"/>
      <c r="M1679" s="5"/>
      <c r="N1679" s="5"/>
    </row>
    <row r="1680" spans="8:14" ht="22.5" customHeight="1" x14ac:dyDescent="0.2">
      <c r="H1680" s="5"/>
      <c r="I1680" s="5"/>
      <c r="J1680" s="5"/>
      <c r="K1680" s="5"/>
      <c r="L1680" s="5"/>
      <c r="M1680" s="5"/>
      <c r="N1680" s="5"/>
    </row>
    <row r="1681" spans="8:14" ht="22.5" customHeight="1" x14ac:dyDescent="0.2">
      <c r="H1681" s="5"/>
      <c r="I1681" s="5"/>
      <c r="J1681" s="5"/>
      <c r="K1681" s="5"/>
      <c r="L1681" s="5"/>
      <c r="M1681" s="5"/>
      <c r="N1681" s="5"/>
    </row>
    <row r="1682" spans="8:14" ht="22.5" customHeight="1" x14ac:dyDescent="0.2">
      <c r="H1682" s="5"/>
      <c r="I1682" s="5"/>
      <c r="J1682" s="5"/>
      <c r="K1682" s="5"/>
      <c r="L1682" s="5"/>
      <c r="M1682" s="5"/>
      <c r="N1682" s="5"/>
    </row>
    <row r="1683" spans="8:14" ht="22.5" customHeight="1" x14ac:dyDescent="0.2">
      <c r="H1683" s="5"/>
      <c r="I1683" s="5"/>
      <c r="J1683" s="5"/>
      <c r="K1683" s="5"/>
      <c r="L1683" s="5"/>
      <c r="M1683" s="5"/>
      <c r="N1683" s="5"/>
    </row>
    <row r="1684" spans="8:14" ht="22.5" customHeight="1" x14ac:dyDescent="0.2">
      <c r="H1684" s="5"/>
      <c r="I1684" s="5"/>
      <c r="J1684" s="5"/>
      <c r="K1684" s="5"/>
      <c r="L1684" s="5"/>
      <c r="M1684" s="5"/>
      <c r="N1684" s="5"/>
    </row>
    <row r="1685" spans="8:14" ht="22.5" customHeight="1" x14ac:dyDescent="0.2">
      <c r="H1685" s="5"/>
      <c r="I1685" s="5"/>
      <c r="J1685" s="5"/>
      <c r="K1685" s="5"/>
      <c r="L1685" s="5"/>
      <c r="M1685" s="5"/>
      <c r="N1685" s="5"/>
    </row>
    <row r="1686" spans="8:14" ht="22.5" customHeight="1" x14ac:dyDescent="0.2">
      <c r="H1686" s="5"/>
      <c r="I1686" s="5"/>
      <c r="J1686" s="5"/>
      <c r="K1686" s="5"/>
      <c r="L1686" s="5"/>
      <c r="M1686" s="5"/>
      <c r="N1686" s="5"/>
    </row>
    <row r="1687" spans="8:14" ht="22.5" customHeight="1" x14ac:dyDescent="0.2">
      <c r="H1687" s="5"/>
      <c r="I1687" s="5"/>
      <c r="J1687" s="5"/>
      <c r="K1687" s="5"/>
      <c r="L1687" s="5"/>
      <c r="M1687" s="5"/>
      <c r="N1687" s="5"/>
    </row>
    <row r="1688" spans="8:14" ht="22.5" customHeight="1" x14ac:dyDescent="0.2">
      <c r="H1688" s="5"/>
      <c r="I1688" s="5"/>
      <c r="J1688" s="5"/>
      <c r="K1688" s="5"/>
      <c r="L1688" s="5"/>
      <c r="M1688" s="5"/>
      <c r="N1688" s="5"/>
    </row>
    <row r="1689" spans="8:14" ht="22.5" customHeight="1" x14ac:dyDescent="0.2">
      <c r="H1689" s="5"/>
      <c r="I1689" s="5"/>
      <c r="J1689" s="5"/>
      <c r="K1689" s="5"/>
      <c r="L1689" s="5"/>
      <c r="M1689" s="5"/>
      <c r="N1689" s="5"/>
    </row>
    <row r="1690" spans="8:14" ht="22.5" customHeight="1" x14ac:dyDescent="0.2">
      <c r="H1690" s="5"/>
      <c r="I1690" s="5"/>
      <c r="J1690" s="5"/>
      <c r="K1690" s="5"/>
      <c r="L1690" s="5"/>
      <c r="M1690" s="5"/>
      <c r="N1690" s="5"/>
    </row>
    <row r="1691" spans="8:14" ht="22.5" customHeight="1" x14ac:dyDescent="0.2">
      <c r="H1691" s="5"/>
      <c r="I1691" s="5"/>
      <c r="J1691" s="5"/>
      <c r="K1691" s="5"/>
      <c r="L1691" s="5"/>
      <c r="M1691" s="5"/>
      <c r="N1691" s="5"/>
    </row>
    <row r="1692" spans="8:14" ht="22.5" customHeight="1" x14ac:dyDescent="0.2">
      <c r="H1692" s="5"/>
      <c r="I1692" s="5"/>
      <c r="J1692" s="5"/>
      <c r="K1692" s="5"/>
      <c r="L1692" s="5"/>
      <c r="M1692" s="5"/>
      <c r="N1692" s="5"/>
    </row>
    <row r="1693" spans="8:14" ht="22.5" customHeight="1" x14ac:dyDescent="0.2">
      <c r="H1693" s="5"/>
      <c r="I1693" s="5"/>
      <c r="J1693" s="5"/>
      <c r="K1693" s="5"/>
      <c r="L1693" s="5"/>
      <c r="M1693" s="5"/>
      <c r="N1693" s="5"/>
    </row>
    <row r="1694" spans="8:14" ht="22.5" customHeight="1" x14ac:dyDescent="0.2">
      <c r="H1694" s="5"/>
      <c r="I1694" s="5"/>
      <c r="J1694" s="5"/>
      <c r="K1694" s="5"/>
      <c r="L1694" s="5"/>
      <c r="M1694" s="5"/>
      <c r="N1694" s="5"/>
    </row>
    <row r="1695" spans="8:14" ht="22.5" customHeight="1" x14ac:dyDescent="0.2">
      <c r="H1695" s="5"/>
      <c r="I1695" s="5"/>
      <c r="J1695" s="5"/>
      <c r="K1695" s="5"/>
      <c r="L1695" s="5"/>
      <c r="M1695" s="5"/>
      <c r="N1695" s="5"/>
    </row>
    <row r="1696" spans="8:14" ht="22.5" customHeight="1" x14ac:dyDescent="0.2">
      <c r="H1696" s="5"/>
      <c r="I1696" s="5"/>
      <c r="J1696" s="5"/>
      <c r="K1696" s="5"/>
      <c r="L1696" s="5"/>
      <c r="M1696" s="5"/>
      <c r="N1696" s="5"/>
    </row>
    <row r="1697" spans="8:14" ht="22.5" customHeight="1" x14ac:dyDescent="0.2">
      <c r="H1697" s="5"/>
      <c r="I1697" s="5"/>
      <c r="J1697" s="5"/>
      <c r="K1697" s="5"/>
      <c r="L1697" s="5"/>
      <c r="M1697" s="5"/>
      <c r="N1697" s="5"/>
    </row>
    <row r="1698" spans="8:14" ht="22.5" customHeight="1" x14ac:dyDescent="0.2">
      <c r="H1698" s="5"/>
      <c r="I1698" s="5"/>
      <c r="J1698" s="5"/>
      <c r="K1698" s="5"/>
      <c r="L1698" s="5"/>
      <c r="M1698" s="5"/>
      <c r="N1698" s="5"/>
    </row>
    <row r="1699" spans="8:14" ht="22.5" customHeight="1" x14ac:dyDescent="0.2">
      <c r="H1699" s="5"/>
      <c r="I1699" s="5"/>
      <c r="J1699" s="5"/>
      <c r="K1699" s="5"/>
      <c r="L1699" s="5"/>
      <c r="M1699" s="5"/>
      <c r="N1699" s="5"/>
    </row>
    <row r="1700" spans="8:14" ht="22.5" customHeight="1" x14ac:dyDescent="0.2">
      <c r="H1700" s="5"/>
      <c r="I1700" s="5"/>
      <c r="J1700" s="5"/>
      <c r="K1700" s="5"/>
      <c r="L1700" s="5"/>
      <c r="M1700" s="5"/>
      <c r="N1700" s="5"/>
    </row>
    <row r="1701" spans="8:14" ht="22.5" customHeight="1" x14ac:dyDescent="0.2">
      <c r="H1701" s="5"/>
      <c r="I1701" s="5"/>
      <c r="J1701" s="5"/>
      <c r="K1701" s="5"/>
      <c r="L1701" s="5"/>
      <c r="M1701" s="5"/>
      <c r="N1701" s="5"/>
    </row>
    <row r="1702" spans="8:14" ht="22.5" customHeight="1" x14ac:dyDescent="0.2">
      <c r="H1702" s="5"/>
      <c r="I1702" s="5"/>
      <c r="J1702" s="5"/>
      <c r="K1702" s="5"/>
      <c r="L1702" s="5"/>
      <c r="M1702" s="5"/>
      <c r="N1702" s="5"/>
    </row>
    <row r="1703" spans="8:14" ht="22.5" customHeight="1" x14ac:dyDescent="0.2">
      <c r="H1703" s="5"/>
      <c r="I1703" s="5"/>
      <c r="J1703" s="5"/>
      <c r="K1703" s="5"/>
      <c r="L1703" s="5"/>
      <c r="M1703" s="5"/>
      <c r="N1703" s="5"/>
    </row>
    <row r="1704" spans="8:14" ht="22.5" customHeight="1" x14ac:dyDescent="0.2">
      <c r="H1704" s="5"/>
      <c r="I1704" s="5"/>
      <c r="J1704" s="5"/>
      <c r="K1704" s="5"/>
      <c r="L1704" s="5"/>
      <c r="M1704" s="5"/>
      <c r="N1704" s="5"/>
    </row>
    <row r="1705" spans="8:14" ht="22.5" customHeight="1" x14ac:dyDescent="0.2">
      <c r="H1705" s="5"/>
      <c r="I1705" s="5"/>
      <c r="J1705" s="5"/>
      <c r="K1705" s="5"/>
      <c r="L1705" s="5"/>
      <c r="M1705" s="5"/>
      <c r="N1705" s="5"/>
    </row>
    <row r="1706" spans="8:14" ht="22.5" customHeight="1" x14ac:dyDescent="0.2">
      <c r="H1706" s="5"/>
      <c r="I1706" s="5"/>
      <c r="J1706" s="5"/>
      <c r="K1706" s="5"/>
      <c r="L1706" s="5"/>
      <c r="M1706" s="5"/>
      <c r="N1706" s="5"/>
    </row>
    <row r="1707" spans="8:14" ht="22.5" customHeight="1" x14ac:dyDescent="0.2">
      <c r="H1707" s="5"/>
      <c r="I1707" s="5"/>
      <c r="J1707" s="5"/>
      <c r="K1707" s="5"/>
      <c r="L1707" s="5"/>
      <c r="M1707" s="5"/>
      <c r="N1707" s="5"/>
    </row>
    <row r="1708" spans="8:14" ht="22.5" customHeight="1" x14ac:dyDescent="0.2">
      <c r="H1708" s="5"/>
      <c r="I1708" s="5"/>
      <c r="J1708" s="5"/>
      <c r="K1708" s="5"/>
      <c r="L1708" s="5"/>
      <c r="M1708" s="5"/>
      <c r="N1708" s="5"/>
    </row>
    <row r="1709" spans="8:14" ht="22.5" customHeight="1" x14ac:dyDescent="0.2">
      <c r="H1709" s="5"/>
      <c r="I1709" s="5"/>
      <c r="J1709" s="5"/>
      <c r="K1709" s="5"/>
      <c r="L1709" s="5"/>
      <c r="M1709" s="5"/>
      <c r="N1709" s="5"/>
    </row>
    <row r="1710" spans="8:14" ht="22.5" customHeight="1" x14ac:dyDescent="0.2">
      <c r="H1710" s="5"/>
      <c r="I1710" s="5"/>
      <c r="J1710" s="5"/>
      <c r="K1710" s="5"/>
      <c r="L1710" s="5"/>
      <c r="M1710" s="5"/>
      <c r="N1710" s="5"/>
    </row>
    <row r="1711" spans="8:14" ht="22.5" customHeight="1" x14ac:dyDescent="0.2">
      <c r="H1711" s="5"/>
      <c r="I1711" s="5"/>
      <c r="J1711" s="5"/>
      <c r="K1711" s="5"/>
      <c r="L1711" s="5"/>
      <c r="M1711" s="5"/>
      <c r="N1711" s="5"/>
    </row>
    <row r="1712" spans="8:14" ht="22.5" customHeight="1" x14ac:dyDescent="0.2">
      <c r="H1712" s="5"/>
      <c r="I1712" s="5"/>
      <c r="J1712" s="5"/>
      <c r="K1712" s="5"/>
      <c r="L1712" s="5"/>
      <c r="M1712" s="5"/>
      <c r="N1712" s="5"/>
    </row>
    <row r="1713" spans="8:14" ht="22.5" customHeight="1" x14ac:dyDescent="0.2">
      <c r="H1713" s="5"/>
      <c r="I1713" s="5"/>
      <c r="J1713" s="5"/>
      <c r="K1713" s="5"/>
      <c r="L1713" s="5"/>
      <c r="M1713" s="5"/>
      <c r="N1713" s="5"/>
    </row>
    <row r="1714" spans="8:14" ht="22.5" customHeight="1" x14ac:dyDescent="0.2">
      <c r="H1714" s="5"/>
      <c r="I1714" s="5"/>
      <c r="J1714" s="5"/>
      <c r="K1714" s="5"/>
      <c r="L1714" s="5"/>
      <c r="M1714" s="5"/>
      <c r="N1714" s="5"/>
    </row>
    <row r="1715" spans="8:14" ht="22.5" customHeight="1" x14ac:dyDescent="0.2">
      <c r="H1715" s="5"/>
      <c r="I1715" s="5"/>
      <c r="J1715" s="5"/>
      <c r="K1715" s="5"/>
      <c r="L1715" s="5"/>
      <c r="M1715" s="5"/>
      <c r="N1715" s="5"/>
    </row>
    <row r="1716" spans="8:14" ht="22.5" customHeight="1" x14ac:dyDescent="0.2">
      <c r="H1716" s="5"/>
      <c r="I1716" s="5"/>
      <c r="J1716" s="5"/>
      <c r="K1716" s="5"/>
      <c r="L1716" s="5"/>
      <c r="M1716" s="5"/>
      <c r="N1716" s="5"/>
    </row>
    <row r="1717" spans="8:14" ht="22.5" customHeight="1" x14ac:dyDescent="0.2">
      <c r="H1717" s="5"/>
      <c r="I1717" s="5"/>
      <c r="J1717" s="5"/>
      <c r="K1717" s="5"/>
      <c r="L1717" s="5"/>
      <c r="M1717" s="5"/>
      <c r="N1717" s="5"/>
    </row>
    <row r="1718" spans="8:14" ht="22.5" customHeight="1" x14ac:dyDescent="0.2">
      <c r="H1718" s="5"/>
      <c r="I1718" s="5"/>
      <c r="J1718" s="5"/>
      <c r="K1718" s="5"/>
      <c r="L1718" s="5"/>
      <c r="M1718" s="5"/>
      <c r="N1718" s="5"/>
    </row>
    <row r="1719" spans="8:14" ht="22.5" customHeight="1" x14ac:dyDescent="0.2">
      <c r="H1719" s="5"/>
      <c r="I1719" s="5"/>
      <c r="J1719" s="5"/>
      <c r="K1719" s="5"/>
      <c r="L1719" s="5"/>
      <c r="M1719" s="5"/>
      <c r="N1719" s="5"/>
    </row>
    <row r="1720" spans="8:14" ht="22.5" customHeight="1" x14ac:dyDescent="0.2">
      <c r="H1720" s="5"/>
      <c r="I1720" s="5"/>
      <c r="J1720" s="5"/>
      <c r="K1720" s="5"/>
      <c r="L1720" s="5"/>
      <c r="M1720" s="5"/>
      <c r="N1720" s="5"/>
    </row>
    <row r="1721" spans="8:14" ht="22.5" customHeight="1" x14ac:dyDescent="0.2">
      <c r="H1721" s="5"/>
      <c r="I1721" s="5"/>
      <c r="J1721" s="5"/>
      <c r="K1721" s="5"/>
      <c r="L1721" s="5"/>
      <c r="M1721" s="5"/>
      <c r="N1721" s="5"/>
    </row>
    <row r="1722" spans="8:14" ht="22.5" customHeight="1" x14ac:dyDescent="0.2">
      <c r="H1722" s="5"/>
      <c r="I1722" s="5"/>
      <c r="J1722" s="5"/>
      <c r="K1722" s="5"/>
      <c r="L1722" s="5"/>
      <c r="M1722" s="5"/>
      <c r="N1722" s="5"/>
    </row>
    <row r="1723" spans="8:14" ht="22.5" customHeight="1" x14ac:dyDescent="0.2">
      <c r="H1723" s="5"/>
      <c r="I1723" s="5"/>
      <c r="J1723" s="5"/>
      <c r="K1723" s="5"/>
      <c r="L1723" s="5"/>
      <c r="M1723" s="5"/>
      <c r="N1723" s="5"/>
    </row>
    <row r="1724" spans="8:14" ht="22.5" customHeight="1" x14ac:dyDescent="0.2">
      <c r="H1724" s="5"/>
      <c r="I1724" s="5"/>
      <c r="J1724" s="5"/>
      <c r="K1724" s="5"/>
      <c r="L1724" s="5"/>
      <c r="M1724" s="5"/>
      <c r="N1724" s="5"/>
    </row>
    <row r="1725" spans="8:14" ht="22.5" customHeight="1" x14ac:dyDescent="0.2">
      <c r="H1725" s="5"/>
      <c r="I1725" s="5"/>
      <c r="J1725" s="5"/>
      <c r="K1725" s="5"/>
      <c r="L1725" s="5"/>
      <c r="M1725" s="5"/>
      <c r="N1725" s="5"/>
    </row>
    <row r="1726" spans="8:14" ht="22.5" customHeight="1" x14ac:dyDescent="0.2">
      <c r="H1726" s="5"/>
      <c r="I1726" s="5"/>
      <c r="J1726" s="5"/>
      <c r="K1726" s="5"/>
      <c r="L1726" s="5"/>
      <c r="M1726" s="5"/>
      <c r="N1726" s="5"/>
    </row>
    <row r="1727" spans="8:14" ht="22.5" customHeight="1" x14ac:dyDescent="0.2">
      <c r="H1727" s="5"/>
      <c r="I1727" s="5"/>
      <c r="J1727" s="5"/>
      <c r="K1727" s="5"/>
      <c r="L1727" s="5"/>
      <c r="M1727" s="5"/>
      <c r="N1727" s="5"/>
    </row>
    <row r="1728" spans="8:14" ht="22.5" customHeight="1" x14ac:dyDescent="0.2">
      <c r="H1728" s="5"/>
      <c r="I1728" s="5"/>
      <c r="J1728" s="5"/>
      <c r="K1728" s="5"/>
      <c r="L1728" s="5"/>
      <c r="M1728" s="5"/>
      <c r="N1728" s="5"/>
    </row>
    <row r="1729" spans="8:14" ht="22.5" customHeight="1" x14ac:dyDescent="0.2">
      <c r="H1729" s="5"/>
      <c r="I1729" s="5"/>
      <c r="J1729" s="5"/>
      <c r="K1729" s="5"/>
      <c r="L1729" s="5"/>
      <c r="M1729" s="5"/>
      <c r="N1729" s="5"/>
    </row>
    <row r="1730" spans="8:14" ht="22.5" customHeight="1" x14ac:dyDescent="0.2">
      <c r="H1730" s="5"/>
      <c r="I1730" s="5"/>
      <c r="J1730" s="5"/>
      <c r="K1730" s="5"/>
      <c r="L1730" s="5"/>
      <c r="M1730" s="5"/>
      <c r="N1730" s="5"/>
    </row>
    <row r="1731" spans="8:14" ht="22.5" customHeight="1" x14ac:dyDescent="0.2">
      <c r="H1731" s="5"/>
      <c r="I1731" s="5"/>
      <c r="J1731" s="5"/>
      <c r="K1731" s="5"/>
      <c r="L1731" s="5"/>
      <c r="M1731" s="5"/>
      <c r="N1731" s="5"/>
    </row>
    <row r="1732" spans="8:14" ht="22.5" customHeight="1" x14ac:dyDescent="0.2">
      <c r="H1732" s="5"/>
      <c r="I1732" s="5"/>
      <c r="J1732" s="5"/>
      <c r="K1732" s="5"/>
      <c r="L1732" s="5"/>
      <c r="M1732" s="5"/>
      <c r="N1732" s="5"/>
    </row>
    <row r="1733" spans="8:14" ht="22.5" customHeight="1" x14ac:dyDescent="0.2">
      <c r="H1733" s="5"/>
      <c r="I1733" s="5"/>
      <c r="J1733" s="5"/>
      <c r="K1733" s="5"/>
      <c r="L1733" s="5"/>
      <c r="M1733" s="5"/>
      <c r="N1733" s="5"/>
    </row>
    <row r="1734" spans="8:14" ht="22.5" customHeight="1" x14ac:dyDescent="0.2">
      <c r="H1734" s="5"/>
      <c r="I1734" s="5"/>
      <c r="J1734" s="5"/>
      <c r="K1734" s="5"/>
      <c r="L1734" s="5"/>
      <c r="M1734" s="5"/>
      <c r="N1734" s="5"/>
    </row>
    <row r="1735" spans="8:14" ht="22.5" customHeight="1" x14ac:dyDescent="0.2">
      <c r="H1735" s="5"/>
      <c r="I1735" s="5"/>
      <c r="J1735" s="5"/>
      <c r="K1735" s="5"/>
      <c r="L1735" s="5"/>
      <c r="M1735" s="5"/>
      <c r="N1735" s="5"/>
    </row>
    <row r="1736" spans="8:14" ht="22.5" customHeight="1" x14ac:dyDescent="0.2">
      <c r="H1736" s="5"/>
      <c r="I1736" s="5"/>
      <c r="J1736" s="5"/>
      <c r="K1736" s="5"/>
      <c r="L1736" s="5"/>
      <c r="M1736" s="5"/>
      <c r="N1736" s="5"/>
    </row>
    <row r="1737" spans="8:14" ht="22.5" customHeight="1" x14ac:dyDescent="0.2">
      <c r="H1737" s="5"/>
      <c r="I1737" s="5"/>
      <c r="J1737" s="5"/>
      <c r="K1737" s="5"/>
      <c r="L1737" s="5"/>
      <c r="M1737" s="5"/>
      <c r="N1737" s="5"/>
    </row>
    <row r="1738" spans="8:14" ht="22.5" customHeight="1" x14ac:dyDescent="0.2">
      <c r="H1738" s="5"/>
      <c r="I1738" s="5"/>
      <c r="J1738" s="5"/>
      <c r="K1738" s="5"/>
      <c r="L1738" s="5"/>
      <c r="M1738" s="5"/>
      <c r="N1738" s="5"/>
    </row>
    <row r="1739" spans="8:14" ht="22.5" customHeight="1" x14ac:dyDescent="0.2">
      <c r="H1739" s="5"/>
      <c r="I1739" s="5"/>
      <c r="J1739" s="5"/>
      <c r="K1739" s="5"/>
      <c r="L1739" s="5"/>
      <c r="M1739" s="5"/>
      <c r="N1739" s="5"/>
    </row>
    <row r="1740" spans="8:14" ht="22.5" customHeight="1" x14ac:dyDescent="0.2">
      <c r="H1740" s="5"/>
      <c r="I1740" s="5"/>
      <c r="J1740" s="5"/>
      <c r="K1740" s="5"/>
      <c r="L1740" s="5"/>
      <c r="M1740" s="5"/>
      <c r="N1740" s="5"/>
    </row>
    <row r="1741" spans="8:14" ht="22.5" customHeight="1" x14ac:dyDescent="0.2">
      <c r="H1741" s="5"/>
      <c r="I1741" s="5"/>
      <c r="J1741" s="5"/>
      <c r="K1741" s="5"/>
      <c r="L1741" s="5"/>
      <c r="M1741" s="5"/>
      <c r="N1741" s="5"/>
    </row>
    <row r="1742" spans="8:14" ht="22.5" customHeight="1" x14ac:dyDescent="0.2">
      <c r="H1742" s="5"/>
      <c r="I1742" s="5"/>
      <c r="J1742" s="5"/>
      <c r="K1742" s="5"/>
      <c r="L1742" s="5"/>
      <c r="M1742" s="5"/>
      <c r="N1742" s="5"/>
    </row>
    <row r="1743" spans="8:14" ht="22.5" customHeight="1" x14ac:dyDescent="0.2">
      <c r="H1743" s="5"/>
      <c r="I1743" s="5"/>
      <c r="J1743" s="5"/>
      <c r="K1743" s="5"/>
      <c r="L1743" s="5"/>
      <c r="M1743" s="5"/>
      <c r="N1743" s="5"/>
    </row>
    <row r="1744" spans="8:14" ht="22.5" customHeight="1" x14ac:dyDescent="0.2">
      <c r="H1744" s="5"/>
      <c r="I1744" s="5"/>
      <c r="J1744" s="5"/>
      <c r="K1744" s="5"/>
      <c r="L1744" s="5"/>
      <c r="M1744" s="5"/>
      <c r="N1744" s="5"/>
    </row>
    <row r="1745" spans="8:14" ht="22.5" customHeight="1" x14ac:dyDescent="0.2">
      <c r="H1745" s="5"/>
      <c r="I1745" s="5"/>
      <c r="J1745" s="5"/>
      <c r="K1745" s="5"/>
      <c r="L1745" s="5"/>
      <c r="M1745" s="5"/>
      <c r="N1745" s="5"/>
    </row>
    <row r="1746" spans="8:14" ht="22.5" customHeight="1" x14ac:dyDescent="0.2">
      <c r="H1746" s="5"/>
      <c r="I1746" s="5"/>
      <c r="J1746" s="5"/>
      <c r="K1746" s="5"/>
      <c r="L1746" s="5"/>
      <c r="M1746" s="5"/>
      <c r="N1746" s="5"/>
    </row>
    <row r="1747" spans="8:14" ht="22.5" customHeight="1" x14ac:dyDescent="0.2">
      <c r="H1747" s="5"/>
      <c r="I1747" s="5"/>
      <c r="J1747" s="5"/>
      <c r="K1747" s="5"/>
      <c r="L1747" s="5"/>
      <c r="M1747" s="5"/>
      <c r="N1747" s="5"/>
    </row>
    <row r="1748" spans="8:14" ht="22.5" customHeight="1" x14ac:dyDescent="0.2">
      <c r="H1748" s="5"/>
      <c r="I1748" s="5"/>
      <c r="J1748" s="5"/>
      <c r="K1748" s="5"/>
      <c r="L1748" s="5"/>
      <c r="M1748" s="5"/>
      <c r="N1748" s="5"/>
    </row>
    <row r="1749" spans="8:14" ht="22.5" customHeight="1" x14ac:dyDescent="0.2">
      <c r="H1749" s="5"/>
      <c r="I1749" s="5"/>
      <c r="J1749" s="5"/>
      <c r="K1749" s="5"/>
      <c r="L1749" s="5"/>
      <c r="M1749" s="5"/>
      <c r="N1749" s="5"/>
    </row>
    <row r="1750" spans="8:14" ht="22.5" customHeight="1" x14ac:dyDescent="0.2">
      <c r="H1750" s="5"/>
      <c r="I1750" s="5"/>
      <c r="J1750" s="5"/>
      <c r="K1750" s="5"/>
      <c r="L1750" s="5"/>
      <c r="M1750" s="5"/>
      <c r="N1750" s="5"/>
    </row>
    <row r="1751" spans="8:14" ht="22.5" customHeight="1" x14ac:dyDescent="0.2">
      <c r="H1751" s="5"/>
      <c r="I1751" s="5"/>
      <c r="J1751" s="5"/>
      <c r="K1751" s="5"/>
      <c r="L1751" s="5"/>
      <c r="M1751" s="5"/>
      <c r="N1751" s="5"/>
    </row>
    <row r="1752" spans="8:14" ht="22.5" customHeight="1" x14ac:dyDescent="0.2">
      <c r="H1752" s="5"/>
      <c r="I1752" s="5"/>
      <c r="J1752" s="5"/>
      <c r="K1752" s="5"/>
      <c r="L1752" s="5"/>
      <c r="M1752" s="5"/>
      <c r="N1752" s="5"/>
    </row>
    <row r="1753" spans="8:14" ht="22.5" customHeight="1" x14ac:dyDescent="0.2">
      <c r="H1753" s="5"/>
      <c r="I1753" s="5"/>
      <c r="J1753" s="5"/>
      <c r="K1753" s="5"/>
      <c r="L1753" s="5"/>
      <c r="M1753" s="5"/>
      <c r="N1753" s="5"/>
    </row>
    <row r="1754" spans="8:14" ht="22.5" customHeight="1" x14ac:dyDescent="0.2">
      <c r="H1754" s="5"/>
      <c r="I1754" s="5"/>
      <c r="J1754" s="5"/>
      <c r="K1754" s="5"/>
      <c r="L1754" s="5"/>
      <c r="M1754" s="5"/>
      <c r="N1754" s="5"/>
    </row>
    <row r="1755" spans="8:14" ht="22.5" customHeight="1" x14ac:dyDescent="0.2">
      <c r="H1755" s="5"/>
      <c r="I1755" s="5"/>
      <c r="J1755" s="5"/>
      <c r="K1755" s="5"/>
      <c r="L1755" s="5"/>
      <c r="M1755" s="5"/>
      <c r="N1755" s="5"/>
    </row>
    <row r="1756" spans="8:14" ht="22.5" customHeight="1" x14ac:dyDescent="0.2">
      <c r="H1756" s="5"/>
      <c r="I1756" s="5"/>
      <c r="J1756" s="5"/>
      <c r="K1756" s="5"/>
      <c r="L1756" s="5"/>
      <c r="M1756" s="5"/>
      <c r="N1756" s="5"/>
    </row>
    <row r="1757" spans="8:14" ht="22.5" customHeight="1" x14ac:dyDescent="0.2">
      <c r="H1757" s="5"/>
      <c r="I1757" s="5"/>
      <c r="J1757" s="5"/>
      <c r="K1757" s="5"/>
      <c r="L1757" s="5"/>
      <c r="M1757" s="5"/>
      <c r="N1757" s="5"/>
    </row>
    <row r="1758" spans="8:14" ht="22.5" customHeight="1" x14ac:dyDescent="0.2">
      <c r="H1758" s="5"/>
      <c r="I1758" s="5"/>
      <c r="J1758" s="5"/>
      <c r="K1758" s="5"/>
      <c r="L1758" s="5"/>
      <c r="M1758" s="5"/>
      <c r="N1758" s="5"/>
    </row>
    <row r="1759" spans="8:14" ht="22.5" customHeight="1" x14ac:dyDescent="0.2">
      <c r="H1759" s="5"/>
      <c r="I1759" s="5"/>
      <c r="J1759" s="5"/>
      <c r="K1759" s="5"/>
      <c r="L1759" s="5"/>
      <c r="M1759" s="5"/>
      <c r="N1759" s="5"/>
    </row>
    <row r="1760" spans="8:14" ht="22.5" customHeight="1" x14ac:dyDescent="0.2">
      <c r="H1760" s="5"/>
      <c r="I1760" s="5"/>
      <c r="J1760" s="5"/>
      <c r="K1760" s="5"/>
      <c r="L1760" s="5"/>
      <c r="M1760" s="5"/>
      <c r="N1760" s="5"/>
    </row>
    <row r="1761" spans="8:14" ht="22.5" customHeight="1" x14ac:dyDescent="0.2">
      <c r="H1761" s="5"/>
      <c r="I1761" s="5"/>
      <c r="J1761" s="5"/>
      <c r="K1761" s="5"/>
      <c r="L1761" s="5"/>
      <c r="M1761" s="5"/>
      <c r="N1761" s="5"/>
    </row>
    <row r="1762" spans="8:14" ht="22.5" customHeight="1" x14ac:dyDescent="0.2">
      <c r="H1762" s="5"/>
      <c r="I1762" s="5"/>
      <c r="J1762" s="5"/>
      <c r="K1762" s="5"/>
      <c r="L1762" s="5"/>
      <c r="M1762" s="5"/>
      <c r="N1762" s="5"/>
    </row>
    <row r="1763" spans="8:14" ht="22.5" customHeight="1" x14ac:dyDescent="0.2">
      <c r="H1763" s="5"/>
      <c r="I1763" s="5"/>
      <c r="J1763" s="5"/>
      <c r="K1763" s="5"/>
      <c r="L1763" s="5"/>
      <c r="M1763" s="5"/>
      <c r="N1763" s="5"/>
    </row>
    <row r="1764" spans="8:14" ht="22.5" customHeight="1" x14ac:dyDescent="0.2">
      <c r="H1764" s="5"/>
      <c r="I1764" s="5"/>
      <c r="J1764" s="5"/>
      <c r="K1764" s="5"/>
      <c r="L1764" s="5"/>
      <c r="M1764" s="5"/>
      <c r="N1764" s="5"/>
    </row>
    <row r="1765" spans="8:14" ht="22.5" customHeight="1" x14ac:dyDescent="0.2">
      <c r="H1765" s="5"/>
      <c r="I1765" s="5"/>
      <c r="J1765" s="5"/>
      <c r="K1765" s="5"/>
      <c r="L1765" s="5"/>
      <c r="M1765" s="5"/>
      <c r="N1765" s="5"/>
    </row>
    <row r="1766" spans="8:14" ht="22.5" customHeight="1" x14ac:dyDescent="0.2">
      <c r="H1766" s="5"/>
      <c r="I1766" s="5"/>
      <c r="J1766" s="5"/>
      <c r="K1766" s="5"/>
      <c r="L1766" s="5"/>
      <c r="M1766" s="5"/>
      <c r="N1766" s="5"/>
    </row>
    <row r="1767" spans="8:14" ht="22.5" customHeight="1" x14ac:dyDescent="0.2">
      <c r="H1767" s="5"/>
      <c r="I1767" s="5"/>
      <c r="J1767" s="5"/>
      <c r="K1767" s="5"/>
      <c r="L1767" s="5"/>
      <c r="M1767" s="5"/>
      <c r="N1767" s="5"/>
    </row>
    <row r="1768" spans="8:14" ht="22.5" customHeight="1" x14ac:dyDescent="0.2">
      <c r="H1768" s="5"/>
      <c r="I1768" s="5"/>
      <c r="J1768" s="5"/>
      <c r="K1768" s="5"/>
      <c r="L1768" s="5"/>
      <c r="M1768" s="5"/>
      <c r="N1768" s="5"/>
    </row>
    <row r="1769" spans="8:14" ht="22.5" customHeight="1" x14ac:dyDescent="0.2">
      <c r="H1769" s="5"/>
      <c r="I1769" s="5"/>
      <c r="J1769" s="5"/>
      <c r="K1769" s="5"/>
      <c r="L1769" s="5"/>
      <c r="M1769" s="5"/>
      <c r="N1769" s="5"/>
    </row>
    <row r="1770" spans="8:14" ht="22.5" customHeight="1" x14ac:dyDescent="0.2">
      <c r="H1770" s="5"/>
      <c r="I1770" s="5"/>
      <c r="J1770" s="5"/>
      <c r="K1770" s="5"/>
      <c r="L1770" s="5"/>
      <c r="M1770" s="5"/>
      <c r="N1770" s="5"/>
    </row>
    <row r="1771" spans="8:14" ht="22.5" customHeight="1" x14ac:dyDescent="0.2">
      <c r="H1771" s="5"/>
      <c r="I1771" s="5"/>
      <c r="J1771" s="5"/>
      <c r="K1771" s="5"/>
      <c r="L1771" s="5"/>
      <c r="M1771" s="5"/>
      <c r="N1771" s="5"/>
    </row>
    <row r="1772" spans="8:14" ht="22.5" customHeight="1" x14ac:dyDescent="0.2">
      <c r="H1772" s="5"/>
      <c r="I1772" s="5"/>
      <c r="J1772" s="5"/>
      <c r="K1772" s="5"/>
      <c r="L1772" s="5"/>
      <c r="M1772" s="5"/>
      <c r="N1772" s="5"/>
    </row>
    <row r="1773" spans="8:14" ht="22.5" customHeight="1" x14ac:dyDescent="0.2">
      <c r="H1773" s="5"/>
      <c r="I1773" s="5"/>
      <c r="J1773" s="5"/>
      <c r="K1773" s="5"/>
      <c r="L1773" s="5"/>
      <c r="M1773" s="5"/>
      <c r="N1773" s="5"/>
    </row>
    <row r="1774" spans="8:14" ht="22.5" customHeight="1" x14ac:dyDescent="0.2">
      <c r="H1774" s="5"/>
      <c r="I1774" s="5"/>
      <c r="J1774" s="5"/>
      <c r="K1774" s="5"/>
      <c r="L1774" s="5"/>
      <c r="M1774" s="5"/>
      <c r="N1774" s="5"/>
    </row>
    <row r="1775" spans="8:14" ht="22.5" customHeight="1" x14ac:dyDescent="0.2">
      <c r="H1775" s="5"/>
      <c r="I1775" s="5"/>
      <c r="J1775" s="5"/>
      <c r="K1775" s="5"/>
      <c r="L1775" s="5"/>
      <c r="M1775" s="5"/>
      <c r="N1775" s="5"/>
    </row>
    <row r="1776" spans="8:14" ht="22.5" customHeight="1" x14ac:dyDescent="0.2">
      <c r="H1776" s="5"/>
      <c r="I1776" s="5"/>
      <c r="J1776" s="5"/>
      <c r="K1776" s="5"/>
      <c r="L1776" s="5"/>
      <c r="M1776" s="5"/>
      <c r="N1776" s="5"/>
    </row>
    <row r="1777" spans="8:14" ht="22.5" customHeight="1" x14ac:dyDescent="0.2">
      <c r="H1777" s="5"/>
      <c r="I1777" s="5"/>
      <c r="J1777" s="5"/>
      <c r="K1777" s="5"/>
      <c r="L1777" s="5"/>
      <c r="M1777" s="5"/>
      <c r="N1777" s="5"/>
    </row>
    <row r="1778" spans="8:14" ht="22.5" customHeight="1" x14ac:dyDescent="0.2">
      <c r="H1778" s="5"/>
      <c r="I1778" s="5"/>
      <c r="J1778" s="5"/>
      <c r="K1778" s="5"/>
      <c r="L1778" s="5"/>
      <c r="M1778" s="5"/>
      <c r="N1778" s="5"/>
    </row>
    <row r="1779" spans="8:14" ht="22.5" customHeight="1" x14ac:dyDescent="0.2">
      <c r="H1779" s="5"/>
      <c r="I1779" s="5"/>
      <c r="J1779" s="5"/>
      <c r="K1779" s="5"/>
      <c r="L1779" s="5"/>
      <c r="M1779" s="5"/>
      <c r="N1779" s="5"/>
    </row>
    <row r="1780" spans="8:14" ht="22.5" customHeight="1" x14ac:dyDescent="0.2">
      <c r="H1780" s="5"/>
      <c r="I1780" s="5"/>
      <c r="J1780" s="5"/>
      <c r="K1780" s="5"/>
      <c r="L1780" s="5"/>
      <c r="M1780" s="5"/>
      <c r="N1780" s="5"/>
    </row>
    <row r="1781" spans="8:14" ht="22.5" customHeight="1" x14ac:dyDescent="0.2">
      <c r="H1781" s="5"/>
      <c r="I1781" s="5"/>
      <c r="J1781" s="5"/>
      <c r="K1781" s="5"/>
      <c r="L1781" s="5"/>
      <c r="M1781" s="5"/>
      <c r="N1781" s="5"/>
    </row>
    <row r="1782" spans="8:14" ht="22.5" customHeight="1" x14ac:dyDescent="0.2">
      <c r="H1782" s="5"/>
      <c r="I1782" s="5"/>
      <c r="J1782" s="5"/>
      <c r="K1782" s="5"/>
      <c r="L1782" s="5"/>
      <c r="M1782" s="5"/>
      <c r="N1782" s="5"/>
    </row>
    <row r="1783" spans="8:14" ht="22.5" customHeight="1" x14ac:dyDescent="0.2">
      <c r="H1783" s="5"/>
      <c r="I1783" s="5"/>
      <c r="J1783" s="5"/>
      <c r="K1783" s="5"/>
      <c r="L1783" s="5"/>
      <c r="M1783" s="5"/>
      <c r="N1783" s="5"/>
    </row>
    <row r="1784" spans="8:14" ht="22.5" customHeight="1" x14ac:dyDescent="0.2">
      <c r="H1784" s="5"/>
      <c r="I1784" s="5"/>
      <c r="J1784" s="5"/>
      <c r="K1784" s="5"/>
      <c r="L1784" s="5"/>
      <c r="M1784" s="5"/>
      <c r="N1784" s="5"/>
    </row>
    <row r="1785" spans="8:14" ht="22.5" customHeight="1" x14ac:dyDescent="0.2">
      <c r="H1785" s="5"/>
      <c r="I1785" s="5"/>
      <c r="J1785" s="5"/>
      <c r="K1785" s="5"/>
      <c r="L1785" s="5"/>
      <c r="M1785" s="5"/>
      <c r="N1785" s="5"/>
    </row>
    <row r="1786" spans="8:14" ht="22.5" customHeight="1" x14ac:dyDescent="0.2">
      <c r="H1786" s="5"/>
      <c r="I1786" s="5"/>
      <c r="J1786" s="5"/>
      <c r="K1786" s="5"/>
      <c r="L1786" s="5"/>
      <c r="M1786" s="5"/>
      <c r="N1786" s="5"/>
    </row>
    <row r="1787" spans="8:14" ht="22.5" customHeight="1" x14ac:dyDescent="0.2">
      <c r="H1787" s="5"/>
      <c r="I1787" s="5"/>
      <c r="J1787" s="5"/>
      <c r="K1787" s="5"/>
      <c r="L1787" s="5"/>
      <c r="M1787" s="5"/>
      <c r="N1787" s="5"/>
    </row>
    <row r="1788" spans="8:14" ht="22.5" customHeight="1" x14ac:dyDescent="0.2">
      <c r="H1788" s="5"/>
      <c r="I1788" s="5"/>
      <c r="J1788" s="5"/>
      <c r="K1788" s="5"/>
      <c r="L1788" s="5"/>
      <c r="M1788" s="5"/>
      <c r="N1788" s="5"/>
    </row>
    <row r="1789" spans="8:14" ht="22.5" customHeight="1" x14ac:dyDescent="0.2">
      <c r="H1789" s="5"/>
      <c r="I1789" s="5"/>
      <c r="J1789" s="5"/>
      <c r="K1789" s="5"/>
      <c r="L1789" s="5"/>
      <c r="M1789" s="5"/>
      <c r="N1789" s="5"/>
    </row>
    <row r="1790" spans="8:14" ht="22.5" customHeight="1" x14ac:dyDescent="0.2">
      <c r="H1790" s="5"/>
      <c r="I1790" s="5"/>
      <c r="J1790" s="5"/>
      <c r="K1790" s="5"/>
      <c r="L1790" s="5"/>
      <c r="M1790" s="5"/>
      <c r="N1790" s="5"/>
    </row>
    <row r="1791" spans="8:14" ht="22.5" customHeight="1" x14ac:dyDescent="0.2">
      <c r="H1791" s="5"/>
      <c r="I1791" s="5"/>
      <c r="J1791" s="5"/>
      <c r="K1791" s="5"/>
      <c r="L1791" s="5"/>
      <c r="M1791" s="5"/>
      <c r="N1791" s="5"/>
    </row>
    <row r="1792" spans="8:14" ht="22.5" customHeight="1" x14ac:dyDescent="0.2">
      <c r="H1792" s="5"/>
      <c r="I1792" s="5"/>
      <c r="J1792" s="5"/>
      <c r="K1792" s="5"/>
      <c r="L1792" s="5"/>
      <c r="M1792" s="5"/>
      <c r="N1792" s="5"/>
    </row>
    <row r="1793" spans="8:14" ht="22.5" customHeight="1" x14ac:dyDescent="0.2">
      <c r="H1793" s="5"/>
      <c r="I1793" s="5"/>
      <c r="J1793" s="5"/>
      <c r="K1793" s="5"/>
      <c r="L1793" s="5"/>
      <c r="M1793" s="5"/>
      <c r="N1793" s="5"/>
    </row>
    <row r="1794" spans="8:14" ht="22.5" customHeight="1" x14ac:dyDescent="0.2">
      <c r="H1794" s="5"/>
      <c r="I1794" s="5"/>
      <c r="J1794" s="5"/>
      <c r="K1794" s="5"/>
      <c r="L1794" s="5"/>
      <c r="M1794" s="5"/>
      <c r="N1794" s="5"/>
    </row>
    <row r="1795" spans="8:14" ht="22.5" customHeight="1" x14ac:dyDescent="0.2">
      <c r="H1795" s="5"/>
      <c r="I1795" s="5"/>
      <c r="J1795" s="5"/>
      <c r="K1795" s="5"/>
      <c r="L1795" s="5"/>
      <c r="M1795" s="5"/>
      <c r="N1795" s="5"/>
    </row>
    <row r="1796" spans="8:14" ht="22.5" customHeight="1" x14ac:dyDescent="0.2">
      <c r="H1796" s="5"/>
      <c r="I1796" s="5"/>
      <c r="J1796" s="5"/>
      <c r="K1796" s="5"/>
      <c r="L1796" s="5"/>
      <c r="M1796" s="5"/>
      <c r="N1796" s="5"/>
    </row>
    <row r="1797" spans="8:14" ht="22.5" customHeight="1" x14ac:dyDescent="0.2">
      <c r="H1797" s="5"/>
      <c r="I1797" s="5"/>
      <c r="J1797" s="5"/>
      <c r="K1797" s="5"/>
      <c r="L1797" s="5"/>
      <c r="M1797" s="5"/>
      <c r="N1797" s="5"/>
    </row>
    <row r="1798" spans="8:14" ht="22.5" customHeight="1" x14ac:dyDescent="0.2">
      <c r="H1798" s="5"/>
      <c r="I1798" s="5"/>
      <c r="J1798" s="5"/>
      <c r="K1798" s="5"/>
      <c r="L1798" s="5"/>
      <c r="M1798" s="5"/>
      <c r="N1798" s="5"/>
    </row>
    <row r="1799" spans="8:14" ht="22.5" customHeight="1" x14ac:dyDescent="0.2">
      <c r="H1799" s="5"/>
      <c r="I1799" s="5"/>
      <c r="J1799" s="5"/>
      <c r="K1799" s="5"/>
      <c r="L1799" s="5"/>
      <c r="M1799" s="5"/>
      <c r="N1799" s="5"/>
    </row>
    <row r="1800" spans="8:14" ht="22.5" customHeight="1" x14ac:dyDescent="0.2">
      <c r="H1800" s="5"/>
      <c r="I1800" s="5"/>
      <c r="J1800" s="5"/>
      <c r="K1800" s="5"/>
      <c r="L1800" s="5"/>
      <c r="M1800" s="5"/>
      <c r="N1800" s="5"/>
    </row>
    <row r="1801" spans="8:14" ht="22.5" customHeight="1" x14ac:dyDescent="0.2">
      <c r="H1801" s="5"/>
      <c r="I1801" s="5"/>
      <c r="J1801" s="5"/>
      <c r="K1801" s="5"/>
      <c r="L1801" s="5"/>
      <c r="M1801" s="5"/>
      <c r="N1801" s="5"/>
    </row>
    <row r="1802" spans="8:14" ht="22.5" customHeight="1" x14ac:dyDescent="0.2">
      <c r="H1802" s="5"/>
      <c r="I1802" s="5"/>
      <c r="J1802" s="5"/>
      <c r="K1802" s="5"/>
      <c r="L1802" s="5"/>
      <c r="M1802" s="5"/>
      <c r="N1802" s="5"/>
    </row>
    <row r="1803" spans="8:14" ht="22.5" customHeight="1" x14ac:dyDescent="0.2">
      <c r="H1803" s="5"/>
      <c r="I1803" s="5"/>
      <c r="J1803" s="5"/>
      <c r="K1803" s="5"/>
      <c r="L1803" s="5"/>
      <c r="M1803" s="5"/>
      <c r="N1803" s="5"/>
    </row>
    <row r="1804" spans="8:14" ht="22.5" customHeight="1" x14ac:dyDescent="0.2">
      <c r="H1804" s="5"/>
      <c r="I1804" s="5"/>
      <c r="J1804" s="5"/>
      <c r="K1804" s="5"/>
      <c r="L1804" s="5"/>
      <c r="M1804" s="5"/>
      <c r="N1804" s="5"/>
    </row>
    <row r="1805" spans="8:14" ht="22.5" customHeight="1" x14ac:dyDescent="0.2">
      <c r="H1805" s="5"/>
      <c r="I1805" s="5"/>
      <c r="J1805" s="5"/>
      <c r="K1805" s="5"/>
      <c r="L1805" s="5"/>
      <c r="M1805" s="5"/>
      <c r="N1805" s="5"/>
    </row>
    <row r="1806" spans="8:14" ht="22.5" customHeight="1" x14ac:dyDescent="0.2">
      <c r="H1806" s="5"/>
      <c r="I1806" s="5"/>
      <c r="J1806" s="5"/>
      <c r="K1806" s="5"/>
      <c r="L1806" s="5"/>
      <c r="M1806" s="5"/>
      <c r="N1806" s="5"/>
    </row>
    <row r="1807" spans="8:14" ht="22.5" customHeight="1" x14ac:dyDescent="0.2">
      <c r="H1807" s="5"/>
      <c r="I1807" s="5"/>
      <c r="J1807" s="5"/>
      <c r="K1807" s="5"/>
      <c r="L1807" s="5"/>
      <c r="M1807" s="5"/>
      <c r="N1807" s="5"/>
    </row>
    <row r="1808" spans="8:14" ht="22.5" customHeight="1" x14ac:dyDescent="0.2">
      <c r="H1808" s="5"/>
      <c r="I1808" s="5"/>
      <c r="J1808" s="5"/>
      <c r="K1808" s="5"/>
      <c r="L1808" s="5"/>
      <c r="M1808" s="5"/>
      <c r="N1808" s="5"/>
    </row>
    <row r="1809" spans="8:14" ht="22.5" customHeight="1" x14ac:dyDescent="0.2">
      <c r="H1809" s="5"/>
      <c r="I1809" s="5"/>
      <c r="J1809" s="5"/>
      <c r="K1809" s="5"/>
      <c r="L1809" s="5"/>
      <c r="M1809" s="5"/>
      <c r="N1809" s="5"/>
    </row>
    <row r="1810" spans="8:14" ht="22.5" customHeight="1" x14ac:dyDescent="0.2">
      <c r="H1810" s="5"/>
      <c r="I1810" s="5"/>
      <c r="J1810" s="5"/>
      <c r="K1810" s="5"/>
      <c r="L1810" s="5"/>
      <c r="M1810" s="5"/>
      <c r="N1810" s="5"/>
    </row>
    <row r="1811" spans="8:14" ht="22.5" customHeight="1" x14ac:dyDescent="0.2">
      <c r="H1811" s="5"/>
      <c r="I1811" s="5"/>
      <c r="J1811" s="5"/>
      <c r="K1811" s="5"/>
      <c r="L1811" s="5"/>
      <c r="M1811" s="5"/>
      <c r="N1811" s="5"/>
    </row>
    <row r="1812" spans="8:14" ht="22.5" customHeight="1" x14ac:dyDescent="0.2">
      <c r="H1812" s="5"/>
      <c r="I1812" s="5"/>
      <c r="J1812" s="5"/>
      <c r="K1812" s="5"/>
      <c r="L1812" s="5"/>
      <c r="M1812" s="5"/>
      <c r="N1812" s="5"/>
    </row>
    <row r="1813" spans="8:14" ht="22.5" customHeight="1" x14ac:dyDescent="0.2">
      <c r="H1813" s="5"/>
      <c r="I1813" s="5"/>
      <c r="J1813" s="5"/>
      <c r="K1813" s="5"/>
      <c r="L1813" s="5"/>
      <c r="M1813" s="5"/>
      <c r="N1813" s="5"/>
    </row>
    <row r="1814" spans="8:14" ht="22.5" customHeight="1" x14ac:dyDescent="0.2">
      <c r="H1814" s="5"/>
      <c r="I1814" s="5"/>
      <c r="J1814" s="5"/>
      <c r="K1814" s="5"/>
      <c r="L1814" s="5"/>
      <c r="M1814" s="5"/>
      <c r="N1814" s="5"/>
    </row>
    <row r="1815" spans="8:14" ht="22.5" customHeight="1" x14ac:dyDescent="0.2">
      <c r="H1815" s="5"/>
      <c r="I1815" s="5"/>
      <c r="J1815" s="5"/>
      <c r="K1815" s="5"/>
      <c r="L1815" s="5"/>
      <c r="M1815" s="5"/>
      <c r="N1815" s="5"/>
    </row>
    <row r="1816" spans="8:14" ht="22.5" customHeight="1" x14ac:dyDescent="0.2">
      <c r="H1816" s="5"/>
      <c r="I1816" s="5"/>
      <c r="J1816" s="5"/>
      <c r="K1816" s="5"/>
      <c r="L1816" s="5"/>
      <c r="M1816" s="5"/>
      <c r="N1816" s="5"/>
    </row>
    <row r="1817" spans="8:14" ht="22.5" customHeight="1" x14ac:dyDescent="0.2">
      <c r="H1817" s="5"/>
      <c r="I1817" s="5"/>
      <c r="J1817" s="5"/>
      <c r="K1817" s="5"/>
      <c r="L1817" s="5"/>
      <c r="M1817" s="5"/>
      <c r="N1817" s="5"/>
    </row>
    <row r="1818" spans="8:14" ht="22.5" customHeight="1" x14ac:dyDescent="0.2">
      <c r="H1818" s="5"/>
      <c r="I1818" s="5"/>
      <c r="J1818" s="5"/>
      <c r="K1818" s="5"/>
      <c r="L1818" s="5"/>
      <c r="M1818" s="5"/>
      <c r="N1818" s="5"/>
    </row>
    <row r="1819" spans="8:14" ht="22.5" customHeight="1" x14ac:dyDescent="0.2">
      <c r="H1819" s="5"/>
      <c r="I1819" s="5"/>
      <c r="J1819" s="5"/>
      <c r="K1819" s="5"/>
      <c r="L1819" s="5"/>
      <c r="M1819" s="5"/>
      <c r="N1819" s="5"/>
    </row>
    <row r="1820" spans="8:14" ht="22.5" customHeight="1" x14ac:dyDescent="0.2">
      <c r="H1820" s="5"/>
      <c r="I1820" s="5"/>
      <c r="J1820" s="5"/>
      <c r="K1820" s="5"/>
      <c r="L1820" s="5"/>
      <c r="M1820" s="5"/>
      <c r="N1820" s="5"/>
    </row>
    <row r="1821" spans="8:14" ht="22.5" customHeight="1" x14ac:dyDescent="0.2">
      <c r="H1821" s="5"/>
      <c r="I1821" s="5"/>
      <c r="J1821" s="5"/>
      <c r="K1821" s="5"/>
      <c r="L1821" s="5"/>
      <c r="M1821" s="5"/>
      <c r="N1821" s="5"/>
    </row>
    <row r="1822" spans="8:14" ht="22.5" customHeight="1" x14ac:dyDescent="0.2">
      <c r="H1822" s="5"/>
      <c r="I1822" s="5"/>
      <c r="J1822" s="5"/>
      <c r="K1822" s="5"/>
      <c r="L1822" s="5"/>
      <c r="M1822" s="5"/>
      <c r="N1822" s="5"/>
    </row>
    <row r="1823" spans="8:14" ht="22.5" customHeight="1" x14ac:dyDescent="0.2">
      <c r="H1823" s="5"/>
      <c r="I1823" s="5"/>
      <c r="J1823" s="5"/>
      <c r="K1823" s="5"/>
      <c r="L1823" s="5"/>
      <c r="M1823" s="5"/>
      <c r="N1823" s="5"/>
    </row>
    <row r="1824" spans="8:14" ht="22.5" customHeight="1" x14ac:dyDescent="0.2">
      <c r="H1824" s="5"/>
      <c r="I1824" s="5"/>
      <c r="J1824" s="5"/>
      <c r="K1824" s="5"/>
      <c r="L1824" s="5"/>
      <c r="M1824" s="5"/>
      <c r="N1824" s="5"/>
    </row>
    <row r="1825" spans="8:14" ht="22.5" customHeight="1" x14ac:dyDescent="0.2">
      <c r="H1825" s="5"/>
      <c r="I1825" s="5"/>
      <c r="J1825" s="5"/>
      <c r="K1825" s="5"/>
      <c r="L1825" s="5"/>
      <c r="M1825" s="5"/>
      <c r="N1825" s="5"/>
    </row>
    <row r="1826" spans="8:14" ht="22.5" customHeight="1" x14ac:dyDescent="0.2">
      <c r="H1826" s="5"/>
      <c r="I1826" s="5"/>
      <c r="J1826" s="5"/>
      <c r="K1826" s="5"/>
      <c r="L1826" s="5"/>
      <c r="M1826" s="5"/>
      <c r="N1826" s="5"/>
    </row>
    <row r="1827" spans="8:14" ht="22.5" customHeight="1" x14ac:dyDescent="0.2">
      <c r="H1827" s="5"/>
      <c r="I1827" s="5"/>
      <c r="J1827" s="5"/>
      <c r="K1827" s="5"/>
      <c r="L1827" s="5"/>
      <c r="M1827" s="5"/>
      <c r="N1827" s="5"/>
    </row>
    <row r="1828" spans="8:14" ht="22.5" customHeight="1" x14ac:dyDescent="0.2">
      <c r="H1828" s="5"/>
      <c r="I1828" s="5"/>
      <c r="J1828" s="5"/>
      <c r="K1828" s="5"/>
      <c r="L1828" s="5"/>
      <c r="M1828" s="5"/>
      <c r="N1828" s="5"/>
    </row>
    <row r="1829" spans="8:14" ht="22.5" customHeight="1" x14ac:dyDescent="0.2">
      <c r="H1829" s="5"/>
      <c r="I1829" s="5"/>
      <c r="J1829" s="5"/>
      <c r="K1829" s="5"/>
      <c r="L1829" s="5"/>
      <c r="M1829" s="5"/>
      <c r="N1829" s="5"/>
    </row>
    <row r="1830" spans="8:14" ht="22.5" customHeight="1" x14ac:dyDescent="0.2">
      <c r="H1830" s="5"/>
      <c r="I1830" s="5"/>
      <c r="J1830" s="5"/>
      <c r="K1830" s="5"/>
      <c r="L1830" s="5"/>
      <c r="M1830" s="5"/>
      <c r="N1830" s="5"/>
    </row>
    <row r="1831" spans="8:14" ht="22.5" customHeight="1" x14ac:dyDescent="0.2">
      <c r="H1831" s="5"/>
      <c r="I1831" s="5"/>
      <c r="J1831" s="5"/>
      <c r="K1831" s="5"/>
      <c r="L1831" s="5"/>
      <c r="M1831" s="5"/>
      <c r="N1831" s="5"/>
    </row>
    <row r="1832" spans="8:14" ht="22.5" customHeight="1" x14ac:dyDescent="0.2">
      <c r="H1832" s="5"/>
      <c r="I1832" s="5"/>
      <c r="J1832" s="5"/>
      <c r="K1832" s="5"/>
      <c r="L1832" s="5"/>
      <c r="M1832" s="5"/>
      <c r="N1832" s="5"/>
    </row>
    <row r="1833" spans="8:14" ht="22.5" customHeight="1" x14ac:dyDescent="0.2">
      <c r="H1833" s="5"/>
      <c r="I1833" s="5"/>
      <c r="J1833" s="5"/>
      <c r="K1833" s="5"/>
      <c r="L1833" s="5"/>
      <c r="M1833" s="5"/>
      <c r="N1833" s="5"/>
    </row>
    <row r="1834" spans="8:14" ht="22.5" customHeight="1" x14ac:dyDescent="0.2">
      <c r="H1834" s="5"/>
      <c r="I1834" s="5"/>
      <c r="J1834" s="5"/>
      <c r="K1834" s="5"/>
      <c r="L1834" s="5"/>
      <c r="M1834" s="5"/>
      <c r="N1834" s="5"/>
    </row>
    <row r="1835" spans="8:14" ht="22.5" customHeight="1" x14ac:dyDescent="0.2">
      <c r="H1835" s="5"/>
      <c r="I1835" s="5"/>
      <c r="J1835" s="5"/>
      <c r="K1835" s="5"/>
      <c r="L1835" s="5"/>
      <c r="M1835" s="5"/>
      <c r="N1835" s="5"/>
    </row>
    <row r="1836" spans="8:14" ht="22.5" customHeight="1" x14ac:dyDescent="0.2">
      <c r="H1836" s="5"/>
      <c r="I1836" s="5"/>
      <c r="J1836" s="5"/>
      <c r="K1836" s="5"/>
      <c r="L1836" s="5"/>
      <c r="M1836" s="5"/>
      <c r="N1836" s="5"/>
    </row>
    <row r="1837" spans="8:14" ht="22.5" customHeight="1" x14ac:dyDescent="0.2">
      <c r="H1837" s="5"/>
      <c r="I1837" s="5"/>
      <c r="J1837" s="5"/>
      <c r="K1837" s="5"/>
      <c r="L1837" s="5"/>
      <c r="M1837" s="5"/>
      <c r="N1837" s="5"/>
    </row>
    <row r="1838" spans="8:14" ht="22.5" customHeight="1" x14ac:dyDescent="0.2">
      <c r="H1838" s="5"/>
      <c r="I1838" s="5"/>
      <c r="J1838" s="5"/>
      <c r="K1838" s="5"/>
      <c r="L1838" s="5"/>
      <c r="M1838" s="5"/>
      <c r="N1838" s="5"/>
    </row>
    <row r="1839" spans="8:14" ht="22.5" customHeight="1" x14ac:dyDescent="0.2">
      <c r="H1839" s="5"/>
      <c r="I1839" s="5"/>
      <c r="J1839" s="5"/>
      <c r="K1839" s="5"/>
      <c r="L1839" s="5"/>
      <c r="M1839" s="5"/>
      <c r="N1839" s="5"/>
    </row>
    <row r="1840" spans="8:14" ht="22.5" customHeight="1" x14ac:dyDescent="0.2">
      <c r="H1840" s="5"/>
      <c r="I1840" s="5"/>
      <c r="J1840" s="5"/>
      <c r="K1840" s="5"/>
      <c r="L1840" s="5"/>
      <c r="M1840" s="5"/>
      <c r="N1840" s="5"/>
    </row>
    <row r="1841" spans="8:14" ht="22.5" customHeight="1" x14ac:dyDescent="0.2">
      <c r="H1841" s="5"/>
      <c r="I1841" s="5"/>
      <c r="J1841" s="5"/>
      <c r="K1841" s="5"/>
      <c r="L1841" s="5"/>
      <c r="M1841" s="5"/>
      <c r="N1841" s="5"/>
    </row>
    <row r="1842" spans="8:14" ht="22.5" customHeight="1" x14ac:dyDescent="0.2">
      <c r="H1842" s="5"/>
      <c r="I1842" s="5"/>
      <c r="J1842" s="5"/>
      <c r="K1842" s="5"/>
      <c r="L1842" s="5"/>
      <c r="M1842" s="5"/>
      <c r="N1842" s="5"/>
    </row>
    <row r="1843" spans="8:14" ht="22.5" customHeight="1" x14ac:dyDescent="0.2">
      <c r="H1843" s="5"/>
      <c r="I1843" s="5"/>
      <c r="J1843" s="5"/>
      <c r="K1843" s="5"/>
      <c r="L1843" s="5"/>
      <c r="M1843" s="5"/>
      <c r="N1843" s="5"/>
    </row>
    <row r="1844" spans="8:14" ht="22.5" customHeight="1" x14ac:dyDescent="0.2">
      <c r="H1844" s="5"/>
      <c r="I1844" s="5"/>
      <c r="J1844" s="5"/>
      <c r="K1844" s="5"/>
      <c r="L1844" s="5"/>
      <c r="M1844" s="5"/>
      <c r="N1844" s="5"/>
    </row>
    <row r="1845" spans="8:14" ht="22.5" customHeight="1" x14ac:dyDescent="0.2">
      <c r="H1845" s="5"/>
      <c r="I1845" s="5"/>
      <c r="J1845" s="5"/>
      <c r="K1845" s="5"/>
      <c r="L1845" s="5"/>
      <c r="M1845" s="5"/>
      <c r="N1845" s="5"/>
    </row>
    <row r="1846" spans="8:14" ht="22.5" customHeight="1" x14ac:dyDescent="0.2">
      <c r="H1846" s="5"/>
      <c r="I1846" s="5"/>
      <c r="J1846" s="5"/>
      <c r="K1846" s="5"/>
      <c r="L1846" s="5"/>
      <c r="M1846" s="5"/>
      <c r="N1846" s="5"/>
    </row>
    <row r="1847" spans="8:14" ht="22.5" customHeight="1" x14ac:dyDescent="0.2">
      <c r="H1847" s="5"/>
      <c r="I1847" s="5"/>
      <c r="J1847" s="5"/>
      <c r="K1847" s="5"/>
      <c r="L1847" s="5"/>
      <c r="M1847" s="5"/>
      <c r="N1847" s="5"/>
    </row>
    <row r="1848" spans="8:14" ht="22.5" customHeight="1" x14ac:dyDescent="0.2">
      <c r="H1848" s="5"/>
      <c r="I1848" s="5"/>
      <c r="J1848" s="5"/>
      <c r="K1848" s="5"/>
      <c r="L1848" s="5"/>
      <c r="M1848" s="5"/>
      <c r="N1848" s="5"/>
    </row>
    <row r="1849" spans="8:14" ht="22.5" customHeight="1" x14ac:dyDescent="0.2">
      <c r="H1849" s="5"/>
      <c r="I1849" s="5"/>
      <c r="J1849" s="5"/>
      <c r="K1849" s="5"/>
      <c r="L1849" s="5"/>
      <c r="M1849" s="5"/>
      <c r="N1849" s="5"/>
    </row>
    <row r="1850" spans="8:14" ht="22.5" customHeight="1" x14ac:dyDescent="0.2">
      <c r="H1850" s="5"/>
      <c r="I1850" s="5"/>
      <c r="J1850" s="5"/>
      <c r="K1850" s="5"/>
      <c r="L1850" s="5"/>
      <c r="M1850" s="5"/>
      <c r="N1850" s="5"/>
    </row>
    <row r="1851" spans="8:14" ht="22.5" customHeight="1" x14ac:dyDescent="0.2">
      <c r="H1851" s="5"/>
      <c r="I1851" s="5"/>
      <c r="J1851" s="5"/>
      <c r="K1851" s="5"/>
      <c r="L1851" s="5"/>
      <c r="M1851" s="5"/>
      <c r="N1851" s="5"/>
    </row>
    <row r="1852" spans="8:14" ht="22.5" customHeight="1" x14ac:dyDescent="0.2">
      <c r="H1852" s="5"/>
      <c r="I1852" s="5"/>
      <c r="J1852" s="5"/>
      <c r="K1852" s="5"/>
      <c r="L1852" s="5"/>
      <c r="M1852" s="5"/>
      <c r="N1852" s="5"/>
    </row>
    <row r="1853" spans="8:14" ht="22.5" customHeight="1" x14ac:dyDescent="0.2">
      <c r="H1853" s="5"/>
      <c r="I1853" s="5"/>
      <c r="J1853" s="5"/>
      <c r="K1853" s="5"/>
      <c r="L1853" s="5"/>
      <c r="M1853" s="5"/>
      <c r="N1853" s="5"/>
    </row>
    <row r="1854" spans="8:14" ht="22.5" customHeight="1" x14ac:dyDescent="0.2">
      <c r="H1854" s="5"/>
      <c r="I1854" s="5"/>
      <c r="J1854" s="5"/>
      <c r="K1854" s="5"/>
      <c r="L1854" s="5"/>
      <c r="M1854" s="5"/>
      <c r="N1854" s="5"/>
    </row>
    <row r="1855" spans="8:14" ht="22.5" customHeight="1" x14ac:dyDescent="0.2">
      <c r="H1855" s="5"/>
      <c r="I1855" s="5"/>
      <c r="J1855" s="5"/>
      <c r="K1855" s="5"/>
      <c r="L1855" s="5"/>
      <c r="M1855" s="5"/>
      <c r="N1855" s="5"/>
    </row>
    <row r="1856" spans="8:14" ht="22.5" customHeight="1" x14ac:dyDescent="0.2">
      <c r="H1856" s="5"/>
      <c r="I1856" s="5"/>
      <c r="J1856" s="5"/>
      <c r="K1856" s="5"/>
      <c r="L1856" s="5"/>
      <c r="M1856" s="5"/>
      <c r="N1856" s="5"/>
    </row>
    <row r="1857" spans="8:14" ht="22.5" customHeight="1" x14ac:dyDescent="0.2">
      <c r="H1857" s="5"/>
      <c r="I1857" s="5"/>
      <c r="J1857" s="5"/>
      <c r="K1857" s="5"/>
      <c r="L1857" s="5"/>
      <c r="M1857" s="5"/>
      <c r="N1857" s="5"/>
    </row>
    <row r="1858" spans="8:14" ht="22.5" customHeight="1" x14ac:dyDescent="0.2">
      <c r="H1858" s="5"/>
      <c r="I1858" s="5"/>
      <c r="J1858" s="5"/>
      <c r="K1858" s="5"/>
      <c r="L1858" s="5"/>
      <c r="M1858" s="5"/>
      <c r="N1858" s="5"/>
    </row>
    <row r="1859" spans="8:14" ht="22.5" customHeight="1" x14ac:dyDescent="0.2">
      <c r="H1859" s="5"/>
      <c r="I1859" s="5"/>
      <c r="J1859" s="5"/>
      <c r="K1859" s="5"/>
      <c r="L1859" s="5"/>
      <c r="M1859" s="5"/>
      <c r="N1859" s="5"/>
    </row>
    <row r="1860" spans="8:14" ht="22.5" customHeight="1" x14ac:dyDescent="0.2">
      <c r="H1860" s="5"/>
      <c r="I1860" s="5"/>
      <c r="J1860" s="5"/>
      <c r="K1860" s="5"/>
      <c r="L1860" s="5"/>
      <c r="M1860" s="5"/>
      <c r="N1860" s="5"/>
    </row>
    <row r="1861" spans="8:14" ht="22.5" customHeight="1" x14ac:dyDescent="0.2">
      <c r="H1861" s="5"/>
      <c r="I1861" s="5"/>
      <c r="J1861" s="5"/>
      <c r="K1861" s="5"/>
      <c r="L1861" s="5"/>
      <c r="M1861" s="5"/>
      <c r="N1861" s="5"/>
    </row>
    <row r="1862" spans="8:14" ht="22.5" customHeight="1" x14ac:dyDescent="0.2">
      <c r="H1862" s="5"/>
      <c r="I1862" s="5"/>
      <c r="J1862" s="5"/>
      <c r="K1862" s="5"/>
      <c r="L1862" s="5"/>
      <c r="M1862" s="5"/>
      <c r="N1862" s="5"/>
    </row>
    <row r="1863" spans="8:14" ht="22.5" customHeight="1" x14ac:dyDescent="0.2">
      <c r="H1863" s="5"/>
      <c r="I1863" s="5"/>
      <c r="J1863" s="5"/>
      <c r="K1863" s="5"/>
      <c r="L1863" s="5"/>
      <c r="M1863" s="5"/>
      <c r="N1863" s="5"/>
    </row>
    <row r="1864" spans="8:14" ht="22.5" customHeight="1" x14ac:dyDescent="0.2">
      <c r="H1864" s="5"/>
      <c r="I1864" s="5"/>
      <c r="J1864" s="5"/>
      <c r="K1864" s="5"/>
      <c r="L1864" s="5"/>
      <c r="M1864" s="5"/>
      <c r="N1864" s="5"/>
    </row>
    <row r="1865" spans="8:14" ht="22.5" customHeight="1" x14ac:dyDescent="0.2">
      <c r="H1865" s="5"/>
      <c r="I1865" s="5"/>
      <c r="J1865" s="5"/>
      <c r="K1865" s="5"/>
      <c r="L1865" s="5"/>
      <c r="M1865" s="5"/>
      <c r="N1865" s="5"/>
    </row>
    <row r="1866" spans="8:14" ht="22.5" customHeight="1" x14ac:dyDescent="0.2">
      <c r="H1866" s="5"/>
      <c r="I1866" s="5"/>
      <c r="J1866" s="5"/>
      <c r="K1866" s="5"/>
      <c r="L1866" s="5"/>
      <c r="M1866" s="5"/>
      <c r="N1866" s="5"/>
    </row>
    <row r="1867" spans="8:14" ht="22.5" customHeight="1" x14ac:dyDescent="0.2">
      <c r="H1867" s="5"/>
      <c r="I1867" s="5"/>
      <c r="J1867" s="5"/>
      <c r="K1867" s="5"/>
      <c r="L1867" s="5"/>
      <c r="M1867" s="5"/>
      <c r="N1867" s="5"/>
    </row>
    <row r="1868" spans="8:14" ht="22.5" customHeight="1" x14ac:dyDescent="0.2">
      <c r="H1868" s="5"/>
      <c r="I1868" s="5"/>
      <c r="J1868" s="5"/>
      <c r="K1868" s="5"/>
      <c r="L1868" s="5"/>
      <c r="M1868" s="5"/>
      <c r="N1868" s="5"/>
    </row>
    <row r="1869" spans="8:14" ht="22.5" customHeight="1" x14ac:dyDescent="0.2">
      <c r="H1869" s="5"/>
      <c r="I1869" s="5"/>
      <c r="J1869" s="5"/>
      <c r="K1869" s="5"/>
      <c r="L1869" s="5"/>
      <c r="M1869" s="5"/>
      <c r="N1869" s="5"/>
    </row>
    <row r="1870" spans="8:14" ht="22.5" customHeight="1" x14ac:dyDescent="0.2">
      <c r="H1870" s="5"/>
      <c r="I1870" s="5"/>
      <c r="J1870" s="5"/>
      <c r="K1870" s="5"/>
      <c r="L1870" s="5"/>
      <c r="M1870" s="5"/>
      <c r="N1870" s="5"/>
    </row>
    <row r="1871" spans="8:14" ht="22.5" customHeight="1" x14ac:dyDescent="0.2">
      <c r="H1871" s="5"/>
      <c r="I1871" s="5"/>
      <c r="J1871" s="5"/>
      <c r="K1871" s="5"/>
      <c r="L1871" s="5"/>
      <c r="M1871" s="5"/>
      <c r="N1871" s="5"/>
    </row>
    <row r="1872" spans="8:14" ht="22.5" customHeight="1" x14ac:dyDescent="0.2">
      <c r="H1872" s="5"/>
      <c r="I1872" s="5"/>
      <c r="J1872" s="5"/>
      <c r="K1872" s="5"/>
      <c r="L1872" s="5"/>
      <c r="M1872" s="5"/>
      <c r="N1872" s="5"/>
    </row>
    <row r="1873" spans="8:14" ht="22.5" customHeight="1" x14ac:dyDescent="0.2">
      <c r="H1873" s="5"/>
      <c r="I1873" s="5"/>
      <c r="J1873" s="5"/>
      <c r="K1873" s="5"/>
      <c r="L1873" s="5"/>
      <c r="M1873" s="5"/>
      <c r="N1873" s="5"/>
    </row>
    <row r="1874" spans="8:14" ht="22.5" customHeight="1" x14ac:dyDescent="0.2">
      <c r="H1874" s="5"/>
      <c r="I1874" s="5"/>
      <c r="J1874" s="5"/>
      <c r="K1874" s="5"/>
      <c r="L1874" s="5"/>
      <c r="M1874" s="5"/>
      <c r="N1874" s="5"/>
    </row>
    <row r="1875" spans="8:14" ht="22.5" customHeight="1" x14ac:dyDescent="0.2">
      <c r="H1875" s="5"/>
      <c r="I1875" s="5"/>
      <c r="J1875" s="5"/>
      <c r="K1875" s="5"/>
      <c r="L1875" s="5"/>
      <c r="M1875" s="5"/>
      <c r="N1875" s="5"/>
    </row>
    <row r="1876" spans="8:14" ht="22.5" customHeight="1" x14ac:dyDescent="0.2">
      <c r="H1876" s="5"/>
      <c r="I1876" s="5"/>
      <c r="J1876" s="5"/>
      <c r="K1876" s="5"/>
      <c r="L1876" s="5"/>
      <c r="M1876" s="5"/>
      <c r="N1876" s="5"/>
    </row>
    <row r="1877" spans="8:14" ht="22.5" customHeight="1" x14ac:dyDescent="0.2">
      <c r="H1877" s="5"/>
      <c r="I1877" s="5"/>
      <c r="J1877" s="5"/>
      <c r="K1877" s="5"/>
      <c r="L1877" s="5"/>
      <c r="M1877" s="5"/>
      <c r="N1877" s="5"/>
    </row>
    <row r="1878" spans="8:14" ht="22.5" customHeight="1" x14ac:dyDescent="0.2">
      <c r="H1878" s="5"/>
      <c r="I1878" s="5"/>
      <c r="J1878" s="5"/>
      <c r="K1878" s="5"/>
      <c r="L1878" s="5"/>
      <c r="M1878" s="5"/>
      <c r="N1878" s="5"/>
    </row>
    <row r="1879" spans="8:14" ht="22.5" customHeight="1" x14ac:dyDescent="0.2">
      <c r="H1879" s="5"/>
      <c r="I1879" s="5"/>
      <c r="J1879" s="5"/>
      <c r="K1879" s="5"/>
      <c r="L1879" s="5"/>
      <c r="M1879" s="5"/>
      <c r="N1879" s="5"/>
    </row>
    <row r="1880" spans="8:14" ht="22.5" customHeight="1" x14ac:dyDescent="0.2">
      <c r="H1880" s="5"/>
      <c r="I1880" s="5"/>
      <c r="J1880" s="5"/>
      <c r="K1880" s="5"/>
      <c r="L1880" s="5"/>
      <c r="M1880" s="5"/>
      <c r="N1880" s="5"/>
    </row>
    <row r="1881" spans="8:14" ht="22.5" customHeight="1" x14ac:dyDescent="0.2">
      <c r="H1881" s="5"/>
      <c r="I1881" s="5"/>
      <c r="J1881" s="5"/>
      <c r="K1881" s="5"/>
      <c r="L1881" s="5"/>
      <c r="M1881" s="5"/>
      <c r="N1881" s="5"/>
    </row>
    <row r="1882" spans="8:14" ht="22.5" customHeight="1" x14ac:dyDescent="0.2">
      <c r="H1882" s="5"/>
      <c r="I1882" s="5"/>
      <c r="J1882" s="5"/>
      <c r="K1882" s="5"/>
      <c r="L1882" s="5"/>
      <c r="M1882" s="5"/>
      <c r="N1882" s="5"/>
    </row>
    <row r="1883" spans="8:14" ht="22.5" customHeight="1" x14ac:dyDescent="0.2">
      <c r="H1883" s="5"/>
      <c r="I1883" s="5"/>
      <c r="J1883" s="5"/>
      <c r="K1883" s="5"/>
      <c r="L1883" s="5"/>
      <c r="M1883" s="5"/>
      <c r="N1883" s="5"/>
    </row>
    <row r="1884" spans="8:14" ht="22.5" customHeight="1" x14ac:dyDescent="0.2">
      <c r="H1884" s="5"/>
      <c r="I1884" s="5"/>
      <c r="J1884" s="5"/>
      <c r="K1884" s="5"/>
      <c r="L1884" s="5"/>
      <c r="M1884" s="5"/>
      <c r="N1884" s="5"/>
    </row>
    <row r="1885" spans="8:14" ht="22.5" customHeight="1" x14ac:dyDescent="0.2">
      <c r="H1885" s="5"/>
      <c r="I1885" s="5"/>
      <c r="J1885" s="5"/>
      <c r="K1885" s="5"/>
      <c r="L1885" s="5"/>
      <c r="M1885" s="5"/>
      <c r="N1885" s="5"/>
    </row>
    <row r="1886" spans="8:14" ht="22.5" customHeight="1" x14ac:dyDescent="0.2">
      <c r="H1886" s="5"/>
      <c r="I1886" s="5"/>
      <c r="J1886" s="5"/>
      <c r="K1886" s="5"/>
      <c r="L1886" s="5"/>
      <c r="M1886" s="5"/>
      <c r="N1886" s="5"/>
    </row>
    <row r="1887" spans="8:14" ht="22.5" customHeight="1" x14ac:dyDescent="0.2">
      <c r="H1887" s="5"/>
      <c r="I1887" s="5"/>
      <c r="J1887" s="5"/>
      <c r="K1887" s="5"/>
      <c r="L1887" s="5"/>
      <c r="M1887" s="5"/>
      <c r="N1887" s="5"/>
    </row>
    <row r="1888" spans="8:14" ht="22.5" customHeight="1" x14ac:dyDescent="0.2">
      <c r="H1888" s="5"/>
      <c r="I1888" s="5"/>
      <c r="J1888" s="5"/>
      <c r="K1888" s="5"/>
      <c r="L1888" s="5"/>
      <c r="M1888" s="5"/>
      <c r="N1888" s="5"/>
    </row>
    <row r="1889" spans="8:14" ht="22.5" customHeight="1" x14ac:dyDescent="0.2">
      <c r="H1889" s="5"/>
      <c r="I1889" s="5"/>
      <c r="J1889" s="5"/>
      <c r="K1889" s="5"/>
      <c r="L1889" s="5"/>
      <c r="M1889" s="5"/>
      <c r="N1889" s="5"/>
    </row>
    <row r="1890" spans="8:14" ht="22.5" customHeight="1" x14ac:dyDescent="0.2">
      <c r="H1890" s="5"/>
      <c r="I1890" s="5"/>
      <c r="J1890" s="5"/>
      <c r="K1890" s="5"/>
      <c r="L1890" s="5"/>
      <c r="M1890" s="5"/>
      <c r="N1890" s="5"/>
    </row>
    <row r="1891" spans="8:14" ht="22.5" customHeight="1" x14ac:dyDescent="0.2">
      <c r="H1891" s="5"/>
      <c r="I1891" s="5"/>
      <c r="J1891" s="5"/>
      <c r="K1891" s="5"/>
      <c r="L1891" s="5"/>
      <c r="M1891" s="5"/>
      <c r="N1891" s="5"/>
    </row>
    <row r="1892" spans="8:14" ht="22.5" customHeight="1" x14ac:dyDescent="0.2">
      <c r="H1892" s="5"/>
      <c r="I1892" s="5"/>
      <c r="J1892" s="5"/>
      <c r="K1892" s="5"/>
      <c r="L1892" s="5"/>
      <c r="M1892" s="5"/>
      <c r="N1892" s="5"/>
    </row>
    <row r="1893" spans="8:14" ht="22.5" customHeight="1" x14ac:dyDescent="0.2">
      <c r="H1893" s="5"/>
      <c r="I1893" s="5"/>
      <c r="J1893" s="5"/>
      <c r="K1893" s="5"/>
      <c r="L1893" s="5"/>
      <c r="M1893" s="5"/>
      <c r="N1893" s="5"/>
    </row>
    <row r="1894" spans="8:14" ht="22.5" customHeight="1" x14ac:dyDescent="0.2">
      <c r="H1894" s="5"/>
      <c r="I1894" s="5"/>
      <c r="J1894" s="5"/>
      <c r="K1894" s="5"/>
      <c r="L1894" s="5"/>
      <c r="M1894" s="5"/>
      <c r="N1894" s="5"/>
    </row>
    <row r="1895" spans="8:14" ht="22.5" customHeight="1" x14ac:dyDescent="0.2">
      <c r="H1895" s="5"/>
      <c r="I1895" s="5"/>
      <c r="J1895" s="5"/>
      <c r="K1895" s="5"/>
      <c r="L1895" s="5"/>
      <c r="M1895" s="5"/>
      <c r="N1895" s="5"/>
    </row>
    <row r="1896" spans="8:14" ht="22.5" customHeight="1" x14ac:dyDescent="0.2">
      <c r="H1896" s="5"/>
      <c r="I1896" s="5"/>
      <c r="J1896" s="5"/>
      <c r="K1896" s="5"/>
      <c r="L1896" s="5"/>
      <c r="M1896" s="5"/>
      <c r="N1896" s="5"/>
    </row>
    <row r="1897" spans="8:14" ht="22.5" customHeight="1" x14ac:dyDescent="0.2">
      <c r="H1897" s="5"/>
      <c r="I1897" s="5"/>
      <c r="J1897" s="5"/>
      <c r="K1897" s="5"/>
      <c r="L1897" s="5"/>
      <c r="M1897" s="5"/>
      <c r="N1897" s="5"/>
    </row>
    <row r="1898" spans="8:14" ht="22.5" customHeight="1" x14ac:dyDescent="0.2">
      <c r="H1898" s="5"/>
      <c r="I1898" s="5"/>
      <c r="J1898" s="5"/>
      <c r="K1898" s="5"/>
      <c r="L1898" s="5"/>
      <c r="M1898" s="5"/>
      <c r="N1898" s="5"/>
    </row>
    <row r="1899" spans="8:14" ht="22.5" customHeight="1" x14ac:dyDescent="0.2">
      <c r="H1899" s="5"/>
      <c r="I1899" s="5"/>
      <c r="J1899" s="5"/>
      <c r="K1899" s="5"/>
      <c r="L1899" s="5"/>
      <c r="M1899" s="5"/>
      <c r="N1899" s="5"/>
    </row>
    <row r="1900" spans="8:14" ht="22.5" customHeight="1" x14ac:dyDescent="0.2">
      <c r="H1900" s="5"/>
      <c r="I1900" s="5"/>
      <c r="J1900" s="5"/>
      <c r="K1900" s="5"/>
      <c r="L1900" s="5"/>
      <c r="M1900" s="5"/>
      <c r="N1900" s="5"/>
    </row>
    <row r="1901" spans="8:14" ht="22.5" customHeight="1" x14ac:dyDescent="0.2">
      <c r="H1901" s="5"/>
      <c r="I1901" s="5"/>
      <c r="J1901" s="5"/>
      <c r="K1901" s="5"/>
      <c r="L1901" s="5"/>
      <c r="M1901" s="5"/>
      <c r="N1901" s="5"/>
    </row>
    <row r="1902" spans="8:14" ht="22.5" customHeight="1" x14ac:dyDescent="0.2">
      <c r="H1902" s="5"/>
      <c r="I1902" s="5"/>
      <c r="J1902" s="5"/>
      <c r="K1902" s="5"/>
      <c r="L1902" s="5"/>
      <c r="M1902" s="5"/>
      <c r="N1902" s="5"/>
    </row>
    <row r="1903" spans="8:14" ht="22.5" customHeight="1" x14ac:dyDescent="0.2">
      <c r="H1903" s="5"/>
      <c r="I1903" s="5"/>
      <c r="J1903" s="5"/>
      <c r="K1903" s="5"/>
      <c r="L1903" s="5"/>
      <c r="M1903" s="5"/>
      <c r="N1903" s="5"/>
    </row>
    <row r="1904" spans="8:14" ht="22.5" customHeight="1" x14ac:dyDescent="0.2">
      <c r="H1904" s="5"/>
      <c r="I1904" s="5"/>
      <c r="J1904" s="5"/>
      <c r="K1904" s="5"/>
      <c r="L1904" s="5"/>
      <c r="M1904" s="5"/>
      <c r="N1904" s="5"/>
    </row>
    <row r="1905" spans="8:14" ht="22.5" customHeight="1" x14ac:dyDescent="0.2">
      <c r="H1905" s="5"/>
      <c r="I1905" s="5"/>
      <c r="J1905" s="5"/>
      <c r="K1905" s="5"/>
      <c r="L1905" s="5"/>
      <c r="M1905" s="5"/>
      <c r="N1905" s="5"/>
    </row>
    <row r="1906" spans="8:14" ht="22.5" customHeight="1" x14ac:dyDescent="0.2">
      <c r="H1906" s="5"/>
      <c r="I1906" s="5"/>
      <c r="J1906" s="5"/>
      <c r="K1906" s="5"/>
      <c r="L1906" s="5"/>
      <c r="M1906" s="5"/>
      <c r="N1906" s="5"/>
    </row>
    <row r="1907" spans="8:14" ht="22.5" customHeight="1" x14ac:dyDescent="0.2">
      <c r="H1907" s="5"/>
      <c r="I1907" s="5"/>
      <c r="J1907" s="5"/>
      <c r="K1907" s="5"/>
      <c r="L1907" s="5"/>
      <c r="M1907" s="5"/>
      <c r="N1907" s="5"/>
    </row>
    <row r="1908" spans="8:14" ht="22.5" customHeight="1" x14ac:dyDescent="0.2">
      <c r="H1908" s="5"/>
      <c r="I1908" s="5"/>
      <c r="J1908" s="5"/>
      <c r="K1908" s="5"/>
      <c r="L1908" s="5"/>
      <c r="M1908" s="5"/>
      <c r="N1908" s="5"/>
    </row>
    <row r="1909" spans="8:14" ht="22.5" customHeight="1" x14ac:dyDescent="0.2">
      <c r="H1909" s="5"/>
      <c r="I1909" s="5"/>
      <c r="J1909" s="5"/>
      <c r="K1909" s="5"/>
      <c r="L1909" s="5"/>
      <c r="M1909" s="5"/>
      <c r="N1909" s="5"/>
    </row>
    <row r="1910" spans="8:14" ht="22.5" customHeight="1" x14ac:dyDescent="0.2">
      <c r="H1910" s="5"/>
      <c r="I1910" s="5"/>
      <c r="J1910" s="5"/>
      <c r="K1910" s="5"/>
      <c r="L1910" s="5"/>
      <c r="M1910" s="5"/>
      <c r="N1910" s="5"/>
    </row>
    <row r="1911" spans="8:14" ht="22.5" customHeight="1" x14ac:dyDescent="0.2">
      <c r="H1911" s="5"/>
      <c r="I1911" s="5"/>
      <c r="J1911" s="5"/>
      <c r="K1911" s="5"/>
      <c r="L1911" s="5"/>
      <c r="M1911" s="5"/>
      <c r="N1911" s="5"/>
    </row>
    <row r="1912" spans="8:14" ht="22.5" customHeight="1" x14ac:dyDescent="0.2">
      <c r="H1912" s="5"/>
      <c r="I1912" s="5"/>
      <c r="J1912" s="5"/>
      <c r="K1912" s="5"/>
      <c r="L1912" s="5"/>
      <c r="M1912" s="5"/>
      <c r="N1912" s="5"/>
    </row>
    <row r="1913" spans="8:14" ht="22.5" customHeight="1" x14ac:dyDescent="0.2">
      <c r="H1913" s="5"/>
      <c r="I1913" s="5"/>
      <c r="J1913" s="5"/>
      <c r="K1913" s="5"/>
      <c r="L1913" s="5"/>
      <c r="M1913" s="5"/>
      <c r="N1913" s="5"/>
    </row>
    <row r="1914" spans="8:14" ht="22.5" customHeight="1" x14ac:dyDescent="0.2">
      <c r="H1914" s="5"/>
      <c r="I1914" s="5"/>
      <c r="J1914" s="5"/>
      <c r="K1914" s="5"/>
      <c r="L1914" s="5"/>
      <c r="M1914" s="5"/>
      <c r="N1914" s="5"/>
    </row>
    <row r="1915" spans="8:14" ht="22.5" customHeight="1" x14ac:dyDescent="0.2">
      <c r="H1915" s="5"/>
      <c r="I1915" s="5"/>
      <c r="J1915" s="5"/>
      <c r="K1915" s="5"/>
      <c r="L1915" s="5"/>
      <c r="M1915" s="5"/>
      <c r="N1915" s="5"/>
    </row>
    <row r="1916" spans="8:14" ht="22.5" customHeight="1" x14ac:dyDescent="0.2">
      <c r="H1916" s="5"/>
      <c r="I1916" s="5"/>
      <c r="J1916" s="5"/>
      <c r="K1916" s="5"/>
      <c r="L1916" s="5"/>
      <c r="M1916" s="5"/>
      <c r="N1916" s="5"/>
    </row>
    <row r="1917" spans="8:14" ht="22.5" customHeight="1" x14ac:dyDescent="0.2">
      <c r="H1917" s="5"/>
      <c r="I1917" s="5"/>
      <c r="J1917" s="5"/>
      <c r="K1917" s="5"/>
      <c r="L1917" s="5"/>
      <c r="M1917" s="5"/>
      <c r="N1917" s="5"/>
    </row>
    <row r="1918" spans="8:14" ht="22.5" customHeight="1" x14ac:dyDescent="0.2">
      <c r="H1918" s="5"/>
      <c r="I1918" s="5"/>
      <c r="J1918" s="5"/>
      <c r="K1918" s="5"/>
      <c r="L1918" s="5"/>
      <c r="M1918" s="5"/>
      <c r="N1918" s="5"/>
    </row>
    <row r="1919" spans="8:14" ht="22.5" customHeight="1" x14ac:dyDescent="0.2">
      <c r="H1919" s="5"/>
      <c r="I1919" s="5"/>
      <c r="J1919" s="5"/>
      <c r="K1919" s="5"/>
      <c r="L1919" s="5"/>
      <c r="M1919" s="5"/>
      <c r="N1919" s="5"/>
    </row>
    <row r="1920" spans="8:14" ht="22.5" customHeight="1" x14ac:dyDescent="0.2">
      <c r="H1920" s="5"/>
      <c r="I1920" s="5"/>
      <c r="J1920" s="5"/>
      <c r="K1920" s="5"/>
      <c r="L1920" s="5"/>
      <c r="M1920" s="5"/>
      <c r="N1920" s="5"/>
    </row>
    <row r="1921" spans="8:14" ht="22.5" customHeight="1" x14ac:dyDescent="0.2">
      <c r="H1921" s="5"/>
      <c r="I1921" s="5"/>
      <c r="J1921" s="5"/>
      <c r="K1921" s="5"/>
      <c r="L1921" s="5"/>
      <c r="M1921" s="5"/>
      <c r="N1921" s="5"/>
    </row>
    <row r="1922" spans="8:14" ht="22.5" customHeight="1" x14ac:dyDescent="0.2">
      <c r="H1922" s="5"/>
      <c r="I1922" s="5"/>
      <c r="J1922" s="5"/>
      <c r="K1922" s="5"/>
      <c r="L1922" s="5"/>
      <c r="M1922" s="5"/>
      <c r="N1922" s="5"/>
    </row>
    <row r="1923" spans="8:14" ht="22.5" customHeight="1" x14ac:dyDescent="0.2">
      <c r="H1923" s="5"/>
      <c r="I1923" s="5"/>
      <c r="J1923" s="5"/>
      <c r="K1923" s="5"/>
      <c r="L1923" s="5"/>
      <c r="M1923" s="5"/>
      <c r="N1923" s="5"/>
    </row>
    <row r="1924" spans="8:14" ht="22.5" customHeight="1" x14ac:dyDescent="0.2">
      <c r="H1924" s="5"/>
      <c r="I1924" s="5"/>
      <c r="J1924" s="5"/>
      <c r="K1924" s="5"/>
      <c r="L1924" s="5"/>
      <c r="M1924" s="5"/>
      <c r="N1924" s="5"/>
    </row>
    <row r="1925" spans="8:14" ht="22.5" customHeight="1" x14ac:dyDescent="0.2">
      <c r="H1925" s="5"/>
      <c r="I1925" s="5"/>
      <c r="J1925" s="5"/>
      <c r="K1925" s="5"/>
      <c r="L1925" s="5"/>
      <c r="M1925" s="5"/>
      <c r="N1925" s="5"/>
    </row>
    <row r="1926" spans="8:14" ht="22.5" customHeight="1" x14ac:dyDescent="0.2">
      <c r="H1926" s="5"/>
      <c r="I1926" s="5"/>
      <c r="J1926" s="5"/>
      <c r="K1926" s="5"/>
      <c r="L1926" s="5"/>
      <c r="M1926" s="5"/>
      <c r="N1926" s="5"/>
    </row>
    <row r="1927" spans="8:14" ht="22.5" customHeight="1" x14ac:dyDescent="0.2">
      <c r="H1927" s="5"/>
      <c r="I1927" s="5"/>
      <c r="J1927" s="5"/>
      <c r="K1927" s="5"/>
      <c r="L1927" s="5"/>
      <c r="M1927" s="5"/>
      <c r="N1927" s="5"/>
    </row>
    <row r="1928" spans="8:14" ht="22.5" customHeight="1" x14ac:dyDescent="0.2">
      <c r="H1928" s="5"/>
      <c r="I1928" s="5"/>
      <c r="J1928" s="5"/>
      <c r="K1928" s="5"/>
      <c r="L1928" s="5"/>
      <c r="M1928" s="5"/>
      <c r="N1928" s="5"/>
    </row>
    <row r="1929" spans="8:14" ht="22.5" customHeight="1" x14ac:dyDescent="0.2">
      <c r="H1929" s="5"/>
      <c r="I1929" s="5"/>
      <c r="J1929" s="5"/>
      <c r="K1929" s="5"/>
      <c r="L1929" s="5"/>
      <c r="M1929" s="5"/>
      <c r="N1929" s="5"/>
    </row>
    <row r="1930" spans="8:14" ht="22.5" customHeight="1" x14ac:dyDescent="0.2">
      <c r="H1930" s="5"/>
      <c r="I1930" s="5"/>
      <c r="J1930" s="5"/>
      <c r="K1930" s="5"/>
      <c r="L1930" s="5"/>
      <c r="M1930" s="5"/>
      <c r="N1930" s="5"/>
    </row>
    <row r="1931" spans="8:14" ht="22.5" customHeight="1" x14ac:dyDescent="0.2">
      <c r="H1931" s="5"/>
      <c r="I1931" s="5"/>
      <c r="J1931" s="5"/>
      <c r="K1931" s="5"/>
      <c r="L1931" s="5"/>
      <c r="M1931" s="5"/>
      <c r="N1931" s="5"/>
    </row>
    <row r="1932" spans="8:14" ht="22.5" customHeight="1" x14ac:dyDescent="0.2">
      <c r="H1932" s="5"/>
      <c r="I1932" s="5"/>
      <c r="J1932" s="5"/>
      <c r="K1932" s="5"/>
      <c r="L1932" s="5"/>
      <c r="M1932" s="5"/>
      <c r="N1932" s="5"/>
    </row>
    <row r="1933" spans="8:14" ht="22.5" customHeight="1" x14ac:dyDescent="0.2">
      <c r="H1933" s="5"/>
      <c r="I1933" s="5"/>
      <c r="J1933" s="5"/>
      <c r="K1933" s="5"/>
      <c r="L1933" s="5"/>
      <c r="M1933" s="5"/>
      <c r="N1933" s="5"/>
    </row>
    <row r="1934" spans="8:14" ht="22.5" customHeight="1" x14ac:dyDescent="0.2">
      <c r="H1934" s="5"/>
      <c r="I1934" s="5"/>
      <c r="J1934" s="5"/>
      <c r="K1934" s="5"/>
      <c r="L1934" s="5"/>
      <c r="M1934" s="5"/>
      <c r="N1934" s="5"/>
    </row>
    <row r="1935" spans="8:14" ht="22.5" customHeight="1" x14ac:dyDescent="0.2">
      <c r="H1935" s="5"/>
      <c r="I1935" s="5"/>
      <c r="J1935" s="5"/>
      <c r="K1935" s="5"/>
      <c r="L1935" s="5"/>
      <c r="M1935" s="5"/>
      <c r="N1935" s="5"/>
    </row>
    <row r="1936" spans="8:14" ht="22.5" customHeight="1" x14ac:dyDescent="0.2">
      <c r="H1936" s="5"/>
      <c r="I1936" s="5"/>
      <c r="J1936" s="5"/>
      <c r="K1936" s="5"/>
      <c r="L1936" s="5"/>
      <c r="M1936" s="5"/>
      <c r="N1936" s="5"/>
    </row>
    <row r="1937" spans="8:14" ht="22.5" customHeight="1" x14ac:dyDescent="0.2">
      <c r="H1937" s="5"/>
      <c r="I1937" s="5"/>
      <c r="J1937" s="5"/>
      <c r="K1937" s="5"/>
      <c r="L1937" s="5"/>
      <c r="M1937" s="5"/>
      <c r="N1937" s="5"/>
    </row>
    <row r="1938" spans="8:14" ht="22.5" customHeight="1" x14ac:dyDescent="0.2">
      <c r="H1938" s="5"/>
      <c r="I1938" s="5"/>
      <c r="J1938" s="5"/>
      <c r="K1938" s="5"/>
      <c r="L1938" s="5"/>
      <c r="M1938" s="5"/>
      <c r="N1938" s="5"/>
    </row>
    <row r="1939" spans="8:14" ht="22.5" customHeight="1" x14ac:dyDescent="0.2">
      <c r="H1939" s="5"/>
      <c r="I1939" s="5"/>
      <c r="J1939" s="5"/>
      <c r="K1939" s="5"/>
      <c r="L1939" s="5"/>
      <c r="M1939" s="5"/>
      <c r="N1939" s="5"/>
    </row>
    <row r="1940" spans="8:14" ht="22.5" customHeight="1" x14ac:dyDescent="0.2">
      <c r="H1940" s="5"/>
      <c r="I1940" s="5"/>
      <c r="J1940" s="5"/>
      <c r="K1940" s="5"/>
      <c r="L1940" s="5"/>
      <c r="M1940" s="5"/>
      <c r="N1940" s="5"/>
    </row>
    <row r="1941" spans="8:14" ht="22.5" customHeight="1" x14ac:dyDescent="0.2">
      <c r="H1941" s="5"/>
      <c r="I1941" s="5"/>
      <c r="J1941" s="5"/>
      <c r="K1941" s="5"/>
      <c r="L1941" s="5"/>
      <c r="M1941" s="5"/>
      <c r="N1941" s="5"/>
    </row>
    <row r="1942" spans="8:14" ht="22.5" customHeight="1" x14ac:dyDescent="0.2">
      <c r="H1942" s="5"/>
      <c r="I1942" s="5"/>
      <c r="J1942" s="5"/>
      <c r="K1942" s="5"/>
      <c r="L1942" s="5"/>
      <c r="M1942" s="5"/>
      <c r="N1942" s="5"/>
    </row>
    <row r="1943" spans="8:14" ht="22.5" customHeight="1" x14ac:dyDescent="0.2">
      <c r="H1943" s="5"/>
      <c r="I1943" s="5"/>
      <c r="J1943" s="5"/>
      <c r="K1943" s="5"/>
      <c r="L1943" s="5"/>
      <c r="M1943" s="5"/>
      <c r="N1943" s="5"/>
    </row>
    <row r="1944" spans="8:14" ht="22.5" customHeight="1" x14ac:dyDescent="0.2">
      <c r="H1944" s="5"/>
      <c r="I1944" s="5"/>
      <c r="J1944" s="5"/>
      <c r="K1944" s="5"/>
      <c r="L1944" s="5"/>
      <c r="M1944" s="5"/>
      <c r="N1944" s="5"/>
    </row>
    <row r="1945" spans="8:14" ht="22.5" customHeight="1" x14ac:dyDescent="0.2">
      <c r="H1945" s="5"/>
      <c r="I1945" s="5"/>
      <c r="J1945" s="5"/>
      <c r="K1945" s="5"/>
      <c r="L1945" s="5"/>
      <c r="M1945" s="5"/>
      <c r="N1945" s="5"/>
    </row>
    <row r="1946" spans="8:14" ht="22.5" customHeight="1" x14ac:dyDescent="0.2">
      <c r="H1946" s="5"/>
      <c r="I1946" s="5"/>
      <c r="J1946" s="5"/>
      <c r="K1946" s="5"/>
      <c r="L1946" s="5"/>
      <c r="M1946" s="5"/>
      <c r="N1946" s="5"/>
    </row>
    <row r="1947" spans="8:14" ht="22.5" customHeight="1" x14ac:dyDescent="0.2">
      <c r="H1947" s="5"/>
      <c r="I1947" s="5"/>
      <c r="J1947" s="5"/>
      <c r="K1947" s="5"/>
      <c r="L1947" s="5"/>
      <c r="M1947" s="5"/>
      <c r="N1947" s="5"/>
    </row>
    <row r="1948" spans="8:14" ht="22.5" customHeight="1" x14ac:dyDescent="0.2">
      <c r="H1948" s="5"/>
      <c r="I1948" s="5"/>
      <c r="J1948" s="5"/>
      <c r="K1948" s="5"/>
      <c r="L1948" s="5"/>
      <c r="M1948" s="5"/>
      <c r="N1948" s="5"/>
    </row>
    <row r="1949" spans="8:14" ht="22.5" customHeight="1" x14ac:dyDescent="0.2">
      <c r="H1949" s="5"/>
      <c r="I1949" s="5"/>
      <c r="J1949" s="5"/>
      <c r="K1949" s="5"/>
      <c r="L1949" s="5"/>
      <c r="M1949" s="5"/>
      <c r="N1949" s="5"/>
    </row>
    <row r="1950" spans="8:14" ht="22.5" customHeight="1" x14ac:dyDescent="0.2">
      <c r="H1950" s="5"/>
      <c r="I1950" s="5"/>
      <c r="J1950" s="5"/>
      <c r="K1950" s="5"/>
      <c r="L1950" s="5"/>
      <c r="M1950" s="5"/>
      <c r="N1950" s="5"/>
    </row>
    <row r="1951" spans="8:14" ht="22.5" customHeight="1" x14ac:dyDescent="0.2">
      <c r="H1951" s="5"/>
      <c r="I1951" s="5"/>
      <c r="J1951" s="5"/>
      <c r="K1951" s="5"/>
      <c r="L1951" s="5"/>
      <c r="M1951" s="5"/>
      <c r="N1951" s="5"/>
    </row>
    <row r="1952" spans="8:14" ht="22.5" customHeight="1" x14ac:dyDescent="0.2">
      <c r="H1952" s="5"/>
      <c r="I1952" s="5"/>
      <c r="J1952" s="5"/>
      <c r="K1952" s="5"/>
      <c r="L1952" s="5"/>
      <c r="M1952" s="5"/>
      <c r="N1952" s="5"/>
    </row>
    <row r="1953" spans="8:14" ht="22.5" customHeight="1" x14ac:dyDescent="0.2">
      <c r="H1953" s="5"/>
      <c r="I1953" s="5"/>
      <c r="J1953" s="5"/>
      <c r="K1953" s="5"/>
      <c r="L1953" s="5"/>
      <c r="M1953" s="5"/>
      <c r="N1953" s="5"/>
    </row>
    <row r="1954" spans="8:14" ht="22.5" customHeight="1" x14ac:dyDescent="0.2">
      <c r="H1954" s="5"/>
      <c r="I1954" s="5"/>
      <c r="J1954" s="5"/>
      <c r="K1954" s="5"/>
      <c r="L1954" s="5"/>
      <c r="M1954" s="5"/>
      <c r="N1954" s="5"/>
    </row>
    <row r="1955" spans="8:14" ht="22.5" customHeight="1" x14ac:dyDescent="0.2">
      <c r="H1955" s="5"/>
      <c r="I1955" s="5"/>
      <c r="J1955" s="5"/>
      <c r="K1955" s="5"/>
      <c r="L1955" s="5"/>
      <c r="M1955" s="5"/>
      <c r="N1955" s="5"/>
    </row>
    <row r="1956" spans="8:14" ht="22.5" customHeight="1" x14ac:dyDescent="0.2">
      <c r="H1956" s="5"/>
      <c r="I1956" s="5"/>
      <c r="J1956" s="5"/>
      <c r="K1956" s="5"/>
      <c r="L1956" s="5"/>
      <c r="M1956" s="5"/>
      <c r="N1956" s="5"/>
    </row>
    <row r="1957" spans="8:14" ht="22.5" customHeight="1" x14ac:dyDescent="0.2">
      <c r="H1957" s="5"/>
      <c r="I1957" s="5"/>
      <c r="J1957" s="5"/>
      <c r="K1957" s="5"/>
      <c r="L1957" s="5"/>
      <c r="M1957" s="5"/>
      <c r="N1957" s="5"/>
    </row>
    <row r="1958" spans="8:14" ht="22.5" customHeight="1" x14ac:dyDescent="0.2">
      <c r="H1958" s="5"/>
      <c r="I1958" s="5"/>
      <c r="J1958" s="5"/>
      <c r="K1958" s="5"/>
      <c r="L1958" s="5"/>
      <c r="M1958" s="5"/>
      <c r="N1958" s="5"/>
    </row>
    <row r="1959" spans="8:14" ht="22.5" customHeight="1" x14ac:dyDescent="0.2">
      <c r="H1959" s="5"/>
      <c r="I1959" s="5"/>
      <c r="J1959" s="5"/>
      <c r="K1959" s="5"/>
      <c r="L1959" s="5"/>
      <c r="M1959" s="5"/>
      <c r="N1959" s="5"/>
    </row>
    <row r="1960" spans="8:14" ht="22.5" customHeight="1" x14ac:dyDescent="0.2">
      <c r="H1960" s="5"/>
      <c r="I1960" s="5"/>
      <c r="J1960" s="5"/>
      <c r="K1960" s="5"/>
      <c r="L1960" s="5"/>
      <c r="M1960" s="5"/>
      <c r="N1960" s="5"/>
    </row>
    <row r="1961" spans="8:14" ht="22.5" customHeight="1" x14ac:dyDescent="0.2">
      <c r="H1961" s="5"/>
      <c r="I1961" s="5"/>
      <c r="J1961" s="5"/>
      <c r="K1961" s="5"/>
      <c r="L1961" s="5"/>
      <c r="M1961" s="5"/>
      <c r="N1961" s="5"/>
    </row>
    <row r="1962" spans="8:14" ht="22.5" customHeight="1" x14ac:dyDescent="0.2">
      <c r="H1962" s="5"/>
      <c r="I1962" s="5"/>
      <c r="J1962" s="5"/>
      <c r="K1962" s="5"/>
      <c r="L1962" s="5"/>
      <c r="M1962" s="5"/>
      <c r="N1962" s="5"/>
    </row>
    <row r="1963" spans="8:14" ht="22.5" customHeight="1" x14ac:dyDescent="0.2">
      <c r="H1963" s="5"/>
      <c r="I1963" s="5"/>
      <c r="J1963" s="5"/>
      <c r="K1963" s="5"/>
      <c r="L1963" s="5"/>
      <c r="M1963" s="5"/>
      <c r="N1963" s="5"/>
    </row>
    <row r="1964" spans="8:14" ht="22.5" customHeight="1" x14ac:dyDescent="0.2">
      <c r="H1964" s="5"/>
      <c r="I1964" s="5"/>
      <c r="J1964" s="5"/>
      <c r="K1964" s="5"/>
      <c r="L1964" s="5"/>
      <c r="M1964" s="5"/>
      <c r="N1964" s="5"/>
    </row>
    <row r="1965" spans="8:14" ht="22.5" customHeight="1" x14ac:dyDescent="0.2">
      <c r="H1965" s="5"/>
      <c r="I1965" s="5"/>
      <c r="J1965" s="5"/>
      <c r="K1965" s="5"/>
      <c r="L1965" s="5"/>
      <c r="M1965" s="5"/>
      <c r="N1965" s="5"/>
    </row>
    <row r="1966" spans="8:14" ht="22.5" customHeight="1" x14ac:dyDescent="0.2">
      <c r="H1966" s="5"/>
      <c r="I1966" s="5"/>
      <c r="J1966" s="5"/>
      <c r="K1966" s="5"/>
      <c r="L1966" s="5"/>
      <c r="M1966" s="5"/>
      <c r="N1966" s="5"/>
    </row>
    <row r="1967" spans="8:14" ht="22.5" customHeight="1" x14ac:dyDescent="0.2">
      <c r="H1967" s="5"/>
      <c r="I1967" s="5"/>
      <c r="J1967" s="5"/>
      <c r="K1967" s="5"/>
      <c r="L1967" s="5"/>
      <c r="M1967" s="5"/>
      <c r="N1967" s="5"/>
    </row>
    <row r="1968" spans="8:14" ht="22.5" customHeight="1" x14ac:dyDescent="0.2">
      <c r="H1968" s="5"/>
      <c r="I1968" s="5"/>
      <c r="J1968" s="5"/>
      <c r="K1968" s="5"/>
      <c r="L1968" s="5"/>
      <c r="M1968" s="5"/>
      <c r="N1968" s="5"/>
    </row>
    <row r="1969" spans="8:14" ht="22.5" customHeight="1" x14ac:dyDescent="0.2">
      <c r="H1969" s="5"/>
      <c r="I1969" s="5"/>
      <c r="J1969" s="5"/>
      <c r="K1969" s="5"/>
      <c r="L1969" s="5"/>
      <c r="M1969" s="5"/>
      <c r="N1969" s="5"/>
    </row>
    <row r="1970" spans="8:14" ht="22.5" customHeight="1" x14ac:dyDescent="0.2">
      <c r="H1970" s="5"/>
      <c r="I1970" s="5"/>
      <c r="J1970" s="5"/>
      <c r="K1970" s="5"/>
      <c r="L1970" s="5"/>
      <c r="M1970" s="5"/>
      <c r="N1970" s="5"/>
    </row>
    <row r="1971" spans="8:14" ht="22.5" customHeight="1" x14ac:dyDescent="0.2">
      <c r="H1971" s="5"/>
      <c r="I1971" s="5"/>
      <c r="J1971" s="5"/>
      <c r="K1971" s="5"/>
      <c r="L1971" s="5"/>
      <c r="M1971" s="5"/>
      <c r="N1971" s="5"/>
    </row>
    <row r="1972" spans="8:14" ht="22.5" customHeight="1" x14ac:dyDescent="0.2">
      <c r="H1972" s="5"/>
      <c r="I1972" s="5"/>
      <c r="J1972" s="5"/>
      <c r="K1972" s="5"/>
      <c r="L1972" s="5"/>
      <c r="M1972" s="5"/>
      <c r="N1972" s="5"/>
    </row>
    <row r="1973" spans="8:14" ht="22.5" customHeight="1" x14ac:dyDescent="0.2">
      <c r="H1973" s="5"/>
      <c r="I1973" s="5"/>
      <c r="J1973" s="5"/>
      <c r="K1973" s="5"/>
      <c r="L1973" s="5"/>
      <c r="M1973" s="5"/>
      <c r="N1973" s="5"/>
    </row>
    <row r="1974" spans="8:14" ht="22.5" customHeight="1" x14ac:dyDescent="0.2">
      <c r="H1974" s="5"/>
      <c r="I1974" s="5"/>
      <c r="J1974" s="5"/>
      <c r="K1974" s="5"/>
      <c r="L1974" s="5"/>
      <c r="M1974" s="5"/>
      <c r="N1974" s="5"/>
    </row>
    <row r="1975" spans="8:14" ht="22.5" customHeight="1" x14ac:dyDescent="0.2">
      <c r="H1975" s="5"/>
      <c r="I1975" s="5"/>
      <c r="J1975" s="5"/>
      <c r="K1975" s="5"/>
      <c r="L1975" s="5"/>
      <c r="M1975" s="5"/>
      <c r="N1975" s="5"/>
    </row>
    <row r="1976" spans="8:14" ht="22.5" customHeight="1" x14ac:dyDescent="0.2">
      <c r="H1976" s="5"/>
      <c r="I1976" s="5"/>
      <c r="J1976" s="5"/>
      <c r="K1976" s="5"/>
      <c r="L1976" s="5"/>
      <c r="M1976" s="5"/>
      <c r="N1976" s="5"/>
    </row>
    <row r="1977" spans="8:14" ht="22.5" customHeight="1" x14ac:dyDescent="0.2">
      <c r="H1977" s="5"/>
      <c r="I1977" s="5"/>
      <c r="J1977" s="5"/>
      <c r="K1977" s="5"/>
      <c r="L1977" s="5"/>
      <c r="M1977" s="5"/>
      <c r="N1977" s="5"/>
    </row>
    <row r="1978" spans="8:14" ht="22.5" customHeight="1" x14ac:dyDescent="0.2">
      <c r="H1978" s="5"/>
      <c r="I1978" s="5"/>
      <c r="J1978" s="5"/>
      <c r="K1978" s="5"/>
      <c r="L1978" s="5"/>
      <c r="M1978" s="5"/>
      <c r="N1978" s="5"/>
    </row>
    <row r="1979" spans="8:14" ht="22.5" customHeight="1" x14ac:dyDescent="0.2">
      <c r="H1979" s="5"/>
      <c r="I1979" s="5"/>
      <c r="J1979" s="5"/>
      <c r="K1979" s="5"/>
      <c r="L1979" s="5"/>
      <c r="M1979" s="5"/>
      <c r="N1979" s="5"/>
    </row>
    <row r="1980" spans="8:14" ht="22.5" customHeight="1" x14ac:dyDescent="0.2">
      <c r="H1980" s="5"/>
      <c r="I1980" s="5"/>
      <c r="J1980" s="5"/>
      <c r="K1980" s="5"/>
      <c r="L1980" s="5"/>
      <c r="M1980" s="5"/>
      <c r="N1980" s="5"/>
    </row>
    <row r="1981" spans="8:14" ht="22.5" customHeight="1" x14ac:dyDescent="0.2">
      <c r="H1981" s="5"/>
      <c r="I1981" s="5"/>
      <c r="J1981" s="5"/>
      <c r="K1981" s="5"/>
      <c r="L1981" s="5"/>
      <c r="M1981" s="5"/>
      <c r="N1981" s="5"/>
    </row>
    <row r="1982" spans="8:14" ht="22.5" customHeight="1" x14ac:dyDescent="0.2">
      <c r="H1982" s="5"/>
      <c r="I1982" s="5"/>
      <c r="J1982" s="5"/>
      <c r="K1982" s="5"/>
      <c r="L1982" s="5"/>
      <c r="M1982" s="5"/>
      <c r="N1982" s="5"/>
    </row>
    <row r="1983" spans="8:14" ht="22.5" customHeight="1" x14ac:dyDescent="0.2">
      <c r="H1983" s="5"/>
      <c r="I1983" s="5"/>
      <c r="J1983" s="5"/>
      <c r="K1983" s="5"/>
      <c r="L1983" s="5"/>
      <c r="M1983" s="5"/>
      <c r="N1983" s="5"/>
    </row>
    <row r="1984" spans="8:14" ht="22.5" customHeight="1" x14ac:dyDescent="0.2">
      <c r="H1984" s="5"/>
      <c r="I1984" s="5"/>
      <c r="J1984" s="5"/>
      <c r="K1984" s="5"/>
      <c r="L1984" s="5"/>
      <c r="M1984" s="5"/>
      <c r="N1984" s="5"/>
    </row>
    <row r="1985" spans="8:14" ht="22.5" customHeight="1" x14ac:dyDescent="0.2">
      <c r="H1985" s="5"/>
      <c r="I1985" s="5"/>
      <c r="J1985" s="5"/>
      <c r="K1985" s="5"/>
      <c r="L1985" s="5"/>
      <c r="M1985" s="5"/>
      <c r="N1985" s="5"/>
    </row>
    <row r="1986" spans="8:14" ht="22.5" customHeight="1" x14ac:dyDescent="0.2">
      <c r="H1986" s="5"/>
      <c r="I1986" s="5"/>
      <c r="J1986" s="5"/>
      <c r="K1986" s="5"/>
      <c r="L1986" s="5"/>
      <c r="M1986" s="5"/>
      <c r="N1986" s="5"/>
    </row>
    <row r="1987" spans="8:14" ht="22.5" customHeight="1" x14ac:dyDescent="0.2">
      <c r="H1987" s="5"/>
      <c r="I1987" s="5"/>
      <c r="J1987" s="5"/>
      <c r="K1987" s="5"/>
      <c r="L1987" s="5"/>
      <c r="M1987" s="5"/>
      <c r="N1987" s="5"/>
    </row>
    <row r="1988" spans="8:14" ht="22.5" customHeight="1" x14ac:dyDescent="0.2">
      <c r="H1988" s="5"/>
      <c r="I1988" s="5"/>
      <c r="J1988" s="5"/>
      <c r="K1988" s="5"/>
      <c r="L1988" s="5"/>
      <c r="M1988" s="5"/>
      <c r="N1988" s="5"/>
    </row>
    <row r="1989" spans="8:14" ht="22.5" customHeight="1" x14ac:dyDescent="0.2">
      <c r="H1989" s="5"/>
      <c r="I1989" s="5"/>
      <c r="J1989" s="5"/>
      <c r="K1989" s="5"/>
      <c r="L1989" s="5"/>
      <c r="M1989" s="5"/>
      <c r="N1989" s="5"/>
    </row>
    <row r="1990" spans="8:14" ht="22.5" customHeight="1" x14ac:dyDescent="0.2">
      <c r="H1990" s="5"/>
      <c r="I1990" s="5"/>
      <c r="J1990" s="5"/>
      <c r="K1990" s="5"/>
      <c r="L1990" s="5"/>
      <c r="M1990" s="5"/>
      <c r="N1990" s="5"/>
    </row>
    <row r="1991" spans="8:14" ht="22.5" customHeight="1" x14ac:dyDescent="0.2">
      <c r="H1991" s="5"/>
      <c r="I1991" s="5"/>
      <c r="J1991" s="5"/>
      <c r="K1991" s="5"/>
      <c r="L1991" s="5"/>
      <c r="M1991" s="5"/>
      <c r="N1991" s="5"/>
    </row>
    <row r="1992" spans="8:14" ht="22.5" customHeight="1" x14ac:dyDescent="0.2">
      <c r="H1992" s="5"/>
      <c r="I1992" s="5"/>
      <c r="J1992" s="5"/>
      <c r="K1992" s="5"/>
      <c r="L1992" s="5"/>
      <c r="M1992" s="5"/>
      <c r="N1992" s="5"/>
    </row>
    <row r="1993" spans="8:14" ht="22.5" customHeight="1" x14ac:dyDescent="0.2">
      <c r="H1993" s="5"/>
      <c r="I1993" s="5"/>
      <c r="J1993" s="5"/>
      <c r="K1993" s="5"/>
      <c r="L1993" s="5"/>
      <c r="M1993" s="5"/>
      <c r="N1993" s="5"/>
    </row>
    <row r="1994" spans="8:14" ht="22.5" customHeight="1" x14ac:dyDescent="0.2">
      <c r="H1994" s="5"/>
      <c r="I1994" s="5"/>
      <c r="J1994" s="5"/>
      <c r="K1994" s="5"/>
      <c r="L1994" s="5"/>
      <c r="M1994" s="5"/>
      <c r="N1994" s="5"/>
    </row>
    <row r="1995" spans="8:14" ht="22.5" customHeight="1" x14ac:dyDescent="0.2">
      <c r="H1995" s="5"/>
      <c r="I1995" s="5"/>
      <c r="J1995" s="5"/>
      <c r="K1995" s="5"/>
      <c r="L1995" s="5"/>
      <c r="M1995" s="5"/>
      <c r="N1995" s="5"/>
    </row>
    <row r="1996" spans="8:14" ht="22.5" customHeight="1" x14ac:dyDescent="0.2">
      <c r="H1996" s="5"/>
      <c r="I1996" s="5"/>
      <c r="J1996" s="5"/>
      <c r="K1996" s="5"/>
      <c r="L1996" s="5"/>
      <c r="M1996" s="5"/>
      <c r="N1996" s="5"/>
    </row>
    <row r="1997" spans="8:14" ht="22.5" customHeight="1" x14ac:dyDescent="0.2">
      <c r="H1997" s="5"/>
      <c r="I1997" s="5"/>
      <c r="J1997" s="5"/>
      <c r="K1997" s="5"/>
      <c r="L1997" s="5"/>
      <c r="M1997" s="5"/>
      <c r="N1997" s="5"/>
    </row>
    <row r="1998" spans="8:14" ht="22.5" customHeight="1" x14ac:dyDescent="0.2">
      <c r="H1998" s="5"/>
      <c r="I1998" s="5"/>
      <c r="J1998" s="5"/>
      <c r="K1998" s="5"/>
      <c r="L1998" s="5"/>
      <c r="M1998" s="5"/>
      <c r="N1998" s="5"/>
    </row>
    <row r="1999" spans="8:14" ht="22.5" customHeight="1" x14ac:dyDescent="0.2">
      <c r="H1999" s="5"/>
      <c r="I1999" s="5"/>
      <c r="J1999" s="5"/>
      <c r="K1999" s="5"/>
      <c r="L1999" s="5"/>
      <c r="M1999" s="5"/>
      <c r="N1999" s="5"/>
    </row>
    <row r="2000" spans="8:14" ht="22.5" customHeight="1" x14ac:dyDescent="0.2">
      <c r="H2000" s="5"/>
      <c r="I2000" s="5"/>
      <c r="J2000" s="5"/>
      <c r="K2000" s="5"/>
      <c r="L2000" s="5"/>
      <c r="M2000" s="5"/>
      <c r="N2000" s="5"/>
    </row>
    <row r="2001" spans="8:14" ht="22.5" customHeight="1" x14ac:dyDescent="0.2">
      <c r="H2001" s="5"/>
      <c r="I2001" s="5"/>
      <c r="J2001" s="5"/>
      <c r="K2001" s="5"/>
      <c r="L2001" s="5"/>
      <c r="M2001" s="5"/>
      <c r="N2001" s="5"/>
    </row>
    <row r="2002" spans="8:14" ht="22.5" customHeight="1" x14ac:dyDescent="0.2">
      <c r="H2002" s="5"/>
      <c r="I2002" s="5"/>
      <c r="J2002" s="5"/>
      <c r="K2002" s="5"/>
      <c r="L2002" s="5"/>
      <c r="M2002" s="5"/>
      <c r="N2002" s="5"/>
    </row>
    <row r="2003" spans="8:14" ht="22.5" customHeight="1" x14ac:dyDescent="0.2">
      <c r="H2003" s="5"/>
      <c r="I2003" s="5"/>
      <c r="J2003" s="5"/>
      <c r="K2003" s="5"/>
      <c r="L2003" s="5"/>
      <c r="M2003" s="5"/>
      <c r="N2003" s="5"/>
    </row>
    <row r="2004" spans="8:14" ht="22.5" customHeight="1" x14ac:dyDescent="0.2">
      <c r="H2004" s="5"/>
      <c r="I2004" s="5"/>
      <c r="J2004" s="5"/>
      <c r="K2004" s="5"/>
      <c r="L2004" s="5"/>
      <c r="M2004" s="5"/>
      <c r="N2004" s="5"/>
    </row>
    <row r="2005" spans="8:14" ht="22.5" customHeight="1" x14ac:dyDescent="0.2">
      <c r="H2005" s="5"/>
      <c r="I2005" s="5"/>
      <c r="J2005" s="5"/>
      <c r="K2005" s="5"/>
      <c r="L2005" s="5"/>
      <c r="M2005" s="5"/>
      <c r="N2005" s="5"/>
    </row>
    <row r="2006" spans="8:14" ht="22.5" customHeight="1" x14ac:dyDescent="0.2">
      <c r="H2006" s="5"/>
      <c r="I2006" s="5"/>
      <c r="J2006" s="5"/>
      <c r="K2006" s="5"/>
      <c r="L2006" s="5"/>
      <c r="M2006" s="5"/>
      <c r="N2006" s="5"/>
    </row>
    <row r="2007" spans="8:14" ht="22.5" customHeight="1" x14ac:dyDescent="0.2">
      <c r="H2007" s="5"/>
      <c r="I2007" s="5"/>
      <c r="J2007" s="5"/>
      <c r="K2007" s="5"/>
      <c r="L2007" s="5"/>
      <c r="M2007" s="5"/>
      <c r="N2007" s="5"/>
    </row>
    <row r="2008" spans="8:14" ht="22.5" customHeight="1" x14ac:dyDescent="0.2">
      <c r="H2008" s="5"/>
      <c r="I2008" s="5"/>
      <c r="J2008" s="5"/>
      <c r="K2008" s="5"/>
      <c r="L2008" s="5"/>
      <c r="M2008" s="5"/>
      <c r="N2008" s="5"/>
    </row>
    <row r="2009" spans="8:14" ht="22.5" customHeight="1" x14ac:dyDescent="0.2">
      <c r="H2009" s="5"/>
      <c r="I2009" s="5"/>
      <c r="J2009" s="5"/>
      <c r="K2009" s="5"/>
      <c r="L2009" s="5"/>
      <c r="M2009" s="5"/>
      <c r="N2009" s="5"/>
    </row>
    <row r="2010" spans="8:14" ht="22.5" customHeight="1" x14ac:dyDescent="0.2">
      <c r="H2010" s="5"/>
      <c r="I2010" s="5"/>
      <c r="J2010" s="5"/>
      <c r="K2010" s="5"/>
      <c r="L2010" s="5"/>
      <c r="M2010" s="5"/>
      <c r="N2010" s="5"/>
    </row>
    <row r="2011" spans="8:14" ht="22.5" customHeight="1" x14ac:dyDescent="0.2">
      <c r="H2011" s="5"/>
      <c r="I2011" s="5"/>
      <c r="J2011" s="5"/>
      <c r="K2011" s="5"/>
      <c r="L2011" s="5"/>
      <c r="M2011" s="5"/>
      <c r="N2011" s="5"/>
    </row>
    <row r="2012" spans="8:14" ht="22.5" customHeight="1" x14ac:dyDescent="0.2">
      <c r="H2012" s="5"/>
      <c r="I2012" s="5"/>
      <c r="J2012" s="5"/>
      <c r="K2012" s="5"/>
      <c r="L2012" s="5"/>
      <c r="M2012" s="5"/>
      <c r="N2012" s="5"/>
    </row>
    <row r="2013" spans="8:14" ht="22.5" customHeight="1" x14ac:dyDescent="0.2">
      <c r="H2013" s="5"/>
      <c r="I2013" s="5"/>
      <c r="J2013" s="5"/>
      <c r="K2013" s="5"/>
      <c r="L2013" s="5"/>
      <c r="M2013" s="5"/>
      <c r="N2013" s="5"/>
    </row>
    <row r="2014" spans="8:14" ht="22.5" customHeight="1" x14ac:dyDescent="0.2">
      <c r="H2014" s="5"/>
      <c r="I2014" s="5"/>
      <c r="J2014" s="5"/>
      <c r="K2014" s="5"/>
      <c r="L2014" s="5"/>
      <c r="M2014" s="5"/>
      <c r="N2014" s="5"/>
    </row>
    <row r="2015" spans="8:14" ht="22.5" customHeight="1" x14ac:dyDescent="0.2">
      <c r="H2015" s="5"/>
      <c r="I2015" s="5"/>
      <c r="J2015" s="5"/>
      <c r="K2015" s="5"/>
      <c r="L2015" s="5"/>
      <c r="M2015" s="5"/>
      <c r="N2015" s="5"/>
    </row>
    <row r="2016" spans="8:14" ht="22.5" customHeight="1" x14ac:dyDescent="0.2">
      <c r="H2016" s="5"/>
      <c r="I2016" s="5"/>
      <c r="J2016" s="5"/>
      <c r="K2016" s="5"/>
      <c r="L2016" s="5"/>
      <c r="M2016" s="5"/>
      <c r="N2016" s="5"/>
    </row>
    <row r="2017" spans="8:14" ht="22.5" customHeight="1" x14ac:dyDescent="0.2">
      <c r="H2017" s="5"/>
      <c r="I2017" s="5"/>
      <c r="J2017" s="5"/>
      <c r="K2017" s="5"/>
      <c r="L2017" s="5"/>
      <c r="M2017" s="5"/>
      <c r="N2017" s="5"/>
    </row>
    <row r="2018" spans="8:14" ht="22.5" customHeight="1" x14ac:dyDescent="0.2">
      <c r="H2018" s="5"/>
      <c r="I2018" s="5"/>
      <c r="J2018" s="5"/>
      <c r="K2018" s="5"/>
      <c r="L2018" s="5"/>
      <c r="M2018" s="5"/>
      <c r="N2018" s="5"/>
    </row>
    <row r="2019" spans="8:14" ht="22.5" customHeight="1" x14ac:dyDescent="0.2">
      <c r="H2019" s="5"/>
      <c r="I2019" s="5"/>
      <c r="J2019" s="5"/>
      <c r="K2019" s="5"/>
      <c r="L2019" s="5"/>
      <c r="M2019" s="5"/>
      <c r="N2019" s="5"/>
    </row>
    <row r="2020" spans="8:14" ht="22.5" customHeight="1" x14ac:dyDescent="0.2">
      <c r="H2020" s="5"/>
      <c r="I2020" s="5"/>
      <c r="J2020" s="5"/>
      <c r="K2020" s="5"/>
      <c r="L2020" s="5"/>
      <c r="M2020" s="5"/>
      <c r="N2020" s="5"/>
    </row>
    <row r="2021" spans="8:14" ht="22.5" customHeight="1" x14ac:dyDescent="0.2">
      <c r="H2021" s="5"/>
      <c r="I2021" s="5"/>
      <c r="J2021" s="5"/>
      <c r="K2021" s="5"/>
      <c r="L2021" s="5"/>
      <c r="M2021" s="5"/>
      <c r="N2021" s="5"/>
    </row>
    <row r="2022" spans="8:14" ht="22.5" customHeight="1" x14ac:dyDescent="0.2">
      <c r="H2022" s="5"/>
      <c r="I2022" s="5"/>
      <c r="J2022" s="5"/>
      <c r="K2022" s="5"/>
      <c r="L2022" s="5"/>
      <c r="M2022" s="5"/>
      <c r="N2022" s="5"/>
    </row>
    <row r="2023" spans="8:14" ht="22.5" customHeight="1" x14ac:dyDescent="0.2">
      <c r="H2023" s="5"/>
      <c r="I2023" s="5"/>
      <c r="J2023" s="5"/>
      <c r="K2023" s="5"/>
      <c r="L2023" s="5"/>
      <c r="M2023" s="5"/>
      <c r="N2023" s="5"/>
    </row>
    <row r="2024" spans="8:14" ht="22.5" customHeight="1" x14ac:dyDescent="0.2">
      <c r="H2024" s="5"/>
      <c r="I2024" s="5"/>
      <c r="J2024" s="5"/>
      <c r="K2024" s="5"/>
      <c r="L2024" s="5"/>
      <c r="M2024" s="5"/>
      <c r="N2024" s="5"/>
    </row>
    <row r="2025" spans="8:14" ht="22.5" customHeight="1" x14ac:dyDescent="0.2">
      <c r="H2025" s="5"/>
      <c r="I2025" s="5"/>
      <c r="J2025" s="5"/>
      <c r="K2025" s="5"/>
      <c r="L2025" s="5"/>
      <c r="M2025" s="5"/>
      <c r="N2025" s="5"/>
    </row>
    <row r="2026" spans="8:14" ht="22.5" customHeight="1" x14ac:dyDescent="0.2">
      <c r="H2026" s="5"/>
      <c r="I2026" s="5"/>
      <c r="J2026" s="5"/>
      <c r="K2026" s="5"/>
      <c r="L2026" s="5"/>
      <c r="M2026" s="5"/>
      <c r="N2026" s="5"/>
    </row>
    <row r="2027" spans="8:14" ht="22.5" customHeight="1" x14ac:dyDescent="0.2">
      <c r="H2027" s="5"/>
      <c r="I2027" s="5"/>
      <c r="J2027" s="5"/>
      <c r="K2027" s="5"/>
      <c r="L2027" s="5"/>
      <c r="M2027" s="5"/>
      <c r="N2027" s="5"/>
    </row>
    <row r="2028" spans="8:14" ht="22.5" customHeight="1" x14ac:dyDescent="0.2">
      <c r="H2028" s="5"/>
      <c r="I2028" s="5"/>
      <c r="J2028" s="5"/>
      <c r="K2028" s="5"/>
      <c r="L2028" s="5"/>
      <c r="M2028" s="5"/>
      <c r="N2028" s="5"/>
    </row>
    <row r="2029" spans="8:14" ht="22.5" customHeight="1" x14ac:dyDescent="0.2">
      <c r="H2029" s="5"/>
      <c r="I2029" s="5"/>
      <c r="J2029" s="5"/>
      <c r="K2029" s="5"/>
      <c r="L2029" s="5"/>
      <c r="M2029" s="5"/>
      <c r="N2029" s="5"/>
    </row>
    <row r="2030" spans="8:14" ht="22.5" customHeight="1" x14ac:dyDescent="0.2">
      <c r="H2030" s="5"/>
      <c r="I2030" s="5"/>
      <c r="J2030" s="5"/>
      <c r="K2030" s="5"/>
      <c r="L2030" s="5"/>
      <c r="M2030" s="5"/>
      <c r="N2030" s="5"/>
    </row>
    <row r="2031" spans="8:14" ht="22.5" customHeight="1" x14ac:dyDescent="0.2">
      <c r="H2031" s="5"/>
      <c r="I2031" s="5"/>
      <c r="J2031" s="5"/>
      <c r="K2031" s="5"/>
      <c r="L2031" s="5"/>
      <c r="M2031" s="5"/>
      <c r="N2031" s="5"/>
    </row>
    <row r="2032" spans="8:14" ht="22.5" customHeight="1" x14ac:dyDescent="0.2">
      <c r="H2032" s="5"/>
      <c r="I2032" s="5"/>
      <c r="J2032" s="5"/>
      <c r="K2032" s="5"/>
      <c r="L2032" s="5"/>
      <c r="M2032" s="5"/>
      <c r="N2032" s="5"/>
    </row>
    <row r="2033" spans="8:14" ht="22.5" customHeight="1" x14ac:dyDescent="0.2">
      <c r="H2033" s="5"/>
      <c r="I2033" s="5"/>
      <c r="J2033" s="5"/>
      <c r="K2033" s="5"/>
      <c r="L2033" s="5"/>
      <c r="M2033" s="5"/>
      <c r="N2033" s="5"/>
    </row>
    <row r="2034" spans="8:14" ht="22.5" customHeight="1" x14ac:dyDescent="0.2">
      <c r="H2034" s="5"/>
      <c r="I2034" s="5"/>
      <c r="J2034" s="5"/>
      <c r="K2034" s="5"/>
      <c r="L2034" s="5"/>
      <c r="M2034" s="5"/>
      <c r="N2034" s="5"/>
    </row>
    <row r="2035" spans="8:14" ht="22.5" customHeight="1" x14ac:dyDescent="0.2">
      <c r="H2035" s="5"/>
      <c r="I2035" s="5"/>
      <c r="J2035" s="5"/>
      <c r="K2035" s="5"/>
      <c r="L2035" s="5"/>
      <c r="M2035" s="5"/>
      <c r="N2035" s="5"/>
    </row>
    <row r="2036" spans="8:14" ht="22.5" customHeight="1" x14ac:dyDescent="0.2">
      <c r="H2036" s="5"/>
      <c r="I2036" s="5"/>
      <c r="J2036" s="5"/>
      <c r="K2036" s="5"/>
      <c r="L2036" s="5"/>
      <c r="M2036" s="5"/>
      <c r="N2036" s="5"/>
    </row>
    <row r="2037" spans="8:14" ht="22.5" customHeight="1" x14ac:dyDescent="0.2">
      <c r="H2037" s="5"/>
      <c r="I2037" s="5"/>
      <c r="J2037" s="5"/>
      <c r="K2037" s="5"/>
      <c r="L2037" s="5"/>
      <c r="M2037" s="5"/>
      <c r="N2037" s="5"/>
    </row>
    <row r="2038" spans="8:14" ht="22.5" customHeight="1" x14ac:dyDescent="0.2">
      <c r="H2038" s="5"/>
      <c r="I2038" s="5"/>
      <c r="J2038" s="5"/>
      <c r="K2038" s="5"/>
      <c r="L2038" s="5"/>
      <c r="M2038" s="5"/>
      <c r="N2038" s="5"/>
    </row>
    <row r="2039" spans="8:14" ht="22.5" customHeight="1" x14ac:dyDescent="0.2">
      <c r="H2039" s="5"/>
      <c r="I2039" s="5"/>
      <c r="J2039" s="5"/>
      <c r="K2039" s="5"/>
      <c r="L2039" s="5"/>
      <c r="M2039" s="5"/>
      <c r="N2039" s="5"/>
    </row>
    <row r="2040" spans="8:14" ht="22.5" customHeight="1" x14ac:dyDescent="0.2">
      <c r="H2040" s="5"/>
      <c r="I2040" s="5"/>
      <c r="J2040" s="5"/>
      <c r="K2040" s="5"/>
      <c r="L2040" s="5"/>
      <c r="M2040" s="5"/>
      <c r="N2040" s="5"/>
    </row>
    <row r="2041" spans="8:14" ht="22.5" customHeight="1" x14ac:dyDescent="0.2">
      <c r="H2041" s="5"/>
      <c r="I2041" s="5"/>
      <c r="J2041" s="5"/>
      <c r="K2041" s="5"/>
      <c r="L2041" s="5"/>
      <c r="M2041" s="5"/>
      <c r="N2041" s="5"/>
    </row>
    <row r="2042" spans="8:14" ht="22.5" customHeight="1" x14ac:dyDescent="0.2">
      <c r="H2042" s="5"/>
      <c r="I2042" s="5"/>
      <c r="J2042" s="5"/>
      <c r="K2042" s="5"/>
      <c r="L2042" s="5"/>
      <c r="M2042" s="5"/>
      <c r="N2042" s="5"/>
    </row>
    <row r="2043" spans="8:14" ht="22.5" customHeight="1" x14ac:dyDescent="0.2">
      <c r="H2043" s="5"/>
      <c r="I2043" s="5"/>
      <c r="J2043" s="5"/>
      <c r="K2043" s="5"/>
      <c r="L2043" s="5"/>
      <c r="M2043" s="5"/>
      <c r="N2043" s="5"/>
    </row>
    <row r="2044" spans="8:14" ht="22.5" customHeight="1" x14ac:dyDescent="0.2">
      <c r="H2044" s="5"/>
      <c r="I2044" s="5"/>
      <c r="J2044" s="5"/>
      <c r="K2044" s="5"/>
      <c r="L2044" s="5"/>
      <c r="M2044" s="5"/>
      <c r="N2044" s="5"/>
    </row>
    <row r="2045" spans="8:14" ht="22.5" customHeight="1" x14ac:dyDescent="0.2">
      <c r="H2045" s="5"/>
      <c r="I2045" s="5"/>
      <c r="J2045" s="5"/>
      <c r="K2045" s="5"/>
      <c r="L2045" s="5"/>
      <c r="M2045" s="5"/>
      <c r="N2045" s="5"/>
    </row>
    <row r="2046" spans="8:14" ht="22.5" customHeight="1" x14ac:dyDescent="0.2">
      <c r="H2046" s="5"/>
      <c r="I2046" s="5"/>
      <c r="J2046" s="5"/>
      <c r="K2046" s="5"/>
      <c r="L2046" s="5"/>
      <c r="M2046" s="5"/>
      <c r="N2046" s="5"/>
    </row>
    <row r="2047" spans="8:14" ht="22.5" customHeight="1" x14ac:dyDescent="0.2">
      <c r="H2047" s="5"/>
      <c r="I2047" s="5"/>
      <c r="J2047" s="5"/>
      <c r="K2047" s="5"/>
      <c r="L2047" s="5"/>
      <c r="M2047" s="5"/>
      <c r="N2047" s="5"/>
    </row>
    <row r="2048" spans="8:14" ht="22.5" customHeight="1" x14ac:dyDescent="0.2">
      <c r="H2048" s="5"/>
      <c r="I2048" s="5"/>
      <c r="J2048" s="5"/>
      <c r="K2048" s="5"/>
      <c r="L2048" s="5"/>
      <c r="M2048" s="5"/>
      <c r="N2048" s="5"/>
    </row>
    <row r="2049" spans="8:14" ht="22.5" customHeight="1" x14ac:dyDescent="0.2">
      <c r="H2049" s="5"/>
      <c r="I2049" s="5"/>
      <c r="J2049" s="5"/>
      <c r="K2049" s="5"/>
      <c r="L2049" s="5"/>
      <c r="M2049" s="5"/>
      <c r="N2049" s="5"/>
    </row>
    <row r="2050" spans="8:14" ht="22.5" customHeight="1" x14ac:dyDescent="0.2">
      <c r="H2050" s="5"/>
      <c r="I2050" s="5"/>
      <c r="J2050" s="5"/>
      <c r="K2050" s="5"/>
      <c r="L2050" s="5"/>
      <c r="M2050" s="5"/>
      <c r="N2050" s="5"/>
    </row>
    <row r="2051" spans="8:14" ht="22.5" customHeight="1" x14ac:dyDescent="0.2">
      <c r="H2051" s="5"/>
      <c r="I2051" s="5"/>
      <c r="J2051" s="5"/>
      <c r="K2051" s="5"/>
      <c r="L2051" s="5"/>
      <c r="M2051" s="5"/>
      <c r="N2051" s="5"/>
    </row>
    <row r="2052" spans="8:14" ht="22.5" customHeight="1" x14ac:dyDescent="0.2">
      <c r="H2052" s="5"/>
      <c r="I2052" s="5"/>
      <c r="J2052" s="5"/>
      <c r="K2052" s="5"/>
      <c r="L2052" s="5"/>
      <c r="M2052" s="5"/>
      <c r="N2052" s="5"/>
    </row>
    <row r="2053" spans="8:14" ht="22.5" customHeight="1" x14ac:dyDescent="0.2">
      <c r="H2053" s="5"/>
      <c r="I2053" s="5"/>
      <c r="J2053" s="5"/>
      <c r="K2053" s="5"/>
      <c r="L2053" s="5"/>
      <c r="M2053" s="5"/>
      <c r="N2053" s="5"/>
    </row>
    <row r="2054" spans="8:14" ht="22.5" customHeight="1" x14ac:dyDescent="0.2">
      <c r="H2054" s="5"/>
      <c r="I2054" s="5"/>
      <c r="J2054" s="5"/>
      <c r="K2054" s="5"/>
      <c r="L2054" s="5"/>
      <c r="M2054" s="5"/>
      <c r="N2054" s="5"/>
    </row>
    <row r="2055" spans="8:14" ht="22.5" customHeight="1" x14ac:dyDescent="0.2">
      <c r="H2055" s="5"/>
      <c r="I2055" s="5"/>
      <c r="J2055" s="5"/>
      <c r="K2055" s="5"/>
      <c r="L2055" s="5"/>
      <c r="M2055" s="5"/>
      <c r="N2055" s="5"/>
    </row>
    <row r="2056" spans="8:14" ht="22.5" customHeight="1" x14ac:dyDescent="0.2">
      <c r="H2056" s="5"/>
      <c r="I2056" s="5"/>
      <c r="J2056" s="5"/>
      <c r="K2056" s="5"/>
      <c r="L2056" s="5"/>
      <c r="M2056" s="5"/>
      <c r="N2056" s="5"/>
    </row>
  </sheetData>
  <hyperlinks>
    <hyperlink ref="A2" r:id="rId1" xr:uid="{00000000-0004-0000-0500-000000000000}"/>
    <hyperlink ref="D2" r:id="rId2" xr:uid="{00000000-0004-0000-0500-000001000000}"/>
    <hyperlink ref="A5" r:id="rId3" xr:uid="{00000000-0004-0000-0500-000002000000}"/>
    <hyperlink ref="D5" r:id="rId4" xr:uid="{00000000-0004-0000-0500-000003000000}"/>
    <hyperlink ref="A6" r:id="rId5" xr:uid="{00000000-0004-0000-0500-000004000000}"/>
    <hyperlink ref="D6" r:id="rId6" xr:uid="{00000000-0004-0000-0500-000005000000}"/>
    <hyperlink ref="A7" r:id="rId7" xr:uid="{00000000-0004-0000-0500-000006000000}"/>
    <hyperlink ref="D7" r:id="rId8" xr:uid="{00000000-0004-0000-0500-000007000000}"/>
    <hyperlink ref="A8" r:id="rId9" xr:uid="{00000000-0004-0000-0500-000008000000}"/>
    <hyperlink ref="D8" r:id="rId10" xr:uid="{00000000-0004-0000-0500-000009000000}"/>
    <hyperlink ref="A9" r:id="rId11" xr:uid="{00000000-0004-0000-0500-00000A000000}"/>
    <hyperlink ref="D9" r:id="rId12" xr:uid="{00000000-0004-0000-0500-00000B000000}"/>
    <hyperlink ref="A10" r:id="rId13" xr:uid="{00000000-0004-0000-0500-00000C000000}"/>
    <hyperlink ref="D10" r:id="rId14" xr:uid="{00000000-0004-0000-0500-00000D000000}"/>
    <hyperlink ref="A11" r:id="rId15" xr:uid="{00000000-0004-0000-0500-00000E000000}"/>
    <hyperlink ref="D11" r:id="rId16" xr:uid="{00000000-0004-0000-0500-00000F000000}"/>
    <hyperlink ref="A12" r:id="rId17" xr:uid="{00000000-0004-0000-0500-000010000000}"/>
    <hyperlink ref="D12" r:id="rId18" xr:uid="{00000000-0004-0000-0500-000011000000}"/>
    <hyperlink ref="A13" r:id="rId19" xr:uid="{00000000-0004-0000-0500-000012000000}"/>
    <hyperlink ref="D13" r:id="rId20" xr:uid="{00000000-0004-0000-0500-000013000000}"/>
    <hyperlink ref="A14" r:id="rId21" xr:uid="{00000000-0004-0000-0500-000014000000}"/>
    <hyperlink ref="D14" r:id="rId22" xr:uid="{00000000-0004-0000-0500-000015000000}"/>
    <hyperlink ref="A15" r:id="rId23" xr:uid="{00000000-0004-0000-0500-000016000000}"/>
    <hyperlink ref="D15" r:id="rId24" xr:uid="{00000000-0004-0000-0500-000017000000}"/>
    <hyperlink ref="A16" r:id="rId25" xr:uid="{00000000-0004-0000-0500-000018000000}"/>
    <hyperlink ref="D16" r:id="rId26" xr:uid="{00000000-0004-0000-0500-000019000000}"/>
    <hyperlink ref="A17" r:id="rId27" xr:uid="{00000000-0004-0000-0500-00001A000000}"/>
    <hyperlink ref="D17" r:id="rId28" xr:uid="{00000000-0004-0000-0500-00001B000000}"/>
    <hyperlink ref="A18" r:id="rId29" xr:uid="{00000000-0004-0000-0500-00001C000000}"/>
    <hyperlink ref="D18" r:id="rId30" xr:uid="{00000000-0004-0000-0500-00001D000000}"/>
    <hyperlink ref="A19" r:id="rId31" xr:uid="{00000000-0004-0000-0500-00001E000000}"/>
    <hyperlink ref="D19" r:id="rId32" xr:uid="{00000000-0004-0000-0500-00001F000000}"/>
    <hyperlink ref="A20" r:id="rId33" xr:uid="{00000000-0004-0000-0500-000020000000}"/>
    <hyperlink ref="D20" r:id="rId34" xr:uid="{00000000-0004-0000-0500-000021000000}"/>
    <hyperlink ref="A21" r:id="rId35" xr:uid="{00000000-0004-0000-0500-000022000000}"/>
    <hyperlink ref="D21" r:id="rId36" xr:uid="{00000000-0004-0000-0500-000023000000}"/>
    <hyperlink ref="A22" r:id="rId37" xr:uid="{00000000-0004-0000-0500-000024000000}"/>
    <hyperlink ref="D22" r:id="rId38" xr:uid="{00000000-0004-0000-0500-000025000000}"/>
    <hyperlink ref="A23" r:id="rId39" xr:uid="{00000000-0004-0000-0500-000026000000}"/>
    <hyperlink ref="D23" r:id="rId40" xr:uid="{00000000-0004-0000-0500-000027000000}"/>
    <hyperlink ref="A24" r:id="rId41" xr:uid="{00000000-0004-0000-0500-000028000000}"/>
    <hyperlink ref="D24" r:id="rId42" xr:uid="{00000000-0004-0000-0500-000029000000}"/>
    <hyperlink ref="A25" r:id="rId43" xr:uid="{00000000-0004-0000-0500-00002A000000}"/>
    <hyperlink ref="D25" r:id="rId44" xr:uid="{00000000-0004-0000-0500-00002B000000}"/>
    <hyperlink ref="A26" r:id="rId45" xr:uid="{00000000-0004-0000-0500-00002C000000}"/>
    <hyperlink ref="D26" r:id="rId46" xr:uid="{00000000-0004-0000-0500-00002D000000}"/>
    <hyperlink ref="A28" r:id="rId47" xr:uid="{00000000-0004-0000-0500-00002E000000}"/>
    <hyperlink ref="D28" r:id="rId48" xr:uid="{00000000-0004-0000-0500-00002F000000}"/>
    <hyperlink ref="A29" r:id="rId49" xr:uid="{00000000-0004-0000-0500-000030000000}"/>
    <hyperlink ref="D29" r:id="rId50" xr:uid="{00000000-0004-0000-0500-000031000000}"/>
    <hyperlink ref="A30" r:id="rId51" xr:uid="{00000000-0004-0000-0500-000032000000}"/>
    <hyperlink ref="D30" r:id="rId52" xr:uid="{00000000-0004-0000-0500-000033000000}"/>
    <hyperlink ref="A31" r:id="rId53" xr:uid="{00000000-0004-0000-0500-000034000000}"/>
    <hyperlink ref="D31" r:id="rId54" xr:uid="{00000000-0004-0000-0500-000035000000}"/>
    <hyperlink ref="A32" r:id="rId55" xr:uid="{00000000-0004-0000-0500-000036000000}"/>
    <hyperlink ref="D32" r:id="rId56" xr:uid="{00000000-0004-0000-0500-000037000000}"/>
    <hyperlink ref="A33" r:id="rId57" xr:uid="{00000000-0004-0000-0500-000038000000}"/>
    <hyperlink ref="D33" r:id="rId58" xr:uid="{00000000-0004-0000-0500-000039000000}"/>
    <hyperlink ref="A34" r:id="rId59" xr:uid="{00000000-0004-0000-0500-00003A000000}"/>
    <hyperlink ref="D34" r:id="rId60" xr:uid="{00000000-0004-0000-0500-00003B000000}"/>
    <hyperlink ref="A35" r:id="rId61" xr:uid="{00000000-0004-0000-0500-00003C000000}"/>
    <hyperlink ref="D35" r:id="rId62" xr:uid="{00000000-0004-0000-0500-00003D000000}"/>
    <hyperlink ref="A37" r:id="rId63" xr:uid="{00000000-0004-0000-0500-00003E000000}"/>
    <hyperlink ref="D37" r:id="rId64" xr:uid="{00000000-0004-0000-0500-00003F000000}"/>
    <hyperlink ref="A38" r:id="rId65" xr:uid="{00000000-0004-0000-0500-000040000000}"/>
    <hyperlink ref="D38" r:id="rId66" xr:uid="{00000000-0004-0000-0500-000041000000}"/>
    <hyperlink ref="A39" r:id="rId67" xr:uid="{00000000-0004-0000-0500-000042000000}"/>
    <hyperlink ref="D39" r:id="rId68" xr:uid="{00000000-0004-0000-0500-000043000000}"/>
    <hyperlink ref="A40" r:id="rId69" xr:uid="{00000000-0004-0000-0500-000044000000}"/>
    <hyperlink ref="D40" r:id="rId70" xr:uid="{00000000-0004-0000-0500-000045000000}"/>
    <hyperlink ref="A41" r:id="rId71" xr:uid="{00000000-0004-0000-0500-000046000000}"/>
    <hyperlink ref="D41" r:id="rId72" xr:uid="{00000000-0004-0000-0500-000047000000}"/>
    <hyperlink ref="A42" r:id="rId73" xr:uid="{00000000-0004-0000-0500-000048000000}"/>
    <hyperlink ref="D42" r:id="rId74" xr:uid="{00000000-0004-0000-0500-000049000000}"/>
    <hyperlink ref="A43" r:id="rId75" xr:uid="{00000000-0004-0000-0500-00004A000000}"/>
    <hyperlink ref="D43" r:id="rId76" xr:uid="{00000000-0004-0000-0500-00004B000000}"/>
    <hyperlink ref="A44" r:id="rId77" xr:uid="{00000000-0004-0000-0500-00004C000000}"/>
    <hyperlink ref="D44" r:id="rId78" xr:uid="{00000000-0004-0000-0500-00004D000000}"/>
    <hyperlink ref="A45" r:id="rId79" xr:uid="{00000000-0004-0000-0500-00004E000000}"/>
    <hyperlink ref="D45" r:id="rId80" xr:uid="{00000000-0004-0000-0500-00004F000000}"/>
    <hyperlink ref="A46" r:id="rId81" xr:uid="{00000000-0004-0000-0500-000050000000}"/>
    <hyperlink ref="D46" r:id="rId82" xr:uid="{00000000-0004-0000-0500-000051000000}"/>
    <hyperlink ref="A47" r:id="rId83" xr:uid="{00000000-0004-0000-0500-000052000000}"/>
    <hyperlink ref="D47" r:id="rId84" xr:uid="{00000000-0004-0000-0500-000053000000}"/>
    <hyperlink ref="A48" r:id="rId85" xr:uid="{00000000-0004-0000-0500-000054000000}"/>
    <hyperlink ref="D48" r:id="rId86" xr:uid="{00000000-0004-0000-0500-000055000000}"/>
    <hyperlink ref="A49" r:id="rId87" xr:uid="{00000000-0004-0000-0500-000056000000}"/>
    <hyperlink ref="D49" r:id="rId88" xr:uid="{00000000-0004-0000-0500-000057000000}"/>
    <hyperlink ref="A50" r:id="rId89" xr:uid="{00000000-0004-0000-0500-000058000000}"/>
    <hyperlink ref="D50" r:id="rId90" xr:uid="{00000000-0004-0000-0500-000059000000}"/>
    <hyperlink ref="A51" r:id="rId91" xr:uid="{00000000-0004-0000-0500-00005A000000}"/>
    <hyperlink ref="D51" r:id="rId92" xr:uid="{00000000-0004-0000-0500-00005B000000}"/>
    <hyperlink ref="A52" r:id="rId93" xr:uid="{00000000-0004-0000-0500-00005C000000}"/>
    <hyperlink ref="D52" r:id="rId94" xr:uid="{00000000-0004-0000-0500-00005D000000}"/>
    <hyperlink ref="A53" r:id="rId95" xr:uid="{00000000-0004-0000-0500-00005E000000}"/>
    <hyperlink ref="D53" r:id="rId96" xr:uid="{00000000-0004-0000-0500-00005F000000}"/>
    <hyperlink ref="A54" r:id="rId97" xr:uid="{00000000-0004-0000-0500-000060000000}"/>
    <hyperlink ref="D54" r:id="rId98" xr:uid="{00000000-0004-0000-0500-000061000000}"/>
    <hyperlink ref="A55" r:id="rId99" xr:uid="{00000000-0004-0000-0500-000062000000}"/>
    <hyperlink ref="D55" r:id="rId100" xr:uid="{00000000-0004-0000-0500-000063000000}"/>
    <hyperlink ref="A58" r:id="rId101" xr:uid="{00000000-0004-0000-0500-000064000000}"/>
    <hyperlink ref="D58" r:id="rId102" xr:uid="{00000000-0004-0000-0500-000065000000}"/>
    <hyperlink ref="A59" r:id="rId103" xr:uid="{00000000-0004-0000-0500-000066000000}"/>
    <hyperlink ref="D59" r:id="rId104" xr:uid="{00000000-0004-0000-0500-000067000000}"/>
    <hyperlink ref="A60" r:id="rId105" xr:uid="{00000000-0004-0000-0500-000068000000}"/>
    <hyperlink ref="D60" r:id="rId106" xr:uid="{00000000-0004-0000-0500-000069000000}"/>
    <hyperlink ref="A61" r:id="rId107" xr:uid="{00000000-0004-0000-0500-00006A000000}"/>
    <hyperlink ref="D61" r:id="rId108" xr:uid="{00000000-0004-0000-0500-00006B000000}"/>
    <hyperlink ref="A62" r:id="rId109" xr:uid="{00000000-0004-0000-0500-00006C000000}"/>
    <hyperlink ref="D62" r:id="rId110" xr:uid="{00000000-0004-0000-0500-00006D000000}"/>
    <hyperlink ref="A63" r:id="rId111" xr:uid="{00000000-0004-0000-0500-00006E000000}"/>
    <hyperlink ref="D63" r:id="rId112" xr:uid="{00000000-0004-0000-0500-00006F000000}"/>
    <hyperlink ref="A64" r:id="rId113" xr:uid="{00000000-0004-0000-0500-000070000000}"/>
    <hyperlink ref="D64" r:id="rId114" xr:uid="{00000000-0004-0000-0500-000071000000}"/>
    <hyperlink ref="A65" r:id="rId115" xr:uid="{00000000-0004-0000-0500-000072000000}"/>
    <hyperlink ref="D65" r:id="rId116" xr:uid="{00000000-0004-0000-0500-000073000000}"/>
    <hyperlink ref="A66" r:id="rId117" xr:uid="{00000000-0004-0000-0500-000074000000}"/>
    <hyperlink ref="D66" r:id="rId118" xr:uid="{00000000-0004-0000-0500-000075000000}"/>
    <hyperlink ref="A67" r:id="rId119" xr:uid="{00000000-0004-0000-0500-000076000000}"/>
    <hyperlink ref="D67" r:id="rId120" xr:uid="{00000000-0004-0000-0500-000077000000}"/>
    <hyperlink ref="A69" r:id="rId121" xr:uid="{00000000-0004-0000-0500-000078000000}"/>
    <hyperlink ref="D69" r:id="rId122" xr:uid="{00000000-0004-0000-0500-000079000000}"/>
    <hyperlink ref="A70" r:id="rId123" xr:uid="{00000000-0004-0000-0500-00007A000000}"/>
    <hyperlink ref="D70" r:id="rId124" xr:uid="{00000000-0004-0000-0500-00007B000000}"/>
    <hyperlink ref="A71" r:id="rId125" xr:uid="{00000000-0004-0000-0500-00007C000000}"/>
    <hyperlink ref="D71" r:id="rId126" xr:uid="{00000000-0004-0000-0500-00007D000000}"/>
    <hyperlink ref="A72" r:id="rId127" xr:uid="{00000000-0004-0000-0500-00007E000000}"/>
    <hyperlink ref="D72" r:id="rId128" xr:uid="{00000000-0004-0000-0500-00007F000000}"/>
    <hyperlink ref="A73" r:id="rId129" xr:uid="{00000000-0004-0000-0500-000080000000}"/>
    <hyperlink ref="D73" r:id="rId130" xr:uid="{00000000-0004-0000-0500-000081000000}"/>
    <hyperlink ref="A74" r:id="rId131" xr:uid="{00000000-0004-0000-0500-000082000000}"/>
    <hyperlink ref="D74" r:id="rId132" xr:uid="{00000000-0004-0000-0500-000083000000}"/>
    <hyperlink ref="A75" r:id="rId133" xr:uid="{00000000-0004-0000-0500-000084000000}"/>
    <hyperlink ref="D75" r:id="rId134" xr:uid="{00000000-0004-0000-0500-000085000000}"/>
    <hyperlink ref="A76" r:id="rId135" xr:uid="{00000000-0004-0000-0500-000086000000}"/>
    <hyperlink ref="D76" r:id="rId136" xr:uid="{00000000-0004-0000-0500-000087000000}"/>
    <hyperlink ref="A77" r:id="rId137" xr:uid="{00000000-0004-0000-0500-000088000000}"/>
    <hyperlink ref="D77" r:id="rId138" xr:uid="{00000000-0004-0000-0500-000089000000}"/>
    <hyperlink ref="A78" r:id="rId139" xr:uid="{00000000-0004-0000-0500-00008A000000}"/>
    <hyperlink ref="D78" r:id="rId140" xr:uid="{00000000-0004-0000-0500-00008B000000}"/>
    <hyperlink ref="A79" r:id="rId141" xr:uid="{00000000-0004-0000-0500-00008C000000}"/>
    <hyperlink ref="D79" r:id="rId142" xr:uid="{00000000-0004-0000-0500-00008D000000}"/>
    <hyperlink ref="A80" r:id="rId143" xr:uid="{00000000-0004-0000-0500-00008E000000}"/>
    <hyperlink ref="D80" r:id="rId144" xr:uid="{00000000-0004-0000-0500-00008F000000}"/>
    <hyperlink ref="A81" r:id="rId145" xr:uid="{00000000-0004-0000-0500-000090000000}"/>
    <hyperlink ref="D81" r:id="rId146" xr:uid="{00000000-0004-0000-0500-000091000000}"/>
    <hyperlink ref="A82" r:id="rId147" xr:uid="{00000000-0004-0000-0500-000092000000}"/>
    <hyperlink ref="D82" r:id="rId148" xr:uid="{00000000-0004-0000-0500-000093000000}"/>
    <hyperlink ref="A84" r:id="rId149" xr:uid="{00000000-0004-0000-0500-000094000000}"/>
    <hyperlink ref="D84" r:id="rId150" xr:uid="{00000000-0004-0000-0500-000095000000}"/>
    <hyperlink ref="A85" r:id="rId151" xr:uid="{00000000-0004-0000-0500-000096000000}"/>
    <hyperlink ref="D85" r:id="rId152" xr:uid="{00000000-0004-0000-0500-000097000000}"/>
    <hyperlink ref="A86" r:id="rId153" xr:uid="{00000000-0004-0000-0500-000098000000}"/>
    <hyperlink ref="D86" r:id="rId154" xr:uid="{00000000-0004-0000-0500-000099000000}"/>
    <hyperlink ref="A87" r:id="rId155" xr:uid="{00000000-0004-0000-0500-00009A000000}"/>
    <hyperlink ref="D87" r:id="rId156" xr:uid="{00000000-0004-0000-0500-00009B000000}"/>
    <hyperlink ref="A88" r:id="rId157" xr:uid="{00000000-0004-0000-0500-00009C000000}"/>
    <hyperlink ref="D88" r:id="rId158" xr:uid="{00000000-0004-0000-0500-00009D000000}"/>
    <hyperlink ref="A90" r:id="rId159" xr:uid="{00000000-0004-0000-0500-00009E000000}"/>
    <hyperlink ref="D90" r:id="rId160" xr:uid="{00000000-0004-0000-0500-00009F000000}"/>
    <hyperlink ref="A93" r:id="rId161" xr:uid="{00000000-0004-0000-0500-0000A0000000}"/>
    <hyperlink ref="D93" r:id="rId162" xr:uid="{00000000-0004-0000-0500-0000A1000000}"/>
    <hyperlink ref="A94" r:id="rId163" xr:uid="{00000000-0004-0000-0500-0000A2000000}"/>
    <hyperlink ref="D94" r:id="rId164" xr:uid="{00000000-0004-0000-0500-0000A3000000}"/>
    <hyperlink ref="A96" r:id="rId165" xr:uid="{00000000-0004-0000-0500-0000A4000000}"/>
    <hyperlink ref="D96" r:id="rId166" xr:uid="{00000000-0004-0000-0500-0000A5000000}"/>
    <hyperlink ref="A97" r:id="rId167" xr:uid="{00000000-0004-0000-0500-0000A6000000}"/>
    <hyperlink ref="D97" r:id="rId168" xr:uid="{00000000-0004-0000-0500-0000A7000000}"/>
    <hyperlink ref="A98" r:id="rId169" xr:uid="{00000000-0004-0000-0500-0000A8000000}"/>
    <hyperlink ref="D98" r:id="rId170" xr:uid="{00000000-0004-0000-0500-0000A9000000}"/>
    <hyperlink ref="A99" r:id="rId171" xr:uid="{00000000-0004-0000-0500-0000AA000000}"/>
    <hyperlink ref="D99" r:id="rId172" xr:uid="{00000000-0004-0000-0500-0000AB000000}"/>
    <hyperlink ref="A100" r:id="rId173" xr:uid="{00000000-0004-0000-0500-0000AC000000}"/>
    <hyperlink ref="D100" r:id="rId174" xr:uid="{00000000-0004-0000-0500-0000AD000000}"/>
    <hyperlink ref="A101" r:id="rId175" xr:uid="{00000000-0004-0000-0500-0000AE000000}"/>
    <hyperlink ref="D101" r:id="rId176" xr:uid="{00000000-0004-0000-0500-0000AF000000}"/>
    <hyperlink ref="A102" r:id="rId177" xr:uid="{00000000-0004-0000-0500-0000B0000000}"/>
    <hyperlink ref="D102" r:id="rId178" xr:uid="{00000000-0004-0000-0500-0000B1000000}"/>
    <hyperlink ref="A103" r:id="rId179" xr:uid="{00000000-0004-0000-0500-0000B2000000}"/>
    <hyperlink ref="D103" r:id="rId180" xr:uid="{00000000-0004-0000-0500-0000B3000000}"/>
    <hyperlink ref="A104" r:id="rId181" xr:uid="{00000000-0004-0000-0500-0000B4000000}"/>
    <hyperlink ref="D104" r:id="rId182" xr:uid="{00000000-0004-0000-0500-0000B5000000}"/>
    <hyperlink ref="A105" r:id="rId183" xr:uid="{00000000-0004-0000-0500-0000B6000000}"/>
    <hyperlink ref="D105" r:id="rId184" xr:uid="{00000000-0004-0000-0500-0000B7000000}"/>
    <hyperlink ref="A106" r:id="rId185" xr:uid="{00000000-0004-0000-0500-0000B8000000}"/>
    <hyperlink ref="D106" r:id="rId186" xr:uid="{00000000-0004-0000-0500-0000B9000000}"/>
    <hyperlink ref="A107" r:id="rId187" xr:uid="{00000000-0004-0000-0500-0000BA000000}"/>
    <hyperlink ref="D107" r:id="rId188" xr:uid="{00000000-0004-0000-0500-0000BB000000}"/>
    <hyperlink ref="A108" r:id="rId189" xr:uid="{00000000-0004-0000-0500-0000BC000000}"/>
    <hyperlink ref="D108" r:id="rId190" xr:uid="{00000000-0004-0000-0500-0000BD000000}"/>
    <hyperlink ref="A109" r:id="rId191" xr:uid="{00000000-0004-0000-0500-0000BE000000}"/>
    <hyperlink ref="D109" r:id="rId192" xr:uid="{00000000-0004-0000-0500-0000BF000000}"/>
    <hyperlink ref="A110" r:id="rId193" xr:uid="{00000000-0004-0000-0500-0000C0000000}"/>
    <hyperlink ref="D110" r:id="rId194" xr:uid="{00000000-0004-0000-0500-0000C1000000}"/>
    <hyperlink ref="A111" r:id="rId195" xr:uid="{00000000-0004-0000-0500-0000C2000000}"/>
    <hyperlink ref="D111" r:id="rId196" xr:uid="{00000000-0004-0000-0500-0000C3000000}"/>
    <hyperlink ref="A112" r:id="rId197" xr:uid="{00000000-0004-0000-0500-0000C4000000}"/>
    <hyperlink ref="D112" r:id="rId198" xr:uid="{00000000-0004-0000-0500-0000C5000000}"/>
    <hyperlink ref="A113" r:id="rId199" xr:uid="{00000000-0004-0000-0500-0000C6000000}"/>
    <hyperlink ref="D113" r:id="rId200" xr:uid="{00000000-0004-0000-0500-0000C7000000}"/>
    <hyperlink ref="A114" r:id="rId201" xr:uid="{00000000-0004-0000-0500-0000C8000000}"/>
    <hyperlink ref="D114" r:id="rId202" xr:uid="{00000000-0004-0000-0500-0000C9000000}"/>
    <hyperlink ref="A116" r:id="rId203" xr:uid="{00000000-0004-0000-0500-0000CA000000}"/>
    <hyperlink ref="D116" r:id="rId204" xr:uid="{00000000-0004-0000-0500-0000CB000000}"/>
    <hyperlink ref="A117" r:id="rId205" xr:uid="{00000000-0004-0000-0500-0000CC000000}"/>
    <hyperlink ref="D117" r:id="rId206" xr:uid="{00000000-0004-0000-0500-0000CD000000}"/>
    <hyperlink ref="A120" r:id="rId207" xr:uid="{00000000-0004-0000-0500-0000CE000000}"/>
    <hyperlink ref="D120" r:id="rId208" xr:uid="{00000000-0004-0000-0500-0000CF000000}"/>
    <hyperlink ref="A121" r:id="rId209" xr:uid="{00000000-0004-0000-0500-0000D0000000}"/>
    <hyperlink ref="D121" r:id="rId210" xr:uid="{00000000-0004-0000-0500-0000D1000000}"/>
    <hyperlink ref="A122" r:id="rId211" xr:uid="{00000000-0004-0000-0500-0000D2000000}"/>
    <hyperlink ref="D122" r:id="rId212" xr:uid="{00000000-0004-0000-0500-0000D3000000}"/>
    <hyperlink ref="A124" r:id="rId213" xr:uid="{00000000-0004-0000-0500-0000D4000000}"/>
    <hyperlink ref="D124" r:id="rId214" xr:uid="{00000000-0004-0000-0500-0000D5000000}"/>
    <hyperlink ref="A127" r:id="rId215" xr:uid="{00000000-0004-0000-0500-0000D6000000}"/>
    <hyperlink ref="D127" r:id="rId216" xr:uid="{00000000-0004-0000-0500-0000D7000000}"/>
    <hyperlink ref="A128" r:id="rId217" xr:uid="{00000000-0004-0000-0500-0000D8000000}"/>
    <hyperlink ref="D128" r:id="rId218" xr:uid="{00000000-0004-0000-0500-0000D9000000}"/>
    <hyperlink ref="A129" r:id="rId219" xr:uid="{00000000-0004-0000-0500-0000DA000000}"/>
    <hyperlink ref="D129" r:id="rId220" xr:uid="{00000000-0004-0000-0500-0000DB000000}"/>
    <hyperlink ref="A130" r:id="rId221" xr:uid="{00000000-0004-0000-0500-0000DC000000}"/>
    <hyperlink ref="D130" r:id="rId222" xr:uid="{00000000-0004-0000-0500-0000DD000000}"/>
    <hyperlink ref="A131" r:id="rId223" xr:uid="{00000000-0004-0000-0500-0000DE000000}"/>
    <hyperlink ref="D131" r:id="rId224" xr:uid="{00000000-0004-0000-0500-0000DF000000}"/>
    <hyperlink ref="A133" r:id="rId225" xr:uid="{00000000-0004-0000-0500-0000E0000000}"/>
    <hyperlink ref="D133" r:id="rId226" xr:uid="{00000000-0004-0000-0500-0000E1000000}"/>
    <hyperlink ref="A134" r:id="rId227" xr:uid="{00000000-0004-0000-0500-0000E2000000}"/>
    <hyperlink ref="D134" r:id="rId228" xr:uid="{00000000-0004-0000-0500-0000E3000000}"/>
    <hyperlink ref="A135" r:id="rId229" xr:uid="{00000000-0004-0000-0500-0000E4000000}"/>
    <hyperlink ref="D135" r:id="rId230" xr:uid="{00000000-0004-0000-0500-0000E5000000}"/>
    <hyperlink ref="A136" r:id="rId231" xr:uid="{00000000-0004-0000-0500-0000E6000000}"/>
    <hyperlink ref="D136" r:id="rId232" xr:uid="{00000000-0004-0000-0500-0000E7000000}"/>
    <hyperlink ref="A137" r:id="rId233" xr:uid="{00000000-0004-0000-0500-0000E8000000}"/>
    <hyperlink ref="D137" r:id="rId234" xr:uid="{00000000-0004-0000-0500-0000E9000000}"/>
    <hyperlink ref="A138" r:id="rId235" xr:uid="{00000000-0004-0000-0500-0000EA000000}"/>
    <hyperlink ref="D138" r:id="rId236" xr:uid="{00000000-0004-0000-0500-0000EB000000}"/>
    <hyperlink ref="A139" r:id="rId237" xr:uid="{00000000-0004-0000-0500-0000EC000000}"/>
    <hyperlink ref="D139" r:id="rId238" xr:uid="{00000000-0004-0000-0500-0000ED000000}"/>
    <hyperlink ref="A140" r:id="rId239" xr:uid="{00000000-0004-0000-0500-0000EE000000}"/>
    <hyperlink ref="D140" r:id="rId240" xr:uid="{00000000-0004-0000-0500-0000EF000000}"/>
    <hyperlink ref="A141" r:id="rId241" xr:uid="{00000000-0004-0000-0500-0000F0000000}"/>
    <hyperlink ref="D141" r:id="rId242" xr:uid="{00000000-0004-0000-0500-0000F1000000}"/>
    <hyperlink ref="A142" r:id="rId243" xr:uid="{00000000-0004-0000-0500-0000F2000000}"/>
    <hyperlink ref="D142" r:id="rId244" xr:uid="{00000000-0004-0000-0500-0000F3000000}"/>
    <hyperlink ref="A143" r:id="rId245" xr:uid="{00000000-0004-0000-0500-0000F4000000}"/>
    <hyperlink ref="D143" r:id="rId246" xr:uid="{00000000-0004-0000-0500-0000F5000000}"/>
    <hyperlink ref="A144" r:id="rId247" xr:uid="{00000000-0004-0000-0500-0000F6000000}"/>
    <hyperlink ref="D144" r:id="rId248" xr:uid="{00000000-0004-0000-0500-0000F7000000}"/>
    <hyperlink ref="A145" r:id="rId249" xr:uid="{00000000-0004-0000-0500-0000F8000000}"/>
    <hyperlink ref="D145" r:id="rId250" xr:uid="{00000000-0004-0000-0500-0000F9000000}"/>
    <hyperlink ref="A146" r:id="rId251" xr:uid="{00000000-0004-0000-0500-0000FA000000}"/>
    <hyperlink ref="D146" r:id="rId252" xr:uid="{00000000-0004-0000-0500-0000FB000000}"/>
    <hyperlink ref="A147" r:id="rId253" xr:uid="{00000000-0004-0000-0500-0000FC000000}"/>
    <hyperlink ref="D147" r:id="rId254" xr:uid="{00000000-0004-0000-0500-0000FD000000}"/>
    <hyperlink ref="A148" r:id="rId255" xr:uid="{00000000-0004-0000-0500-0000FE000000}"/>
    <hyperlink ref="D148" r:id="rId256" xr:uid="{00000000-0004-0000-0500-0000FF000000}"/>
    <hyperlink ref="A149" r:id="rId257" xr:uid="{00000000-0004-0000-0500-000000010000}"/>
    <hyperlink ref="D149" r:id="rId258" xr:uid="{00000000-0004-0000-0500-000001010000}"/>
    <hyperlink ref="A150" r:id="rId259" xr:uid="{00000000-0004-0000-0500-000002010000}"/>
    <hyperlink ref="D150" r:id="rId260" xr:uid="{00000000-0004-0000-0500-000003010000}"/>
    <hyperlink ref="A151" r:id="rId261" xr:uid="{00000000-0004-0000-0500-000004010000}"/>
    <hyperlink ref="D151" r:id="rId262" xr:uid="{00000000-0004-0000-0500-000005010000}"/>
    <hyperlink ref="A152" r:id="rId263" xr:uid="{00000000-0004-0000-0500-000006010000}"/>
    <hyperlink ref="D152" r:id="rId264" xr:uid="{00000000-0004-0000-0500-000007010000}"/>
    <hyperlink ref="A153" r:id="rId265" xr:uid="{00000000-0004-0000-0500-000008010000}"/>
    <hyperlink ref="D153" r:id="rId266" xr:uid="{00000000-0004-0000-0500-000009010000}"/>
    <hyperlink ref="A154" r:id="rId267" xr:uid="{00000000-0004-0000-0500-00000A010000}"/>
    <hyperlink ref="D154" r:id="rId268" xr:uid="{00000000-0004-0000-0500-00000B010000}"/>
    <hyperlink ref="A155" r:id="rId269" xr:uid="{00000000-0004-0000-0500-00000C010000}"/>
    <hyperlink ref="D155" r:id="rId270" xr:uid="{00000000-0004-0000-0500-00000D010000}"/>
    <hyperlink ref="A156" r:id="rId271" xr:uid="{00000000-0004-0000-0500-00000E010000}"/>
    <hyperlink ref="D156" r:id="rId272" xr:uid="{00000000-0004-0000-0500-00000F010000}"/>
    <hyperlink ref="A157" r:id="rId273" xr:uid="{00000000-0004-0000-0500-000010010000}"/>
    <hyperlink ref="D157" r:id="rId274" xr:uid="{00000000-0004-0000-0500-000011010000}"/>
    <hyperlink ref="A158" r:id="rId275" xr:uid="{00000000-0004-0000-0500-000012010000}"/>
    <hyperlink ref="D158" r:id="rId276" xr:uid="{00000000-0004-0000-0500-000013010000}"/>
    <hyperlink ref="A159" r:id="rId277" xr:uid="{00000000-0004-0000-0500-000014010000}"/>
    <hyperlink ref="D159" r:id="rId278" xr:uid="{00000000-0004-0000-0500-000015010000}"/>
    <hyperlink ref="A160" r:id="rId279" xr:uid="{00000000-0004-0000-0500-000016010000}"/>
    <hyperlink ref="D160" r:id="rId280" xr:uid="{00000000-0004-0000-0500-000017010000}"/>
    <hyperlink ref="A161" r:id="rId281" xr:uid="{00000000-0004-0000-0500-000018010000}"/>
    <hyperlink ref="D161" r:id="rId282" xr:uid="{00000000-0004-0000-0500-000019010000}"/>
    <hyperlink ref="A162" r:id="rId283" xr:uid="{00000000-0004-0000-0500-00001A010000}"/>
    <hyperlink ref="D162" r:id="rId284" xr:uid="{00000000-0004-0000-0500-00001B010000}"/>
    <hyperlink ref="A163" r:id="rId285" xr:uid="{00000000-0004-0000-0500-00001C010000}"/>
    <hyperlink ref="D163" r:id="rId286" xr:uid="{00000000-0004-0000-0500-00001D010000}"/>
    <hyperlink ref="A164" r:id="rId287" xr:uid="{00000000-0004-0000-0500-00001E010000}"/>
    <hyperlink ref="D164" r:id="rId288" xr:uid="{00000000-0004-0000-0500-00001F010000}"/>
    <hyperlink ref="A165" r:id="rId289" xr:uid="{00000000-0004-0000-0500-000020010000}"/>
    <hyperlink ref="D165" r:id="rId290" xr:uid="{00000000-0004-0000-0500-000021010000}"/>
    <hyperlink ref="A166" r:id="rId291" xr:uid="{00000000-0004-0000-0500-000022010000}"/>
    <hyperlink ref="D166" r:id="rId292" xr:uid="{00000000-0004-0000-0500-000023010000}"/>
    <hyperlink ref="A167" r:id="rId293" xr:uid="{00000000-0004-0000-0500-000024010000}"/>
    <hyperlink ref="D167" r:id="rId294" xr:uid="{00000000-0004-0000-0500-000025010000}"/>
    <hyperlink ref="A168" r:id="rId295" xr:uid="{00000000-0004-0000-0500-000026010000}"/>
    <hyperlink ref="D168" r:id="rId296" xr:uid="{00000000-0004-0000-0500-000027010000}"/>
    <hyperlink ref="A169" r:id="rId297" xr:uid="{00000000-0004-0000-0500-000028010000}"/>
    <hyperlink ref="D169" r:id="rId298" xr:uid="{00000000-0004-0000-0500-000029010000}"/>
    <hyperlink ref="A170" r:id="rId299" xr:uid="{00000000-0004-0000-0500-00002A010000}"/>
    <hyperlink ref="D170" r:id="rId300" xr:uid="{00000000-0004-0000-0500-00002B010000}"/>
    <hyperlink ref="A171" r:id="rId301" xr:uid="{00000000-0004-0000-0500-00002C010000}"/>
    <hyperlink ref="D171" r:id="rId302" xr:uid="{00000000-0004-0000-0500-00002D010000}"/>
    <hyperlink ref="A172" r:id="rId303" xr:uid="{00000000-0004-0000-0500-00002E010000}"/>
    <hyperlink ref="D172" r:id="rId304" xr:uid="{00000000-0004-0000-0500-00002F010000}"/>
    <hyperlink ref="A173" r:id="rId305" xr:uid="{00000000-0004-0000-0500-000030010000}"/>
    <hyperlink ref="D173" r:id="rId306" xr:uid="{00000000-0004-0000-0500-000031010000}"/>
    <hyperlink ref="A174" r:id="rId307" xr:uid="{00000000-0004-0000-0500-000032010000}"/>
    <hyperlink ref="D174" r:id="rId308" xr:uid="{00000000-0004-0000-0500-000033010000}"/>
    <hyperlink ref="A175" r:id="rId309" xr:uid="{00000000-0004-0000-0500-000034010000}"/>
    <hyperlink ref="D175" r:id="rId310" xr:uid="{00000000-0004-0000-0500-000035010000}"/>
    <hyperlink ref="A176" r:id="rId311" xr:uid="{00000000-0004-0000-0500-000036010000}"/>
    <hyperlink ref="D176" r:id="rId312" xr:uid="{00000000-0004-0000-0500-000037010000}"/>
    <hyperlink ref="A177" r:id="rId313" xr:uid="{00000000-0004-0000-0500-000038010000}"/>
    <hyperlink ref="D177" r:id="rId314" xr:uid="{00000000-0004-0000-0500-000039010000}"/>
    <hyperlink ref="A178" r:id="rId315" xr:uid="{00000000-0004-0000-0500-00003A010000}"/>
    <hyperlink ref="D178" r:id="rId316" xr:uid="{00000000-0004-0000-0500-00003B010000}"/>
    <hyperlink ref="A179" r:id="rId317" xr:uid="{00000000-0004-0000-0500-00003C010000}"/>
    <hyperlink ref="D179" r:id="rId318" xr:uid="{00000000-0004-0000-0500-00003D010000}"/>
    <hyperlink ref="A180" r:id="rId319" xr:uid="{00000000-0004-0000-0500-00003E010000}"/>
    <hyperlink ref="D180" r:id="rId320" xr:uid="{00000000-0004-0000-0500-00003F010000}"/>
    <hyperlink ref="A181" r:id="rId321" xr:uid="{00000000-0004-0000-0500-000040010000}"/>
    <hyperlink ref="D181" r:id="rId322" xr:uid="{00000000-0004-0000-0500-000041010000}"/>
    <hyperlink ref="A182" r:id="rId323" xr:uid="{00000000-0004-0000-0500-000042010000}"/>
    <hyperlink ref="D182" r:id="rId324" xr:uid="{00000000-0004-0000-0500-000043010000}"/>
    <hyperlink ref="A183" r:id="rId325" xr:uid="{00000000-0004-0000-0500-000044010000}"/>
    <hyperlink ref="D183" r:id="rId326" xr:uid="{00000000-0004-0000-0500-000045010000}"/>
    <hyperlink ref="A184" r:id="rId327" xr:uid="{00000000-0004-0000-0500-000046010000}"/>
    <hyperlink ref="D184" r:id="rId328" xr:uid="{00000000-0004-0000-0500-000047010000}"/>
    <hyperlink ref="A185" r:id="rId329" xr:uid="{00000000-0004-0000-0500-000048010000}"/>
    <hyperlink ref="D185" r:id="rId330" xr:uid="{00000000-0004-0000-0500-000049010000}"/>
    <hyperlink ref="A186" r:id="rId331" xr:uid="{00000000-0004-0000-0500-00004A010000}"/>
    <hyperlink ref="D186" r:id="rId332" xr:uid="{00000000-0004-0000-0500-00004B010000}"/>
    <hyperlink ref="A187" r:id="rId333" xr:uid="{00000000-0004-0000-0500-00004C010000}"/>
    <hyperlink ref="D187" r:id="rId334" xr:uid="{00000000-0004-0000-0500-00004D010000}"/>
    <hyperlink ref="A188" r:id="rId335" xr:uid="{00000000-0004-0000-0500-00004E010000}"/>
    <hyperlink ref="D188" r:id="rId336" xr:uid="{00000000-0004-0000-0500-00004F010000}"/>
    <hyperlink ref="A189" r:id="rId337" xr:uid="{00000000-0004-0000-0500-000050010000}"/>
    <hyperlink ref="D189" r:id="rId338" xr:uid="{00000000-0004-0000-0500-000051010000}"/>
    <hyperlink ref="A190" r:id="rId339" xr:uid="{00000000-0004-0000-0500-000052010000}"/>
    <hyperlink ref="D190" r:id="rId340" xr:uid="{00000000-0004-0000-0500-000053010000}"/>
    <hyperlink ref="A191" r:id="rId341" xr:uid="{00000000-0004-0000-0500-000054010000}"/>
    <hyperlink ref="D191" r:id="rId342" xr:uid="{00000000-0004-0000-0500-000055010000}"/>
    <hyperlink ref="A192" r:id="rId343" xr:uid="{00000000-0004-0000-0500-000056010000}"/>
    <hyperlink ref="D192" r:id="rId344" xr:uid="{00000000-0004-0000-0500-000057010000}"/>
    <hyperlink ref="A193" r:id="rId345" xr:uid="{00000000-0004-0000-0500-000058010000}"/>
    <hyperlink ref="D193" r:id="rId346" xr:uid="{00000000-0004-0000-0500-000059010000}"/>
    <hyperlink ref="A194" r:id="rId347" xr:uid="{00000000-0004-0000-0500-00005A010000}"/>
    <hyperlink ref="D194" r:id="rId348" xr:uid="{00000000-0004-0000-0500-00005B010000}"/>
    <hyperlink ref="A195" r:id="rId349" xr:uid="{00000000-0004-0000-0500-00005C010000}"/>
    <hyperlink ref="D195" r:id="rId350" xr:uid="{00000000-0004-0000-0500-00005D010000}"/>
    <hyperlink ref="A196" r:id="rId351" xr:uid="{00000000-0004-0000-0500-00005E010000}"/>
    <hyperlink ref="D196" r:id="rId352" xr:uid="{00000000-0004-0000-0500-00005F010000}"/>
    <hyperlink ref="A197" r:id="rId353" xr:uid="{00000000-0004-0000-0500-000060010000}"/>
    <hyperlink ref="D197" r:id="rId354" xr:uid="{00000000-0004-0000-0500-000061010000}"/>
    <hyperlink ref="A198" r:id="rId355" xr:uid="{00000000-0004-0000-0500-000062010000}"/>
    <hyperlink ref="D198" r:id="rId356" xr:uid="{00000000-0004-0000-0500-000063010000}"/>
    <hyperlink ref="A199" r:id="rId357" xr:uid="{00000000-0004-0000-0500-000064010000}"/>
    <hyperlink ref="D199" r:id="rId358" xr:uid="{00000000-0004-0000-0500-000065010000}"/>
    <hyperlink ref="A200" r:id="rId359" xr:uid="{00000000-0004-0000-0500-000066010000}"/>
    <hyperlink ref="D200" r:id="rId360" xr:uid="{00000000-0004-0000-0500-000067010000}"/>
    <hyperlink ref="A201" r:id="rId361" xr:uid="{00000000-0004-0000-0500-000068010000}"/>
    <hyperlink ref="D201" r:id="rId362" xr:uid="{00000000-0004-0000-0500-000069010000}"/>
    <hyperlink ref="A202" r:id="rId363" xr:uid="{00000000-0004-0000-0500-00006A010000}"/>
    <hyperlink ref="D202" r:id="rId364" xr:uid="{00000000-0004-0000-0500-00006B010000}"/>
    <hyperlink ref="A203" r:id="rId365" xr:uid="{00000000-0004-0000-0500-00006C010000}"/>
    <hyperlink ref="D203" r:id="rId366" xr:uid="{00000000-0004-0000-0500-00006D010000}"/>
    <hyperlink ref="A204" r:id="rId367" xr:uid="{00000000-0004-0000-0500-00006E010000}"/>
    <hyperlink ref="D204" r:id="rId368" xr:uid="{00000000-0004-0000-0500-00006F010000}"/>
    <hyperlink ref="A205" r:id="rId369" xr:uid="{00000000-0004-0000-0500-000070010000}"/>
    <hyperlink ref="D205" r:id="rId370" xr:uid="{00000000-0004-0000-0500-000071010000}"/>
    <hyperlink ref="A206" r:id="rId371" xr:uid="{00000000-0004-0000-0500-000072010000}"/>
    <hyperlink ref="D206" r:id="rId372" xr:uid="{00000000-0004-0000-0500-000073010000}"/>
    <hyperlink ref="A207" r:id="rId373" xr:uid="{00000000-0004-0000-0500-000074010000}"/>
    <hyperlink ref="D207" r:id="rId374" xr:uid="{00000000-0004-0000-0500-000075010000}"/>
    <hyperlink ref="A208" r:id="rId375" xr:uid="{00000000-0004-0000-0500-000076010000}"/>
    <hyperlink ref="D208" r:id="rId376" xr:uid="{00000000-0004-0000-0500-000077010000}"/>
    <hyperlink ref="A209" r:id="rId377" xr:uid="{00000000-0004-0000-0500-000078010000}"/>
    <hyperlink ref="D209" r:id="rId378" xr:uid="{00000000-0004-0000-0500-000079010000}"/>
    <hyperlink ref="A210" r:id="rId379" xr:uid="{00000000-0004-0000-0500-00007A010000}"/>
    <hyperlink ref="D210" r:id="rId380" xr:uid="{00000000-0004-0000-0500-00007B010000}"/>
    <hyperlink ref="A211" r:id="rId381" xr:uid="{00000000-0004-0000-0500-00007C010000}"/>
    <hyperlink ref="D211" r:id="rId382" xr:uid="{00000000-0004-0000-0500-00007D010000}"/>
    <hyperlink ref="A212" r:id="rId383" xr:uid="{00000000-0004-0000-0500-00007E010000}"/>
    <hyperlink ref="D212" r:id="rId384" xr:uid="{00000000-0004-0000-0500-00007F010000}"/>
    <hyperlink ref="A213" r:id="rId385" xr:uid="{00000000-0004-0000-0500-000080010000}"/>
    <hyperlink ref="D213" r:id="rId386" xr:uid="{00000000-0004-0000-0500-000081010000}"/>
    <hyperlink ref="A215" r:id="rId387" xr:uid="{00000000-0004-0000-0500-000082010000}"/>
    <hyperlink ref="D215" r:id="rId388" xr:uid="{00000000-0004-0000-0500-000083010000}"/>
    <hyperlink ref="A216" r:id="rId389" xr:uid="{00000000-0004-0000-0500-000084010000}"/>
    <hyperlink ref="D216" r:id="rId390" xr:uid="{00000000-0004-0000-0500-000085010000}"/>
    <hyperlink ref="A217" r:id="rId391" xr:uid="{00000000-0004-0000-0500-000086010000}"/>
    <hyperlink ref="D217" r:id="rId392" xr:uid="{00000000-0004-0000-0500-000087010000}"/>
    <hyperlink ref="A218" r:id="rId393" xr:uid="{00000000-0004-0000-0500-000088010000}"/>
    <hyperlink ref="D218" r:id="rId394" xr:uid="{00000000-0004-0000-0500-000089010000}"/>
    <hyperlink ref="A219" r:id="rId395" xr:uid="{00000000-0004-0000-0500-00008A010000}"/>
    <hyperlink ref="D219" r:id="rId396" xr:uid="{00000000-0004-0000-0500-00008B010000}"/>
    <hyperlink ref="A220" r:id="rId397" xr:uid="{00000000-0004-0000-0500-00008C010000}"/>
    <hyperlink ref="D220" r:id="rId398" xr:uid="{00000000-0004-0000-0500-00008D010000}"/>
    <hyperlink ref="A221" r:id="rId399" xr:uid="{00000000-0004-0000-0500-00008E010000}"/>
    <hyperlink ref="D221" r:id="rId400" xr:uid="{00000000-0004-0000-0500-00008F010000}"/>
    <hyperlink ref="A222" r:id="rId401" xr:uid="{00000000-0004-0000-0500-000090010000}"/>
    <hyperlink ref="D222" r:id="rId402" xr:uid="{00000000-0004-0000-0500-000091010000}"/>
    <hyperlink ref="A223" r:id="rId403" xr:uid="{00000000-0004-0000-0500-000092010000}"/>
    <hyperlink ref="D223" r:id="rId404" xr:uid="{00000000-0004-0000-0500-000093010000}"/>
    <hyperlink ref="A224" r:id="rId405" xr:uid="{00000000-0004-0000-0500-000094010000}"/>
    <hyperlink ref="D224" r:id="rId406" xr:uid="{00000000-0004-0000-0500-000095010000}"/>
    <hyperlink ref="A225" r:id="rId407" xr:uid="{00000000-0004-0000-0500-000096010000}"/>
    <hyperlink ref="D225" r:id="rId408" xr:uid="{00000000-0004-0000-0500-000097010000}"/>
    <hyperlink ref="A226" r:id="rId409" xr:uid="{00000000-0004-0000-0500-000098010000}"/>
    <hyperlink ref="D226" r:id="rId410" xr:uid="{00000000-0004-0000-0500-000099010000}"/>
    <hyperlink ref="A227" r:id="rId411" xr:uid="{00000000-0004-0000-0500-00009A010000}"/>
    <hyperlink ref="D227" r:id="rId412" xr:uid="{00000000-0004-0000-0500-00009B010000}"/>
    <hyperlink ref="A228" r:id="rId413" xr:uid="{00000000-0004-0000-0500-00009C010000}"/>
    <hyperlink ref="D228" r:id="rId414" xr:uid="{00000000-0004-0000-0500-00009D010000}"/>
    <hyperlink ref="A229" r:id="rId415" xr:uid="{00000000-0004-0000-0500-00009E010000}"/>
    <hyperlink ref="D229" r:id="rId416" xr:uid="{00000000-0004-0000-0500-00009F010000}"/>
    <hyperlink ref="A230" r:id="rId417" xr:uid="{00000000-0004-0000-0500-0000A0010000}"/>
    <hyperlink ref="D230" r:id="rId418" xr:uid="{00000000-0004-0000-0500-0000A1010000}"/>
    <hyperlink ref="A231" r:id="rId419" xr:uid="{00000000-0004-0000-0500-0000A2010000}"/>
    <hyperlink ref="D231" r:id="rId420" xr:uid="{00000000-0004-0000-0500-0000A3010000}"/>
    <hyperlink ref="A232" r:id="rId421" xr:uid="{00000000-0004-0000-0500-0000A4010000}"/>
    <hyperlink ref="D232" r:id="rId422" xr:uid="{00000000-0004-0000-0500-0000A5010000}"/>
    <hyperlink ref="A233" r:id="rId423" xr:uid="{00000000-0004-0000-0500-0000A6010000}"/>
    <hyperlink ref="D233" r:id="rId424" xr:uid="{00000000-0004-0000-0500-0000A7010000}"/>
    <hyperlink ref="A234" r:id="rId425" xr:uid="{00000000-0004-0000-0500-0000A8010000}"/>
    <hyperlink ref="D234" r:id="rId426" xr:uid="{00000000-0004-0000-0500-0000A9010000}"/>
    <hyperlink ref="A235" r:id="rId427" xr:uid="{00000000-0004-0000-0500-0000AA010000}"/>
    <hyperlink ref="D235" r:id="rId428" xr:uid="{00000000-0004-0000-0500-0000AB010000}"/>
    <hyperlink ref="A236" r:id="rId429" xr:uid="{00000000-0004-0000-0500-0000AC010000}"/>
    <hyperlink ref="D236" r:id="rId430" xr:uid="{00000000-0004-0000-0500-0000AD010000}"/>
    <hyperlink ref="A237" r:id="rId431" xr:uid="{00000000-0004-0000-0500-0000AE010000}"/>
    <hyperlink ref="D237" r:id="rId432" xr:uid="{00000000-0004-0000-0500-0000AF010000}"/>
    <hyperlink ref="A238" r:id="rId433" xr:uid="{00000000-0004-0000-0500-0000B0010000}"/>
    <hyperlink ref="D238" r:id="rId434" xr:uid="{00000000-0004-0000-0500-0000B1010000}"/>
    <hyperlink ref="A239" r:id="rId435" xr:uid="{00000000-0004-0000-0500-0000B2010000}"/>
    <hyperlink ref="D239" r:id="rId436" xr:uid="{00000000-0004-0000-0500-0000B3010000}"/>
    <hyperlink ref="A240" r:id="rId437" xr:uid="{00000000-0004-0000-0500-0000B4010000}"/>
    <hyperlink ref="D240" r:id="rId438" xr:uid="{00000000-0004-0000-0500-0000B5010000}"/>
    <hyperlink ref="A241" r:id="rId439" xr:uid="{00000000-0004-0000-0500-0000B6010000}"/>
    <hyperlink ref="D241" r:id="rId440" xr:uid="{00000000-0004-0000-0500-0000B7010000}"/>
    <hyperlink ref="A242" r:id="rId441" xr:uid="{00000000-0004-0000-0500-0000B8010000}"/>
    <hyperlink ref="D242" r:id="rId442" xr:uid="{00000000-0004-0000-0500-0000B9010000}"/>
    <hyperlink ref="A243" r:id="rId443" xr:uid="{00000000-0004-0000-0500-0000BA010000}"/>
    <hyperlink ref="D243" r:id="rId444" xr:uid="{00000000-0004-0000-0500-0000BB010000}"/>
    <hyperlink ref="A244" r:id="rId445" xr:uid="{00000000-0004-0000-0500-0000BC010000}"/>
    <hyperlink ref="D244" r:id="rId446" xr:uid="{00000000-0004-0000-0500-0000BD010000}"/>
    <hyperlink ref="A245" r:id="rId447" xr:uid="{00000000-0004-0000-0500-0000BE010000}"/>
    <hyperlink ref="D245" r:id="rId448" xr:uid="{00000000-0004-0000-0500-0000BF010000}"/>
    <hyperlink ref="A246" r:id="rId449" xr:uid="{00000000-0004-0000-0500-0000C0010000}"/>
    <hyperlink ref="D246" r:id="rId450" xr:uid="{00000000-0004-0000-0500-0000C1010000}"/>
    <hyperlink ref="A247" r:id="rId451" xr:uid="{00000000-0004-0000-0500-0000C2010000}"/>
    <hyperlink ref="D247" r:id="rId452" xr:uid="{00000000-0004-0000-0500-0000C3010000}"/>
    <hyperlink ref="A248" r:id="rId453" xr:uid="{00000000-0004-0000-0500-0000C4010000}"/>
    <hyperlink ref="D248" r:id="rId454" xr:uid="{00000000-0004-0000-0500-0000C5010000}"/>
    <hyperlink ref="A249" r:id="rId455" xr:uid="{00000000-0004-0000-0500-0000C6010000}"/>
    <hyperlink ref="D249" r:id="rId456" xr:uid="{00000000-0004-0000-0500-0000C7010000}"/>
    <hyperlink ref="A250" r:id="rId457" xr:uid="{00000000-0004-0000-0500-0000C8010000}"/>
    <hyperlink ref="D250" r:id="rId458" xr:uid="{00000000-0004-0000-0500-0000C9010000}"/>
    <hyperlink ref="A251" r:id="rId459" xr:uid="{00000000-0004-0000-0500-0000CA010000}"/>
    <hyperlink ref="D251" r:id="rId460" xr:uid="{00000000-0004-0000-0500-0000CB010000}"/>
    <hyperlink ref="A252" r:id="rId461" xr:uid="{00000000-0004-0000-0500-0000CC010000}"/>
    <hyperlink ref="D252" r:id="rId462" xr:uid="{00000000-0004-0000-0500-0000CD010000}"/>
    <hyperlink ref="A253" r:id="rId463" xr:uid="{00000000-0004-0000-0500-0000CE010000}"/>
    <hyperlink ref="D253" r:id="rId464" xr:uid="{00000000-0004-0000-0500-0000CF010000}"/>
    <hyperlink ref="A254" r:id="rId465" xr:uid="{00000000-0004-0000-0500-0000D0010000}"/>
    <hyperlink ref="D254" r:id="rId466" xr:uid="{00000000-0004-0000-0500-0000D1010000}"/>
    <hyperlink ref="A255" r:id="rId467" xr:uid="{00000000-0004-0000-0500-0000D2010000}"/>
    <hyperlink ref="D255" r:id="rId468" xr:uid="{00000000-0004-0000-0500-0000D3010000}"/>
    <hyperlink ref="A256" r:id="rId469" xr:uid="{00000000-0004-0000-0500-0000D4010000}"/>
    <hyperlink ref="D256" r:id="rId470" xr:uid="{00000000-0004-0000-0500-0000D5010000}"/>
    <hyperlink ref="A257" r:id="rId471" xr:uid="{00000000-0004-0000-0500-0000D6010000}"/>
    <hyperlink ref="D257" r:id="rId472" xr:uid="{00000000-0004-0000-0500-0000D7010000}"/>
    <hyperlink ref="A258" r:id="rId473" xr:uid="{00000000-0004-0000-0500-0000D8010000}"/>
    <hyperlink ref="D258" r:id="rId474" xr:uid="{00000000-0004-0000-0500-0000D9010000}"/>
    <hyperlink ref="A259" r:id="rId475" xr:uid="{00000000-0004-0000-0500-0000DA010000}"/>
    <hyperlink ref="D259" r:id="rId476" xr:uid="{00000000-0004-0000-0500-0000DB010000}"/>
    <hyperlink ref="A260" r:id="rId477" xr:uid="{00000000-0004-0000-0500-0000DC010000}"/>
    <hyperlink ref="D260" r:id="rId478" xr:uid="{00000000-0004-0000-0500-0000DD010000}"/>
    <hyperlink ref="A261" r:id="rId479" xr:uid="{00000000-0004-0000-0500-0000DE010000}"/>
    <hyperlink ref="D261" r:id="rId480" xr:uid="{00000000-0004-0000-0500-0000DF010000}"/>
    <hyperlink ref="A262" r:id="rId481" xr:uid="{00000000-0004-0000-0500-0000E0010000}"/>
    <hyperlink ref="D262" r:id="rId482" xr:uid="{00000000-0004-0000-0500-0000E1010000}"/>
    <hyperlink ref="A263" r:id="rId483" xr:uid="{00000000-0004-0000-0500-0000E2010000}"/>
    <hyperlink ref="D263" r:id="rId484" xr:uid="{00000000-0004-0000-0500-0000E3010000}"/>
    <hyperlink ref="A264" r:id="rId485" xr:uid="{00000000-0004-0000-0500-0000E4010000}"/>
    <hyperlink ref="D264" r:id="rId486" xr:uid="{00000000-0004-0000-0500-0000E5010000}"/>
    <hyperlink ref="A265" r:id="rId487" xr:uid="{00000000-0004-0000-0500-0000E6010000}"/>
    <hyperlink ref="D265" r:id="rId488" xr:uid="{00000000-0004-0000-0500-0000E7010000}"/>
    <hyperlink ref="A266" r:id="rId489" xr:uid="{00000000-0004-0000-0500-0000E8010000}"/>
    <hyperlink ref="D266" r:id="rId490" xr:uid="{00000000-0004-0000-0500-0000E9010000}"/>
    <hyperlink ref="A267" r:id="rId491" xr:uid="{00000000-0004-0000-0500-0000EA010000}"/>
    <hyperlink ref="D267" r:id="rId492" xr:uid="{00000000-0004-0000-0500-0000EB010000}"/>
    <hyperlink ref="A268" r:id="rId493" xr:uid="{00000000-0004-0000-0500-0000EC010000}"/>
    <hyperlink ref="D268" r:id="rId494" xr:uid="{00000000-0004-0000-0500-0000ED010000}"/>
    <hyperlink ref="A269" r:id="rId495" xr:uid="{00000000-0004-0000-0500-0000EE010000}"/>
    <hyperlink ref="D269" r:id="rId496" xr:uid="{00000000-0004-0000-0500-0000EF010000}"/>
    <hyperlink ref="A270" r:id="rId497" xr:uid="{00000000-0004-0000-0500-0000F0010000}"/>
    <hyperlink ref="D270" r:id="rId498" xr:uid="{00000000-0004-0000-0500-0000F1010000}"/>
    <hyperlink ref="A271" r:id="rId499" xr:uid="{00000000-0004-0000-0500-0000F2010000}"/>
    <hyperlink ref="D271" r:id="rId500" xr:uid="{00000000-0004-0000-0500-0000F3010000}"/>
    <hyperlink ref="A272" r:id="rId501" xr:uid="{00000000-0004-0000-0500-0000F4010000}"/>
    <hyperlink ref="D272" r:id="rId502" xr:uid="{00000000-0004-0000-0500-0000F5010000}"/>
    <hyperlink ref="A274" r:id="rId503" xr:uid="{00000000-0004-0000-0500-0000F6010000}"/>
    <hyperlink ref="D274" r:id="rId504" xr:uid="{00000000-0004-0000-0500-0000F7010000}"/>
    <hyperlink ref="A275" r:id="rId505" xr:uid="{00000000-0004-0000-0500-0000F8010000}"/>
    <hyperlink ref="D275" r:id="rId506" xr:uid="{00000000-0004-0000-0500-0000F9010000}"/>
    <hyperlink ref="A276" r:id="rId507" xr:uid="{00000000-0004-0000-0500-0000FA010000}"/>
    <hyperlink ref="D276" r:id="rId508" xr:uid="{00000000-0004-0000-0500-0000FB010000}"/>
    <hyperlink ref="A278" r:id="rId509" xr:uid="{00000000-0004-0000-0500-0000FC010000}"/>
    <hyperlink ref="D278" r:id="rId510" xr:uid="{00000000-0004-0000-0500-0000FD010000}"/>
    <hyperlink ref="A279" r:id="rId511" xr:uid="{00000000-0004-0000-0500-0000FE010000}"/>
    <hyperlink ref="D279" r:id="rId512" xr:uid="{00000000-0004-0000-0500-0000FF010000}"/>
    <hyperlink ref="A281" r:id="rId513" xr:uid="{00000000-0004-0000-0500-000000020000}"/>
    <hyperlink ref="D281" r:id="rId514" xr:uid="{00000000-0004-0000-0500-000001020000}"/>
    <hyperlink ref="A282" r:id="rId515" xr:uid="{00000000-0004-0000-0500-000002020000}"/>
    <hyperlink ref="D282" r:id="rId516" xr:uid="{00000000-0004-0000-0500-000003020000}"/>
    <hyperlink ref="A284" r:id="rId517" xr:uid="{00000000-0004-0000-0500-000004020000}"/>
    <hyperlink ref="D284" r:id="rId518" xr:uid="{00000000-0004-0000-0500-000005020000}"/>
    <hyperlink ref="A285" r:id="rId519" xr:uid="{00000000-0004-0000-0500-000006020000}"/>
    <hyperlink ref="D285" r:id="rId520" xr:uid="{00000000-0004-0000-0500-000007020000}"/>
    <hyperlink ref="A286" r:id="rId521" xr:uid="{00000000-0004-0000-0500-000008020000}"/>
    <hyperlink ref="D286" r:id="rId522" xr:uid="{00000000-0004-0000-0500-000009020000}"/>
    <hyperlink ref="A287" r:id="rId523" xr:uid="{00000000-0004-0000-0500-00000A020000}"/>
    <hyperlink ref="D287" r:id="rId524" xr:uid="{00000000-0004-0000-0500-00000B020000}"/>
    <hyperlink ref="A288" r:id="rId525" xr:uid="{00000000-0004-0000-0500-00000C020000}"/>
    <hyperlink ref="D288" r:id="rId526" xr:uid="{00000000-0004-0000-0500-00000D020000}"/>
    <hyperlink ref="A289" r:id="rId527" xr:uid="{00000000-0004-0000-0500-00000E020000}"/>
    <hyperlink ref="D289" r:id="rId528" xr:uid="{00000000-0004-0000-0500-00000F020000}"/>
    <hyperlink ref="A290" r:id="rId529" xr:uid="{00000000-0004-0000-0500-000010020000}"/>
    <hyperlink ref="D290" r:id="rId530" xr:uid="{00000000-0004-0000-0500-000011020000}"/>
    <hyperlink ref="A291" r:id="rId531" xr:uid="{00000000-0004-0000-0500-000012020000}"/>
    <hyperlink ref="D291" r:id="rId532" xr:uid="{00000000-0004-0000-0500-000013020000}"/>
    <hyperlink ref="A292" r:id="rId533" xr:uid="{00000000-0004-0000-0500-000014020000}"/>
    <hyperlink ref="D292" r:id="rId534" xr:uid="{00000000-0004-0000-0500-000015020000}"/>
    <hyperlink ref="A293" r:id="rId535" xr:uid="{00000000-0004-0000-0500-000016020000}"/>
    <hyperlink ref="D293" r:id="rId536" xr:uid="{00000000-0004-0000-0500-000017020000}"/>
    <hyperlink ref="A294" r:id="rId537" xr:uid="{00000000-0004-0000-0500-000018020000}"/>
    <hyperlink ref="D294" r:id="rId538" xr:uid="{00000000-0004-0000-0500-000019020000}"/>
    <hyperlink ref="A295" r:id="rId539" xr:uid="{00000000-0004-0000-0500-00001A020000}"/>
    <hyperlink ref="D295" r:id="rId540" xr:uid="{00000000-0004-0000-0500-00001B020000}"/>
    <hyperlink ref="A296" r:id="rId541" xr:uid="{00000000-0004-0000-0500-00001C020000}"/>
    <hyperlink ref="D296" r:id="rId542" xr:uid="{00000000-0004-0000-0500-00001D020000}"/>
    <hyperlink ref="A297" r:id="rId543" xr:uid="{00000000-0004-0000-0500-00001E020000}"/>
    <hyperlink ref="D297" r:id="rId544" xr:uid="{00000000-0004-0000-0500-00001F020000}"/>
    <hyperlink ref="A298" r:id="rId545" xr:uid="{00000000-0004-0000-0500-000020020000}"/>
    <hyperlink ref="D298" r:id="rId546" xr:uid="{00000000-0004-0000-0500-000021020000}"/>
    <hyperlink ref="A299" r:id="rId547" xr:uid="{00000000-0004-0000-0500-000022020000}"/>
    <hyperlink ref="D299" r:id="rId548" xr:uid="{00000000-0004-0000-0500-000023020000}"/>
    <hyperlink ref="A300" r:id="rId549" xr:uid="{00000000-0004-0000-0500-000024020000}"/>
    <hyperlink ref="D300" r:id="rId550" xr:uid="{00000000-0004-0000-0500-000025020000}"/>
    <hyperlink ref="A302" r:id="rId551" xr:uid="{00000000-0004-0000-0500-000026020000}"/>
    <hyperlink ref="D302" r:id="rId552" xr:uid="{00000000-0004-0000-0500-000027020000}"/>
    <hyperlink ref="A303" r:id="rId553" xr:uid="{00000000-0004-0000-0500-000028020000}"/>
    <hyperlink ref="D303" r:id="rId554" xr:uid="{00000000-0004-0000-0500-000029020000}"/>
    <hyperlink ref="A304" r:id="rId555" xr:uid="{00000000-0004-0000-0500-00002A020000}"/>
    <hyperlink ref="D304" r:id="rId556" xr:uid="{00000000-0004-0000-0500-00002B020000}"/>
    <hyperlink ref="A305" r:id="rId557" xr:uid="{00000000-0004-0000-0500-00002C020000}"/>
    <hyperlink ref="D305" r:id="rId558" xr:uid="{00000000-0004-0000-0500-00002D020000}"/>
    <hyperlink ref="A306" r:id="rId559" xr:uid="{00000000-0004-0000-0500-00002E020000}"/>
    <hyperlink ref="D306" r:id="rId560" xr:uid="{00000000-0004-0000-0500-00002F020000}"/>
    <hyperlink ref="A307" r:id="rId561" xr:uid="{00000000-0004-0000-0500-000030020000}"/>
    <hyperlink ref="D307" r:id="rId562" xr:uid="{00000000-0004-0000-0500-000031020000}"/>
    <hyperlink ref="A308" r:id="rId563" xr:uid="{00000000-0004-0000-0500-000032020000}"/>
    <hyperlink ref="D308" r:id="rId564" xr:uid="{00000000-0004-0000-0500-000033020000}"/>
    <hyperlink ref="A309" r:id="rId565" xr:uid="{00000000-0004-0000-0500-000034020000}"/>
    <hyperlink ref="D309" r:id="rId566" xr:uid="{00000000-0004-0000-0500-000035020000}"/>
    <hyperlink ref="A310" r:id="rId567" xr:uid="{00000000-0004-0000-0500-000036020000}"/>
    <hyperlink ref="D310" r:id="rId568" xr:uid="{00000000-0004-0000-0500-000037020000}"/>
    <hyperlink ref="A311" r:id="rId569" xr:uid="{00000000-0004-0000-0500-000038020000}"/>
    <hyperlink ref="D311" r:id="rId570" xr:uid="{00000000-0004-0000-0500-000039020000}"/>
    <hyperlink ref="A312" r:id="rId571" xr:uid="{00000000-0004-0000-0500-00003A020000}"/>
    <hyperlink ref="D312" r:id="rId572" xr:uid="{00000000-0004-0000-0500-00003B020000}"/>
    <hyperlink ref="A313" r:id="rId573" xr:uid="{00000000-0004-0000-0500-00003C020000}"/>
    <hyperlink ref="D313" r:id="rId574" xr:uid="{00000000-0004-0000-0500-00003D020000}"/>
    <hyperlink ref="A314" r:id="rId575" xr:uid="{00000000-0004-0000-0500-00003E020000}"/>
    <hyperlink ref="D314" r:id="rId576" xr:uid="{00000000-0004-0000-0500-00003F020000}"/>
    <hyperlink ref="A315" r:id="rId577" xr:uid="{00000000-0004-0000-0500-000040020000}"/>
    <hyperlink ref="D315" r:id="rId578" xr:uid="{00000000-0004-0000-0500-000041020000}"/>
    <hyperlink ref="A316" r:id="rId579" xr:uid="{00000000-0004-0000-0500-000042020000}"/>
    <hyperlink ref="D316" r:id="rId580" xr:uid="{00000000-0004-0000-0500-000043020000}"/>
    <hyperlink ref="A317" r:id="rId581" xr:uid="{00000000-0004-0000-0500-000044020000}"/>
    <hyperlink ref="D317" r:id="rId582" xr:uid="{00000000-0004-0000-0500-000045020000}"/>
    <hyperlink ref="A318" r:id="rId583" xr:uid="{00000000-0004-0000-0500-000046020000}"/>
    <hyperlink ref="D318" r:id="rId584" xr:uid="{00000000-0004-0000-0500-000047020000}"/>
    <hyperlink ref="A319" r:id="rId585" xr:uid="{00000000-0004-0000-0500-000048020000}"/>
    <hyperlink ref="D319" r:id="rId586" xr:uid="{00000000-0004-0000-0500-000049020000}"/>
    <hyperlink ref="A320" r:id="rId587" xr:uid="{00000000-0004-0000-0500-00004A020000}"/>
    <hyperlink ref="D320" r:id="rId588" xr:uid="{00000000-0004-0000-0500-00004B020000}"/>
    <hyperlink ref="A321" r:id="rId589" xr:uid="{00000000-0004-0000-0500-00004C020000}"/>
    <hyperlink ref="D321" r:id="rId590" xr:uid="{00000000-0004-0000-0500-00004D020000}"/>
    <hyperlink ref="A322" r:id="rId591" xr:uid="{00000000-0004-0000-0500-00004E020000}"/>
    <hyperlink ref="D322" r:id="rId592" xr:uid="{00000000-0004-0000-0500-00004F020000}"/>
    <hyperlink ref="A324" r:id="rId593" xr:uid="{00000000-0004-0000-0500-000050020000}"/>
    <hyperlink ref="D324" r:id="rId594" xr:uid="{00000000-0004-0000-0500-000051020000}"/>
    <hyperlink ref="A325" r:id="rId595" xr:uid="{00000000-0004-0000-0500-000052020000}"/>
    <hyperlink ref="D325" r:id="rId596" xr:uid="{00000000-0004-0000-0500-000053020000}"/>
    <hyperlink ref="A326" r:id="rId597" xr:uid="{00000000-0004-0000-0500-000054020000}"/>
    <hyperlink ref="D326" r:id="rId598" xr:uid="{00000000-0004-0000-0500-000055020000}"/>
    <hyperlink ref="A328" r:id="rId599" xr:uid="{00000000-0004-0000-0500-000056020000}"/>
    <hyperlink ref="D328" r:id="rId600" xr:uid="{00000000-0004-0000-0500-000057020000}"/>
    <hyperlink ref="A329" r:id="rId601" xr:uid="{00000000-0004-0000-0500-000058020000}"/>
    <hyperlink ref="D329" r:id="rId602" xr:uid="{00000000-0004-0000-0500-000059020000}"/>
    <hyperlink ref="A331" r:id="rId603" xr:uid="{00000000-0004-0000-0500-00005A020000}"/>
    <hyperlink ref="D331" r:id="rId604" xr:uid="{00000000-0004-0000-0500-00005B020000}"/>
    <hyperlink ref="A332" r:id="rId605" xr:uid="{00000000-0004-0000-0500-00005C020000}"/>
    <hyperlink ref="D332" r:id="rId606" xr:uid="{00000000-0004-0000-0500-00005D020000}"/>
    <hyperlink ref="A334" r:id="rId607" xr:uid="{00000000-0004-0000-0500-00005E020000}"/>
    <hyperlink ref="D334" r:id="rId608" xr:uid="{00000000-0004-0000-0500-00005F020000}"/>
    <hyperlink ref="A335" r:id="rId609" xr:uid="{00000000-0004-0000-0500-000060020000}"/>
    <hyperlink ref="D335" r:id="rId610" xr:uid="{00000000-0004-0000-0500-000061020000}"/>
    <hyperlink ref="A336" r:id="rId611" xr:uid="{00000000-0004-0000-0500-000062020000}"/>
    <hyperlink ref="D336" r:id="rId612" xr:uid="{00000000-0004-0000-0500-000063020000}"/>
    <hyperlink ref="A337" r:id="rId613" xr:uid="{00000000-0004-0000-0500-000064020000}"/>
    <hyperlink ref="D337" r:id="rId614" xr:uid="{00000000-0004-0000-0500-000065020000}"/>
    <hyperlink ref="A338" r:id="rId615" xr:uid="{00000000-0004-0000-0500-000066020000}"/>
    <hyperlink ref="D338" r:id="rId616" xr:uid="{00000000-0004-0000-0500-000067020000}"/>
    <hyperlink ref="A339" r:id="rId617" xr:uid="{00000000-0004-0000-0500-000068020000}"/>
    <hyperlink ref="D339" r:id="rId618" xr:uid="{00000000-0004-0000-0500-000069020000}"/>
    <hyperlink ref="A340" r:id="rId619" xr:uid="{00000000-0004-0000-0500-00006A020000}"/>
    <hyperlink ref="D340" r:id="rId620" xr:uid="{00000000-0004-0000-0500-00006B020000}"/>
    <hyperlink ref="A341" r:id="rId621" xr:uid="{00000000-0004-0000-0500-00006C020000}"/>
    <hyperlink ref="D341" r:id="rId622" xr:uid="{00000000-0004-0000-0500-00006D020000}"/>
    <hyperlink ref="A342" r:id="rId623" xr:uid="{00000000-0004-0000-0500-00006E020000}"/>
    <hyperlink ref="D342" r:id="rId624" xr:uid="{00000000-0004-0000-0500-00006F020000}"/>
    <hyperlink ref="A343" r:id="rId625" xr:uid="{00000000-0004-0000-0500-000070020000}"/>
    <hyperlink ref="D343" r:id="rId626" xr:uid="{00000000-0004-0000-0500-000071020000}"/>
    <hyperlink ref="A344" r:id="rId627" xr:uid="{00000000-0004-0000-0500-000072020000}"/>
    <hyperlink ref="D344" r:id="rId628" xr:uid="{00000000-0004-0000-0500-000073020000}"/>
    <hyperlink ref="A345" r:id="rId629" xr:uid="{00000000-0004-0000-0500-000074020000}"/>
    <hyperlink ref="D345" r:id="rId630" xr:uid="{00000000-0004-0000-0500-000075020000}"/>
    <hyperlink ref="A346" r:id="rId631" xr:uid="{00000000-0004-0000-0500-000076020000}"/>
    <hyperlink ref="D346" r:id="rId632" xr:uid="{00000000-0004-0000-0500-000077020000}"/>
    <hyperlink ref="A347" r:id="rId633" xr:uid="{00000000-0004-0000-0500-000078020000}"/>
    <hyperlink ref="D347" r:id="rId634" xr:uid="{00000000-0004-0000-0500-000079020000}"/>
    <hyperlink ref="A348" r:id="rId635" xr:uid="{00000000-0004-0000-0500-00007A020000}"/>
    <hyperlink ref="D348" r:id="rId636" xr:uid="{00000000-0004-0000-0500-00007B020000}"/>
    <hyperlink ref="A349" r:id="rId637" xr:uid="{00000000-0004-0000-0500-00007C020000}"/>
    <hyperlink ref="D349" r:id="rId638" xr:uid="{00000000-0004-0000-0500-00007D020000}"/>
    <hyperlink ref="A350" r:id="rId639" xr:uid="{00000000-0004-0000-0500-00007E020000}"/>
    <hyperlink ref="D350" r:id="rId640" xr:uid="{00000000-0004-0000-0500-00007F020000}"/>
    <hyperlink ref="A352" r:id="rId641" xr:uid="{00000000-0004-0000-0500-000080020000}"/>
    <hyperlink ref="D352" r:id="rId642" xr:uid="{00000000-0004-0000-0500-000081020000}"/>
    <hyperlink ref="A353" r:id="rId643" xr:uid="{00000000-0004-0000-0500-000082020000}"/>
    <hyperlink ref="D353" r:id="rId644" xr:uid="{00000000-0004-0000-0500-000083020000}"/>
    <hyperlink ref="A354" r:id="rId645" xr:uid="{00000000-0004-0000-0500-000084020000}"/>
    <hyperlink ref="D354" r:id="rId646" xr:uid="{00000000-0004-0000-0500-000085020000}"/>
    <hyperlink ref="A355" r:id="rId647" xr:uid="{00000000-0004-0000-0500-000086020000}"/>
    <hyperlink ref="D355" r:id="rId648" xr:uid="{00000000-0004-0000-0500-000087020000}"/>
    <hyperlink ref="A356" r:id="rId649" xr:uid="{00000000-0004-0000-0500-000088020000}"/>
    <hyperlink ref="D356" r:id="rId650" xr:uid="{00000000-0004-0000-0500-000089020000}"/>
    <hyperlink ref="A357" r:id="rId651" xr:uid="{00000000-0004-0000-0500-00008A020000}"/>
    <hyperlink ref="D357" r:id="rId652" xr:uid="{00000000-0004-0000-0500-00008B020000}"/>
    <hyperlink ref="A358" r:id="rId653" xr:uid="{00000000-0004-0000-0500-00008C020000}"/>
    <hyperlink ref="D358" r:id="rId654" xr:uid="{00000000-0004-0000-0500-00008D020000}"/>
    <hyperlink ref="A359" r:id="rId655" xr:uid="{00000000-0004-0000-0500-00008E020000}"/>
    <hyperlink ref="D359" r:id="rId656" xr:uid="{00000000-0004-0000-0500-00008F020000}"/>
    <hyperlink ref="A360" r:id="rId657" xr:uid="{00000000-0004-0000-0500-000090020000}"/>
    <hyperlink ref="D360" r:id="rId658" xr:uid="{00000000-0004-0000-0500-000091020000}"/>
    <hyperlink ref="A361" r:id="rId659" xr:uid="{00000000-0004-0000-0500-000092020000}"/>
    <hyperlink ref="D361" r:id="rId660" xr:uid="{00000000-0004-0000-0500-000093020000}"/>
    <hyperlink ref="A362" r:id="rId661" xr:uid="{00000000-0004-0000-0500-000094020000}"/>
    <hyperlink ref="D362" r:id="rId662" xr:uid="{00000000-0004-0000-0500-000095020000}"/>
    <hyperlink ref="A363" r:id="rId663" xr:uid="{00000000-0004-0000-0500-000096020000}"/>
    <hyperlink ref="D363" r:id="rId664" xr:uid="{00000000-0004-0000-0500-000097020000}"/>
    <hyperlink ref="A364" r:id="rId665" xr:uid="{00000000-0004-0000-0500-000098020000}"/>
    <hyperlink ref="D364" r:id="rId666" xr:uid="{00000000-0004-0000-0500-000099020000}"/>
    <hyperlink ref="A365" r:id="rId667" xr:uid="{00000000-0004-0000-0500-00009A020000}"/>
    <hyperlink ref="D365" r:id="rId668" xr:uid="{00000000-0004-0000-0500-00009B020000}"/>
    <hyperlink ref="A367" r:id="rId669" xr:uid="{00000000-0004-0000-0500-00009C020000}"/>
    <hyperlink ref="D367" r:id="rId670" xr:uid="{00000000-0004-0000-0500-00009D020000}"/>
    <hyperlink ref="A368" r:id="rId671" xr:uid="{00000000-0004-0000-0500-00009E020000}"/>
    <hyperlink ref="D368" r:id="rId672" xr:uid="{00000000-0004-0000-0500-00009F020000}"/>
    <hyperlink ref="A369" r:id="rId673" xr:uid="{00000000-0004-0000-0500-0000A0020000}"/>
    <hyperlink ref="D369" r:id="rId674" xr:uid="{00000000-0004-0000-0500-0000A1020000}"/>
    <hyperlink ref="A370" r:id="rId675" xr:uid="{00000000-0004-0000-0500-0000A2020000}"/>
    <hyperlink ref="D370" r:id="rId676" xr:uid="{00000000-0004-0000-0500-0000A3020000}"/>
    <hyperlink ref="A371" r:id="rId677" xr:uid="{00000000-0004-0000-0500-0000A4020000}"/>
    <hyperlink ref="D371" r:id="rId678" xr:uid="{00000000-0004-0000-0500-0000A5020000}"/>
    <hyperlink ref="A372" r:id="rId679" xr:uid="{00000000-0004-0000-0500-0000A6020000}"/>
    <hyperlink ref="D372" r:id="rId680" xr:uid="{00000000-0004-0000-0500-0000A7020000}"/>
    <hyperlink ref="A373" r:id="rId681" xr:uid="{00000000-0004-0000-0500-0000A8020000}"/>
    <hyperlink ref="D373" r:id="rId682" xr:uid="{00000000-0004-0000-0500-0000A9020000}"/>
    <hyperlink ref="A375" r:id="rId683" xr:uid="{00000000-0004-0000-0500-0000AA020000}"/>
    <hyperlink ref="D375" r:id="rId684" xr:uid="{00000000-0004-0000-0500-0000AB020000}"/>
    <hyperlink ref="A376" r:id="rId685" xr:uid="{00000000-0004-0000-0500-0000AC020000}"/>
    <hyperlink ref="D376" r:id="rId686" xr:uid="{00000000-0004-0000-0500-0000AD020000}"/>
    <hyperlink ref="A377" r:id="rId687" xr:uid="{00000000-0004-0000-0500-0000AE020000}"/>
    <hyperlink ref="D377" r:id="rId688" xr:uid="{00000000-0004-0000-0500-0000AF020000}"/>
    <hyperlink ref="A378" r:id="rId689" xr:uid="{00000000-0004-0000-0500-0000B0020000}"/>
    <hyperlink ref="D378" r:id="rId690" xr:uid="{00000000-0004-0000-0500-0000B1020000}"/>
    <hyperlink ref="A379" r:id="rId691" xr:uid="{00000000-0004-0000-0500-0000B2020000}"/>
    <hyperlink ref="D379" r:id="rId692" xr:uid="{00000000-0004-0000-0500-0000B3020000}"/>
    <hyperlink ref="A380" r:id="rId693" xr:uid="{00000000-0004-0000-0500-0000B4020000}"/>
    <hyperlink ref="D380" r:id="rId694" xr:uid="{00000000-0004-0000-0500-0000B5020000}"/>
    <hyperlink ref="A381" r:id="rId695" xr:uid="{00000000-0004-0000-0500-0000B6020000}"/>
    <hyperlink ref="D381" r:id="rId696" xr:uid="{00000000-0004-0000-0500-0000B7020000}"/>
    <hyperlink ref="A382" r:id="rId697" xr:uid="{00000000-0004-0000-0500-0000B8020000}"/>
    <hyperlink ref="D382" r:id="rId698" xr:uid="{00000000-0004-0000-0500-0000B9020000}"/>
    <hyperlink ref="A383" r:id="rId699" xr:uid="{00000000-0004-0000-0500-0000BA020000}"/>
    <hyperlink ref="D383" r:id="rId700" xr:uid="{00000000-0004-0000-0500-0000BB020000}"/>
    <hyperlink ref="A384" r:id="rId701" xr:uid="{00000000-0004-0000-0500-0000BC020000}"/>
    <hyperlink ref="D384" r:id="rId702" xr:uid="{00000000-0004-0000-0500-0000BD020000}"/>
    <hyperlink ref="A385" r:id="rId703" xr:uid="{00000000-0004-0000-0500-0000BE020000}"/>
    <hyperlink ref="D385" r:id="rId704" xr:uid="{00000000-0004-0000-0500-0000BF020000}"/>
    <hyperlink ref="A386" r:id="rId705" xr:uid="{00000000-0004-0000-0500-0000C0020000}"/>
    <hyperlink ref="D386" r:id="rId706" xr:uid="{00000000-0004-0000-0500-0000C1020000}"/>
    <hyperlink ref="A387" r:id="rId707" xr:uid="{00000000-0004-0000-0500-0000C2020000}"/>
    <hyperlink ref="D387" r:id="rId708" xr:uid="{00000000-0004-0000-0500-0000C3020000}"/>
    <hyperlink ref="A388" r:id="rId709" xr:uid="{00000000-0004-0000-0500-0000C4020000}"/>
    <hyperlink ref="D388" r:id="rId710" xr:uid="{00000000-0004-0000-0500-0000C5020000}"/>
    <hyperlink ref="A389" r:id="rId711" xr:uid="{00000000-0004-0000-0500-0000C6020000}"/>
    <hyperlink ref="D389" r:id="rId712" xr:uid="{00000000-0004-0000-0500-0000C7020000}"/>
    <hyperlink ref="A390" r:id="rId713" xr:uid="{00000000-0004-0000-0500-0000C8020000}"/>
    <hyperlink ref="D390" r:id="rId714" xr:uid="{00000000-0004-0000-0500-0000C9020000}"/>
    <hyperlink ref="A391" r:id="rId715" xr:uid="{00000000-0004-0000-0500-0000CA020000}"/>
    <hyperlink ref="D391" r:id="rId716" xr:uid="{00000000-0004-0000-0500-0000CB020000}"/>
    <hyperlink ref="A392" r:id="rId717" xr:uid="{00000000-0004-0000-0500-0000CC020000}"/>
    <hyperlink ref="D392" r:id="rId718" xr:uid="{00000000-0004-0000-0500-0000CD020000}"/>
    <hyperlink ref="A393" r:id="rId719" xr:uid="{00000000-0004-0000-0500-0000CE020000}"/>
    <hyperlink ref="D393" r:id="rId720" xr:uid="{00000000-0004-0000-0500-0000CF020000}"/>
    <hyperlink ref="A394" r:id="rId721" xr:uid="{00000000-0004-0000-0500-0000D0020000}"/>
    <hyperlink ref="D394" r:id="rId722" xr:uid="{00000000-0004-0000-0500-0000D1020000}"/>
    <hyperlink ref="A395" r:id="rId723" xr:uid="{00000000-0004-0000-0500-0000D2020000}"/>
    <hyperlink ref="D395" r:id="rId724" xr:uid="{00000000-0004-0000-0500-0000D3020000}"/>
    <hyperlink ref="A396" r:id="rId725" xr:uid="{00000000-0004-0000-0500-0000D4020000}"/>
    <hyperlink ref="D396" r:id="rId726" xr:uid="{00000000-0004-0000-0500-0000D5020000}"/>
    <hyperlink ref="A397" r:id="rId727" xr:uid="{00000000-0004-0000-0500-0000D6020000}"/>
    <hyperlink ref="D397" r:id="rId728" xr:uid="{00000000-0004-0000-0500-0000D7020000}"/>
    <hyperlink ref="A399" r:id="rId729" xr:uid="{00000000-0004-0000-0500-0000D8020000}"/>
    <hyperlink ref="D399" r:id="rId730" xr:uid="{00000000-0004-0000-0500-0000D9020000}"/>
    <hyperlink ref="A400" r:id="rId731" xr:uid="{00000000-0004-0000-0500-0000DA020000}"/>
    <hyperlink ref="D400" r:id="rId732" xr:uid="{00000000-0004-0000-0500-0000DB020000}"/>
    <hyperlink ref="A401" r:id="rId733" xr:uid="{00000000-0004-0000-0500-0000DC020000}"/>
    <hyperlink ref="D401" r:id="rId734" xr:uid="{00000000-0004-0000-0500-0000DD020000}"/>
    <hyperlink ref="A402" r:id="rId735" xr:uid="{00000000-0004-0000-0500-0000DE020000}"/>
    <hyperlink ref="D402" r:id="rId736" xr:uid="{00000000-0004-0000-0500-0000DF020000}"/>
    <hyperlink ref="A403" r:id="rId737" xr:uid="{00000000-0004-0000-0500-0000E0020000}"/>
    <hyperlink ref="D403" r:id="rId738" xr:uid="{00000000-0004-0000-0500-0000E1020000}"/>
    <hyperlink ref="A404" r:id="rId739" xr:uid="{00000000-0004-0000-0500-0000E2020000}"/>
    <hyperlink ref="D404" r:id="rId740" xr:uid="{00000000-0004-0000-0500-0000E3020000}"/>
    <hyperlink ref="A405" r:id="rId741" xr:uid="{00000000-0004-0000-0500-0000E4020000}"/>
    <hyperlink ref="D405" r:id="rId742" xr:uid="{00000000-0004-0000-0500-0000E5020000}"/>
    <hyperlink ref="A406" r:id="rId743" xr:uid="{00000000-0004-0000-0500-0000E6020000}"/>
    <hyperlink ref="D406" r:id="rId744" xr:uid="{00000000-0004-0000-0500-0000E7020000}"/>
    <hyperlink ref="A408" r:id="rId745" xr:uid="{00000000-0004-0000-0500-0000E8020000}"/>
    <hyperlink ref="D408" r:id="rId746" xr:uid="{00000000-0004-0000-0500-0000E9020000}"/>
    <hyperlink ref="A409" r:id="rId747" xr:uid="{00000000-0004-0000-0500-0000EA020000}"/>
    <hyperlink ref="D409" r:id="rId748" xr:uid="{00000000-0004-0000-0500-0000EB020000}"/>
    <hyperlink ref="A410" r:id="rId749" xr:uid="{00000000-0004-0000-0500-0000EC020000}"/>
    <hyperlink ref="D410" r:id="rId750" xr:uid="{00000000-0004-0000-0500-0000ED020000}"/>
    <hyperlink ref="A411" r:id="rId751" xr:uid="{00000000-0004-0000-0500-0000EE020000}"/>
    <hyperlink ref="D411" r:id="rId752" xr:uid="{00000000-0004-0000-0500-0000EF020000}"/>
    <hyperlink ref="A412" r:id="rId753" xr:uid="{00000000-0004-0000-0500-0000F0020000}"/>
    <hyperlink ref="D412" r:id="rId754" xr:uid="{00000000-0004-0000-0500-0000F1020000}"/>
    <hyperlink ref="A413" r:id="rId755" xr:uid="{00000000-0004-0000-0500-0000F2020000}"/>
    <hyperlink ref="D413" r:id="rId756" xr:uid="{00000000-0004-0000-0500-0000F3020000}"/>
    <hyperlink ref="A414" r:id="rId757" xr:uid="{00000000-0004-0000-0500-0000F4020000}"/>
    <hyperlink ref="D414" r:id="rId758" xr:uid="{00000000-0004-0000-0500-0000F5020000}"/>
    <hyperlink ref="A415" r:id="rId759" xr:uid="{00000000-0004-0000-0500-0000F6020000}"/>
    <hyperlink ref="D415" r:id="rId760" xr:uid="{00000000-0004-0000-0500-0000F7020000}"/>
    <hyperlink ref="A416" r:id="rId761" xr:uid="{00000000-0004-0000-0500-0000F8020000}"/>
    <hyperlink ref="D416" r:id="rId762" xr:uid="{00000000-0004-0000-0500-0000F9020000}"/>
    <hyperlink ref="A417" r:id="rId763" xr:uid="{00000000-0004-0000-0500-0000FA020000}"/>
    <hyperlink ref="D417" r:id="rId764" xr:uid="{00000000-0004-0000-0500-0000FB020000}"/>
    <hyperlink ref="A418" r:id="rId765" xr:uid="{00000000-0004-0000-0500-0000FC020000}"/>
    <hyperlink ref="D418" r:id="rId766" xr:uid="{00000000-0004-0000-0500-0000FD020000}"/>
    <hyperlink ref="A419" r:id="rId767" xr:uid="{00000000-0004-0000-0500-0000FE020000}"/>
    <hyperlink ref="D419" r:id="rId768" xr:uid="{00000000-0004-0000-0500-0000FF020000}"/>
    <hyperlink ref="A420" r:id="rId769" xr:uid="{00000000-0004-0000-0500-000000030000}"/>
    <hyperlink ref="D420" r:id="rId770" xr:uid="{00000000-0004-0000-0500-000001030000}"/>
    <hyperlink ref="A421" r:id="rId771" xr:uid="{00000000-0004-0000-0500-000002030000}"/>
    <hyperlink ref="D421" r:id="rId772" xr:uid="{00000000-0004-0000-0500-000003030000}"/>
    <hyperlink ref="A422" r:id="rId773" xr:uid="{00000000-0004-0000-0500-000004030000}"/>
    <hyperlink ref="D422" r:id="rId774" xr:uid="{00000000-0004-0000-0500-000005030000}"/>
    <hyperlink ref="A423" r:id="rId775" xr:uid="{00000000-0004-0000-0500-000006030000}"/>
    <hyperlink ref="D423" r:id="rId776" xr:uid="{00000000-0004-0000-0500-000007030000}"/>
    <hyperlink ref="A424" r:id="rId777" xr:uid="{00000000-0004-0000-0500-000008030000}"/>
    <hyperlink ref="D424" r:id="rId778" xr:uid="{00000000-0004-0000-0500-000009030000}"/>
    <hyperlink ref="A425" r:id="rId779" xr:uid="{00000000-0004-0000-0500-00000A030000}"/>
    <hyperlink ref="D425" r:id="rId780" xr:uid="{00000000-0004-0000-0500-00000B030000}"/>
    <hyperlink ref="A426" r:id="rId781" xr:uid="{00000000-0004-0000-0500-00000C030000}"/>
    <hyperlink ref="D426" r:id="rId782" xr:uid="{00000000-0004-0000-0500-00000D030000}"/>
    <hyperlink ref="A427" r:id="rId783" xr:uid="{00000000-0004-0000-0500-00000E030000}"/>
    <hyperlink ref="D427" r:id="rId784" xr:uid="{00000000-0004-0000-0500-00000F030000}"/>
    <hyperlink ref="A428" r:id="rId785" xr:uid="{00000000-0004-0000-0500-000010030000}"/>
    <hyperlink ref="D428" r:id="rId786" xr:uid="{00000000-0004-0000-0500-000011030000}"/>
    <hyperlink ref="A429" r:id="rId787" xr:uid="{00000000-0004-0000-0500-000012030000}"/>
    <hyperlink ref="D429" r:id="rId788" xr:uid="{00000000-0004-0000-0500-000013030000}"/>
    <hyperlink ref="A430" r:id="rId789" xr:uid="{00000000-0004-0000-0500-000014030000}"/>
    <hyperlink ref="D430" r:id="rId790" xr:uid="{00000000-0004-0000-0500-000015030000}"/>
    <hyperlink ref="A432" r:id="rId791" xr:uid="{00000000-0004-0000-0500-000016030000}"/>
    <hyperlink ref="D432" r:id="rId792" xr:uid="{00000000-0004-0000-0500-000017030000}"/>
    <hyperlink ref="A433" r:id="rId793" xr:uid="{00000000-0004-0000-0500-000018030000}"/>
    <hyperlink ref="D433" r:id="rId794" xr:uid="{00000000-0004-0000-0500-000019030000}"/>
    <hyperlink ref="A434" r:id="rId795" xr:uid="{00000000-0004-0000-0500-00001A030000}"/>
    <hyperlink ref="D434" r:id="rId796" xr:uid="{00000000-0004-0000-0500-00001B030000}"/>
    <hyperlink ref="A435" r:id="rId797" xr:uid="{00000000-0004-0000-0500-00001C030000}"/>
    <hyperlink ref="D435" r:id="rId798" xr:uid="{00000000-0004-0000-0500-00001D030000}"/>
    <hyperlink ref="A436" r:id="rId799" xr:uid="{00000000-0004-0000-0500-00001E030000}"/>
    <hyperlink ref="D436" r:id="rId800" xr:uid="{00000000-0004-0000-0500-00001F030000}"/>
    <hyperlink ref="A437" r:id="rId801" xr:uid="{00000000-0004-0000-0500-000020030000}"/>
    <hyperlink ref="D437" r:id="rId802" xr:uid="{00000000-0004-0000-0500-000021030000}"/>
    <hyperlink ref="A438" r:id="rId803" xr:uid="{00000000-0004-0000-0500-000022030000}"/>
    <hyperlink ref="D438" r:id="rId804" xr:uid="{00000000-0004-0000-0500-000023030000}"/>
    <hyperlink ref="A439" r:id="rId805" xr:uid="{00000000-0004-0000-0500-000024030000}"/>
    <hyperlink ref="D439" r:id="rId806" xr:uid="{00000000-0004-0000-0500-000025030000}"/>
    <hyperlink ref="A440" r:id="rId807" xr:uid="{00000000-0004-0000-0500-000026030000}"/>
    <hyperlink ref="D440" r:id="rId808" xr:uid="{00000000-0004-0000-0500-000027030000}"/>
    <hyperlink ref="A441" r:id="rId809" xr:uid="{00000000-0004-0000-0500-000028030000}"/>
    <hyperlink ref="D441" r:id="rId810" xr:uid="{00000000-0004-0000-0500-000029030000}"/>
    <hyperlink ref="A442" r:id="rId811" xr:uid="{00000000-0004-0000-0500-00002A030000}"/>
    <hyperlink ref="D442" r:id="rId812" xr:uid="{00000000-0004-0000-0500-00002B030000}"/>
    <hyperlink ref="A443" r:id="rId813" xr:uid="{00000000-0004-0000-0500-00002C030000}"/>
    <hyperlink ref="D443" r:id="rId814" xr:uid="{00000000-0004-0000-0500-00002D030000}"/>
    <hyperlink ref="A444" r:id="rId815" xr:uid="{00000000-0004-0000-0500-00002E030000}"/>
    <hyperlink ref="D444" r:id="rId816" xr:uid="{00000000-0004-0000-0500-00002F030000}"/>
    <hyperlink ref="A445" r:id="rId817" xr:uid="{00000000-0004-0000-0500-000030030000}"/>
    <hyperlink ref="D445" r:id="rId818" xr:uid="{00000000-0004-0000-0500-000031030000}"/>
    <hyperlink ref="A446" r:id="rId819" xr:uid="{00000000-0004-0000-0500-000032030000}"/>
    <hyperlink ref="D446" r:id="rId820" xr:uid="{00000000-0004-0000-0500-000033030000}"/>
    <hyperlink ref="A447" r:id="rId821" xr:uid="{00000000-0004-0000-0500-000034030000}"/>
    <hyperlink ref="D447" r:id="rId822" xr:uid="{00000000-0004-0000-0500-000035030000}"/>
    <hyperlink ref="A448" r:id="rId823" xr:uid="{00000000-0004-0000-0500-000036030000}"/>
    <hyperlink ref="D448" r:id="rId824" xr:uid="{00000000-0004-0000-0500-000037030000}"/>
    <hyperlink ref="A449" r:id="rId825" xr:uid="{00000000-0004-0000-0500-000038030000}"/>
    <hyperlink ref="D449" r:id="rId826" xr:uid="{00000000-0004-0000-0500-000039030000}"/>
    <hyperlink ref="A450" r:id="rId827" xr:uid="{00000000-0004-0000-0500-00003A030000}"/>
    <hyperlink ref="D450" r:id="rId828" xr:uid="{00000000-0004-0000-0500-00003B030000}"/>
    <hyperlink ref="A451" r:id="rId829" xr:uid="{00000000-0004-0000-0500-00003C030000}"/>
    <hyperlink ref="D451" r:id="rId830" xr:uid="{00000000-0004-0000-0500-00003D030000}"/>
    <hyperlink ref="A452" r:id="rId831" xr:uid="{00000000-0004-0000-0500-00003E030000}"/>
    <hyperlink ref="D452" r:id="rId832" xr:uid="{00000000-0004-0000-0500-00003F030000}"/>
    <hyperlink ref="A453" r:id="rId833" xr:uid="{00000000-0004-0000-0500-000040030000}"/>
    <hyperlink ref="D453" r:id="rId834" xr:uid="{00000000-0004-0000-0500-000041030000}"/>
    <hyperlink ref="A454" r:id="rId835" xr:uid="{00000000-0004-0000-0500-000042030000}"/>
    <hyperlink ref="D454" r:id="rId836" xr:uid="{00000000-0004-0000-0500-000043030000}"/>
    <hyperlink ref="A455" r:id="rId837" xr:uid="{00000000-0004-0000-0500-000044030000}"/>
    <hyperlink ref="D455" r:id="rId838" xr:uid="{00000000-0004-0000-0500-000045030000}"/>
    <hyperlink ref="A456" r:id="rId839" xr:uid="{00000000-0004-0000-0500-000046030000}"/>
    <hyperlink ref="D456" r:id="rId840" xr:uid="{00000000-0004-0000-0500-000047030000}"/>
    <hyperlink ref="A457" r:id="rId841" xr:uid="{00000000-0004-0000-0500-000048030000}"/>
    <hyperlink ref="D457" r:id="rId842" xr:uid="{00000000-0004-0000-0500-000049030000}"/>
    <hyperlink ref="A458" r:id="rId843" xr:uid="{00000000-0004-0000-0500-00004A030000}"/>
    <hyperlink ref="D458" r:id="rId844" xr:uid="{00000000-0004-0000-0500-00004B030000}"/>
    <hyperlink ref="A459" r:id="rId845" xr:uid="{00000000-0004-0000-0500-00004C030000}"/>
    <hyperlink ref="D459" r:id="rId846" xr:uid="{00000000-0004-0000-0500-00004D030000}"/>
    <hyperlink ref="A460" r:id="rId847" xr:uid="{00000000-0004-0000-0500-00004E030000}"/>
    <hyperlink ref="D460" r:id="rId848" xr:uid="{00000000-0004-0000-0500-00004F030000}"/>
    <hyperlink ref="A461" r:id="rId849" xr:uid="{00000000-0004-0000-0500-000050030000}"/>
    <hyperlink ref="D461" r:id="rId850" xr:uid="{00000000-0004-0000-0500-000051030000}"/>
    <hyperlink ref="A462" r:id="rId851" xr:uid="{00000000-0004-0000-0500-000052030000}"/>
    <hyperlink ref="D462" r:id="rId852" xr:uid="{00000000-0004-0000-0500-000053030000}"/>
    <hyperlink ref="A463" r:id="rId853" xr:uid="{00000000-0004-0000-0500-000054030000}"/>
    <hyperlink ref="D463" r:id="rId854" xr:uid="{00000000-0004-0000-0500-000055030000}"/>
    <hyperlink ref="A464" r:id="rId855" xr:uid="{00000000-0004-0000-0500-000056030000}"/>
    <hyperlink ref="D464" r:id="rId856" xr:uid="{00000000-0004-0000-0500-000057030000}"/>
    <hyperlink ref="A465" r:id="rId857" xr:uid="{00000000-0004-0000-0500-000058030000}"/>
    <hyperlink ref="D465" r:id="rId858" xr:uid="{00000000-0004-0000-0500-000059030000}"/>
    <hyperlink ref="A466" r:id="rId859" xr:uid="{00000000-0004-0000-0500-00005A030000}"/>
    <hyperlink ref="D466" r:id="rId860" xr:uid="{00000000-0004-0000-0500-00005B030000}"/>
    <hyperlink ref="A467" r:id="rId861" xr:uid="{00000000-0004-0000-0500-00005C030000}"/>
    <hyperlink ref="D467" r:id="rId862" xr:uid="{00000000-0004-0000-0500-00005D030000}"/>
    <hyperlink ref="A468" r:id="rId863" xr:uid="{00000000-0004-0000-0500-00005E030000}"/>
    <hyperlink ref="D468" r:id="rId864" xr:uid="{00000000-0004-0000-0500-00005F030000}"/>
    <hyperlink ref="A469" r:id="rId865" xr:uid="{00000000-0004-0000-0500-000060030000}"/>
    <hyperlink ref="D469" r:id="rId866" xr:uid="{00000000-0004-0000-0500-000061030000}"/>
    <hyperlink ref="A470" r:id="rId867" xr:uid="{00000000-0004-0000-0500-000062030000}"/>
    <hyperlink ref="D470" r:id="rId868" xr:uid="{00000000-0004-0000-0500-000063030000}"/>
    <hyperlink ref="A471" r:id="rId869" xr:uid="{00000000-0004-0000-0500-000064030000}"/>
    <hyperlink ref="D471" r:id="rId870" xr:uid="{00000000-0004-0000-0500-000065030000}"/>
    <hyperlink ref="A472" r:id="rId871" xr:uid="{00000000-0004-0000-0500-000066030000}"/>
    <hyperlink ref="D472" r:id="rId872" xr:uid="{00000000-0004-0000-0500-000067030000}"/>
    <hyperlink ref="A473" r:id="rId873" xr:uid="{00000000-0004-0000-0500-000068030000}"/>
    <hyperlink ref="D473" r:id="rId874" xr:uid="{00000000-0004-0000-0500-000069030000}"/>
    <hyperlink ref="A474" r:id="rId875" xr:uid="{00000000-0004-0000-0500-00006A030000}"/>
    <hyperlink ref="D474" r:id="rId876" xr:uid="{00000000-0004-0000-0500-00006B030000}"/>
    <hyperlink ref="A475" r:id="rId877" xr:uid="{00000000-0004-0000-0500-00006C030000}"/>
    <hyperlink ref="D475" r:id="rId878" xr:uid="{00000000-0004-0000-0500-00006D030000}"/>
    <hyperlink ref="A476" r:id="rId879" xr:uid="{00000000-0004-0000-0500-00006E030000}"/>
    <hyperlink ref="D476" r:id="rId880" xr:uid="{00000000-0004-0000-0500-00006F030000}"/>
    <hyperlink ref="A477" r:id="rId881" xr:uid="{00000000-0004-0000-0500-000070030000}"/>
    <hyperlink ref="D477" r:id="rId882" xr:uid="{00000000-0004-0000-0500-000071030000}"/>
    <hyperlink ref="A478" r:id="rId883" xr:uid="{00000000-0004-0000-0500-000072030000}"/>
    <hyperlink ref="D478" r:id="rId884" xr:uid="{00000000-0004-0000-0500-000073030000}"/>
    <hyperlink ref="A479" r:id="rId885" xr:uid="{00000000-0004-0000-0500-000074030000}"/>
    <hyperlink ref="D479" r:id="rId886" xr:uid="{00000000-0004-0000-0500-000075030000}"/>
    <hyperlink ref="A480" r:id="rId887" xr:uid="{00000000-0004-0000-0500-000076030000}"/>
    <hyperlink ref="D480" r:id="rId888" xr:uid="{00000000-0004-0000-0500-000077030000}"/>
    <hyperlink ref="A481" r:id="rId889" xr:uid="{00000000-0004-0000-0500-000078030000}"/>
    <hyperlink ref="D481" r:id="rId890" xr:uid="{00000000-0004-0000-0500-000079030000}"/>
    <hyperlink ref="A482" r:id="rId891" xr:uid="{00000000-0004-0000-0500-00007A030000}"/>
    <hyperlink ref="D482" r:id="rId892" xr:uid="{00000000-0004-0000-0500-00007B030000}"/>
    <hyperlink ref="A483" r:id="rId893" xr:uid="{00000000-0004-0000-0500-00007C030000}"/>
    <hyperlink ref="D483" r:id="rId894" xr:uid="{00000000-0004-0000-0500-00007D030000}"/>
    <hyperlink ref="A484" r:id="rId895" xr:uid="{00000000-0004-0000-0500-00007E030000}"/>
    <hyperlink ref="D484" r:id="rId896" xr:uid="{00000000-0004-0000-0500-00007F030000}"/>
    <hyperlink ref="A485" r:id="rId897" xr:uid="{00000000-0004-0000-0500-000080030000}"/>
    <hyperlink ref="D485" r:id="rId898" xr:uid="{00000000-0004-0000-0500-000081030000}"/>
    <hyperlink ref="A486" r:id="rId899" xr:uid="{00000000-0004-0000-0500-000082030000}"/>
    <hyperlink ref="D486" r:id="rId900" xr:uid="{00000000-0004-0000-0500-000083030000}"/>
    <hyperlink ref="A487" r:id="rId901" xr:uid="{00000000-0004-0000-0500-000084030000}"/>
    <hyperlink ref="D487" r:id="rId902" xr:uid="{00000000-0004-0000-0500-000085030000}"/>
    <hyperlink ref="A488" r:id="rId903" xr:uid="{00000000-0004-0000-0500-000086030000}"/>
    <hyperlink ref="D488" r:id="rId904" xr:uid="{00000000-0004-0000-0500-000087030000}"/>
    <hyperlink ref="A489" r:id="rId905" xr:uid="{00000000-0004-0000-0500-000088030000}"/>
    <hyperlink ref="D489" r:id="rId906" xr:uid="{00000000-0004-0000-0500-000089030000}"/>
    <hyperlink ref="A490" r:id="rId907" xr:uid="{00000000-0004-0000-0500-00008A030000}"/>
    <hyperlink ref="D490" r:id="rId908" xr:uid="{00000000-0004-0000-0500-00008B030000}"/>
    <hyperlink ref="A491" r:id="rId909" xr:uid="{00000000-0004-0000-0500-00008C030000}"/>
    <hyperlink ref="D491" r:id="rId910" xr:uid="{00000000-0004-0000-0500-00008D030000}"/>
    <hyperlink ref="A492" r:id="rId911" xr:uid="{00000000-0004-0000-0500-00008E030000}"/>
    <hyperlink ref="D492" r:id="rId912" xr:uid="{00000000-0004-0000-0500-00008F030000}"/>
    <hyperlink ref="A493" r:id="rId913" xr:uid="{00000000-0004-0000-0500-000090030000}"/>
    <hyperlink ref="D493" r:id="rId914" xr:uid="{00000000-0004-0000-0500-000091030000}"/>
    <hyperlink ref="A494" r:id="rId915" xr:uid="{00000000-0004-0000-0500-000092030000}"/>
    <hyperlink ref="D494" r:id="rId916" xr:uid="{00000000-0004-0000-0500-000093030000}"/>
    <hyperlink ref="A495" r:id="rId917" xr:uid="{00000000-0004-0000-0500-000094030000}"/>
    <hyperlink ref="D495" r:id="rId918" xr:uid="{00000000-0004-0000-0500-000095030000}"/>
    <hyperlink ref="A496" r:id="rId919" xr:uid="{00000000-0004-0000-0500-000096030000}"/>
    <hyperlink ref="D496" r:id="rId920" xr:uid="{00000000-0004-0000-0500-000097030000}"/>
    <hyperlink ref="A497" r:id="rId921" xr:uid="{00000000-0004-0000-0500-000098030000}"/>
    <hyperlink ref="D497" r:id="rId922" xr:uid="{00000000-0004-0000-0500-000099030000}"/>
    <hyperlink ref="A498" r:id="rId923" xr:uid="{00000000-0004-0000-0500-00009A030000}"/>
    <hyperlink ref="D498" r:id="rId924" xr:uid="{00000000-0004-0000-0500-00009B030000}"/>
    <hyperlink ref="A499" r:id="rId925" xr:uid="{00000000-0004-0000-0500-00009C030000}"/>
    <hyperlink ref="D499" r:id="rId926" xr:uid="{00000000-0004-0000-0500-00009D030000}"/>
    <hyperlink ref="A500" r:id="rId927" xr:uid="{00000000-0004-0000-0500-00009E030000}"/>
    <hyperlink ref="D500" r:id="rId928" xr:uid="{00000000-0004-0000-0500-00009F030000}"/>
    <hyperlink ref="A501" r:id="rId929" xr:uid="{00000000-0004-0000-0500-0000A0030000}"/>
    <hyperlink ref="D501" r:id="rId930" xr:uid="{00000000-0004-0000-0500-0000A1030000}"/>
    <hyperlink ref="A502" r:id="rId931" xr:uid="{00000000-0004-0000-0500-0000A2030000}"/>
    <hyperlink ref="D502" r:id="rId932" xr:uid="{00000000-0004-0000-0500-0000A3030000}"/>
    <hyperlink ref="A503" r:id="rId933" xr:uid="{00000000-0004-0000-0500-0000A4030000}"/>
    <hyperlink ref="D503" r:id="rId934" xr:uid="{00000000-0004-0000-0500-0000A5030000}"/>
    <hyperlink ref="A504" r:id="rId935" xr:uid="{00000000-0004-0000-0500-0000A6030000}"/>
    <hyperlink ref="D504" r:id="rId936" xr:uid="{00000000-0004-0000-0500-0000A7030000}"/>
    <hyperlink ref="A505" r:id="rId937" xr:uid="{00000000-0004-0000-0500-0000A8030000}"/>
    <hyperlink ref="D505" r:id="rId938" xr:uid="{00000000-0004-0000-0500-0000A9030000}"/>
    <hyperlink ref="A506" r:id="rId939" xr:uid="{00000000-0004-0000-0500-0000AA030000}"/>
    <hyperlink ref="D506" r:id="rId940" xr:uid="{00000000-0004-0000-0500-0000AB030000}"/>
    <hyperlink ref="A507" r:id="rId941" xr:uid="{00000000-0004-0000-0500-0000AC030000}"/>
    <hyperlink ref="D507" r:id="rId942" xr:uid="{00000000-0004-0000-0500-0000AD030000}"/>
    <hyperlink ref="A508" r:id="rId943" xr:uid="{00000000-0004-0000-0500-0000AE030000}"/>
    <hyperlink ref="D508" r:id="rId944" xr:uid="{00000000-0004-0000-0500-0000AF030000}"/>
    <hyperlink ref="A509" r:id="rId945" xr:uid="{00000000-0004-0000-0500-0000B0030000}"/>
    <hyperlink ref="D509" r:id="rId946" xr:uid="{00000000-0004-0000-0500-0000B1030000}"/>
    <hyperlink ref="A510" r:id="rId947" xr:uid="{00000000-0004-0000-0500-0000B2030000}"/>
    <hyperlink ref="D510" r:id="rId948" xr:uid="{00000000-0004-0000-0500-0000B3030000}"/>
    <hyperlink ref="A511" r:id="rId949" xr:uid="{00000000-0004-0000-0500-0000B4030000}"/>
    <hyperlink ref="D511" r:id="rId950" xr:uid="{00000000-0004-0000-0500-0000B5030000}"/>
    <hyperlink ref="A512" r:id="rId951" xr:uid="{00000000-0004-0000-0500-0000B6030000}"/>
    <hyperlink ref="D512" r:id="rId952" xr:uid="{00000000-0004-0000-0500-0000B7030000}"/>
    <hyperlink ref="A513" r:id="rId953" xr:uid="{00000000-0004-0000-0500-0000B8030000}"/>
    <hyperlink ref="D513" r:id="rId954" xr:uid="{00000000-0004-0000-0500-0000B9030000}"/>
    <hyperlink ref="A514" r:id="rId955" xr:uid="{00000000-0004-0000-0500-0000BA030000}"/>
    <hyperlink ref="D514" r:id="rId956" xr:uid="{00000000-0004-0000-0500-0000BB030000}"/>
    <hyperlink ref="A515" r:id="rId957" xr:uid="{00000000-0004-0000-0500-0000BC030000}"/>
    <hyperlink ref="D515" r:id="rId958" xr:uid="{00000000-0004-0000-0500-0000BD030000}"/>
    <hyperlink ref="A516" r:id="rId959" xr:uid="{00000000-0004-0000-0500-0000BE030000}"/>
    <hyperlink ref="D516" r:id="rId960" xr:uid="{00000000-0004-0000-0500-0000BF030000}"/>
    <hyperlink ref="A517" r:id="rId961" xr:uid="{00000000-0004-0000-0500-0000C0030000}"/>
    <hyperlink ref="D517" r:id="rId962" xr:uid="{00000000-0004-0000-0500-0000C1030000}"/>
    <hyperlink ref="A518" r:id="rId963" xr:uid="{00000000-0004-0000-0500-0000C2030000}"/>
    <hyperlink ref="D518" r:id="rId964" xr:uid="{00000000-0004-0000-0500-0000C3030000}"/>
    <hyperlink ref="A519" r:id="rId965" xr:uid="{00000000-0004-0000-0500-0000C4030000}"/>
    <hyperlink ref="D519" r:id="rId966" xr:uid="{00000000-0004-0000-0500-0000C5030000}"/>
    <hyperlink ref="A520" r:id="rId967" xr:uid="{00000000-0004-0000-0500-0000C6030000}"/>
    <hyperlink ref="D520" r:id="rId968" xr:uid="{00000000-0004-0000-0500-0000C7030000}"/>
    <hyperlink ref="A521" r:id="rId969" xr:uid="{00000000-0004-0000-0500-0000C8030000}"/>
    <hyperlink ref="D521" r:id="rId970" xr:uid="{00000000-0004-0000-0500-0000C9030000}"/>
    <hyperlink ref="A522" r:id="rId971" xr:uid="{00000000-0004-0000-0500-0000CA030000}"/>
    <hyperlink ref="D522" r:id="rId972" xr:uid="{00000000-0004-0000-0500-0000CB030000}"/>
    <hyperlink ref="A523" r:id="rId973" xr:uid="{00000000-0004-0000-0500-0000CC030000}"/>
    <hyperlink ref="D523" r:id="rId974" xr:uid="{00000000-0004-0000-0500-0000CD030000}"/>
    <hyperlink ref="A524" r:id="rId975" xr:uid="{00000000-0004-0000-0500-0000CE030000}"/>
    <hyperlink ref="D524" r:id="rId976" xr:uid="{00000000-0004-0000-0500-0000CF030000}"/>
    <hyperlink ref="A525" r:id="rId977" xr:uid="{00000000-0004-0000-0500-0000D0030000}"/>
    <hyperlink ref="D525" r:id="rId978" xr:uid="{00000000-0004-0000-0500-0000D1030000}"/>
    <hyperlink ref="A526" r:id="rId979" xr:uid="{00000000-0004-0000-0500-0000D2030000}"/>
    <hyperlink ref="D526" r:id="rId980" xr:uid="{00000000-0004-0000-0500-0000D3030000}"/>
    <hyperlink ref="A527" r:id="rId981" xr:uid="{00000000-0004-0000-0500-0000D4030000}"/>
    <hyperlink ref="D527" r:id="rId982" xr:uid="{00000000-0004-0000-0500-0000D5030000}"/>
    <hyperlink ref="A528" r:id="rId983" xr:uid="{00000000-0004-0000-0500-0000D6030000}"/>
    <hyperlink ref="D528" r:id="rId984" xr:uid="{00000000-0004-0000-0500-0000D7030000}"/>
    <hyperlink ref="A529" r:id="rId985" xr:uid="{00000000-0004-0000-0500-0000D8030000}"/>
    <hyperlink ref="D529" r:id="rId986" xr:uid="{00000000-0004-0000-0500-0000D9030000}"/>
    <hyperlink ref="A530" r:id="rId987" xr:uid="{00000000-0004-0000-0500-0000DA030000}"/>
    <hyperlink ref="D530" r:id="rId988" xr:uid="{00000000-0004-0000-0500-0000DB030000}"/>
    <hyperlink ref="A531" r:id="rId989" xr:uid="{00000000-0004-0000-0500-0000DC030000}"/>
    <hyperlink ref="D531" r:id="rId990" xr:uid="{00000000-0004-0000-0500-0000DD030000}"/>
    <hyperlink ref="A532" r:id="rId991" xr:uid="{00000000-0004-0000-0500-0000DE030000}"/>
    <hyperlink ref="D532" r:id="rId992" xr:uid="{00000000-0004-0000-0500-0000DF030000}"/>
    <hyperlink ref="A533" r:id="rId993" xr:uid="{00000000-0004-0000-0500-0000E0030000}"/>
    <hyperlink ref="D533" r:id="rId994" xr:uid="{00000000-0004-0000-0500-0000E1030000}"/>
    <hyperlink ref="A534" r:id="rId995" xr:uid="{00000000-0004-0000-0500-0000E2030000}"/>
    <hyperlink ref="D534" r:id="rId996" xr:uid="{00000000-0004-0000-0500-0000E3030000}"/>
    <hyperlink ref="A535" r:id="rId997" xr:uid="{00000000-0004-0000-0500-0000E4030000}"/>
    <hyperlink ref="D535" r:id="rId998" xr:uid="{00000000-0004-0000-0500-0000E5030000}"/>
    <hyperlink ref="A536" r:id="rId999" xr:uid="{00000000-0004-0000-0500-0000E6030000}"/>
    <hyperlink ref="D536" r:id="rId1000" xr:uid="{00000000-0004-0000-0500-0000E7030000}"/>
    <hyperlink ref="A537" r:id="rId1001" xr:uid="{00000000-0004-0000-0500-0000E8030000}"/>
    <hyperlink ref="D537" r:id="rId1002" xr:uid="{00000000-0004-0000-0500-0000E9030000}"/>
    <hyperlink ref="A538" r:id="rId1003" xr:uid="{00000000-0004-0000-0500-0000EA030000}"/>
    <hyperlink ref="D538" r:id="rId1004" xr:uid="{00000000-0004-0000-0500-0000EB030000}"/>
    <hyperlink ref="A539" r:id="rId1005" xr:uid="{00000000-0004-0000-0500-0000EC030000}"/>
    <hyperlink ref="D539" r:id="rId1006" xr:uid="{00000000-0004-0000-0500-0000ED030000}"/>
    <hyperlink ref="A540" r:id="rId1007" xr:uid="{00000000-0004-0000-0500-0000EE030000}"/>
    <hyperlink ref="D540" r:id="rId1008" xr:uid="{00000000-0004-0000-0500-0000EF030000}"/>
    <hyperlink ref="A541" r:id="rId1009" xr:uid="{00000000-0004-0000-0500-0000F0030000}"/>
    <hyperlink ref="D541" r:id="rId1010" xr:uid="{00000000-0004-0000-0500-0000F1030000}"/>
    <hyperlink ref="A542" r:id="rId1011" xr:uid="{00000000-0004-0000-0500-0000F2030000}"/>
    <hyperlink ref="D542" r:id="rId1012" xr:uid="{00000000-0004-0000-0500-0000F3030000}"/>
    <hyperlink ref="A543" r:id="rId1013" xr:uid="{00000000-0004-0000-0500-0000F4030000}"/>
    <hyperlink ref="D543" r:id="rId1014" xr:uid="{00000000-0004-0000-0500-0000F5030000}"/>
    <hyperlink ref="A544" r:id="rId1015" xr:uid="{00000000-0004-0000-0500-0000F6030000}"/>
    <hyperlink ref="D544" r:id="rId1016" xr:uid="{00000000-0004-0000-0500-0000F7030000}"/>
    <hyperlink ref="A545" r:id="rId1017" xr:uid="{00000000-0004-0000-0500-0000F8030000}"/>
    <hyperlink ref="D545" r:id="rId1018" xr:uid="{00000000-0004-0000-0500-0000F9030000}"/>
    <hyperlink ref="A546" r:id="rId1019" xr:uid="{00000000-0004-0000-0500-0000FA030000}"/>
    <hyperlink ref="D546" r:id="rId1020" xr:uid="{00000000-0004-0000-0500-0000FB030000}"/>
    <hyperlink ref="A547" r:id="rId1021" xr:uid="{00000000-0004-0000-0500-0000FC030000}"/>
    <hyperlink ref="D547" r:id="rId1022" xr:uid="{00000000-0004-0000-0500-0000FD030000}"/>
    <hyperlink ref="A548" r:id="rId1023" xr:uid="{00000000-0004-0000-0500-0000FE030000}"/>
    <hyperlink ref="D548" r:id="rId1024" xr:uid="{00000000-0004-0000-0500-0000FF030000}"/>
    <hyperlink ref="A549" r:id="rId1025" xr:uid="{00000000-0004-0000-0500-000000040000}"/>
    <hyperlink ref="D549" r:id="rId1026" xr:uid="{00000000-0004-0000-0500-000001040000}"/>
    <hyperlink ref="A550" r:id="rId1027" xr:uid="{00000000-0004-0000-0500-000002040000}"/>
    <hyperlink ref="D550" r:id="rId1028" xr:uid="{00000000-0004-0000-0500-000003040000}"/>
    <hyperlink ref="A551" r:id="rId1029" xr:uid="{00000000-0004-0000-0500-000004040000}"/>
    <hyperlink ref="D551" r:id="rId1030" xr:uid="{00000000-0004-0000-0500-000005040000}"/>
    <hyperlink ref="A552" r:id="rId1031" xr:uid="{00000000-0004-0000-0500-000006040000}"/>
    <hyperlink ref="D552" r:id="rId1032" xr:uid="{00000000-0004-0000-0500-000007040000}"/>
    <hyperlink ref="A553" r:id="rId1033" xr:uid="{00000000-0004-0000-0500-000008040000}"/>
    <hyperlink ref="D553" r:id="rId1034" xr:uid="{00000000-0004-0000-0500-000009040000}"/>
    <hyperlink ref="A554" r:id="rId1035" xr:uid="{00000000-0004-0000-0500-00000A040000}"/>
    <hyperlink ref="D554" r:id="rId1036" xr:uid="{00000000-0004-0000-0500-00000B040000}"/>
    <hyperlink ref="A555" r:id="rId1037" xr:uid="{00000000-0004-0000-0500-00000C040000}"/>
    <hyperlink ref="D555" r:id="rId1038" xr:uid="{00000000-0004-0000-0500-00000D040000}"/>
    <hyperlink ref="A556" r:id="rId1039" xr:uid="{00000000-0004-0000-0500-00000E040000}"/>
    <hyperlink ref="D556" r:id="rId1040" xr:uid="{00000000-0004-0000-0500-00000F040000}"/>
    <hyperlink ref="A557" r:id="rId1041" xr:uid="{00000000-0004-0000-0500-000010040000}"/>
    <hyperlink ref="D557" r:id="rId1042" xr:uid="{00000000-0004-0000-0500-000011040000}"/>
    <hyperlink ref="A558" r:id="rId1043" xr:uid="{00000000-0004-0000-0500-000012040000}"/>
    <hyperlink ref="D558" r:id="rId1044" xr:uid="{00000000-0004-0000-0500-000013040000}"/>
    <hyperlink ref="A559" r:id="rId1045" xr:uid="{00000000-0004-0000-0500-000014040000}"/>
    <hyperlink ref="D559" r:id="rId1046" xr:uid="{00000000-0004-0000-0500-000015040000}"/>
    <hyperlink ref="A560" r:id="rId1047" xr:uid="{00000000-0004-0000-0500-000016040000}"/>
    <hyperlink ref="D560" r:id="rId1048" xr:uid="{00000000-0004-0000-0500-000017040000}"/>
    <hyperlink ref="A561" r:id="rId1049" xr:uid="{00000000-0004-0000-0500-000018040000}"/>
    <hyperlink ref="D561" r:id="rId1050" xr:uid="{00000000-0004-0000-0500-000019040000}"/>
    <hyperlink ref="A562" r:id="rId1051" xr:uid="{00000000-0004-0000-0500-00001A040000}"/>
    <hyperlink ref="D562" r:id="rId1052" xr:uid="{00000000-0004-0000-0500-00001B040000}"/>
    <hyperlink ref="A563" r:id="rId1053" xr:uid="{00000000-0004-0000-0500-00001C040000}"/>
    <hyperlink ref="D563" r:id="rId1054" xr:uid="{00000000-0004-0000-0500-00001D040000}"/>
    <hyperlink ref="A564" r:id="rId1055" xr:uid="{00000000-0004-0000-0500-00001E040000}"/>
    <hyperlink ref="D564" r:id="rId1056" xr:uid="{00000000-0004-0000-0500-00001F040000}"/>
    <hyperlink ref="A565" r:id="rId1057" xr:uid="{00000000-0004-0000-0500-000020040000}"/>
    <hyperlink ref="D565" r:id="rId1058" xr:uid="{00000000-0004-0000-0500-000021040000}"/>
    <hyperlink ref="A566" r:id="rId1059" xr:uid="{00000000-0004-0000-0500-000022040000}"/>
    <hyperlink ref="D566" r:id="rId1060" xr:uid="{00000000-0004-0000-0500-000023040000}"/>
    <hyperlink ref="A567" r:id="rId1061" xr:uid="{00000000-0004-0000-0500-000024040000}"/>
    <hyperlink ref="D567" r:id="rId1062" xr:uid="{00000000-0004-0000-0500-000025040000}"/>
    <hyperlink ref="A568" r:id="rId1063" xr:uid="{00000000-0004-0000-0500-000026040000}"/>
    <hyperlink ref="D568" r:id="rId1064" xr:uid="{00000000-0004-0000-0500-000027040000}"/>
    <hyperlink ref="A569" r:id="rId1065" xr:uid="{00000000-0004-0000-0500-000028040000}"/>
    <hyperlink ref="D569" r:id="rId1066" xr:uid="{00000000-0004-0000-0500-000029040000}"/>
    <hyperlink ref="A570" r:id="rId1067" xr:uid="{00000000-0004-0000-0500-00002A040000}"/>
    <hyperlink ref="D570" r:id="rId1068" xr:uid="{00000000-0004-0000-0500-00002B040000}"/>
    <hyperlink ref="A571" r:id="rId1069" xr:uid="{00000000-0004-0000-0500-00002C040000}"/>
    <hyperlink ref="D571" r:id="rId1070" xr:uid="{00000000-0004-0000-0500-00002D040000}"/>
    <hyperlink ref="A572" r:id="rId1071" xr:uid="{00000000-0004-0000-0500-00002E040000}"/>
    <hyperlink ref="D572" r:id="rId1072" xr:uid="{00000000-0004-0000-0500-00002F040000}"/>
    <hyperlink ref="A573" r:id="rId1073" xr:uid="{00000000-0004-0000-0500-000030040000}"/>
    <hyperlink ref="D573" r:id="rId1074" xr:uid="{00000000-0004-0000-0500-000031040000}"/>
    <hyperlink ref="A574" r:id="rId1075" xr:uid="{00000000-0004-0000-0500-000032040000}"/>
    <hyperlink ref="D574" r:id="rId1076" xr:uid="{00000000-0004-0000-0500-000033040000}"/>
    <hyperlink ref="A575" r:id="rId1077" xr:uid="{00000000-0004-0000-0500-000034040000}"/>
    <hyperlink ref="D575" r:id="rId1078" xr:uid="{00000000-0004-0000-0500-000035040000}"/>
    <hyperlink ref="A576" r:id="rId1079" xr:uid="{00000000-0004-0000-0500-000036040000}"/>
    <hyperlink ref="D576" r:id="rId1080" xr:uid="{00000000-0004-0000-0500-000037040000}"/>
    <hyperlink ref="A577" r:id="rId1081" xr:uid="{00000000-0004-0000-0500-000038040000}"/>
    <hyperlink ref="D577" r:id="rId1082" xr:uid="{00000000-0004-0000-0500-000039040000}"/>
    <hyperlink ref="A578" r:id="rId1083" xr:uid="{00000000-0004-0000-0500-00003A040000}"/>
    <hyperlink ref="D578" r:id="rId1084" xr:uid="{00000000-0004-0000-0500-00003B040000}"/>
    <hyperlink ref="A579" r:id="rId1085" xr:uid="{00000000-0004-0000-0500-00003C040000}"/>
    <hyperlink ref="D579" r:id="rId1086" xr:uid="{00000000-0004-0000-0500-00003D040000}"/>
    <hyperlink ref="A580" r:id="rId1087" xr:uid="{00000000-0004-0000-0500-00003E040000}"/>
    <hyperlink ref="D580" r:id="rId1088" xr:uid="{00000000-0004-0000-0500-00003F040000}"/>
    <hyperlink ref="A581" r:id="rId1089" xr:uid="{00000000-0004-0000-0500-000040040000}"/>
    <hyperlink ref="D581" r:id="rId1090" xr:uid="{00000000-0004-0000-0500-000041040000}"/>
    <hyperlink ref="A582" r:id="rId1091" xr:uid="{00000000-0004-0000-0500-000042040000}"/>
    <hyperlink ref="D582" r:id="rId1092" xr:uid="{00000000-0004-0000-0500-000043040000}"/>
    <hyperlink ref="A583" r:id="rId1093" xr:uid="{00000000-0004-0000-0500-000044040000}"/>
    <hyperlink ref="D583" r:id="rId1094" xr:uid="{00000000-0004-0000-0500-000045040000}"/>
    <hyperlink ref="A584" r:id="rId1095" xr:uid="{00000000-0004-0000-0500-000046040000}"/>
    <hyperlink ref="D584" r:id="rId1096" xr:uid="{00000000-0004-0000-0500-000047040000}"/>
    <hyperlink ref="A585" r:id="rId1097" xr:uid="{00000000-0004-0000-0500-000048040000}"/>
    <hyperlink ref="D585" r:id="rId1098" xr:uid="{00000000-0004-0000-0500-000049040000}"/>
    <hyperlink ref="A586" r:id="rId1099" xr:uid="{00000000-0004-0000-0500-00004A040000}"/>
    <hyperlink ref="D586" r:id="rId1100" xr:uid="{00000000-0004-0000-0500-00004B040000}"/>
    <hyperlink ref="A587" r:id="rId1101" xr:uid="{00000000-0004-0000-0500-00004C040000}"/>
    <hyperlink ref="D587" r:id="rId1102" xr:uid="{00000000-0004-0000-0500-00004D040000}"/>
    <hyperlink ref="A588" r:id="rId1103" xr:uid="{00000000-0004-0000-0500-00004E040000}"/>
    <hyperlink ref="D588" r:id="rId1104" xr:uid="{00000000-0004-0000-0500-00004F040000}"/>
    <hyperlink ref="A589" r:id="rId1105" xr:uid="{00000000-0004-0000-0500-000050040000}"/>
    <hyperlink ref="D589" r:id="rId1106" xr:uid="{00000000-0004-0000-0500-000051040000}"/>
    <hyperlink ref="A590" r:id="rId1107" xr:uid="{00000000-0004-0000-0500-000052040000}"/>
    <hyperlink ref="D590" r:id="rId1108" xr:uid="{00000000-0004-0000-0500-000053040000}"/>
    <hyperlink ref="A591" r:id="rId1109" xr:uid="{00000000-0004-0000-0500-000054040000}"/>
    <hyperlink ref="D591" r:id="rId1110" xr:uid="{00000000-0004-0000-0500-000055040000}"/>
    <hyperlink ref="A592" r:id="rId1111" xr:uid="{00000000-0004-0000-0500-000056040000}"/>
    <hyperlink ref="D592" r:id="rId1112" xr:uid="{00000000-0004-0000-0500-000057040000}"/>
    <hyperlink ref="A593" r:id="rId1113" xr:uid="{00000000-0004-0000-0500-000058040000}"/>
    <hyperlink ref="D593" r:id="rId1114" xr:uid="{00000000-0004-0000-0500-000059040000}"/>
    <hyperlink ref="A594" r:id="rId1115" xr:uid="{00000000-0004-0000-0500-00005A040000}"/>
    <hyperlink ref="D594" r:id="rId1116" xr:uid="{00000000-0004-0000-0500-00005B040000}"/>
    <hyperlink ref="A595" r:id="rId1117" xr:uid="{00000000-0004-0000-0500-00005C040000}"/>
    <hyperlink ref="D595" r:id="rId1118" xr:uid="{00000000-0004-0000-0500-00005D040000}"/>
    <hyperlink ref="A596" r:id="rId1119" xr:uid="{00000000-0004-0000-0500-00005E040000}"/>
    <hyperlink ref="D596" r:id="rId1120" xr:uid="{00000000-0004-0000-0500-00005F040000}"/>
    <hyperlink ref="A597" r:id="rId1121" xr:uid="{00000000-0004-0000-0500-000060040000}"/>
    <hyperlink ref="D597" r:id="rId1122" xr:uid="{00000000-0004-0000-0500-000061040000}"/>
    <hyperlink ref="A598" r:id="rId1123" xr:uid="{00000000-0004-0000-0500-000062040000}"/>
    <hyperlink ref="D598" r:id="rId1124" xr:uid="{00000000-0004-0000-0500-000063040000}"/>
    <hyperlink ref="A599" r:id="rId1125" xr:uid="{00000000-0004-0000-0500-000064040000}"/>
    <hyperlink ref="D599" r:id="rId1126" xr:uid="{00000000-0004-0000-0500-000065040000}"/>
    <hyperlink ref="A600" r:id="rId1127" xr:uid="{00000000-0004-0000-0500-000066040000}"/>
    <hyperlink ref="D600" r:id="rId1128" xr:uid="{00000000-0004-0000-0500-000067040000}"/>
    <hyperlink ref="A601" r:id="rId1129" xr:uid="{00000000-0004-0000-0500-000068040000}"/>
    <hyperlink ref="D601" r:id="rId1130" xr:uid="{00000000-0004-0000-0500-000069040000}"/>
    <hyperlink ref="A602" r:id="rId1131" xr:uid="{00000000-0004-0000-0500-00006A040000}"/>
    <hyperlink ref="D602" r:id="rId1132" xr:uid="{00000000-0004-0000-0500-00006B040000}"/>
    <hyperlink ref="A603" r:id="rId1133" xr:uid="{00000000-0004-0000-0500-00006C040000}"/>
    <hyperlink ref="D603" r:id="rId1134" xr:uid="{00000000-0004-0000-0500-00006D040000}"/>
    <hyperlink ref="A605" r:id="rId1135" xr:uid="{00000000-0004-0000-0500-00006E040000}"/>
    <hyperlink ref="D605" r:id="rId1136" xr:uid="{00000000-0004-0000-0500-00006F040000}"/>
    <hyperlink ref="A606" r:id="rId1137" xr:uid="{00000000-0004-0000-0500-000070040000}"/>
    <hyperlink ref="D606" r:id="rId1138" xr:uid="{00000000-0004-0000-0500-000071040000}"/>
    <hyperlink ref="A607" r:id="rId1139" xr:uid="{00000000-0004-0000-0500-000072040000}"/>
    <hyperlink ref="D607" r:id="rId1140" xr:uid="{00000000-0004-0000-0500-000073040000}"/>
    <hyperlink ref="A608" r:id="rId1141" xr:uid="{00000000-0004-0000-0500-000074040000}"/>
    <hyperlink ref="D608" r:id="rId1142" xr:uid="{00000000-0004-0000-0500-000075040000}"/>
    <hyperlink ref="A609" r:id="rId1143" xr:uid="{00000000-0004-0000-0500-000076040000}"/>
    <hyperlink ref="D609" r:id="rId1144" xr:uid="{00000000-0004-0000-0500-000077040000}"/>
    <hyperlink ref="A610" r:id="rId1145" xr:uid="{00000000-0004-0000-0500-000078040000}"/>
    <hyperlink ref="D610" r:id="rId1146" xr:uid="{00000000-0004-0000-0500-000079040000}"/>
    <hyperlink ref="A611" r:id="rId1147" xr:uid="{00000000-0004-0000-0500-00007A040000}"/>
    <hyperlink ref="D611" r:id="rId1148" xr:uid="{00000000-0004-0000-0500-00007B040000}"/>
    <hyperlink ref="A612" r:id="rId1149" xr:uid="{00000000-0004-0000-0500-00007C040000}"/>
    <hyperlink ref="D612" r:id="rId1150" xr:uid="{00000000-0004-0000-0500-00007D040000}"/>
    <hyperlink ref="A613" r:id="rId1151" xr:uid="{00000000-0004-0000-0500-00007E040000}"/>
    <hyperlink ref="D613" r:id="rId1152" xr:uid="{00000000-0004-0000-0500-00007F040000}"/>
    <hyperlink ref="A614" r:id="rId1153" xr:uid="{00000000-0004-0000-0500-000080040000}"/>
    <hyperlink ref="D614" r:id="rId1154" xr:uid="{00000000-0004-0000-0500-000081040000}"/>
    <hyperlink ref="A615" r:id="rId1155" xr:uid="{00000000-0004-0000-0500-000082040000}"/>
    <hyperlink ref="D615" r:id="rId1156" xr:uid="{00000000-0004-0000-0500-000083040000}"/>
    <hyperlink ref="A616" r:id="rId1157" xr:uid="{00000000-0004-0000-0500-000084040000}"/>
    <hyperlink ref="D616" r:id="rId1158" xr:uid="{00000000-0004-0000-0500-000085040000}"/>
    <hyperlink ref="A617" r:id="rId1159" xr:uid="{00000000-0004-0000-0500-000086040000}"/>
    <hyperlink ref="D617" r:id="rId1160" xr:uid="{00000000-0004-0000-0500-000087040000}"/>
    <hyperlink ref="A618" r:id="rId1161" xr:uid="{00000000-0004-0000-0500-000088040000}"/>
    <hyperlink ref="D618" r:id="rId1162" xr:uid="{00000000-0004-0000-0500-000089040000}"/>
    <hyperlink ref="A619" r:id="rId1163" xr:uid="{00000000-0004-0000-0500-00008A040000}"/>
    <hyperlink ref="D619" r:id="rId1164" xr:uid="{00000000-0004-0000-0500-00008B040000}"/>
    <hyperlink ref="A620" r:id="rId1165" xr:uid="{00000000-0004-0000-0500-00008C040000}"/>
    <hyperlink ref="D620" r:id="rId1166" xr:uid="{00000000-0004-0000-0500-00008D040000}"/>
    <hyperlink ref="A621" r:id="rId1167" xr:uid="{00000000-0004-0000-0500-00008E040000}"/>
    <hyperlink ref="D621" r:id="rId1168" xr:uid="{00000000-0004-0000-0500-00008F040000}"/>
    <hyperlink ref="A622" r:id="rId1169" xr:uid="{00000000-0004-0000-0500-000090040000}"/>
    <hyperlink ref="D622" r:id="rId1170" xr:uid="{00000000-0004-0000-0500-000091040000}"/>
    <hyperlink ref="A623" r:id="rId1171" xr:uid="{00000000-0004-0000-0500-000092040000}"/>
    <hyperlink ref="D623" r:id="rId1172" xr:uid="{00000000-0004-0000-0500-000093040000}"/>
    <hyperlink ref="A624" r:id="rId1173" xr:uid="{00000000-0004-0000-0500-000094040000}"/>
    <hyperlink ref="D624" r:id="rId1174" xr:uid="{00000000-0004-0000-0500-000095040000}"/>
    <hyperlink ref="A625" r:id="rId1175" xr:uid="{00000000-0004-0000-0500-000096040000}"/>
    <hyperlink ref="D625" r:id="rId1176" xr:uid="{00000000-0004-0000-0500-000097040000}"/>
    <hyperlink ref="A626" r:id="rId1177" xr:uid="{00000000-0004-0000-0500-000098040000}"/>
    <hyperlink ref="D626" r:id="rId1178" xr:uid="{00000000-0004-0000-0500-000099040000}"/>
    <hyperlink ref="A627" r:id="rId1179" xr:uid="{00000000-0004-0000-0500-00009A040000}"/>
    <hyperlink ref="D627" r:id="rId1180" xr:uid="{00000000-0004-0000-0500-00009B040000}"/>
    <hyperlink ref="A628" r:id="rId1181" xr:uid="{00000000-0004-0000-0500-00009C040000}"/>
    <hyperlink ref="D628" r:id="rId1182" xr:uid="{00000000-0004-0000-0500-00009D040000}"/>
    <hyperlink ref="A629" r:id="rId1183" xr:uid="{00000000-0004-0000-0500-00009E040000}"/>
    <hyperlink ref="D629" r:id="rId1184" xr:uid="{00000000-0004-0000-0500-00009F040000}"/>
    <hyperlink ref="A630" r:id="rId1185" xr:uid="{00000000-0004-0000-0500-0000A0040000}"/>
    <hyperlink ref="D630" r:id="rId1186" xr:uid="{00000000-0004-0000-0500-0000A1040000}"/>
    <hyperlink ref="A631" r:id="rId1187" xr:uid="{00000000-0004-0000-0500-0000A2040000}"/>
    <hyperlink ref="D631" r:id="rId1188" xr:uid="{00000000-0004-0000-0500-0000A3040000}"/>
    <hyperlink ref="A632" r:id="rId1189" xr:uid="{00000000-0004-0000-0500-0000A4040000}"/>
    <hyperlink ref="D632" r:id="rId1190" xr:uid="{00000000-0004-0000-0500-0000A5040000}"/>
    <hyperlink ref="A633" r:id="rId1191" xr:uid="{00000000-0004-0000-0500-0000A6040000}"/>
    <hyperlink ref="D633" r:id="rId1192" xr:uid="{00000000-0004-0000-0500-0000A7040000}"/>
    <hyperlink ref="A634" r:id="rId1193" xr:uid="{00000000-0004-0000-0500-0000A8040000}"/>
    <hyperlink ref="D634" r:id="rId1194" xr:uid="{00000000-0004-0000-0500-0000A9040000}"/>
    <hyperlink ref="A635" r:id="rId1195" xr:uid="{00000000-0004-0000-0500-0000AA040000}"/>
    <hyperlink ref="D635" r:id="rId1196" xr:uid="{00000000-0004-0000-0500-0000AB040000}"/>
    <hyperlink ref="A636" r:id="rId1197" xr:uid="{00000000-0004-0000-0500-0000AC040000}"/>
    <hyperlink ref="D636" r:id="rId1198" xr:uid="{00000000-0004-0000-0500-0000AD040000}"/>
    <hyperlink ref="A637" r:id="rId1199" xr:uid="{00000000-0004-0000-0500-0000AE040000}"/>
    <hyperlink ref="D637" r:id="rId1200" xr:uid="{00000000-0004-0000-0500-0000AF040000}"/>
    <hyperlink ref="A638" r:id="rId1201" xr:uid="{00000000-0004-0000-0500-0000B0040000}"/>
    <hyperlink ref="D638" r:id="rId1202" xr:uid="{00000000-0004-0000-0500-0000B1040000}"/>
    <hyperlink ref="A639" r:id="rId1203" xr:uid="{00000000-0004-0000-0500-0000B2040000}"/>
    <hyperlink ref="D639" r:id="rId1204" xr:uid="{00000000-0004-0000-0500-0000B3040000}"/>
    <hyperlink ref="A640" r:id="rId1205" xr:uid="{00000000-0004-0000-0500-0000B4040000}"/>
    <hyperlink ref="D640" r:id="rId1206" xr:uid="{00000000-0004-0000-0500-0000B5040000}"/>
    <hyperlink ref="A641" r:id="rId1207" xr:uid="{00000000-0004-0000-0500-0000B6040000}"/>
    <hyperlink ref="D641" r:id="rId1208" xr:uid="{00000000-0004-0000-0500-0000B7040000}"/>
    <hyperlink ref="A642" r:id="rId1209" xr:uid="{00000000-0004-0000-0500-0000B8040000}"/>
    <hyperlink ref="D642" r:id="rId1210" xr:uid="{00000000-0004-0000-0500-0000B9040000}"/>
    <hyperlink ref="A643" r:id="rId1211" xr:uid="{00000000-0004-0000-0500-0000BA040000}"/>
    <hyperlink ref="D643" r:id="rId1212" xr:uid="{00000000-0004-0000-0500-0000BB040000}"/>
    <hyperlink ref="A644" r:id="rId1213" xr:uid="{00000000-0004-0000-0500-0000BC040000}"/>
    <hyperlink ref="D644" r:id="rId1214" xr:uid="{00000000-0004-0000-0500-0000BD040000}"/>
    <hyperlink ref="A645" r:id="rId1215" xr:uid="{00000000-0004-0000-0500-0000BE040000}"/>
    <hyperlink ref="D645" r:id="rId1216" xr:uid="{00000000-0004-0000-0500-0000BF040000}"/>
    <hyperlink ref="A646" r:id="rId1217" xr:uid="{00000000-0004-0000-0500-0000C0040000}"/>
    <hyperlink ref="D646" r:id="rId1218" xr:uid="{00000000-0004-0000-0500-0000C1040000}"/>
    <hyperlink ref="A647" r:id="rId1219" xr:uid="{00000000-0004-0000-0500-0000C2040000}"/>
    <hyperlink ref="D647" r:id="rId1220" xr:uid="{00000000-0004-0000-0500-0000C3040000}"/>
    <hyperlink ref="A648" r:id="rId1221" xr:uid="{00000000-0004-0000-0500-0000C4040000}"/>
    <hyperlink ref="D648" r:id="rId1222" xr:uid="{00000000-0004-0000-0500-0000C5040000}"/>
    <hyperlink ref="A649" r:id="rId1223" xr:uid="{00000000-0004-0000-0500-0000C6040000}"/>
    <hyperlink ref="D649" r:id="rId1224" xr:uid="{00000000-0004-0000-0500-0000C7040000}"/>
    <hyperlink ref="A650" r:id="rId1225" xr:uid="{00000000-0004-0000-0500-0000C8040000}"/>
    <hyperlink ref="D650" r:id="rId1226" xr:uid="{00000000-0004-0000-0500-0000C9040000}"/>
    <hyperlink ref="A651" r:id="rId1227" xr:uid="{00000000-0004-0000-0500-0000CA040000}"/>
    <hyperlink ref="D651" r:id="rId1228" xr:uid="{00000000-0004-0000-0500-0000CB040000}"/>
    <hyperlink ref="A652" r:id="rId1229" xr:uid="{00000000-0004-0000-0500-0000CC040000}"/>
    <hyperlink ref="D652" r:id="rId1230" xr:uid="{00000000-0004-0000-0500-0000CD040000}"/>
    <hyperlink ref="A653" r:id="rId1231" xr:uid="{00000000-0004-0000-0500-0000CE040000}"/>
    <hyperlink ref="D653" r:id="rId1232" xr:uid="{00000000-0004-0000-0500-0000CF040000}"/>
    <hyperlink ref="A654" r:id="rId1233" xr:uid="{00000000-0004-0000-0500-0000D0040000}"/>
    <hyperlink ref="D654" r:id="rId1234" xr:uid="{00000000-0004-0000-0500-0000D1040000}"/>
    <hyperlink ref="A655" r:id="rId1235" xr:uid="{00000000-0004-0000-0500-0000D2040000}"/>
    <hyperlink ref="D655" r:id="rId1236" xr:uid="{00000000-0004-0000-0500-0000D3040000}"/>
    <hyperlink ref="A656" r:id="rId1237" xr:uid="{00000000-0004-0000-0500-0000D4040000}"/>
    <hyperlink ref="D656" r:id="rId1238" xr:uid="{00000000-0004-0000-0500-0000D5040000}"/>
    <hyperlink ref="A657" r:id="rId1239" xr:uid="{00000000-0004-0000-0500-0000D6040000}"/>
    <hyperlink ref="D657" r:id="rId1240" xr:uid="{00000000-0004-0000-0500-0000D7040000}"/>
    <hyperlink ref="A658" r:id="rId1241" xr:uid="{00000000-0004-0000-0500-0000D8040000}"/>
    <hyperlink ref="D658" r:id="rId1242" xr:uid="{00000000-0004-0000-0500-0000D9040000}"/>
    <hyperlink ref="A659" r:id="rId1243" xr:uid="{00000000-0004-0000-0500-0000DA040000}"/>
    <hyperlink ref="D659" r:id="rId1244" xr:uid="{00000000-0004-0000-0500-0000DB040000}"/>
    <hyperlink ref="A660" r:id="rId1245" xr:uid="{00000000-0004-0000-0500-0000DC040000}"/>
    <hyperlink ref="D660" r:id="rId1246" xr:uid="{00000000-0004-0000-0500-0000DD040000}"/>
    <hyperlink ref="A661" r:id="rId1247" xr:uid="{00000000-0004-0000-0500-0000DE040000}"/>
    <hyperlink ref="D661" r:id="rId1248" xr:uid="{00000000-0004-0000-0500-0000DF040000}"/>
    <hyperlink ref="A662" r:id="rId1249" xr:uid="{00000000-0004-0000-0500-0000E0040000}"/>
    <hyperlink ref="D662" r:id="rId1250" xr:uid="{00000000-0004-0000-0500-0000E1040000}"/>
    <hyperlink ref="A663" r:id="rId1251" xr:uid="{00000000-0004-0000-0500-0000E2040000}"/>
    <hyperlink ref="D663" r:id="rId1252" xr:uid="{00000000-0004-0000-0500-0000E3040000}"/>
    <hyperlink ref="A664" r:id="rId1253" xr:uid="{00000000-0004-0000-0500-0000E4040000}"/>
    <hyperlink ref="D664" r:id="rId1254" xr:uid="{00000000-0004-0000-0500-0000E5040000}"/>
    <hyperlink ref="A665" r:id="rId1255" xr:uid="{00000000-0004-0000-0500-0000E6040000}"/>
    <hyperlink ref="D665" r:id="rId1256" xr:uid="{00000000-0004-0000-0500-0000E7040000}"/>
    <hyperlink ref="A666" r:id="rId1257" xr:uid="{00000000-0004-0000-0500-0000E8040000}"/>
    <hyperlink ref="D666" r:id="rId1258" xr:uid="{00000000-0004-0000-0500-0000E9040000}"/>
    <hyperlink ref="A667" r:id="rId1259" xr:uid="{00000000-0004-0000-0500-0000EA040000}"/>
    <hyperlink ref="D667" r:id="rId1260" xr:uid="{00000000-0004-0000-0500-0000EB040000}"/>
    <hyperlink ref="A668" r:id="rId1261" xr:uid="{00000000-0004-0000-0500-0000EC040000}"/>
    <hyperlink ref="D668" r:id="rId1262" xr:uid="{00000000-0004-0000-0500-0000ED040000}"/>
    <hyperlink ref="A669" r:id="rId1263" xr:uid="{00000000-0004-0000-0500-0000EE040000}"/>
    <hyperlink ref="D669" r:id="rId1264" xr:uid="{00000000-0004-0000-0500-0000EF040000}"/>
    <hyperlink ref="A670" r:id="rId1265" xr:uid="{00000000-0004-0000-0500-0000F0040000}"/>
    <hyperlink ref="D670" r:id="rId1266" xr:uid="{00000000-0004-0000-0500-0000F1040000}"/>
    <hyperlink ref="A671" r:id="rId1267" xr:uid="{00000000-0004-0000-0500-0000F2040000}"/>
    <hyperlink ref="D671" r:id="rId1268" xr:uid="{00000000-0004-0000-0500-0000F3040000}"/>
    <hyperlink ref="A672" r:id="rId1269" xr:uid="{00000000-0004-0000-0500-0000F4040000}"/>
    <hyperlink ref="D672" r:id="rId1270" xr:uid="{00000000-0004-0000-0500-0000F5040000}"/>
    <hyperlink ref="A673" r:id="rId1271" xr:uid="{00000000-0004-0000-0500-0000F6040000}"/>
    <hyperlink ref="D673" r:id="rId1272" xr:uid="{00000000-0004-0000-0500-0000F7040000}"/>
    <hyperlink ref="A674" r:id="rId1273" xr:uid="{00000000-0004-0000-0500-0000F8040000}"/>
    <hyperlink ref="D674" r:id="rId1274" xr:uid="{00000000-0004-0000-0500-0000F9040000}"/>
    <hyperlink ref="A675" r:id="rId1275" xr:uid="{00000000-0004-0000-0500-0000FA040000}"/>
    <hyperlink ref="D675" r:id="rId1276" xr:uid="{00000000-0004-0000-0500-0000FB040000}"/>
    <hyperlink ref="A676" r:id="rId1277" xr:uid="{00000000-0004-0000-0500-0000FC040000}"/>
    <hyperlink ref="D676" r:id="rId1278" xr:uid="{00000000-0004-0000-0500-0000FD040000}"/>
    <hyperlink ref="A677" r:id="rId1279" xr:uid="{00000000-0004-0000-0500-0000FE040000}"/>
    <hyperlink ref="D677" r:id="rId1280" xr:uid="{00000000-0004-0000-0500-0000FF040000}"/>
    <hyperlink ref="A678" r:id="rId1281" xr:uid="{00000000-0004-0000-0500-000000050000}"/>
    <hyperlink ref="D678" r:id="rId1282" xr:uid="{00000000-0004-0000-0500-000001050000}"/>
    <hyperlink ref="A679" r:id="rId1283" xr:uid="{00000000-0004-0000-0500-000002050000}"/>
    <hyperlink ref="D679" r:id="rId1284" xr:uid="{00000000-0004-0000-0500-000003050000}"/>
    <hyperlink ref="A680" r:id="rId1285" xr:uid="{00000000-0004-0000-0500-000004050000}"/>
    <hyperlink ref="D680" r:id="rId1286" xr:uid="{00000000-0004-0000-0500-000005050000}"/>
    <hyperlink ref="A681" r:id="rId1287" xr:uid="{00000000-0004-0000-0500-000006050000}"/>
    <hyperlink ref="D681" r:id="rId1288" xr:uid="{00000000-0004-0000-0500-000007050000}"/>
    <hyperlink ref="A682" r:id="rId1289" xr:uid="{00000000-0004-0000-0500-000008050000}"/>
    <hyperlink ref="D682" r:id="rId1290" xr:uid="{00000000-0004-0000-0500-000009050000}"/>
    <hyperlink ref="A683" r:id="rId1291" xr:uid="{00000000-0004-0000-0500-00000A050000}"/>
    <hyperlink ref="D683" r:id="rId1292" xr:uid="{00000000-0004-0000-0500-00000B050000}"/>
    <hyperlink ref="A684" r:id="rId1293" xr:uid="{00000000-0004-0000-0500-00000C050000}"/>
    <hyperlink ref="D684" r:id="rId1294" xr:uid="{00000000-0004-0000-0500-00000D050000}"/>
    <hyperlink ref="A685" r:id="rId1295" xr:uid="{00000000-0004-0000-0500-00000E050000}"/>
    <hyperlink ref="D685" r:id="rId1296" xr:uid="{00000000-0004-0000-0500-00000F050000}"/>
    <hyperlink ref="A686" r:id="rId1297" xr:uid="{00000000-0004-0000-0500-000010050000}"/>
    <hyperlink ref="D686" r:id="rId1298" xr:uid="{00000000-0004-0000-0500-000011050000}"/>
    <hyperlink ref="A687" r:id="rId1299" xr:uid="{00000000-0004-0000-0500-000012050000}"/>
    <hyperlink ref="D687" r:id="rId1300" xr:uid="{00000000-0004-0000-0500-000013050000}"/>
    <hyperlink ref="A688" r:id="rId1301" xr:uid="{00000000-0004-0000-0500-000014050000}"/>
    <hyperlink ref="D688" r:id="rId1302" xr:uid="{00000000-0004-0000-0500-000015050000}"/>
    <hyperlink ref="A689" r:id="rId1303" xr:uid="{00000000-0004-0000-0500-000016050000}"/>
    <hyperlink ref="D689" r:id="rId1304" xr:uid="{00000000-0004-0000-0500-000017050000}"/>
    <hyperlink ref="A690" r:id="rId1305" xr:uid="{00000000-0004-0000-0500-000018050000}"/>
    <hyperlink ref="D690" r:id="rId1306" xr:uid="{00000000-0004-0000-0500-000019050000}"/>
    <hyperlink ref="A691" r:id="rId1307" xr:uid="{00000000-0004-0000-0500-00001A050000}"/>
    <hyperlink ref="D691" r:id="rId1308" xr:uid="{00000000-0004-0000-0500-00001B050000}"/>
    <hyperlink ref="A692" r:id="rId1309" xr:uid="{00000000-0004-0000-0500-00001C050000}"/>
    <hyperlink ref="D692" r:id="rId1310" xr:uid="{00000000-0004-0000-0500-00001D050000}"/>
    <hyperlink ref="A693" r:id="rId1311" xr:uid="{00000000-0004-0000-0500-00001E050000}"/>
    <hyperlink ref="D693" r:id="rId1312" xr:uid="{00000000-0004-0000-0500-00001F050000}"/>
    <hyperlink ref="A694" r:id="rId1313" xr:uid="{00000000-0004-0000-0500-000020050000}"/>
    <hyperlink ref="D694" r:id="rId1314" xr:uid="{00000000-0004-0000-0500-000021050000}"/>
    <hyperlink ref="A695" r:id="rId1315" xr:uid="{00000000-0004-0000-0500-000022050000}"/>
    <hyperlink ref="D695" r:id="rId1316" xr:uid="{00000000-0004-0000-0500-000023050000}"/>
    <hyperlink ref="A696" r:id="rId1317" xr:uid="{00000000-0004-0000-0500-000024050000}"/>
    <hyperlink ref="D696" r:id="rId1318" xr:uid="{00000000-0004-0000-0500-000025050000}"/>
    <hyperlink ref="A697" r:id="rId1319" xr:uid="{00000000-0004-0000-0500-000026050000}"/>
    <hyperlink ref="D697" r:id="rId1320" xr:uid="{00000000-0004-0000-0500-000027050000}"/>
    <hyperlink ref="A698" r:id="rId1321" xr:uid="{00000000-0004-0000-0500-000028050000}"/>
    <hyperlink ref="D698" r:id="rId1322" xr:uid="{00000000-0004-0000-0500-000029050000}"/>
    <hyperlink ref="A699" r:id="rId1323" xr:uid="{00000000-0004-0000-0500-00002A050000}"/>
    <hyperlink ref="D699" r:id="rId1324" xr:uid="{00000000-0004-0000-0500-00002B050000}"/>
    <hyperlink ref="A700" r:id="rId1325" xr:uid="{00000000-0004-0000-0500-00002C050000}"/>
    <hyperlink ref="D700" r:id="rId1326" xr:uid="{00000000-0004-0000-0500-00002D050000}"/>
    <hyperlink ref="A701" r:id="rId1327" xr:uid="{00000000-0004-0000-0500-00002E050000}"/>
    <hyperlink ref="D701" r:id="rId1328" xr:uid="{00000000-0004-0000-0500-00002F050000}"/>
    <hyperlink ref="A702" r:id="rId1329" xr:uid="{00000000-0004-0000-0500-000030050000}"/>
    <hyperlink ref="D702" r:id="rId1330" xr:uid="{00000000-0004-0000-0500-000031050000}"/>
    <hyperlink ref="A703" r:id="rId1331" xr:uid="{00000000-0004-0000-0500-000032050000}"/>
    <hyperlink ref="D703" r:id="rId1332" xr:uid="{00000000-0004-0000-0500-000033050000}"/>
    <hyperlink ref="A704" r:id="rId1333" xr:uid="{00000000-0004-0000-0500-000034050000}"/>
    <hyperlink ref="D704" r:id="rId1334" xr:uid="{00000000-0004-0000-0500-000035050000}"/>
    <hyperlink ref="A705" r:id="rId1335" xr:uid="{00000000-0004-0000-0500-000036050000}"/>
    <hyperlink ref="D705" r:id="rId1336" xr:uid="{00000000-0004-0000-0500-000037050000}"/>
    <hyperlink ref="A706" r:id="rId1337" xr:uid="{00000000-0004-0000-0500-000038050000}"/>
    <hyperlink ref="D706" r:id="rId1338" xr:uid="{00000000-0004-0000-0500-000039050000}"/>
    <hyperlink ref="A707" r:id="rId1339" xr:uid="{00000000-0004-0000-0500-00003A050000}"/>
    <hyperlink ref="D707" r:id="rId1340" xr:uid="{00000000-0004-0000-0500-00003B050000}"/>
    <hyperlink ref="A708" r:id="rId1341" xr:uid="{00000000-0004-0000-0500-00003C050000}"/>
    <hyperlink ref="D708" r:id="rId1342" xr:uid="{00000000-0004-0000-0500-00003D050000}"/>
    <hyperlink ref="A709" r:id="rId1343" xr:uid="{00000000-0004-0000-0500-00003E050000}"/>
    <hyperlink ref="D709" r:id="rId1344" xr:uid="{00000000-0004-0000-0500-00003F050000}"/>
    <hyperlink ref="A710" r:id="rId1345" xr:uid="{00000000-0004-0000-0500-000040050000}"/>
    <hyperlink ref="D710" r:id="rId1346" xr:uid="{00000000-0004-0000-0500-000041050000}"/>
    <hyperlink ref="A711" r:id="rId1347" xr:uid="{00000000-0004-0000-0500-000042050000}"/>
    <hyperlink ref="D711" r:id="rId1348" xr:uid="{00000000-0004-0000-0500-000043050000}"/>
    <hyperlink ref="A712" r:id="rId1349" xr:uid="{00000000-0004-0000-0500-000044050000}"/>
    <hyperlink ref="D712" r:id="rId1350" xr:uid="{00000000-0004-0000-0500-000045050000}"/>
    <hyperlink ref="A713" r:id="rId1351" xr:uid="{00000000-0004-0000-0500-000046050000}"/>
    <hyperlink ref="D713" r:id="rId1352" xr:uid="{00000000-0004-0000-0500-000047050000}"/>
    <hyperlink ref="A714" r:id="rId1353" xr:uid="{00000000-0004-0000-0500-000048050000}"/>
    <hyperlink ref="D714" r:id="rId1354" xr:uid="{00000000-0004-0000-0500-000049050000}"/>
    <hyperlink ref="A715" r:id="rId1355" xr:uid="{00000000-0004-0000-0500-00004A050000}"/>
    <hyperlink ref="D715" r:id="rId1356" xr:uid="{00000000-0004-0000-0500-00004B050000}"/>
    <hyperlink ref="A716" r:id="rId1357" xr:uid="{00000000-0004-0000-0500-00004C050000}"/>
    <hyperlink ref="D716" r:id="rId1358" xr:uid="{00000000-0004-0000-0500-00004D050000}"/>
    <hyperlink ref="A717" r:id="rId1359" xr:uid="{00000000-0004-0000-0500-00004E050000}"/>
    <hyperlink ref="D717" r:id="rId1360" xr:uid="{00000000-0004-0000-0500-00004F050000}"/>
    <hyperlink ref="A718" r:id="rId1361" xr:uid="{00000000-0004-0000-0500-000050050000}"/>
    <hyperlink ref="D718" r:id="rId1362" xr:uid="{00000000-0004-0000-0500-000051050000}"/>
    <hyperlink ref="A719" r:id="rId1363" xr:uid="{00000000-0004-0000-0500-000052050000}"/>
    <hyperlink ref="D719" r:id="rId1364" xr:uid="{00000000-0004-0000-0500-000053050000}"/>
    <hyperlink ref="A720" r:id="rId1365" xr:uid="{00000000-0004-0000-0500-000054050000}"/>
    <hyperlink ref="D720" r:id="rId1366" xr:uid="{00000000-0004-0000-0500-000055050000}"/>
    <hyperlink ref="A721" r:id="rId1367" xr:uid="{00000000-0004-0000-0500-000056050000}"/>
    <hyperlink ref="D721" r:id="rId1368" xr:uid="{00000000-0004-0000-0500-000057050000}"/>
    <hyperlink ref="A722" r:id="rId1369" xr:uid="{00000000-0004-0000-0500-000058050000}"/>
    <hyperlink ref="D722" r:id="rId1370" xr:uid="{00000000-0004-0000-0500-000059050000}"/>
    <hyperlink ref="A723" r:id="rId1371" xr:uid="{00000000-0004-0000-0500-00005A050000}"/>
    <hyperlink ref="D723" r:id="rId1372" xr:uid="{00000000-0004-0000-0500-00005B050000}"/>
    <hyperlink ref="A724" r:id="rId1373" xr:uid="{00000000-0004-0000-0500-00005C050000}"/>
    <hyperlink ref="D724" r:id="rId1374" xr:uid="{00000000-0004-0000-0500-00005D050000}"/>
    <hyperlink ref="A725" r:id="rId1375" xr:uid="{00000000-0004-0000-0500-00005E050000}"/>
    <hyperlink ref="D725" r:id="rId1376" xr:uid="{00000000-0004-0000-0500-00005F050000}"/>
    <hyperlink ref="A726" r:id="rId1377" xr:uid="{00000000-0004-0000-0500-000060050000}"/>
    <hyperlink ref="D726" r:id="rId1378" xr:uid="{00000000-0004-0000-0500-000061050000}"/>
    <hyperlink ref="A727" r:id="rId1379" xr:uid="{00000000-0004-0000-0500-000062050000}"/>
    <hyperlink ref="D727" r:id="rId1380" xr:uid="{00000000-0004-0000-0500-000063050000}"/>
    <hyperlink ref="A728" r:id="rId1381" xr:uid="{00000000-0004-0000-0500-000064050000}"/>
    <hyperlink ref="D728" r:id="rId1382" xr:uid="{00000000-0004-0000-0500-000065050000}"/>
    <hyperlink ref="A729" r:id="rId1383" xr:uid="{00000000-0004-0000-0500-000066050000}"/>
    <hyperlink ref="D729" r:id="rId1384" xr:uid="{00000000-0004-0000-0500-000067050000}"/>
    <hyperlink ref="A730" r:id="rId1385" xr:uid="{00000000-0004-0000-0500-000068050000}"/>
    <hyperlink ref="D730" r:id="rId1386" xr:uid="{00000000-0004-0000-0500-000069050000}"/>
    <hyperlink ref="A731" r:id="rId1387" xr:uid="{00000000-0004-0000-0500-00006A050000}"/>
    <hyperlink ref="D731" r:id="rId1388" xr:uid="{00000000-0004-0000-0500-00006B050000}"/>
    <hyperlink ref="A732" r:id="rId1389" xr:uid="{00000000-0004-0000-0500-00006C050000}"/>
    <hyperlink ref="D732" r:id="rId1390" xr:uid="{00000000-0004-0000-0500-00006D050000}"/>
    <hyperlink ref="A733" r:id="rId1391" xr:uid="{00000000-0004-0000-0500-00006E050000}"/>
    <hyperlink ref="D733" r:id="rId1392" xr:uid="{00000000-0004-0000-0500-00006F050000}"/>
    <hyperlink ref="A734" r:id="rId1393" xr:uid="{00000000-0004-0000-0500-000070050000}"/>
    <hyperlink ref="D734" r:id="rId1394" xr:uid="{00000000-0004-0000-0500-000071050000}"/>
    <hyperlink ref="A735" r:id="rId1395" xr:uid="{00000000-0004-0000-0500-000072050000}"/>
    <hyperlink ref="D735" r:id="rId1396" xr:uid="{00000000-0004-0000-0500-000073050000}"/>
    <hyperlink ref="A736" r:id="rId1397" xr:uid="{00000000-0004-0000-0500-000074050000}"/>
    <hyperlink ref="D736" r:id="rId1398" xr:uid="{00000000-0004-0000-0500-000075050000}"/>
    <hyperlink ref="A737" r:id="rId1399" xr:uid="{00000000-0004-0000-0500-000076050000}"/>
    <hyperlink ref="D737" r:id="rId1400" xr:uid="{00000000-0004-0000-0500-000077050000}"/>
    <hyperlink ref="A738" r:id="rId1401" xr:uid="{00000000-0004-0000-0500-000078050000}"/>
    <hyperlink ref="D738" r:id="rId1402" xr:uid="{00000000-0004-0000-0500-000079050000}"/>
    <hyperlink ref="A739" r:id="rId1403" xr:uid="{00000000-0004-0000-0500-00007A050000}"/>
    <hyperlink ref="D739" r:id="rId1404" xr:uid="{00000000-0004-0000-0500-00007B050000}"/>
    <hyperlink ref="A740" r:id="rId1405" xr:uid="{00000000-0004-0000-0500-00007C050000}"/>
    <hyperlink ref="D740" r:id="rId1406" xr:uid="{00000000-0004-0000-0500-00007D050000}"/>
    <hyperlink ref="A741" r:id="rId1407" xr:uid="{00000000-0004-0000-0500-00007E050000}"/>
    <hyperlink ref="D741" r:id="rId1408" xr:uid="{00000000-0004-0000-0500-00007F050000}"/>
    <hyperlink ref="A742" r:id="rId1409" xr:uid="{00000000-0004-0000-0500-000080050000}"/>
    <hyperlink ref="D742" r:id="rId1410" xr:uid="{00000000-0004-0000-0500-000081050000}"/>
    <hyperlink ref="A743" r:id="rId1411" xr:uid="{00000000-0004-0000-0500-000082050000}"/>
    <hyperlink ref="D743" r:id="rId1412" xr:uid="{00000000-0004-0000-0500-000083050000}"/>
    <hyperlink ref="A744" r:id="rId1413" xr:uid="{00000000-0004-0000-0500-000084050000}"/>
    <hyperlink ref="D744" r:id="rId1414" xr:uid="{00000000-0004-0000-0500-000085050000}"/>
    <hyperlink ref="A745" r:id="rId1415" xr:uid="{00000000-0004-0000-0500-000086050000}"/>
    <hyperlink ref="D745" r:id="rId1416" xr:uid="{00000000-0004-0000-0500-000087050000}"/>
    <hyperlink ref="A746" r:id="rId1417" xr:uid="{00000000-0004-0000-0500-000088050000}"/>
    <hyperlink ref="D746" r:id="rId1418" xr:uid="{00000000-0004-0000-0500-000089050000}"/>
    <hyperlink ref="A747" r:id="rId1419" xr:uid="{00000000-0004-0000-0500-00008A050000}"/>
    <hyperlink ref="D747" r:id="rId1420" xr:uid="{00000000-0004-0000-0500-00008B050000}"/>
    <hyperlink ref="A748" r:id="rId1421" xr:uid="{00000000-0004-0000-0500-00008C050000}"/>
    <hyperlink ref="D748" r:id="rId1422" xr:uid="{00000000-0004-0000-0500-00008D050000}"/>
    <hyperlink ref="A749" r:id="rId1423" xr:uid="{00000000-0004-0000-0500-00008E050000}"/>
    <hyperlink ref="D749" r:id="rId1424" xr:uid="{00000000-0004-0000-0500-00008F050000}"/>
    <hyperlink ref="A750" r:id="rId1425" xr:uid="{00000000-0004-0000-0500-000090050000}"/>
    <hyperlink ref="D750" r:id="rId1426" xr:uid="{00000000-0004-0000-0500-000091050000}"/>
    <hyperlink ref="A751" r:id="rId1427" xr:uid="{00000000-0004-0000-0500-000092050000}"/>
    <hyperlink ref="D751" r:id="rId1428" xr:uid="{00000000-0004-0000-0500-000093050000}"/>
    <hyperlink ref="A752" r:id="rId1429" xr:uid="{00000000-0004-0000-0500-000094050000}"/>
    <hyperlink ref="D752" r:id="rId1430" xr:uid="{00000000-0004-0000-0500-000095050000}"/>
    <hyperlink ref="A753" r:id="rId1431" xr:uid="{00000000-0004-0000-0500-000096050000}"/>
    <hyperlink ref="D753" r:id="rId1432" xr:uid="{00000000-0004-0000-0500-000097050000}"/>
    <hyperlink ref="A754" r:id="rId1433" xr:uid="{00000000-0004-0000-0500-000098050000}"/>
    <hyperlink ref="D754" r:id="rId1434" xr:uid="{00000000-0004-0000-0500-000099050000}"/>
    <hyperlink ref="A755" r:id="rId1435" xr:uid="{00000000-0004-0000-0500-00009A050000}"/>
    <hyperlink ref="D755" r:id="rId1436" xr:uid="{00000000-0004-0000-0500-00009B050000}"/>
    <hyperlink ref="A756" r:id="rId1437" xr:uid="{00000000-0004-0000-0500-00009C050000}"/>
    <hyperlink ref="D756" r:id="rId1438" xr:uid="{00000000-0004-0000-0500-00009D050000}"/>
    <hyperlink ref="A757" r:id="rId1439" xr:uid="{00000000-0004-0000-0500-00009E050000}"/>
    <hyperlink ref="D757" r:id="rId1440" xr:uid="{00000000-0004-0000-0500-00009F050000}"/>
    <hyperlink ref="A758" r:id="rId1441" xr:uid="{00000000-0004-0000-0500-0000A0050000}"/>
    <hyperlink ref="D758" r:id="rId1442" xr:uid="{00000000-0004-0000-0500-0000A1050000}"/>
    <hyperlink ref="A759" r:id="rId1443" xr:uid="{00000000-0004-0000-0500-0000A2050000}"/>
    <hyperlink ref="D759" r:id="rId1444" xr:uid="{00000000-0004-0000-0500-0000A3050000}"/>
    <hyperlink ref="A760" r:id="rId1445" xr:uid="{00000000-0004-0000-0500-0000A4050000}"/>
    <hyperlink ref="D760" r:id="rId1446" xr:uid="{00000000-0004-0000-0500-0000A5050000}"/>
    <hyperlink ref="A761" r:id="rId1447" xr:uid="{00000000-0004-0000-0500-0000A6050000}"/>
    <hyperlink ref="D761" r:id="rId1448" xr:uid="{00000000-0004-0000-0500-0000A7050000}"/>
    <hyperlink ref="A762" r:id="rId1449" xr:uid="{00000000-0004-0000-0500-0000A8050000}"/>
    <hyperlink ref="D762" r:id="rId1450" xr:uid="{00000000-0004-0000-0500-0000A9050000}"/>
    <hyperlink ref="A763" r:id="rId1451" xr:uid="{00000000-0004-0000-0500-0000AA050000}"/>
    <hyperlink ref="D763" r:id="rId1452" xr:uid="{00000000-0004-0000-0500-0000AB050000}"/>
    <hyperlink ref="A764" r:id="rId1453" xr:uid="{00000000-0004-0000-0500-0000AC050000}"/>
    <hyperlink ref="D764" r:id="rId1454" xr:uid="{00000000-0004-0000-0500-0000AD050000}"/>
    <hyperlink ref="A765" r:id="rId1455" xr:uid="{00000000-0004-0000-0500-0000AE050000}"/>
    <hyperlink ref="D765" r:id="rId1456" xr:uid="{00000000-0004-0000-0500-0000AF050000}"/>
    <hyperlink ref="A766" r:id="rId1457" xr:uid="{00000000-0004-0000-0500-0000B0050000}"/>
    <hyperlink ref="D766" r:id="rId1458" xr:uid="{00000000-0004-0000-0500-0000B1050000}"/>
    <hyperlink ref="A767" r:id="rId1459" xr:uid="{00000000-0004-0000-0500-0000B2050000}"/>
    <hyperlink ref="D767" r:id="rId1460" xr:uid="{00000000-0004-0000-0500-0000B3050000}"/>
    <hyperlink ref="A768" r:id="rId1461" xr:uid="{00000000-0004-0000-0500-0000B4050000}"/>
    <hyperlink ref="D768" r:id="rId1462" xr:uid="{00000000-0004-0000-0500-0000B5050000}"/>
    <hyperlink ref="A769" r:id="rId1463" xr:uid="{00000000-0004-0000-0500-0000B6050000}"/>
    <hyperlink ref="D769" r:id="rId1464" xr:uid="{00000000-0004-0000-0500-0000B7050000}"/>
    <hyperlink ref="A770" r:id="rId1465" xr:uid="{00000000-0004-0000-0500-0000B8050000}"/>
    <hyperlink ref="D770" r:id="rId1466" xr:uid="{00000000-0004-0000-0500-0000B9050000}"/>
    <hyperlink ref="A771" r:id="rId1467" xr:uid="{00000000-0004-0000-0500-0000BA050000}"/>
    <hyperlink ref="D771" r:id="rId1468" xr:uid="{00000000-0004-0000-0500-0000BB050000}"/>
    <hyperlink ref="A772" r:id="rId1469" xr:uid="{00000000-0004-0000-0500-0000BC050000}"/>
    <hyperlink ref="D772" r:id="rId1470" xr:uid="{00000000-0004-0000-0500-0000BD050000}"/>
    <hyperlink ref="A773" r:id="rId1471" xr:uid="{00000000-0004-0000-0500-0000BE050000}"/>
    <hyperlink ref="D773" r:id="rId1472" xr:uid="{00000000-0004-0000-0500-0000BF050000}"/>
    <hyperlink ref="A774" r:id="rId1473" xr:uid="{00000000-0004-0000-0500-0000C0050000}"/>
    <hyperlink ref="D774" r:id="rId1474" xr:uid="{00000000-0004-0000-0500-0000C1050000}"/>
    <hyperlink ref="A775" r:id="rId1475" xr:uid="{00000000-0004-0000-0500-0000C2050000}"/>
    <hyperlink ref="D775" r:id="rId1476" xr:uid="{00000000-0004-0000-0500-0000C3050000}"/>
    <hyperlink ref="A776" r:id="rId1477" xr:uid="{00000000-0004-0000-0500-0000C4050000}"/>
    <hyperlink ref="D776" r:id="rId1478" xr:uid="{00000000-0004-0000-0500-0000C5050000}"/>
    <hyperlink ref="A777" r:id="rId1479" xr:uid="{00000000-0004-0000-0500-0000C6050000}"/>
    <hyperlink ref="D777" r:id="rId1480" xr:uid="{00000000-0004-0000-0500-0000C7050000}"/>
    <hyperlink ref="A778" r:id="rId1481" xr:uid="{00000000-0004-0000-0500-0000C8050000}"/>
    <hyperlink ref="D778" r:id="rId1482" xr:uid="{00000000-0004-0000-0500-0000C9050000}"/>
    <hyperlink ref="A779" r:id="rId1483" xr:uid="{00000000-0004-0000-0500-0000CA050000}"/>
    <hyperlink ref="D779" r:id="rId1484" xr:uid="{00000000-0004-0000-0500-0000CB050000}"/>
    <hyperlink ref="A780" r:id="rId1485" xr:uid="{00000000-0004-0000-0500-0000CC050000}"/>
    <hyperlink ref="D780" r:id="rId1486" xr:uid="{00000000-0004-0000-0500-0000CD050000}"/>
    <hyperlink ref="A781" r:id="rId1487" xr:uid="{00000000-0004-0000-0500-0000CE050000}"/>
    <hyperlink ref="D781" r:id="rId1488" xr:uid="{00000000-0004-0000-0500-0000CF050000}"/>
    <hyperlink ref="A782" r:id="rId1489" xr:uid="{00000000-0004-0000-0500-0000D0050000}"/>
    <hyperlink ref="D782" r:id="rId1490" xr:uid="{00000000-0004-0000-0500-0000D1050000}"/>
    <hyperlink ref="A783" r:id="rId1491" xr:uid="{00000000-0004-0000-0500-0000D2050000}"/>
    <hyperlink ref="D783" r:id="rId1492" xr:uid="{00000000-0004-0000-0500-0000D3050000}"/>
    <hyperlink ref="A784" r:id="rId1493" xr:uid="{00000000-0004-0000-0500-0000D4050000}"/>
    <hyperlink ref="D784" r:id="rId1494" xr:uid="{00000000-0004-0000-0500-0000D5050000}"/>
    <hyperlink ref="A785" r:id="rId1495" xr:uid="{00000000-0004-0000-0500-0000D6050000}"/>
    <hyperlink ref="D785" r:id="rId1496" xr:uid="{00000000-0004-0000-0500-0000D7050000}"/>
    <hyperlink ref="A786" r:id="rId1497" xr:uid="{00000000-0004-0000-0500-0000D8050000}"/>
    <hyperlink ref="D786" r:id="rId1498" xr:uid="{00000000-0004-0000-0500-0000D9050000}"/>
    <hyperlink ref="A787" r:id="rId1499" xr:uid="{00000000-0004-0000-0500-0000DA050000}"/>
    <hyperlink ref="D787" r:id="rId1500" xr:uid="{00000000-0004-0000-0500-0000DB050000}"/>
    <hyperlink ref="A788" r:id="rId1501" xr:uid="{00000000-0004-0000-0500-0000DC050000}"/>
    <hyperlink ref="D788" r:id="rId1502" xr:uid="{00000000-0004-0000-0500-0000DD050000}"/>
    <hyperlink ref="A789" r:id="rId1503" xr:uid="{00000000-0004-0000-0500-0000DE050000}"/>
    <hyperlink ref="D789" r:id="rId1504" xr:uid="{00000000-0004-0000-0500-0000DF050000}"/>
    <hyperlink ref="A790" r:id="rId1505" xr:uid="{00000000-0004-0000-0500-0000E0050000}"/>
    <hyperlink ref="D790" r:id="rId1506" xr:uid="{00000000-0004-0000-0500-0000E1050000}"/>
    <hyperlink ref="A791" r:id="rId1507" xr:uid="{00000000-0004-0000-0500-0000E2050000}"/>
    <hyperlink ref="D791" r:id="rId1508" xr:uid="{00000000-0004-0000-0500-0000E3050000}"/>
    <hyperlink ref="A792" r:id="rId1509" xr:uid="{00000000-0004-0000-0500-0000E4050000}"/>
    <hyperlink ref="D792" r:id="rId1510" xr:uid="{00000000-0004-0000-0500-0000E5050000}"/>
    <hyperlink ref="A793" r:id="rId1511" xr:uid="{00000000-0004-0000-0500-0000E6050000}"/>
    <hyperlink ref="D793" r:id="rId1512" xr:uid="{00000000-0004-0000-0500-0000E7050000}"/>
    <hyperlink ref="A794" r:id="rId1513" xr:uid="{00000000-0004-0000-0500-0000E8050000}"/>
    <hyperlink ref="D794" r:id="rId1514" xr:uid="{00000000-0004-0000-0500-0000E9050000}"/>
    <hyperlink ref="A795" r:id="rId1515" xr:uid="{00000000-0004-0000-0500-0000EA050000}"/>
    <hyperlink ref="D795" r:id="rId1516" xr:uid="{00000000-0004-0000-0500-0000EB050000}"/>
    <hyperlink ref="A796" r:id="rId1517" xr:uid="{00000000-0004-0000-0500-0000EC050000}"/>
    <hyperlink ref="D796" r:id="rId1518" xr:uid="{00000000-0004-0000-0500-0000ED050000}"/>
    <hyperlink ref="A797" r:id="rId1519" xr:uid="{00000000-0004-0000-0500-0000EE050000}"/>
    <hyperlink ref="D797" r:id="rId1520" xr:uid="{00000000-0004-0000-0500-0000EF050000}"/>
    <hyperlink ref="A798" r:id="rId1521" xr:uid="{00000000-0004-0000-0500-0000F0050000}"/>
    <hyperlink ref="D798" r:id="rId1522" xr:uid="{00000000-0004-0000-0500-0000F1050000}"/>
    <hyperlink ref="A799" r:id="rId1523" xr:uid="{00000000-0004-0000-0500-0000F2050000}"/>
    <hyperlink ref="D799" r:id="rId1524" xr:uid="{00000000-0004-0000-0500-0000F3050000}"/>
    <hyperlink ref="A800" r:id="rId1525" xr:uid="{00000000-0004-0000-0500-0000F4050000}"/>
    <hyperlink ref="D800" r:id="rId1526" xr:uid="{00000000-0004-0000-0500-0000F5050000}"/>
    <hyperlink ref="A801" r:id="rId1527" xr:uid="{00000000-0004-0000-0500-0000F6050000}"/>
    <hyperlink ref="D801" r:id="rId1528" xr:uid="{00000000-0004-0000-0500-0000F7050000}"/>
    <hyperlink ref="A802" r:id="rId1529" xr:uid="{00000000-0004-0000-0500-0000F8050000}"/>
    <hyperlink ref="D802" r:id="rId1530" xr:uid="{00000000-0004-0000-0500-0000F9050000}"/>
    <hyperlink ref="A803" r:id="rId1531" xr:uid="{00000000-0004-0000-0500-0000FA050000}"/>
    <hyperlink ref="D803" r:id="rId1532" xr:uid="{00000000-0004-0000-0500-0000FB050000}"/>
    <hyperlink ref="A804" r:id="rId1533" xr:uid="{00000000-0004-0000-0500-0000FC050000}"/>
    <hyperlink ref="D804" r:id="rId1534" xr:uid="{00000000-0004-0000-0500-0000FD050000}"/>
    <hyperlink ref="A805" r:id="rId1535" xr:uid="{00000000-0004-0000-0500-0000FE050000}"/>
    <hyperlink ref="D805" r:id="rId1536" xr:uid="{00000000-0004-0000-0500-0000FF050000}"/>
    <hyperlink ref="A806" r:id="rId1537" xr:uid="{00000000-0004-0000-0500-000000060000}"/>
    <hyperlink ref="D806" r:id="rId1538" xr:uid="{00000000-0004-0000-0500-000001060000}"/>
    <hyperlink ref="A807" r:id="rId1539" xr:uid="{00000000-0004-0000-0500-000002060000}"/>
    <hyperlink ref="D807" r:id="rId1540" xr:uid="{00000000-0004-0000-0500-000003060000}"/>
    <hyperlink ref="A808" r:id="rId1541" xr:uid="{00000000-0004-0000-0500-000004060000}"/>
    <hyperlink ref="D808" r:id="rId1542" xr:uid="{00000000-0004-0000-0500-000005060000}"/>
    <hyperlink ref="A809" r:id="rId1543" xr:uid="{00000000-0004-0000-0500-000006060000}"/>
    <hyperlink ref="D809" r:id="rId1544" xr:uid="{00000000-0004-0000-0500-000007060000}"/>
    <hyperlink ref="A810" r:id="rId1545" xr:uid="{00000000-0004-0000-0500-000008060000}"/>
    <hyperlink ref="D810" r:id="rId1546" xr:uid="{00000000-0004-0000-0500-000009060000}"/>
    <hyperlink ref="A811" r:id="rId1547" xr:uid="{00000000-0004-0000-0500-00000A060000}"/>
    <hyperlink ref="D811" r:id="rId1548" xr:uid="{00000000-0004-0000-0500-00000B060000}"/>
    <hyperlink ref="A812" r:id="rId1549" xr:uid="{00000000-0004-0000-0500-00000C060000}"/>
    <hyperlink ref="D812" r:id="rId1550" xr:uid="{00000000-0004-0000-0500-00000D060000}"/>
    <hyperlink ref="A813" r:id="rId1551" xr:uid="{00000000-0004-0000-0500-00000E060000}"/>
    <hyperlink ref="D813" r:id="rId1552" xr:uid="{00000000-0004-0000-0500-00000F060000}"/>
    <hyperlink ref="A814" r:id="rId1553" xr:uid="{00000000-0004-0000-0500-000010060000}"/>
    <hyperlink ref="D814" r:id="rId1554" xr:uid="{00000000-0004-0000-0500-000011060000}"/>
    <hyperlink ref="A815" r:id="rId1555" xr:uid="{00000000-0004-0000-0500-000012060000}"/>
    <hyperlink ref="D815" r:id="rId1556" xr:uid="{00000000-0004-0000-0500-000013060000}"/>
    <hyperlink ref="A816" r:id="rId1557" xr:uid="{00000000-0004-0000-0500-000014060000}"/>
    <hyperlink ref="D816" r:id="rId1558" xr:uid="{00000000-0004-0000-0500-000015060000}"/>
    <hyperlink ref="A817" r:id="rId1559" xr:uid="{00000000-0004-0000-0500-000016060000}"/>
    <hyperlink ref="D817" r:id="rId1560" xr:uid="{00000000-0004-0000-0500-000017060000}"/>
    <hyperlink ref="A818" r:id="rId1561" xr:uid="{00000000-0004-0000-0500-000018060000}"/>
    <hyperlink ref="D818" r:id="rId1562" xr:uid="{00000000-0004-0000-0500-000019060000}"/>
    <hyperlink ref="A819" r:id="rId1563" xr:uid="{00000000-0004-0000-0500-00001A060000}"/>
    <hyperlink ref="D819" r:id="rId1564" xr:uid="{00000000-0004-0000-0500-00001B060000}"/>
    <hyperlink ref="A820" r:id="rId1565" xr:uid="{00000000-0004-0000-0500-00001C060000}"/>
    <hyperlink ref="D820" r:id="rId1566" xr:uid="{00000000-0004-0000-0500-00001D060000}"/>
    <hyperlink ref="A821" r:id="rId1567" xr:uid="{00000000-0004-0000-0500-00001E060000}"/>
    <hyperlink ref="D821" r:id="rId1568" xr:uid="{00000000-0004-0000-0500-00001F060000}"/>
    <hyperlink ref="A822" r:id="rId1569" xr:uid="{00000000-0004-0000-0500-000020060000}"/>
    <hyperlink ref="D822" r:id="rId1570" xr:uid="{00000000-0004-0000-0500-000021060000}"/>
    <hyperlink ref="A823" r:id="rId1571" xr:uid="{00000000-0004-0000-0500-000022060000}"/>
    <hyperlink ref="D823" r:id="rId1572" xr:uid="{00000000-0004-0000-0500-000023060000}"/>
    <hyperlink ref="A824" r:id="rId1573" xr:uid="{00000000-0004-0000-0500-000024060000}"/>
    <hyperlink ref="D824" r:id="rId1574" xr:uid="{00000000-0004-0000-0500-000025060000}"/>
    <hyperlink ref="A825" r:id="rId1575" xr:uid="{00000000-0004-0000-0500-000026060000}"/>
    <hyperlink ref="D825" r:id="rId1576" xr:uid="{00000000-0004-0000-0500-000027060000}"/>
    <hyperlink ref="A826" r:id="rId1577" xr:uid="{00000000-0004-0000-0500-000028060000}"/>
    <hyperlink ref="D826" r:id="rId1578" xr:uid="{00000000-0004-0000-0500-000029060000}"/>
    <hyperlink ref="A827" r:id="rId1579" xr:uid="{00000000-0004-0000-0500-00002A060000}"/>
    <hyperlink ref="D827" r:id="rId1580" xr:uid="{00000000-0004-0000-0500-00002B060000}"/>
    <hyperlink ref="A828" r:id="rId1581" xr:uid="{00000000-0004-0000-0500-00002C060000}"/>
    <hyperlink ref="D828" r:id="rId1582" xr:uid="{00000000-0004-0000-0500-00002D060000}"/>
    <hyperlink ref="A829" r:id="rId1583" xr:uid="{00000000-0004-0000-0500-00002E060000}"/>
    <hyperlink ref="D829" r:id="rId1584" xr:uid="{00000000-0004-0000-0500-00002F060000}"/>
    <hyperlink ref="A830" r:id="rId1585" xr:uid="{00000000-0004-0000-0500-000030060000}"/>
    <hyperlink ref="D830" r:id="rId1586" xr:uid="{00000000-0004-0000-0500-000031060000}"/>
    <hyperlink ref="A831" r:id="rId1587" xr:uid="{00000000-0004-0000-0500-000032060000}"/>
    <hyperlink ref="D831" r:id="rId1588" xr:uid="{00000000-0004-0000-0500-000033060000}"/>
    <hyperlink ref="A832" r:id="rId1589" xr:uid="{00000000-0004-0000-0500-000034060000}"/>
    <hyperlink ref="D832" r:id="rId1590" xr:uid="{00000000-0004-0000-0500-000035060000}"/>
    <hyperlink ref="A833" r:id="rId1591" xr:uid="{00000000-0004-0000-0500-000036060000}"/>
    <hyperlink ref="D833" r:id="rId1592" xr:uid="{00000000-0004-0000-0500-000037060000}"/>
    <hyperlink ref="A834" r:id="rId1593" xr:uid="{00000000-0004-0000-0500-000038060000}"/>
    <hyperlink ref="D834" r:id="rId1594" xr:uid="{00000000-0004-0000-0500-000039060000}"/>
    <hyperlink ref="A835" r:id="rId1595" xr:uid="{00000000-0004-0000-0500-00003A060000}"/>
    <hyperlink ref="D835" r:id="rId1596" xr:uid="{00000000-0004-0000-0500-00003B060000}"/>
    <hyperlink ref="A836" r:id="rId1597" xr:uid="{00000000-0004-0000-0500-00003C060000}"/>
    <hyperlink ref="D836" r:id="rId1598" xr:uid="{00000000-0004-0000-0500-00003D060000}"/>
    <hyperlink ref="A837" r:id="rId1599" xr:uid="{00000000-0004-0000-0500-00003E060000}"/>
    <hyperlink ref="D837" r:id="rId1600" xr:uid="{00000000-0004-0000-0500-00003F060000}"/>
    <hyperlink ref="A838" r:id="rId1601" xr:uid="{00000000-0004-0000-0500-000040060000}"/>
    <hyperlink ref="D838" r:id="rId1602" xr:uid="{00000000-0004-0000-0500-000041060000}"/>
    <hyperlink ref="A839" r:id="rId1603" xr:uid="{00000000-0004-0000-0500-000042060000}"/>
    <hyperlink ref="D839" r:id="rId1604" xr:uid="{00000000-0004-0000-0500-000043060000}"/>
    <hyperlink ref="A840" r:id="rId1605" xr:uid="{00000000-0004-0000-0500-000044060000}"/>
    <hyperlink ref="D840" r:id="rId1606" xr:uid="{00000000-0004-0000-0500-000045060000}"/>
    <hyperlink ref="A841" r:id="rId1607" xr:uid="{00000000-0004-0000-0500-000046060000}"/>
    <hyperlink ref="D841" r:id="rId1608" xr:uid="{00000000-0004-0000-0500-000047060000}"/>
    <hyperlink ref="A842" r:id="rId1609" xr:uid="{00000000-0004-0000-0500-000048060000}"/>
    <hyperlink ref="D842" r:id="rId1610" xr:uid="{00000000-0004-0000-0500-000049060000}"/>
    <hyperlink ref="A843" r:id="rId1611" xr:uid="{00000000-0004-0000-0500-00004A060000}"/>
    <hyperlink ref="D843" r:id="rId1612" xr:uid="{00000000-0004-0000-0500-00004B060000}"/>
    <hyperlink ref="A844" r:id="rId1613" xr:uid="{00000000-0004-0000-0500-00004C060000}"/>
    <hyperlink ref="D844" r:id="rId1614" xr:uid="{00000000-0004-0000-0500-00004D060000}"/>
    <hyperlink ref="A845" r:id="rId1615" xr:uid="{00000000-0004-0000-0500-00004E060000}"/>
    <hyperlink ref="D845" r:id="rId1616" xr:uid="{00000000-0004-0000-0500-00004F060000}"/>
    <hyperlink ref="A846" r:id="rId1617" xr:uid="{00000000-0004-0000-0500-000050060000}"/>
    <hyperlink ref="D846" r:id="rId1618" xr:uid="{00000000-0004-0000-0500-000051060000}"/>
    <hyperlink ref="A847" r:id="rId1619" xr:uid="{00000000-0004-0000-0500-000052060000}"/>
    <hyperlink ref="D847" r:id="rId1620" xr:uid="{00000000-0004-0000-0500-000053060000}"/>
    <hyperlink ref="A848" r:id="rId1621" xr:uid="{00000000-0004-0000-0500-000054060000}"/>
    <hyperlink ref="D848" r:id="rId1622" xr:uid="{00000000-0004-0000-0500-000055060000}"/>
    <hyperlink ref="A849" r:id="rId1623" xr:uid="{00000000-0004-0000-0500-000056060000}"/>
    <hyperlink ref="D849" r:id="rId1624" xr:uid="{00000000-0004-0000-0500-000057060000}"/>
    <hyperlink ref="A850" r:id="rId1625" xr:uid="{00000000-0004-0000-0500-000058060000}"/>
    <hyperlink ref="D850" r:id="rId1626" xr:uid="{00000000-0004-0000-0500-000059060000}"/>
    <hyperlink ref="A851" r:id="rId1627" xr:uid="{00000000-0004-0000-0500-00005A060000}"/>
    <hyperlink ref="D851" r:id="rId1628" xr:uid="{00000000-0004-0000-0500-00005B060000}"/>
    <hyperlink ref="A852" r:id="rId1629" xr:uid="{00000000-0004-0000-0500-00005C060000}"/>
    <hyperlink ref="D852" r:id="rId1630" xr:uid="{00000000-0004-0000-0500-00005D060000}"/>
    <hyperlink ref="A853" r:id="rId1631" xr:uid="{00000000-0004-0000-0500-00005E060000}"/>
    <hyperlink ref="D853" r:id="rId1632" xr:uid="{00000000-0004-0000-0500-00005F060000}"/>
    <hyperlink ref="A854" r:id="rId1633" xr:uid="{00000000-0004-0000-0500-000060060000}"/>
    <hyperlink ref="D854" r:id="rId1634" xr:uid="{00000000-0004-0000-0500-000061060000}"/>
    <hyperlink ref="A855" r:id="rId1635" xr:uid="{00000000-0004-0000-0500-000062060000}"/>
    <hyperlink ref="D855" r:id="rId1636" xr:uid="{00000000-0004-0000-0500-000063060000}"/>
    <hyperlink ref="A856" r:id="rId1637" xr:uid="{00000000-0004-0000-0500-000064060000}"/>
    <hyperlink ref="D856" r:id="rId1638" xr:uid="{00000000-0004-0000-0500-000065060000}"/>
    <hyperlink ref="A857" r:id="rId1639" xr:uid="{00000000-0004-0000-0500-000066060000}"/>
    <hyperlink ref="D857" r:id="rId1640" xr:uid="{00000000-0004-0000-0500-000067060000}"/>
    <hyperlink ref="A858" r:id="rId1641" xr:uid="{00000000-0004-0000-0500-000068060000}"/>
    <hyperlink ref="D858" r:id="rId1642" xr:uid="{00000000-0004-0000-0500-000069060000}"/>
    <hyperlink ref="A859" r:id="rId1643" xr:uid="{00000000-0004-0000-0500-00006A060000}"/>
    <hyperlink ref="D859" r:id="rId1644" xr:uid="{00000000-0004-0000-0500-00006B060000}"/>
    <hyperlink ref="A860" r:id="rId1645" xr:uid="{00000000-0004-0000-0500-00006C060000}"/>
    <hyperlink ref="D860" r:id="rId1646" xr:uid="{00000000-0004-0000-0500-00006D060000}"/>
    <hyperlink ref="A861" r:id="rId1647" xr:uid="{00000000-0004-0000-0500-00006E060000}"/>
    <hyperlink ref="D861" r:id="rId1648" xr:uid="{00000000-0004-0000-0500-00006F060000}"/>
    <hyperlink ref="A862" r:id="rId1649" xr:uid="{00000000-0004-0000-0500-000070060000}"/>
    <hyperlink ref="D862" r:id="rId1650" xr:uid="{00000000-0004-0000-0500-000071060000}"/>
    <hyperlink ref="A863" r:id="rId1651" xr:uid="{00000000-0004-0000-0500-000072060000}"/>
    <hyperlink ref="D863" r:id="rId1652" xr:uid="{00000000-0004-0000-0500-000073060000}"/>
    <hyperlink ref="A864" r:id="rId1653" xr:uid="{00000000-0004-0000-0500-000074060000}"/>
    <hyperlink ref="D864" r:id="rId1654" xr:uid="{00000000-0004-0000-0500-000075060000}"/>
    <hyperlink ref="A865" r:id="rId1655" xr:uid="{00000000-0004-0000-0500-000076060000}"/>
    <hyperlink ref="D865" r:id="rId1656" xr:uid="{00000000-0004-0000-0500-000077060000}"/>
    <hyperlink ref="A866" r:id="rId1657" xr:uid="{00000000-0004-0000-0500-000078060000}"/>
    <hyperlink ref="D866" r:id="rId1658" xr:uid="{00000000-0004-0000-0500-000079060000}"/>
    <hyperlink ref="A867" r:id="rId1659" xr:uid="{00000000-0004-0000-0500-00007A060000}"/>
    <hyperlink ref="D867" r:id="rId1660" xr:uid="{00000000-0004-0000-0500-00007B060000}"/>
    <hyperlink ref="A868" r:id="rId1661" xr:uid="{00000000-0004-0000-0500-00007C060000}"/>
    <hyperlink ref="D868" r:id="rId1662" xr:uid="{00000000-0004-0000-0500-00007D060000}"/>
    <hyperlink ref="A869" r:id="rId1663" xr:uid="{00000000-0004-0000-0500-00007E060000}"/>
    <hyperlink ref="D869" r:id="rId1664" xr:uid="{00000000-0004-0000-0500-00007F060000}"/>
    <hyperlink ref="A870" r:id="rId1665" xr:uid="{00000000-0004-0000-0500-000080060000}"/>
    <hyperlink ref="D870" r:id="rId1666" xr:uid="{00000000-0004-0000-0500-000081060000}"/>
    <hyperlink ref="A871" r:id="rId1667" xr:uid="{00000000-0004-0000-0500-000082060000}"/>
    <hyperlink ref="D871" r:id="rId1668" xr:uid="{00000000-0004-0000-0500-000083060000}"/>
    <hyperlink ref="A872" r:id="rId1669" xr:uid="{00000000-0004-0000-0500-000084060000}"/>
    <hyperlink ref="D872" r:id="rId1670" xr:uid="{00000000-0004-0000-0500-000085060000}"/>
    <hyperlink ref="A873" r:id="rId1671" xr:uid="{00000000-0004-0000-0500-000086060000}"/>
    <hyperlink ref="D873" r:id="rId1672" xr:uid="{00000000-0004-0000-0500-000087060000}"/>
    <hyperlink ref="A874" r:id="rId1673" xr:uid="{00000000-0004-0000-0500-000088060000}"/>
    <hyperlink ref="D874" r:id="rId1674" xr:uid="{00000000-0004-0000-0500-000089060000}"/>
    <hyperlink ref="A875" r:id="rId1675" xr:uid="{00000000-0004-0000-0500-00008A060000}"/>
    <hyperlink ref="D875" r:id="rId1676" xr:uid="{00000000-0004-0000-0500-00008B060000}"/>
    <hyperlink ref="A876" r:id="rId1677" xr:uid="{00000000-0004-0000-0500-00008C060000}"/>
    <hyperlink ref="D876" r:id="rId1678" xr:uid="{00000000-0004-0000-0500-00008D060000}"/>
    <hyperlink ref="A877" r:id="rId1679" xr:uid="{00000000-0004-0000-0500-00008E060000}"/>
    <hyperlink ref="D877" r:id="rId1680" xr:uid="{00000000-0004-0000-0500-00008F060000}"/>
    <hyperlink ref="A878" r:id="rId1681" xr:uid="{00000000-0004-0000-0500-000090060000}"/>
    <hyperlink ref="D878" r:id="rId1682" xr:uid="{00000000-0004-0000-0500-000091060000}"/>
    <hyperlink ref="A879" r:id="rId1683" xr:uid="{00000000-0004-0000-0500-000092060000}"/>
    <hyperlink ref="D879" r:id="rId1684" xr:uid="{00000000-0004-0000-0500-000093060000}"/>
    <hyperlink ref="A880" r:id="rId1685" xr:uid="{00000000-0004-0000-0500-000094060000}"/>
    <hyperlink ref="D880" r:id="rId1686" xr:uid="{00000000-0004-0000-0500-000095060000}"/>
    <hyperlink ref="A881" r:id="rId1687" xr:uid="{00000000-0004-0000-0500-000096060000}"/>
    <hyperlink ref="D881" r:id="rId1688" xr:uid="{00000000-0004-0000-0500-000097060000}"/>
    <hyperlink ref="A882" r:id="rId1689" xr:uid="{00000000-0004-0000-0500-000098060000}"/>
    <hyperlink ref="D882" r:id="rId1690" xr:uid="{00000000-0004-0000-0500-000099060000}"/>
    <hyperlink ref="A883" r:id="rId1691" xr:uid="{00000000-0004-0000-0500-00009A060000}"/>
    <hyperlink ref="D883" r:id="rId1692" xr:uid="{00000000-0004-0000-0500-00009B060000}"/>
    <hyperlink ref="A884" r:id="rId1693" xr:uid="{00000000-0004-0000-0500-00009C060000}"/>
    <hyperlink ref="D884" r:id="rId1694" xr:uid="{00000000-0004-0000-0500-00009D060000}"/>
    <hyperlink ref="A885" r:id="rId1695" xr:uid="{00000000-0004-0000-0500-00009E060000}"/>
    <hyperlink ref="D885" r:id="rId1696" xr:uid="{00000000-0004-0000-0500-00009F060000}"/>
    <hyperlink ref="A886" r:id="rId1697" xr:uid="{00000000-0004-0000-0500-0000A0060000}"/>
    <hyperlink ref="D886" r:id="rId1698" xr:uid="{00000000-0004-0000-0500-0000A1060000}"/>
    <hyperlink ref="A887" r:id="rId1699" xr:uid="{00000000-0004-0000-0500-0000A2060000}"/>
    <hyperlink ref="D887" r:id="rId1700" xr:uid="{00000000-0004-0000-0500-0000A3060000}"/>
    <hyperlink ref="A888" r:id="rId1701" xr:uid="{00000000-0004-0000-0500-0000A4060000}"/>
    <hyperlink ref="D888" r:id="rId1702" xr:uid="{00000000-0004-0000-0500-0000A5060000}"/>
    <hyperlink ref="A889" r:id="rId1703" xr:uid="{00000000-0004-0000-0500-0000A6060000}"/>
    <hyperlink ref="D889" r:id="rId1704" xr:uid="{00000000-0004-0000-0500-0000A7060000}"/>
    <hyperlink ref="A890" r:id="rId1705" xr:uid="{00000000-0004-0000-0500-0000A8060000}"/>
    <hyperlink ref="D890" r:id="rId1706" xr:uid="{00000000-0004-0000-0500-0000A9060000}"/>
    <hyperlink ref="A891" r:id="rId1707" xr:uid="{00000000-0004-0000-0500-0000AA060000}"/>
    <hyperlink ref="D891" r:id="rId1708" xr:uid="{00000000-0004-0000-0500-0000AB060000}"/>
    <hyperlink ref="A892" r:id="rId1709" xr:uid="{00000000-0004-0000-0500-0000AC060000}"/>
    <hyperlink ref="D892" r:id="rId1710" xr:uid="{00000000-0004-0000-0500-0000AD060000}"/>
    <hyperlink ref="A893" r:id="rId1711" xr:uid="{00000000-0004-0000-0500-0000AE060000}"/>
    <hyperlink ref="D893" r:id="rId1712" xr:uid="{00000000-0004-0000-0500-0000AF060000}"/>
    <hyperlink ref="A894" r:id="rId1713" xr:uid="{00000000-0004-0000-0500-0000B0060000}"/>
    <hyperlink ref="D894" r:id="rId1714" xr:uid="{00000000-0004-0000-0500-0000B1060000}"/>
    <hyperlink ref="A895" r:id="rId1715" xr:uid="{00000000-0004-0000-0500-0000B2060000}"/>
    <hyperlink ref="D895" r:id="rId1716" xr:uid="{00000000-0004-0000-0500-0000B3060000}"/>
    <hyperlink ref="A896" r:id="rId1717" xr:uid="{00000000-0004-0000-0500-0000B4060000}"/>
    <hyperlink ref="D896" r:id="rId1718" xr:uid="{00000000-0004-0000-0500-0000B5060000}"/>
    <hyperlink ref="A897" r:id="rId1719" xr:uid="{00000000-0004-0000-0500-0000B6060000}"/>
    <hyperlink ref="D897" r:id="rId1720" xr:uid="{00000000-0004-0000-0500-0000B7060000}"/>
    <hyperlink ref="A898" r:id="rId1721" xr:uid="{00000000-0004-0000-0500-0000B8060000}"/>
    <hyperlink ref="D898" r:id="rId1722" xr:uid="{00000000-0004-0000-0500-0000B9060000}"/>
    <hyperlink ref="A899" r:id="rId1723" xr:uid="{00000000-0004-0000-0500-0000BA060000}"/>
    <hyperlink ref="D899" r:id="rId1724" xr:uid="{00000000-0004-0000-0500-0000BB060000}"/>
    <hyperlink ref="A900" r:id="rId1725" xr:uid="{00000000-0004-0000-0500-0000BC060000}"/>
    <hyperlink ref="D900" r:id="rId1726" xr:uid="{00000000-0004-0000-0500-0000BD060000}"/>
    <hyperlink ref="A901" r:id="rId1727" xr:uid="{00000000-0004-0000-0500-0000BE060000}"/>
    <hyperlink ref="D901" r:id="rId1728" xr:uid="{00000000-0004-0000-0500-0000BF060000}"/>
    <hyperlink ref="A902" r:id="rId1729" xr:uid="{00000000-0004-0000-0500-0000C0060000}"/>
    <hyperlink ref="D902" r:id="rId1730" xr:uid="{00000000-0004-0000-0500-0000C1060000}"/>
    <hyperlink ref="A903" r:id="rId1731" xr:uid="{00000000-0004-0000-0500-0000C2060000}"/>
    <hyperlink ref="D903" r:id="rId1732" xr:uid="{00000000-0004-0000-0500-0000C3060000}"/>
    <hyperlink ref="A904" r:id="rId1733" xr:uid="{00000000-0004-0000-0500-0000C4060000}"/>
    <hyperlink ref="D904" r:id="rId1734" xr:uid="{00000000-0004-0000-0500-0000C5060000}"/>
    <hyperlink ref="A905" r:id="rId1735" xr:uid="{00000000-0004-0000-0500-0000C6060000}"/>
    <hyperlink ref="D905" r:id="rId1736" xr:uid="{00000000-0004-0000-0500-0000C7060000}"/>
    <hyperlink ref="A906" r:id="rId1737" xr:uid="{00000000-0004-0000-0500-0000C8060000}"/>
    <hyperlink ref="D906" r:id="rId1738" xr:uid="{00000000-0004-0000-0500-0000C9060000}"/>
    <hyperlink ref="A907" r:id="rId1739" xr:uid="{00000000-0004-0000-0500-0000CA060000}"/>
    <hyperlink ref="D907" r:id="rId1740" xr:uid="{00000000-0004-0000-0500-0000CB060000}"/>
    <hyperlink ref="A908" r:id="rId1741" xr:uid="{00000000-0004-0000-0500-0000CC060000}"/>
    <hyperlink ref="D908" r:id="rId1742" xr:uid="{00000000-0004-0000-0500-0000CD060000}"/>
    <hyperlink ref="A909" r:id="rId1743" xr:uid="{00000000-0004-0000-0500-0000CE060000}"/>
    <hyperlink ref="D909" r:id="rId1744" xr:uid="{00000000-0004-0000-0500-0000CF060000}"/>
    <hyperlink ref="A910" r:id="rId1745" xr:uid="{00000000-0004-0000-0500-0000D0060000}"/>
    <hyperlink ref="D910" r:id="rId1746" xr:uid="{00000000-0004-0000-0500-0000D1060000}"/>
    <hyperlink ref="A911" r:id="rId1747" xr:uid="{00000000-0004-0000-0500-0000D2060000}"/>
    <hyperlink ref="D911" r:id="rId1748" xr:uid="{00000000-0004-0000-0500-0000D3060000}"/>
    <hyperlink ref="A912" r:id="rId1749" xr:uid="{00000000-0004-0000-0500-0000D4060000}"/>
    <hyperlink ref="D912" r:id="rId1750" xr:uid="{00000000-0004-0000-0500-0000D5060000}"/>
    <hyperlink ref="A913" r:id="rId1751" xr:uid="{00000000-0004-0000-0500-0000D6060000}"/>
    <hyperlink ref="D913" r:id="rId1752" xr:uid="{00000000-0004-0000-0500-0000D7060000}"/>
    <hyperlink ref="A914" r:id="rId1753" xr:uid="{00000000-0004-0000-0500-0000D8060000}"/>
    <hyperlink ref="D914" r:id="rId1754" xr:uid="{00000000-0004-0000-0500-0000D9060000}"/>
    <hyperlink ref="A915" r:id="rId1755" xr:uid="{00000000-0004-0000-0500-0000DA060000}"/>
    <hyperlink ref="D915" r:id="rId1756" xr:uid="{00000000-0004-0000-0500-0000DB060000}"/>
    <hyperlink ref="A916" r:id="rId1757" xr:uid="{00000000-0004-0000-0500-0000DC060000}"/>
    <hyperlink ref="D916" r:id="rId1758" xr:uid="{00000000-0004-0000-0500-0000DD060000}"/>
    <hyperlink ref="A917" r:id="rId1759" xr:uid="{00000000-0004-0000-0500-0000DE060000}"/>
    <hyperlink ref="D917" r:id="rId1760" xr:uid="{00000000-0004-0000-0500-0000DF060000}"/>
    <hyperlink ref="A918" r:id="rId1761" xr:uid="{00000000-0004-0000-0500-0000E0060000}"/>
    <hyperlink ref="D918" r:id="rId1762" xr:uid="{00000000-0004-0000-0500-0000E1060000}"/>
    <hyperlink ref="A919" r:id="rId1763" xr:uid="{00000000-0004-0000-0500-0000E2060000}"/>
    <hyperlink ref="D919" r:id="rId1764" xr:uid="{00000000-0004-0000-0500-0000E3060000}"/>
    <hyperlink ref="A920" r:id="rId1765" xr:uid="{00000000-0004-0000-0500-0000E4060000}"/>
    <hyperlink ref="D920" r:id="rId1766" xr:uid="{00000000-0004-0000-0500-0000E5060000}"/>
    <hyperlink ref="A921" r:id="rId1767" xr:uid="{00000000-0004-0000-0500-0000E6060000}"/>
    <hyperlink ref="D921" r:id="rId1768" xr:uid="{00000000-0004-0000-0500-0000E7060000}"/>
    <hyperlink ref="A922" r:id="rId1769" xr:uid="{00000000-0004-0000-0500-0000E8060000}"/>
    <hyperlink ref="D922" r:id="rId1770" xr:uid="{00000000-0004-0000-0500-0000E9060000}"/>
    <hyperlink ref="A923" r:id="rId1771" xr:uid="{00000000-0004-0000-0500-0000EA060000}"/>
    <hyperlink ref="D923" r:id="rId1772" xr:uid="{00000000-0004-0000-0500-0000EB060000}"/>
    <hyperlink ref="A924" r:id="rId1773" xr:uid="{00000000-0004-0000-0500-0000EC060000}"/>
    <hyperlink ref="D924" r:id="rId1774" xr:uid="{00000000-0004-0000-0500-0000ED060000}"/>
    <hyperlink ref="A925" r:id="rId1775" xr:uid="{00000000-0004-0000-0500-0000EE060000}"/>
    <hyperlink ref="D925" r:id="rId1776" xr:uid="{00000000-0004-0000-0500-0000EF060000}"/>
    <hyperlink ref="A926" r:id="rId1777" xr:uid="{00000000-0004-0000-0500-0000F0060000}"/>
    <hyperlink ref="D926" r:id="rId1778" xr:uid="{00000000-0004-0000-0500-0000F1060000}"/>
    <hyperlink ref="A927" r:id="rId1779" xr:uid="{00000000-0004-0000-0500-0000F2060000}"/>
    <hyperlink ref="D927" r:id="rId1780" xr:uid="{00000000-0004-0000-0500-0000F3060000}"/>
    <hyperlink ref="A928" r:id="rId1781" xr:uid="{00000000-0004-0000-0500-0000F4060000}"/>
    <hyperlink ref="D928" r:id="rId1782" xr:uid="{00000000-0004-0000-0500-0000F5060000}"/>
    <hyperlink ref="A929" r:id="rId1783" xr:uid="{00000000-0004-0000-0500-0000F6060000}"/>
    <hyperlink ref="D929" r:id="rId1784" xr:uid="{00000000-0004-0000-0500-0000F7060000}"/>
    <hyperlink ref="A930" r:id="rId1785" xr:uid="{00000000-0004-0000-0500-0000F8060000}"/>
    <hyperlink ref="D930" r:id="rId1786" xr:uid="{00000000-0004-0000-0500-0000F9060000}"/>
    <hyperlink ref="A931" r:id="rId1787" xr:uid="{00000000-0004-0000-0500-0000FA060000}"/>
    <hyperlink ref="D931" r:id="rId1788" xr:uid="{00000000-0004-0000-0500-0000FB060000}"/>
    <hyperlink ref="A932" r:id="rId1789" xr:uid="{00000000-0004-0000-0500-0000FC060000}"/>
    <hyperlink ref="D932" r:id="rId1790" xr:uid="{00000000-0004-0000-0500-0000FD060000}"/>
    <hyperlink ref="A933" r:id="rId1791" xr:uid="{00000000-0004-0000-0500-0000FE060000}"/>
    <hyperlink ref="D933" r:id="rId1792" xr:uid="{00000000-0004-0000-0500-0000FF060000}"/>
    <hyperlink ref="A934" r:id="rId1793" xr:uid="{00000000-0004-0000-0500-000000070000}"/>
    <hyperlink ref="D934" r:id="rId1794" xr:uid="{00000000-0004-0000-0500-000001070000}"/>
    <hyperlink ref="A935" r:id="rId1795" xr:uid="{00000000-0004-0000-0500-000002070000}"/>
    <hyperlink ref="D935" r:id="rId1796" xr:uid="{00000000-0004-0000-0500-000003070000}"/>
    <hyperlink ref="A936" r:id="rId1797" xr:uid="{00000000-0004-0000-0500-000004070000}"/>
    <hyperlink ref="D936" r:id="rId1798" xr:uid="{00000000-0004-0000-0500-000005070000}"/>
    <hyperlink ref="A937" r:id="rId1799" xr:uid="{00000000-0004-0000-0500-000006070000}"/>
    <hyperlink ref="D937" r:id="rId1800" xr:uid="{00000000-0004-0000-0500-000007070000}"/>
    <hyperlink ref="A938" r:id="rId1801" xr:uid="{00000000-0004-0000-0500-000008070000}"/>
    <hyperlink ref="D938" r:id="rId1802" xr:uid="{00000000-0004-0000-0500-000009070000}"/>
    <hyperlink ref="A939" r:id="rId1803" xr:uid="{00000000-0004-0000-0500-00000A070000}"/>
    <hyperlink ref="D939" r:id="rId1804" xr:uid="{00000000-0004-0000-0500-00000B070000}"/>
    <hyperlink ref="A940" r:id="rId1805" xr:uid="{00000000-0004-0000-0500-00000C070000}"/>
    <hyperlink ref="D940" r:id="rId1806" xr:uid="{00000000-0004-0000-0500-00000D070000}"/>
    <hyperlink ref="A941" r:id="rId1807" xr:uid="{00000000-0004-0000-0500-00000E070000}"/>
    <hyperlink ref="D941" r:id="rId1808" xr:uid="{00000000-0004-0000-0500-00000F070000}"/>
    <hyperlink ref="A942" r:id="rId1809" xr:uid="{00000000-0004-0000-0500-000010070000}"/>
    <hyperlink ref="D942" r:id="rId1810" xr:uid="{00000000-0004-0000-0500-000011070000}"/>
    <hyperlink ref="A943" r:id="rId1811" xr:uid="{00000000-0004-0000-0500-000012070000}"/>
    <hyperlink ref="D943" r:id="rId1812" xr:uid="{00000000-0004-0000-0500-000013070000}"/>
    <hyperlink ref="A944" r:id="rId1813" xr:uid="{00000000-0004-0000-0500-000014070000}"/>
    <hyperlink ref="D944" r:id="rId1814" xr:uid="{00000000-0004-0000-0500-000015070000}"/>
    <hyperlink ref="A945" r:id="rId1815" xr:uid="{00000000-0004-0000-0500-000016070000}"/>
    <hyperlink ref="D945" r:id="rId1816" xr:uid="{00000000-0004-0000-0500-000017070000}"/>
    <hyperlink ref="A946" r:id="rId1817" xr:uid="{00000000-0004-0000-0500-000018070000}"/>
    <hyperlink ref="D946" r:id="rId1818" xr:uid="{00000000-0004-0000-0500-000019070000}"/>
    <hyperlink ref="A947" r:id="rId1819" xr:uid="{00000000-0004-0000-0500-00001A070000}"/>
    <hyperlink ref="D947" r:id="rId1820" xr:uid="{00000000-0004-0000-0500-00001B070000}"/>
    <hyperlink ref="A948" r:id="rId1821" xr:uid="{00000000-0004-0000-0500-00001C070000}"/>
    <hyperlink ref="D948" r:id="rId1822" xr:uid="{00000000-0004-0000-0500-00001D070000}"/>
    <hyperlink ref="A949" r:id="rId1823" xr:uid="{00000000-0004-0000-0500-00001E070000}"/>
    <hyperlink ref="D949" r:id="rId1824" xr:uid="{00000000-0004-0000-0500-00001F070000}"/>
    <hyperlink ref="A950" r:id="rId1825" xr:uid="{00000000-0004-0000-0500-000020070000}"/>
    <hyperlink ref="D950" r:id="rId1826" xr:uid="{00000000-0004-0000-0500-000021070000}"/>
    <hyperlink ref="A951" r:id="rId1827" xr:uid="{00000000-0004-0000-0500-000022070000}"/>
    <hyperlink ref="D951" r:id="rId1828" xr:uid="{00000000-0004-0000-0500-000023070000}"/>
    <hyperlink ref="A952" r:id="rId1829" xr:uid="{00000000-0004-0000-0500-000024070000}"/>
    <hyperlink ref="D952" r:id="rId1830" xr:uid="{00000000-0004-0000-0500-000025070000}"/>
    <hyperlink ref="A953" r:id="rId1831" xr:uid="{00000000-0004-0000-0500-000026070000}"/>
    <hyperlink ref="D953" r:id="rId1832" xr:uid="{00000000-0004-0000-0500-000027070000}"/>
    <hyperlink ref="A954" r:id="rId1833" xr:uid="{00000000-0004-0000-0500-000028070000}"/>
    <hyperlink ref="D954" r:id="rId1834" xr:uid="{00000000-0004-0000-0500-000029070000}"/>
    <hyperlink ref="A955" r:id="rId1835" xr:uid="{00000000-0004-0000-0500-00002A070000}"/>
    <hyperlink ref="D955" r:id="rId1836" xr:uid="{00000000-0004-0000-0500-00002B070000}"/>
    <hyperlink ref="A956" r:id="rId1837" xr:uid="{00000000-0004-0000-0500-00002C070000}"/>
    <hyperlink ref="D956" r:id="rId1838" xr:uid="{00000000-0004-0000-0500-00002D070000}"/>
    <hyperlink ref="A957" r:id="rId1839" xr:uid="{00000000-0004-0000-0500-00002E070000}"/>
    <hyperlink ref="D957" r:id="rId1840" xr:uid="{00000000-0004-0000-0500-00002F070000}"/>
    <hyperlink ref="A958" r:id="rId1841" xr:uid="{00000000-0004-0000-0500-000030070000}"/>
    <hyperlink ref="D958" r:id="rId1842" xr:uid="{00000000-0004-0000-0500-000031070000}"/>
    <hyperlink ref="A959" r:id="rId1843" xr:uid="{00000000-0004-0000-0500-000032070000}"/>
    <hyperlink ref="D959" r:id="rId1844" xr:uid="{00000000-0004-0000-0500-000033070000}"/>
    <hyperlink ref="A960" r:id="rId1845" xr:uid="{00000000-0004-0000-0500-000034070000}"/>
    <hyperlink ref="D960" r:id="rId1846" xr:uid="{00000000-0004-0000-0500-000035070000}"/>
    <hyperlink ref="A961" r:id="rId1847" xr:uid="{00000000-0004-0000-0500-000036070000}"/>
    <hyperlink ref="D961" r:id="rId1848" xr:uid="{00000000-0004-0000-0500-000037070000}"/>
    <hyperlink ref="A962" r:id="rId1849" xr:uid="{00000000-0004-0000-0500-000038070000}"/>
    <hyperlink ref="D962" r:id="rId1850" xr:uid="{00000000-0004-0000-0500-000039070000}"/>
    <hyperlink ref="A963" r:id="rId1851" xr:uid="{00000000-0004-0000-0500-00003A070000}"/>
    <hyperlink ref="D963" r:id="rId1852" xr:uid="{00000000-0004-0000-0500-00003B070000}"/>
    <hyperlink ref="A964" r:id="rId1853" xr:uid="{00000000-0004-0000-0500-00003C070000}"/>
    <hyperlink ref="D964" r:id="rId1854" xr:uid="{00000000-0004-0000-0500-00003D070000}"/>
    <hyperlink ref="A965" r:id="rId1855" xr:uid="{00000000-0004-0000-0500-00003E070000}"/>
    <hyperlink ref="D965" r:id="rId1856" xr:uid="{00000000-0004-0000-0500-00003F070000}"/>
    <hyperlink ref="A966" r:id="rId1857" xr:uid="{00000000-0004-0000-0500-000040070000}"/>
    <hyperlink ref="D966" r:id="rId1858" xr:uid="{00000000-0004-0000-0500-000041070000}"/>
    <hyperlink ref="A967" r:id="rId1859" xr:uid="{00000000-0004-0000-0500-000042070000}"/>
    <hyperlink ref="D967" r:id="rId1860" xr:uid="{00000000-0004-0000-0500-000043070000}"/>
    <hyperlink ref="A968" r:id="rId1861" xr:uid="{00000000-0004-0000-0500-000044070000}"/>
    <hyperlink ref="D968" r:id="rId1862" xr:uid="{00000000-0004-0000-0500-000045070000}"/>
    <hyperlink ref="A969" r:id="rId1863" xr:uid="{00000000-0004-0000-0500-000046070000}"/>
    <hyperlink ref="D969" r:id="rId1864" xr:uid="{00000000-0004-0000-0500-000047070000}"/>
    <hyperlink ref="A970" r:id="rId1865" xr:uid="{00000000-0004-0000-0500-000048070000}"/>
    <hyperlink ref="D970" r:id="rId1866" xr:uid="{00000000-0004-0000-0500-000049070000}"/>
    <hyperlink ref="A971" r:id="rId1867" xr:uid="{00000000-0004-0000-0500-00004A070000}"/>
    <hyperlink ref="D971" r:id="rId1868" xr:uid="{00000000-0004-0000-0500-00004B070000}"/>
    <hyperlink ref="A972" r:id="rId1869" xr:uid="{00000000-0004-0000-0500-00004C070000}"/>
    <hyperlink ref="D972" r:id="rId1870" xr:uid="{00000000-0004-0000-0500-00004D070000}"/>
    <hyperlink ref="A973" r:id="rId1871" xr:uid="{00000000-0004-0000-0500-00004E070000}"/>
    <hyperlink ref="D973" r:id="rId1872" xr:uid="{00000000-0004-0000-0500-00004F070000}"/>
    <hyperlink ref="A974" r:id="rId1873" xr:uid="{00000000-0004-0000-0500-000050070000}"/>
    <hyperlink ref="D974" r:id="rId1874" xr:uid="{00000000-0004-0000-0500-000051070000}"/>
    <hyperlink ref="A975" r:id="rId1875" xr:uid="{00000000-0004-0000-0500-000052070000}"/>
    <hyperlink ref="D975" r:id="rId1876" xr:uid="{00000000-0004-0000-0500-000053070000}"/>
    <hyperlink ref="A976" r:id="rId1877" xr:uid="{00000000-0004-0000-0500-000054070000}"/>
    <hyperlink ref="D976" r:id="rId1878" xr:uid="{00000000-0004-0000-0500-000055070000}"/>
    <hyperlink ref="A977" r:id="rId1879" xr:uid="{00000000-0004-0000-0500-000056070000}"/>
    <hyperlink ref="D977" r:id="rId1880" xr:uid="{00000000-0004-0000-0500-000057070000}"/>
    <hyperlink ref="A978" r:id="rId1881" xr:uid="{00000000-0004-0000-0500-000058070000}"/>
    <hyperlink ref="D978" r:id="rId1882" xr:uid="{00000000-0004-0000-0500-000059070000}"/>
    <hyperlink ref="A979" r:id="rId1883" xr:uid="{00000000-0004-0000-0500-00005A070000}"/>
    <hyperlink ref="D979" r:id="rId1884" xr:uid="{00000000-0004-0000-0500-00005B070000}"/>
    <hyperlink ref="A980" r:id="rId1885" xr:uid="{00000000-0004-0000-0500-00005C070000}"/>
    <hyperlink ref="D980" r:id="rId1886" xr:uid="{00000000-0004-0000-0500-00005D070000}"/>
    <hyperlink ref="A981" r:id="rId1887" xr:uid="{00000000-0004-0000-0500-00005E070000}"/>
    <hyperlink ref="D981" r:id="rId1888" xr:uid="{00000000-0004-0000-0500-00005F070000}"/>
    <hyperlink ref="A982" r:id="rId1889" xr:uid="{00000000-0004-0000-0500-000060070000}"/>
    <hyperlink ref="D982" r:id="rId1890" xr:uid="{00000000-0004-0000-0500-000061070000}"/>
    <hyperlink ref="A983" r:id="rId1891" xr:uid="{00000000-0004-0000-0500-000062070000}"/>
    <hyperlink ref="D983" r:id="rId1892" xr:uid="{00000000-0004-0000-0500-000063070000}"/>
    <hyperlink ref="A984" r:id="rId1893" xr:uid="{00000000-0004-0000-0500-000064070000}"/>
    <hyperlink ref="D984" r:id="rId1894" xr:uid="{00000000-0004-0000-0500-000065070000}"/>
    <hyperlink ref="A985" r:id="rId1895" xr:uid="{00000000-0004-0000-0500-000066070000}"/>
    <hyperlink ref="D985" r:id="rId1896" xr:uid="{00000000-0004-0000-0500-000067070000}"/>
    <hyperlink ref="A986" r:id="rId1897" xr:uid="{00000000-0004-0000-0500-000068070000}"/>
    <hyperlink ref="D986" r:id="rId1898" xr:uid="{00000000-0004-0000-0500-000069070000}"/>
    <hyperlink ref="A987" r:id="rId1899" xr:uid="{00000000-0004-0000-0500-00006A070000}"/>
    <hyperlink ref="D987" r:id="rId1900" xr:uid="{00000000-0004-0000-0500-00006B070000}"/>
    <hyperlink ref="A988" r:id="rId1901" xr:uid="{00000000-0004-0000-0500-00006C070000}"/>
    <hyperlink ref="D988" r:id="rId1902" xr:uid="{00000000-0004-0000-0500-00006D070000}"/>
    <hyperlink ref="A989" r:id="rId1903" xr:uid="{00000000-0004-0000-0500-00006E070000}"/>
    <hyperlink ref="D989" r:id="rId1904" xr:uid="{00000000-0004-0000-0500-00006F070000}"/>
    <hyperlink ref="A990" r:id="rId1905" xr:uid="{00000000-0004-0000-0500-000070070000}"/>
    <hyperlink ref="D990" r:id="rId1906" xr:uid="{00000000-0004-0000-0500-000071070000}"/>
    <hyperlink ref="A991" r:id="rId1907" xr:uid="{00000000-0004-0000-0500-000072070000}"/>
    <hyperlink ref="D991" r:id="rId1908" xr:uid="{00000000-0004-0000-0500-000073070000}"/>
    <hyperlink ref="A992" r:id="rId1909" xr:uid="{00000000-0004-0000-0500-000074070000}"/>
    <hyperlink ref="D992" r:id="rId1910" xr:uid="{00000000-0004-0000-0500-000075070000}"/>
    <hyperlink ref="A993" r:id="rId1911" xr:uid="{00000000-0004-0000-0500-000076070000}"/>
    <hyperlink ref="D993" r:id="rId1912" xr:uid="{00000000-0004-0000-0500-000077070000}"/>
    <hyperlink ref="A994" r:id="rId1913" xr:uid="{00000000-0004-0000-0500-000078070000}"/>
    <hyperlink ref="D994" r:id="rId1914" xr:uid="{00000000-0004-0000-0500-000079070000}"/>
    <hyperlink ref="A995" r:id="rId1915" xr:uid="{00000000-0004-0000-0500-00007A070000}"/>
    <hyperlink ref="D995" r:id="rId1916" xr:uid="{00000000-0004-0000-0500-00007B070000}"/>
    <hyperlink ref="A996" r:id="rId1917" xr:uid="{00000000-0004-0000-0500-00007C070000}"/>
    <hyperlink ref="D996" r:id="rId1918" xr:uid="{00000000-0004-0000-0500-00007D070000}"/>
    <hyperlink ref="A997" r:id="rId1919" xr:uid="{00000000-0004-0000-0500-00007E070000}"/>
    <hyperlink ref="D997" r:id="rId1920" xr:uid="{00000000-0004-0000-0500-00007F070000}"/>
    <hyperlink ref="A998" r:id="rId1921" xr:uid="{00000000-0004-0000-0500-000080070000}"/>
    <hyperlink ref="D998" r:id="rId1922" xr:uid="{00000000-0004-0000-0500-000081070000}"/>
    <hyperlink ref="A999" r:id="rId1923" xr:uid="{00000000-0004-0000-0500-000082070000}"/>
    <hyperlink ref="D999" r:id="rId1924" xr:uid="{00000000-0004-0000-0500-000083070000}"/>
    <hyperlink ref="A1000" r:id="rId1925" xr:uid="{00000000-0004-0000-0500-000084070000}"/>
    <hyperlink ref="D1000" r:id="rId1926" xr:uid="{00000000-0004-0000-0500-000085070000}"/>
    <hyperlink ref="A1001" r:id="rId1927" xr:uid="{00000000-0004-0000-0500-000086070000}"/>
    <hyperlink ref="D1001" r:id="rId1928" xr:uid="{00000000-0004-0000-0500-000087070000}"/>
    <hyperlink ref="A1002" r:id="rId1929" xr:uid="{00000000-0004-0000-0500-000088070000}"/>
    <hyperlink ref="D1002" r:id="rId1930" xr:uid="{00000000-0004-0000-0500-000089070000}"/>
    <hyperlink ref="A1003" r:id="rId1931" xr:uid="{00000000-0004-0000-0500-00008A070000}"/>
    <hyperlink ref="D1003" r:id="rId1932" xr:uid="{00000000-0004-0000-0500-00008B070000}"/>
    <hyperlink ref="A1004" r:id="rId1933" xr:uid="{00000000-0004-0000-0500-00008C070000}"/>
    <hyperlink ref="D1004" r:id="rId1934" xr:uid="{00000000-0004-0000-0500-00008D070000}"/>
    <hyperlink ref="A1005" r:id="rId1935" xr:uid="{00000000-0004-0000-0500-00008E070000}"/>
    <hyperlink ref="D1005" r:id="rId1936" xr:uid="{00000000-0004-0000-0500-00008F070000}"/>
    <hyperlink ref="A1006" r:id="rId1937" xr:uid="{00000000-0004-0000-0500-000090070000}"/>
    <hyperlink ref="D1006" r:id="rId1938" xr:uid="{00000000-0004-0000-0500-000091070000}"/>
    <hyperlink ref="A1007" r:id="rId1939" xr:uid="{00000000-0004-0000-0500-000092070000}"/>
    <hyperlink ref="D1007" r:id="rId1940" xr:uid="{00000000-0004-0000-0500-000093070000}"/>
    <hyperlink ref="A1008" r:id="rId1941" xr:uid="{00000000-0004-0000-0500-000094070000}"/>
    <hyperlink ref="D1008" r:id="rId1942" xr:uid="{00000000-0004-0000-0500-000095070000}"/>
    <hyperlink ref="A1009" r:id="rId1943" xr:uid="{00000000-0004-0000-0500-000096070000}"/>
    <hyperlink ref="D1009" r:id="rId1944" xr:uid="{00000000-0004-0000-0500-000097070000}"/>
    <hyperlink ref="A1010" r:id="rId1945" xr:uid="{00000000-0004-0000-0500-000098070000}"/>
    <hyperlink ref="D1010" r:id="rId1946" xr:uid="{00000000-0004-0000-0500-000099070000}"/>
    <hyperlink ref="A1011" r:id="rId1947" xr:uid="{00000000-0004-0000-0500-00009A070000}"/>
    <hyperlink ref="D1011" r:id="rId1948" xr:uid="{00000000-0004-0000-0500-00009B070000}"/>
    <hyperlink ref="A1012" r:id="rId1949" xr:uid="{00000000-0004-0000-0500-00009C070000}"/>
    <hyperlink ref="D1012" r:id="rId1950" xr:uid="{00000000-0004-0000-0500-00009D070000}"/>
    <hyperlink ref="A1013" r:id="rId1951" xr:uid="{00000000-0004-0000-0500-00009E070000}"/>
    <hyperlink ref="D1013" r:id="rId1952" xr:uid="{00000000-0004-0000-0500-00009F070000}"/>
    <hyperlink ref="A1014" r:id="rId1953" xr:uid="{00000000-0004-0000-0500-0000A0070000}"/>
    <hyperlink ref="D1014" r:id="rId1954" xr:uid="{00000000-0004-0000-0500-0000A1070000}"/>
    <hyperlink ref="A1015" r:id="rId1955" xr:uid="{00000000-0004-0000-0500-0000A2070000}"/>
    <hyperlink ref="D1015" r:id="rId1956" xr:uid="{00000000-0004-0000-0500-0000A3070000}"/>
    <hyperlink ref="A1016" r:id="rId1957" xr:uid="{00000000-0004-0000-0500-0000A4070000}"/>
    <hyperlink ref="D1016" r:id="rId1958" xr:uid="{00000000-0004-0000-0500-0000A5070000}"/>
    <hyperlink ref="A1017" r:id="rId1959" xr:uid="{00000000-0004-0000-0500-0000A6070000}"/>
    <hyperlink ref="D1017" r:id="rId1960" xr:uid="{00000000-0004-0000-0500-0000A7070000}"/>
    <hyperlink ref="A1018" r:id="rId1961" xr:uid="{00000000-0004-0000-0500-0000A8070000}"/>
    <hyperlink ref="D1018" r:id="rId1962" xr:uid="{00000000-0004-0000-0500-0000A9070000}"/>
    <hyperlink ref="A1019" r:id="rId1963" xr:uid="{00000000-0004-0000-0500-0000AA070000}"/>
    <hyperlink ref="D1019" r:id="rId1964" xr:uid="{00000000-0004-0000-0500-0000AB070000}"/>
    <hyperlink ref="A1020" r:id="rId1965" xr:uid="{00000000-0004-0000-0500-0000AC070000}"/>
    <hyperlink ref="D1020" r:id="rId1966" xr:uid="{00000000-0004-0000-0500-0000AD070000}"/>
    <hyperlink ref="A1021" r:id="rId1967" xr:uid="{00000000-0004-0000-0500-0000AE070000}"/>
    <hyperlink ref="D1021" r:id="rId1968" xr:uid="{00000000-0004-0000-0500-0000AF070000}"/>
    <hyperlink ref="A1022" r:id="rId1969" xr:uid="{00000000-0004-0000-0500-0000B0070000}"/>
    <hyperlink ref="D1022" r:id="rId1970" xr:uid="{00000000-0004-0000-0500-0000B1070000}"/>
    <hyperlink ref="A1023" r:id="rId1971" xr:uid="{00000000-0004-0000-0500-0000B2070000}"/>
    <hyperlink ref="D1023" r:id="rId1972" xr:uid="{00000000-0004-0000-0500-0000B3070000}"/>
    <hyperlink ref="A1024" r:id="rId1973" xr:uid="{00000000-0004-0000-0500-0000B4070000}"/>
    <hyperlink ref="D1024" r:id="rId1974" xr:uid="{00000000-0004-0000-0500-0000B5070000}"/>
    <hyperlink ref="A1025" r:id="rId1975" xr:uid="{00000000-0004-0000-0500-0000B6070000}"/>
    <hyperlink ref="D1025" r:id="rId1976" xr:uid="{00000000-0004-0000-0500-0000B7070000}"/>
    <hyperlink ref="A1026" r:id="rId1977" xr:uid="{00000000-0004-0000-0500-0000B8070000}"/>
    <hyperlink ref="D1026" r:id="rId1978" xr:uid="{00000000-0004-0000-0500-0000B9070000}"/>
    <hyperlink ref="A1027" r:id="rId1979" xr:uid="{00000000-0004-0000-0500-0000BA070000}"/>
    <hyperlink ref="D1027" r:id="rId1980" xr:uid="{00000000-0004-0000-0500-0000BB070000}"/>
    <hyperlink ref="A1028" r:id="rId1981" xr:uid="{00000000-0004-0000-0500-0000BC070000}"/>
    <hyperlink ref="D1028" r:id="rId1982" xr:uid="{00000000-0004-0000-0500-0000BD070000}"/>
    <hyperlink ref="A1029" r:id="rId1983" xr:uid="{00000000-0004-0000-0500-0000BE070000}"/>
    <hyperlink ref="D1029" r:id="rId1984" xr:uid="{00000000-0004-0000-0500-0000BF070000}"/>
    <hyperlink ref="A1030" r:id="rId1985" xr:uid="{00000000-0004-0000-0500-0000C0070000}"/>
    <hyperlink ref="D1030" r:id="rId1986" xr:uid="{00000000-0004-0000-0500-0000C1070000}"/>
    <hyperlink ref="A1031" r:id="rId1987" xr:uid="{00000000-0004-0000-0500-0000C2070000}"/>
    <hyperlink ref="D1031" r:id="rId1988" xr:uid="{00000000-0004-0000-0500-0000C3070000}"/>
    <hyperlink ref="A1032" r:id="rId1989" xr:uid="{00000000-0004-0000-0500-0000C4070000}"/>
    <hyperlink ref="D1032" r:id="rId1990" xr:uid="{00000000-0004-0000-0500-0000C5070000}"/>
    <hyperlink ref="A1033" r:id="rId1991" xr:uid="{00000000-0004-0000-0500-0000C6070000}"/>
    <hyperlink ref="D1033" r:id="rId1992" xr:uid="{00000000-0004-0000-0500-0000C7070000}"/>
    <hyperlink ref="A1034" r:id="rId1993" xr:uid="{00000000-0004-0000-0500-0000C8070000}"/>
    <hyperlink ref="D1034" r:id="rId1994" xr:uid="{00000000-0004-0000-0500-0000C9070000}"/>
    <hyperlink ref="A1035" r:id="rId1995" xr:uid="{00000000-0004-0000-0500-0000CA070000}"/>
    <hyperlink ref="D1035" r:id="rId1996" xr:uid="{00000000-0004-0000-0500-0000CB070000}"/>
    <hyperlink ref="A1036" r:id="rId1997" xr:uid="{00000000-0004-0000-0500-0000CC070000}"/>
    <hyperlink ref="D1036" r:id="rId1998" xr:uid="{00000000-0004-0000-0500-0000CD070000}"/>
    <hyperlink ref="A1037" r:id="rId1999" xr:uid="{00000000-0004-0000-0500-0000CE070000}"/>
    <hyperlink ref="D1037" r:id="rId2000" xr:uid="{00000000-0004-0000-0500-0000CF070000}"/>
    <hyperlink ref="A1038" r:id="rId2001" xr:uid="{00000000-0004-0000-0500-0000D0070000}"/>
    <hyperlink ref="D1038" r:id="rId2002" xr:uid="{00000000-0004-0000-0500-0000D1070000}"/>
    <hyperlink ref="A1039" r:id="rId2003" xr:uid="{00000000-0004-0000-0500-0000D2070000}"/>
    <hyperlink ref="D1039" r:id="rId2004" xr:uid="{00000000-0004-0000-0500-0000D3070000}"/>
    <hyperlink ref="A1040" r:id="rId2005" xr:uid="{00000000-0004-0000-0500-0000D4070000}"/>
    <hyperlink ref="D1040" r:id="rId2006" xr:uid="{00000000-0004-0000-0500-0000D5070000}"/>
    <hyperlink ref="A1041" r:id="rId2007" xr:uid="{00000000-0004-0000-0500-0000D6070000}"/>
    <hyperlink ref="D1041" r:id="rId2008" xr:uid="{00000000-0004-0000-0500-0000D7070000}"/>
    <hyperlink ref="A1042" r:id="rId2009" xr:uid="{00000000-0004-0000-0500-0000D8070000}"/>
    <hyperlink ref="D1042" r:id="rId2010" xr:uid="{00000000-0004-0000-0500-0000D9070000}"/>
    <hyperlink ref="A1043" r:id="rId2011" xr:uid="{00000000-0004-0000-0500-0000DA070000}"/>
    <hyperlink ref="D1043" r:id="rId2012" xr:uid="{00000000-0004-0000-0500-0000DB070000}"/>
    <hyperlink ref="A1044" r:id="rId2013" xr:uid="{00000000-0004-0000-0500-0000DC070000}"/>
    <hyperlink ref="D1044" r:id="rId2014" xr:uid="{00000000-0004-0000-0500-0000DD070000}"/>
    <hyperlink ref="A1045" r:id="rId2015" xr:uid="{00000000-0004-0000-0500-0000DE070000}"/>
    <hyperlink ref="D1045" r:id="rId2016" xr:uid="{00000000-0004-0000-0500-0000DF070000}"/>
    <hyperlink ref="A1046" r:id="rId2017" xr:uid="{00000000-0004-0000-0500-0000E0070000}"/>
    <hyperlink ref="D1046" r:id="rId2018" xr:uid="{00000000-0004-0000-0500-0000E1070000}"/>
    <hyperlink ref="A1047" r:id="rId2019" xr:uid="{00000000-0004-0000-0500-0000E2070000}"/>
    <hyperlink ref="D1047" r:id="rId2020" xr:uid="{00000000-0004-0000-0500-0000E3070000}"/>
    <hyperlink ref="A1048" r:id="rId2021" xr:uid="{00000000-0004-0000-0500-0000E4070000}"/>
    <hyperlink ref="D1048" r:id="rId2022" xr:uid="{00000000-0004-0000-0500-0000E5070000}"/>
    <hyperlink ref="A1049" r:id="rId2023" xr:uid="{00000000-0004-0000-0500-0000E6070000}"/>
    <hyperlink ref="D1049" r:id="rId2024" xr:uid="{00000000-0004-0000-0500-0000E7070000}"/>
    <hyperlink ref="A1050" r:id="rId2025" xr:uid="{00000000-0004-0000-0500-0000E8070000}"/>
    <hyperlink ref="D1050" r:id="rId2026" xr:uid="{00000000-0004-0000-0500-0000E9070000}"/>
    <hyperlink ref="A1051" r:id="rId2027" xr:uid="{00000000-0004-0000-0500-0000EA070000}"/>
    <hyperlink ref="D1051" r:id="rId2028" xr:uid="{00000000-0004-0000-0500-0000EB070000}"/>
    <hyperlink ref="A1052" r:id="rId2029" xr:uid="{00000000-0004-0000-0500-0000EC070000}"/>
    <hyperlink ref="D1052" r:id="rId2030" xr:uid="{00000000-0004-0000-0500-0000ED070000}"/>
    <hyperlink ref="A1053" r:id="rId2031" xr:uid="{00000000-0004-0000-0500-0000EE070000}"/>
    <hyperlink ref="D1053" r:id="rId2032" xr:uid="{00000000-0004-0000-0500-0000EF070000}"/>
    <hyperlink ref="A1054" r:id="rId2033" xr:uid="{00000000-0004-0000-0500-0000F0070000}"/>
    <hyperlink ref="D1054" r:id="rId2034" xr:uid="{00000000-0004-0000-0500-0000F1070000}"/>
    <hyperlink ref="A1055" r:id="rId2035" xr:uid="{00000000-0004-0000-0500-0000F2070000}"/>
    <hyperlink ref="D1055" r:id="rId2036" xr:uid="{00000000-0004-0000-0500-0000F3070000}"/>
    <hyperlink ref="A1056" r:id="rId2037" xr:uid="{00000000-0004-0000-0500-0000F4070000}"/>
    <hyperlink ref="D1056" r:id="rId2038" xr:uid="{00000000-0004-0000-0500-0000F5070000}"/>
    <hyperlink ref="A1057" r:id="rId2039" xr:uid="{00000000-0004-0000-0500-0000F6070000}"/>
    <hyperlink ref="D1057" r:id="rId2040" xr:uid="{00000000-0004-0000-0500-0000F7070000}"/>
    <hyperlink ref="A1058" r:id="rId2041" xr:uid="{00000000-0004-0000-0500-0000F8070000}"/>
    <hyperlink ref="D1058" r:id="rId2042" xr:uid="{00000000-0004-0000-0500-0000F9070000}"/>
    <hyperlink ref="A1059" r:id="rId2043" xr:uid="{00000000-0004-0000-0500-0000FA070000}"/>
    <hyperlink ref="D1059" r:id="rId2044" xr:uid="{00000000-0004-0000-0500-0000FB070000}"/>
    <hyperlink ref="A1060" r:id="rId2045" xr:uid="{00000000-0004-0000-0500-0000FC070000}"/>
    <hyperlink ref="D1060" r:id="rId2046" xr:uid="{00000000-0004-0000-0500-0000FD070000}"/>
    <hyperlink ref="A1061" r:id="rId2047" xr:uid="{00000000-0004-0000-0500-0000FE070000}"/>
    <hyperlink ref="D1061" r:id="rId2048" xr:uid="{00000000-0004-0000-0500-0000FF070000}"/>
    <hyperlink ref="A1062" r:id="rId2049" xr:uid="{00000000-0004-0000-0500-000000080000}"/>
    <hyperlink ref="D1062" r:id="rId2050" xr:uid="{00000000-0004-0000-0500-000001080000}"/>
    <hyperlink ref="A1063" r:id="rId2051" xr:uid="{00000000-0004-0000-0500-000002080000}"/>
    <hyperlink ref="D1063" r:id="rId2052" xr:uid="{00000000-0004-0000-0500-000003080000}"/>
    <hyperlink ref="A1064" r:id="rId2053" xr:uid="{00000000-0004-0000-0500-000004080000}"/>
    <hyperlink ref="D1064" r:id="rId2054" xr:uid="{00000000-0004-0000-0500-000005080000}"/>
    <hyperlink ref="A1065" r:id="rId2055" xr:uid="{00000000-0004-0000-0500-000006080000}"/>
    <hyperlink ref="D1065" r:id="rId2056" xr:uid="{00000000-0004-0000-0500-000007080000}"/>
    <hyperlink ref="A1066" r:id="rId2057" xr:uid="{00000000-0004-0000-0500-000008080000}"/>
    <hyperlink ref="D1066" r:id="rId2058" xr:uid="{00000000-0004-0000-0500-000009080000}"/>
    <hyperlink ref="A1067" r:id="rId2059" xr:uid="{00000000-0004-0000-0500-00000A080000}"/>
    <hyperlink ref="D1067" r:id="rId2060" xr:uid="{00000000-0004-0000-0500-00000B080000}"/>
    <hyperlink ref="A1068" r:id="rId2061" xr:uid="{00000000-0004-0000-0500-00000C080000}"/>
    <hyperlink ref="D1068" r:id="rId2062" xr:uid="{00000000-0004-0000-0500-00000D080000}"/>
    <hyperlink ref="A1069" r:id="rId2063" xr:uid="{00000000-0004-0000-0500-00000E080000}"/>
    <hyperlink ref="D1069" r:id="rId2064" xr:uid="{00000000-0004-0000-0500-00000F080000}"/>
    <hyperlink ref="A1070" r:id="rId2065" xr:uid="{00000000-0004-0000-0500-000010080000}"/>
    <hyperlink ref="D1070" r:id="rId2066" xr:uid="{00000000-0004-0000-0500-000011080000}"/>
    <hyperlink ref="A1071" r:id="rId2067" xr:uid="{00000000-0004-0000-0500-000012080000}"/>
    <hyperlink ref="D1071" r:id="rId2068" xr:uid="{00000000-0004-0000-0500-000013080000}"/>
    <hyperlink ref="A1072" r:id="rId2069" xr:uid="{00000000-0004-0000-0500-000014080000}"/>
    <hyperlink ref="D1072" r:id="rId2070" xr:uid="{00000000-0004-0000-0500-000015080000}"/>
    <hyperlink ref="A1073" r:id="rId2071" xr:uid="{00000000-0004-0000-0500-000016080000}"/>
    <hyperlink ref="D1073" r:id="rId2072" xr:uid="{00000000-0004-0000-0500-000017080000}"/>
    <hyperlink ref="A1074" r:id="rId2073" xr:uid="{00000000-0004-0000-0500-000018080000}"/>
    <hyperlink ref="D1074" r:id="rId2074" xr:uid="{00000000-0004-0000-0500-000019080000}"/>
    <hyperlink ref="A1075" r:id="rId2075" xr:uid="{00000000-0004-0000-0500-00001A080000}"/>
    <hyperlink ref="D1075" r:id="rId2076" xr:uid="{00000000-0004-0000-0500-00001B080000}"/>
    <hyperlink ref="A1076" r:id="rId2077" xr:uid="{00000000-0004-0000-0500-00001C080000}"/>
    <hyperlink ref="D1076" r:id="rId2078" xr:uid="{00000000-0004-0000-0500-00001D080000}"/>
    <hyperlink ref="A1077" r:id="rId2079" xr:uid="{00000000-0004-0000-0500-00001E080000}"/>
    <hyperlink ref="D1077" r:id="rId2080" xr:uid="{00000000-0004-0000-0500-00001F080000}"/>
    <hyperlink ref="A1078" r:id="rId2081" xr:uid="{00000000-0004-0000-0500-000020080000}"/>
    <hyperlink ref="D1078" r:id="rId2082" xr:uid="{00000000-0004-0000-0500-000021080000}"/>
    <hyperlink ref="A1079" r:id="rId2083" xr:uid="{00000000-0004-0000-0500-000022080000}"/>
    <hyperlink ref="D1079" r:id="rId2084" xr:uid="{00000000-0004-0000-0500-000023080000}"/>
    <hyperlink ref="A1080" r:id="rId2085" xr:uid="{00000000-0004-0000-0500-000024080000}"/>
    <hyperlink ref="D1080" r:id="rId2086" xr:uid="{00000000-0004-0000-0500-000025080000}"/>
    <hyperlink ref="A1081" r:id="rId2087" xr:uid="{00000000-0004-0000-0500-000026080000}"/>
    <hyperlink ref="D1081" r:id="rId2088" xr:uid="{00000000-0004-0000-0500-000027080000}"/>
    <hyperlink ref="A1082" r:id="rId2089" xr:uid="{00000000-0004-0000-0500-000028080000}"/>
    <hyperlink ref="D1082" r:id="rId2090" xr:uid="{00000000-0004-0000-0500-000029080000}"/>
    <hyperlink ref="A1083" r:id="rId2091" xr:uid="{00000000-0004-0000-0500-00002A080000}"/>
    <hyperlink ref="D1083" r:id="rId2092" xr:uid="{00000000-0004-0000-0500-00002B080000}"/>
    <hyperlink ref="A1084" r:id="rId2093" xr:uid="{00000000-0004-0000-0500-00002C080000}"/>
    <hyperlink ref="D1084" r:id="rId2094" xr:uid="{00000000-0004-0000-0500-00002D080000}"/>
    <hyperlink ref="A1085" r:id="rId2095" xr:uid="{00000000-0004-0000-0500-00002E080000}"/>
    <hyperlink ref="D1085" r:id="rId2096" xr:uid="{00000000-0004-0000-0500-00002F080000}"/>
    <hyperlink ref="A1086" r:id="rId2097" xr:uid="{00000000-0004-0000-0500-000030080000}"/>
    <hyperlink ref="D1086" r:id="rId2098" xr:uid="{00000000-0004-0000-0500-000031080000}"/>
    <hyperlink ref="A1087" r:id="rId2099" xr:uid="{00000000-0004-0000-0500-000032080000}"/>
    <hyperlink ref="D1087" r:id="rId2100" xr:uid="{00000000-0004-0000-0500-000033080000}"/>
    <hyperlink ref="A1088" r:id="rId2101" xr:uid="{00000000-0004-0000-0500-000034080000}"/>
    <hyperlink ref="D1088" r:id="rId2102" xr:uid="{00000000-0004-0000-0500-000035080000}"/>
    <hyperlink ref="A1089" r:id="rId2103" xr:uid="{00000000-0004-0000-0500-000036080000}"/>
    <hyperlink ref="D1089" r:id="rId2104" xr:uid="{00000000-0004-0000-0500-000037080000}"/>
    <hyperlink ref="A1090" r:id="rId2105" xr:uid="{00000000-0004-0000-0500-000038080000}"/>
    <hyperlink ref="D1090" r:id="rId2106" xr:uid="{00000000-0004-0000-0500-000039080000}"/>
    <hyperlink ref="A1091" r:id="rId2107" xr:uid="{00000000-0004-0000-0500-00003A080000}"/>
    <hyperlink ref="D1091" r:id="rId2108" xr:uid="{00000000-0004-0000-0500-00003B080000}"/>
    <hyperlink ref="A1092" r:id="rId2109" xr:uid="{00000000-0004-0000-0500-00003C080000}"/>
    <hyperlink ref="D1092" r:id="rId2110" xr:uid="{00000000-0004-0000-0500-00003D080000}"/>
    <hyperlink ref="A1093" r:id="rId2111" xr:uid="{00000000-0004-0000-0500-00003E080000}"/>
    <hyperlink ref="D1093" r:id="rId2112" xr:uid="{00000000-0004-0000-0500-00003F080000}"/>
    <hyperlink ref="A1094" r:id="rId2113" xr:uid="{00000000-0004-0000-0500-000040080000}"/>
    <hyperlink ref="D1094" r:id="rId2114" xr:uid="{00000000-0004-0000-0500-000041080000}"/>
    <hyperlink ref="A1095" r:id="rId2115" xr:uid="{00000000-0004-0000-0500-000042080000}"/>
    <hyperlink ref="D1095" r:id="rId2116" xr:uid="{00000000-0004-0000-0500-000043080000}"/>
    <hyperlink ref="A1096" r:id="rId2117" xr:uid="{00000000-0004-0000-0500-000044080000}"/>
    <hyperlink ref="D1096" r:id="rId2118" xr:uid="{00000000-0004-0000-0500-000045080000}"/>
    <hyperlink ref="A1097" r:id="rId2119" xr:uid="{00000000-0004-0000-0500-000046080000}"/>
    <hyperlink ref="D1097" r:id="rId2120" xr:uid="{00000000-0004-0000-0500-000047080000}"/>
    <hyperlink ref="A1098" r:id="rId2121" xr:uid="{00000000-0004-0000-0500-000048080000}"/>
    <hyperlink ref="D1098" r:id="rId2122" xr:uid="{00000000-0004-0000-0500-000049080000}"/>
    <hyperlink ref="A1099" r:id="rId2123" xr:uid="{00000000-0004-0000-0500-00004A080000}"/>
    <hyperlink ref="D1099" r:id="rId2124" xr:uid="{00000000-0004-0000-0500-00004B080000}"/>
    <hyperlink ref="A1100" r:id="rId2125" xr:uid="{00000000-0004-0000-0500-00004C080000}"/>
    <hyperlink ref="D1100" r:id="rId2126" xr:uid="{00000000-0004-0000-0500-00004D080000}"/>
    <hyperlink ref="A1101" r:id="rId2127" xr:uid="{00000000-0004-0000-0500-00004E080000}"/>
    <hyperlink ref="D1101" r:id="rId2128" xr:uid="{00000000-0004-0000-0500-00004F080000}"/>
    <hyperlink ref="A1102" r:id="rId2129" xr:uid="{00000000-0004-0000-0500-000050080000}"/>
    <hyperlink ref="D1102" r:id="rId2130" xr:uid="{00000000-0004-0000-0500-000051080000}"/>
    <hyperlink ref="A1103" r:id="rId2131" xr:uid="{00000000-0004-0000-0500-000052080000}"/>
    <hyperlink ref="D1103" r:id="rId2132" xr:uid="{00000000-0004-0000-0500-000053080000}"/>
    <hyperlink ref="A1104" r:id="rId2133" xr:uid="{00000000-0004-0000-0500-000054080000}"/>
    <hyperlink ref="D1104" r:id="rId2134" xr:uid="{00000000-0004-0000-0500-000055080000}"/>
    <hyperlink ref="A1105" r:id="rId2135" xr:uid="{00000000-0004-0000-0500-000056080000}"/>
    <hyperlink ref="D1105" r:id="rId2136" xr:uid="{00000000-0004-0000-0500-000057080000}"/>
    <hyperlink ref="A1106" r:id="rId2137" xr:uid="{00000000-0004-0000-0500-000058080000}"/>
    <hyperlink ref="D1106" r:id="rId2138" xr:uid="{00000000-0004-0000-0500-000059080000}"/>
    <hyperlink ref="A1107" r:id="rId2139" xr:uid="{00000000-0004-0000-0500-00005A080000}"/>
    <hyperlink ref="D1107" r:id="rId2140" xr:uid="{00000000-0004-0000-0500-00005B080000}"/>
    <hyperlink ref="A1108" r:id="rId2141" xr:uid="{00000000-0004-0000-0500-00005C080000}"/>
    <hyperlink ref="D1108" r:id="rId2142" xr:uid="{00000000-0004-0000-0500-00005D080000}"/>
    <hyperlink ref="A1109" r:id="rId2143" xr:uid="{00000000-0004-0000-0500-00005E080000}"/>
    <hyperlink ref="D1109" r:id="rId2144" xr:uid="{00000000-0004-0000-0500-00005F080000}"/>
    <hyperlink ref="A1110" r:id="rId2145" xr:uid="{00000000-0004-0000-0500-000060080000}"/>
    <hyperlink ref="D1110" r:id="rId2146" xr:uid="{00000000-0004-0000-0500-000061080000}"/>
    <hyperlink ref="A1111" r:id="rId2147" xr:uid="{00000000-0004-0000-0500-000062080000}"/>
    <hyperlink ref="D1111" r:id="rId2148" xr:uid="{00000000-0004-0000-0500-000063080000}"/>
    <hyperlink ref="A1112" r:id="rId2149" xr:uid="{00000000-0004-0000-0500-000064080000}"/>
    <hyperlink ref="D1112" r:id="rId2150" xr:uid="{00000000-0004-0000-0500-000065080000}"/>
    <hyperlink ref="A1113" r:id="rId2151" xr:uid="{00000000-0004-0000-0500-000066080000}"/>
    <hyperlink ref="D1113" r:id="rId2152" xr:uid="{00000000-0004-0000-0500-000067080000}"/>
    <hyperlink ref="A1114" r:id="rId2153" xr:uid="{00000000-0004-0000-0500-000068080000}"/>
    <hyperlink ref="D1114" r:id="rId2154" xr:uid="{00000000-0004-0000-0500-000069080000}"/>
    <hyperlink ref="A1115" r:id="rId2155" xr:uid="{00000000-0004-0000-0500-00006A080000}"/>
    <hyperlink ref="D1115" r:id="rId2156" xr:uid="{00000000-0004-0000-0500-00006B080000}"/>
    <hyperlink ref="A1116" r:id="rId2157" xr:uid="{00000000-0004-0000-0500-00006C080000}"/>
    <hyperlink ref="D1116" r:id="rId2158" xr:uid="{00000000-0004-0000-0500-00006D080000}"/>
    <hyperlink ref="A1117" r:id="rId2159" xr:uid="{00000000-0004-0000-0500-00006E080000}"/>
    <hyperlink ref="D1117" r:id="rId2160" xr:uid="{00000000-0004-0000-0500-00006F080000}"/>
    <hyperlink ref="A1118" r:id="rId2161" xr:uid="{00000000-0004-0000-0500-000070080000}"/>
    <hyperlink ref="D1118" r:id="rId2162" xr:uid="{00000000-0004-0000-0500-000071080000}"/>
    <hyperlink ref="A1119" r:id="rId2163" xr:uid="{00000000-0004-0000-0500-000072080000}"/>
    <hyperlink ref="D1119" r:id="rId2164" xr:uid="{00000000-0004-0000-0500-000073080000}"/>
    <hyperlink ref="A1120" r:id="rId2165" xr:uid="{00000000-0004-0000-0500-000074080000}"/>
    <hyperlink ref="D1120" r:id="rId2166" xr:uid="{00000000-0004-0000-0500-000075080000}"/>
    <hyperlink ref="A1121" r:id="rId2167" xr:uid="{00000000-0004-0000-0500-000076080000}"/>
    <hyperlink ref="D1121" r:id="rId2168" xr:uid="{00000000-0004-0000-0500-000077080000}"/>
    <hyperlink ref="A1122" r:id="rId2169" xr:uid="{00000000-0004-0000-0500-000078080000}"/>
    <hyperlink ref="D1122" r:id="rId2170" xr:uid="{00000000-0004-0000-0500-000079080000}"/>
    <hyperlink ref="A1123" r:id="rId2171" xr:uid="{00000000-0004-0000-0500-00007A080000}"/>
    <hyperlink ref="D1123" r:id="rId2172" xr:uid="{00000000-0004-0000-0500-00007B080000}"/>
    <hyperlink ref="A1124" r:id="rId2173" xr:uid="{00000000-0004-0000-0500-00007C080000}"/>
    <hyperlink ref="D1124" r:id="rId2174" xr:uid="{00000000-0004-0000-0500-00007D080000}"/>
    <hyperlink ref="A1125" r:id="rId2175" xr:uid="{00000000-0004-0000-0500-00007E080000}"/>
    <hyperlink ref="D1125" r:id="rId2176" xr:uid="{00000000-0004-0000-0500-00007F080000}"/>
    <hyperlink ref="A1126" r:id="rId2177" xr:uid="{00000000-0004-0000-0500-000080080000}"/>
    <hyperlink ref="D1126" r:id="rId2178" xr:uid="{00000000-0004-0000-0500-000081080000}"/>
    <hyperlink ref="A1127" r:id="rId2179" xr:uid="{00000000-0004-0000-0500-000082080000}"/>
    <hyperlink ref="D1127" r:id="rId2180" xr:uid="{00000000-0004-0000-0500-000083080000}"/>
    <hyperlink ref="A1128" r:id="rId2181" xr:uid="{00000000-0004-0000-0500-000084080000}"/>
    <hyperlink ref="D1128" r:id="rId2182" xr:uid="{00000000-0004-0000-0500-000085080000}"/>
    <hyperlink ref="A1129" r:id="rId2183" xr:uid="{00000000-0004-0000-0500-000086080000}"/>
    <hyperlink ref="D1129" r:id="rId2184" xr:uid="{00000000-0004-0000-0500-000087080000}"/>
    <hyperlink ref="A1130" r:id="rId2185" xr:uid="{00000000-0004-0000-0500-000088080000}"/>
    <hyperlink ref="D1130" r:id="rId2186" xr:uid="{00000000-0004-0000-0500-000089080000}"/>
    <hyperlink ref="A1131" r:id="rId2187" xr:uid="{00000000-0004-0000-0500-00008A080000}"/>
    <hyperlink ref="D1131" r:id="rId2188" xr:uid="{00000000-0004-0000-0500-00008B080000}"/>
    <hyperlink ref="A1132" r:id="rId2189" xr:uid="{00000000-0004-0000-0500-00008C080000}"/>
    <hyperlink ref="D1132" r:id="rId2190" xr:uid="{00000000-0004-0000-0500-00008D080000}"/>
    <hyperlink ref="A1133" r:id="rId2191" xr:uid="{00000000-0004-0000-0500-00008E080000}"/>
    <hyperlink ref="D1133" r:id="rId2192" xr:uid="{00000000-0004-0000-0500-00008F080000}"/>
    <hyperlink ref="A1134" r:id="rId2193" xr:uid="{00000000-0004-0000-0500-000090080000}"/>
    <hyperlink ref="D1134" r:id="rId2194" xr:uid="{00000000-0004-0000-0500-000091080000}"/>
    <hyperlink ref="A1135" r:id="rId2195" xr:uid="{00000000-0004-0000-0500-000092080000}"/>
    <hyperlink ref="D1135" r:id="rId2196" xr:uid="{00000000-0004-0000-0500-000093080000}"/>
    <hyperlink ref="A1136" r:id="rId2197" xr:uid="{00000000-0004-0000-0500-000094080000}"/>
    <hyperlink ref="D1136" r:id="rId2198" xr:uid="{00000000-0004-0000-0500-000095080000}"/>
    <hyperlink ref="A1137" r:id="rId2199" xr:uid="{00000000-0004-0000-0500-000096080000}"/>
    <hyperlink ref="D1137" r:id="rId2200" xr:uid="{00000000-0004-0000-0500-000097080000}"/>
    <hyperlink ref="A1138" r:id="rId2201" xr:uid="{00000000-0004-0000-0500-000098080000}"/>
    <hyperlink ref="D1138" r:id="rId2202" xr:uid="{00000000-0004-0000-0500-000099080000}"/>
    <hyperlink ref="A1139" r:id="rId2203" xr:uid="{00000000-0004-0000-0500-00009A080000}"/>
    <hyperlink ref="D1139" r:id="rId2204" xr:uid="{00000000-0004-0000-0500-00009B080000}"/>
    <hyperlink ref="A1140" r:id="rId2205" xr:uid="{00000000-0004-0000-0500-00009C080000}"/>
    <hyperlink ref="D1140" r:id="rId2206" xr:uid="{00000000-0004-0000-0500-00009D080000}"/>
    <hyperlink ref="A1141" r:id="rId2207" xr:uid="{00000000-0004-0000-0500-00009E080000}"/>
    <hyperlink ref="D1141" r:id="rId2208" xr:uid="{00000000-0004-0000-0500-00009F080000}"/>
    <hyperlink ref="A1142" r:id="rId2209" xr:uid="{00000000-0004-0000-0500-0000A0080000}"/>
    <hyperlink ref="D1142" r:id="rId2210" xr:uid="{00000000-0004-0000-0500-0000A1080000}"/>
    <hyperlink ref="A1143" r:id="rId2211" xr:uid="{00000000-0004-0000-0500-0000A2080000}"/>
    <hyperlink ref="D1143" r:id="rId2212" xr:uid="{00000000-0004-0000-0500-0000A3080000}"/>
    <hyperlink ref="A1144" r:id="rId2213" xr:uid="{00000000-0004-0000-0500-0000A4080000}"/>
    <hyperlink ref="D1144" r:id="rId2214" xr:uid="{00000000-0004-0000-0500-0000A5080000}"/>
    <hyperlink ref="A1145" r:id="rId2215" xr:uid="{00000000-0004-0000-0500-0000A6080000}"/>
    <hyperlink ref="D1145" r:id="rId2216" xr:uid="{00000000-0004-0000-0500-0000A7080000}"/>
    <hyperlink ref="A1146" r:id="rId2217" xr:uid="{00000000-0004-0000-0500-0000A8080000}"/>
    <hyperlink ref="D1146" r:id="rId2218" xr:uid="{00000000-0004-0000-0500-0000A9080000}"/>
    <hyperlink ref="A1147" r:id="rId2219" xr:uid="{00000000-0004-0000-0500-0000AA080000}"/>
    <hyperlink ref="D1147" r:id="rId2220" xr:uid="{00000000-0004-0000-0500-0000AB080000}"/>
    <hyperlink ref="A1148" r:id="rId2221" xr:uid="{00000000-0004-0000-0500-0000AC080000}"/>
    <hyperlink ref="D1148" r:id="rId2222" xr:uid="{00000000-0004-0000-0500-0000AD080000}"/>
    <hyperlink ref="A1149" r:id="rId2223" xr:uid="{00000000-0004-0000-0500-0000AE080000}"/>
    <hyperlink ref="D1149" r:id="rId2224" xr:uid="{00000000-0004-0000-0500-0000AF080000}"/>
    <hyperlink ref="A1150" r:id="rId2225" xr:uid="{00000000-0004-0000-0500-0000B0080000}"/>
    <hyperlink ref="D1150" r:id="rId2226" xr:uid="{00000000-0004-0000-0500-0000B1080000}"/>
    <hyperlink ref="A1151" r:id="rId2227" xr:uid="{00000000-0004-0000-0500-0000B2080000}"/>
    <hyperlink ref="D1151" r:id="rId2228" xr:uid="{00000000-0004-0000-0500-0000B3080000}"/>
    <hyperlink ref="A1152" r:id="rId2229" xr:uid="{00000000-0004-0000-0500-0000B4080000}"/>
    <hyperlink ref="D1152" r:id="rId2230" xr:uid="{00000000-0004-0000-0500-0000B5080000}"/>
    <hyperlink ref="A1153" r:id="rId2231" xr:uid="{00000000-0004-0000-0500-0000B6080000}"/>
    <hyperlink ref="D1153" r:id="rId2232" xr:uid="{00000000-0004-0000-0500-0000B7080000}"/>
    <hyperlink ref="A1154" r:id="rId2233" xr:uid="{00000000-0004-0000-0500-0000B8080000}"/>
    <hyperlink ref="D1154" r:id="rId2234" xr:uid="{00000000-0004-0000-0500-0000B9080000}"/>
    <hyperlink ref="A1155" r:id="rId2235" xr:uid="{00000000-0004-0000-0500-0000BA080000}"/>
    <hyperlink ref="D1155" r:id="rId2236" xr:uid="{00000000-0004-0000-0500-0000BB080000}"/>
    <hyperlink ref="A1156" r:id="rId2237" xr:uid="{00000000-0004-0000-0500-0000BC080000}"/>
    <hyperlink ref="D1156" r:id="rId2238" xr:uid="{00000000-0004-0000-0500-0000BD080000}"/>
    <hyperlink ref="A1157" r:id="rId2239" xr:uid="{00000000-0004-0000-0500-0000BE080000}"/>
    <hyperlink ref="D1157" r:id="rId2240" xr:uid="{00000000-0004-0000-0500-0000BF080000}"/>
    <hyperlink ref="A1158" r:id="rId2241" xr:uid="{00000000-0004-0000-0500-0000C0080000}"/>
    <hyperlink ref="D1158" r:id="rId2242" xr:uid="{00000000-0004-0000-0500-0000C1080000}"/>
    <hyperlink ref="A1159" r:id="rId2243" xr:uid="{00000000-0004-0000-0500-0000C2080000}"/>
    <hyperlink ref="D1159" r:id="rId2244" xr:uid="{00000000-0004-0000-0500-0000C3080000}"/>
    <hyperlink ref="A1160" r:id="rId2245" xr:uid="{00000000-0004-0000-0500-0000C4080000}"/>
    <hyperlink ref="D1160" r:id="rId2246" xr:uid="{00000000-0004-0000-0500-0000C5080000}"/>
    <hyperlink ref="A1161" r:id="rId2247" xr:uid="{00000000-0004-0000-0500-0000C6080000}"/>
    <hyperlink ref="D1161" r:id="rId2248" xr:uid="{00000000-0004-0000-0500-0000C7080000}"/>
    <hyperlink ref="A1162" r:id="rId2249" xr:uid="{00000000-0004-0000-0500-0000C8080000}"/>
    <hyperlink ref="D1162" r:id="rId2250" xr:uid="{00000000-0004-0000-0500-0000C9080000}"/>
    <hyperlink ref="A1163" r:id="rId2251" xr:uid="{00000000-0004-0000-0500-0000CA080000}"/>
    <hyperlink ref="D1163" r:id="rId2252" xr:uid="{00000000-0004-0000-0500-0000CB080000}"/>
    <hyperlink ref="A1164" r:id="rId2253" xr:uid="{00000000-0004-0000-0500-0000CC080000}"/>
    <hyperlink ref="D1164" r:id="rId2254" xr:uid="{00000000-0004-0000-0500-0000CD080000}"/>
    <hyperlink ref="A1165" r:id="rId2255" xr:uid="{00000000-0004-0000-0500-0000CE080000}"/>
    <hyperlink ref="D1165" r:id="rId2256" xr:uid="{00000000-0004-0000-0500-0000CF080000}"/>
    <hyperlink ref="A1166" r:id="rId2257" xr:uid="{00000000-0004-0000-0500-0000D0080000}"/>
    <hyperlink ref="D1166" r:id="rId2258" xr:uid="{00000000-0004-0000-0500-0000D1080000}"/>
    <hyperlink ref="A1167" r:id="rId2259" xr:uid="{00000000-0004-0000-0500-0000D2080000}"/>
    <hyperlink ref="D1167" r:id="rId2260" xr:uid="{00000000-0004-0000-0500-0000D3080000}"/>
    <hyperlink ref="A1168" r:id="rId2261" xr:uid="{00000000-0004-0000-0500-0000D4080000}"/>
    <hyperlink ref="D1168" r:id="rId2262" xr:uid="{00000000-0004-0000-0500-0000D5080000}"/>
    <hyperlink ref="A1169" r:id="rId2263" xr:uid="{00000000-0004-0000-0500-0000D6080000}"/>
    <hyperlink ref="D1169" r:id="rId2264" xr:uid="{00000000-0004-0000-0500-0000D7080000}"/>
    <hyperlink ref="A1170" r:id="rId2265" xr:uid="{00000000-0004-0000-0500-0000D8080000}"/>
    <hyperlink ref="D1170" r:id="rId2266" xr:uid="{00000000-0004-0000-0500-0000D9080000}"/>
    <hyperlink ref="A1171" r:id="rId2267" xr:uid="{00000000-0004-0000-0500-0000DA080000}"/>
    <hyperlink ref="D1171" r:id="rId2268" xr:uid="{00000000-0004-0000-0500-0000DB080000}"/>
    <hyperlink ref="A1172" r:id="rId2269" xr:uid="{00000000-0004-0000-0500-0000DC080000}"/>
    <hyperlink ref="D1172" r:id="rId2270" xr:uid="{00000000-0004-0000-0500-0000DD080000}"/>
    <hyperlink ref="A1173" r:id="rId2271" xr:uid="{00000000-0004-0000-0500-0000DE080000}"/>
    <hyperlink ref="D1173" r:id="rId2272" xr:uid="{00000000-0004-0000-0500-0000DF080000}"/>
    <hyperlink ref="A1174" r:id="rId2273" xr:uid="{00000000-0004-0000-0500-0000E0080000}"/>
    <hyperlink ref="D1174" r:id="rId2274" xr:uid="{00000000-0004-0000-0500-0000E1080000}"/>
    <hyperlink ref="A1175" r:id="rId2275" xr:uid="{00000000-0004-0000-0500-0000E2080000}"/>
    <hyperlink ref="D1175" r:id="rId2276" xr:uid="{00000000-0004-0000-0500-0000E3080000}"/>
    <hyperlink ref="A1176" r:id="rId2277" xr:uid="{00000000-0004-0000-0500-0000E4080000}"/>
    <hyperlink ref="D1176" r:id="rId2278" xr:uid="{00000000-0004-0000-0500-0000E5080000}"/>
    <hyperlink ref="A1177" r:id="rId2279" xr:uid="{00000000-0004-0000-0500-0000E6080000}"/>
    <hyperlink ref="D1177" r:id="rId2280" xr:uid="{00000000-0004-0000-0500-0000E7080000}"/>
    <hyperlink ref="A1178" r:id="rId2281" xr:uid="{00000000-0004-0000-0500-0000E8080000}"/>
    <hyperlink ref="D1178" r:id="rId2282" xr:uid="{00000000-0004-0000-0500-0000E9080000}"/>
    <hyperlink ref="A1179" r:id="rId2283" xr:uid="{00000000-0004-0000-0500-0000EA080000}"/>
    <hyperlink ref="D1179" r:id="rId2284" xr:uid="{00000000-0004-0000-0500-0000EB080000}"/>
    <hyperlink ref="A1180" r:id="rId2285" xr:uid="{00000000-0004-0000-0500-0000EC080000}"/>
    <hyperlink ref="D1180" r:id="rId2286" xr:uid="{00000000-0004-0000-0500-0000ED080000}"/>
    <hyperlink ref="A1181" r:id="rId2287" xr:uid="{00000000-0004-0000-0500-0000EE080000}"/>
    <hyperlink ref="D1181" r:id="rId2288" xr:uid="{00000000-0004-0000-0500-0000EF080000}"/>
    <hyperlink ref="A1182" r:id="rId2289" xr:uid="{00000000-0004-0000-0500-0000F0080000}"/>
    <hyperlink ref="D1182" r:id="rId2290" xr:uid="{00000000-0004-0000-0500-0000F1080000}"/>
    <hyperlink ref="A1183" r:id="rId2291" xr:uid="{00000000-0004-0000-0500-0000F2080000}"/>
    <hyperlink ref="D1183" r:id="rId2292" xr:uid="{00000000-0004-0000-0500-0000F3080000}"/>
    <hyperlink ref="A1184" r:id="rId2293" xr:uid="{00000000-0004-0000-0500-0000F4080000}"/>
    <hyperlink ref="D1184" r:id="rId2294" xr:uid="{00000000-0004-0000-0500-0000F5080000}"/>
    <hyperlink ref="A1185" r:id="rId2295" xr:uid="{00000000-0004-0000-0500-0000F6080000}"/>
    <hyperlink ref="D1185" r:id="rId2296" xr:uid="{00000000-0004-0000-0500-0000F7080000}"/>
    <hyperlink ref="A1186" r:id="rId2297" xr:uid="{00000000-0004-0000-0500-0000F8080000}"/>
    <hyperlink ref="D1186" r:id="rId2298" xr:uid="{00000000-0004-0000-0500-0000F9080000}"/>
    <hyperlink ref="A1187" r:id="rId2299" xr:uid="{00000000-0004-0000-0500-0000FA080000}"/>
    <hyperlink ref="D1187" r:id="rId2300" xr:uid="{00000000-0004-0000-0500-0000FB080000}"/>
    <hyperlink ref="A1188" r:id="rId2301" xr:uid="{00000000-0004-0000-0500-0000FC080000}"/>
    <hyperlink ref="D1188" r:id="rId2302" xr:uid="{00000000-0004-0000-0500-0000FD080000}"/>
    <hyperlink ref="A1189" r:id="rId2303" xr:uid="{00000000-0004-0000-0500-0000FE080000}"/>
    <hyperlink ref="D1189" r:id="rId2304" xr:uid="{00000000-0004-0000-0500-0000FF080000}"/>
    <hyperlink ref="A1190" r:id="rId2305" xr:uid="{00000000-0004-0000-0500-000000090000}"/>
    <hyperlink ref="D1190" r:id="rId2306" xr:uid="{00000000-0004-0000-0500-000001090000}"/>
    <hyperlink ref="A1191" r:id="rId2307" xr:uid="{00000000-0004-0000-0500-000002090000}"/>
    <hyperlink ref="D1191" r:id="rId2308" xr:uid="{00000000-0004-0000-0500-000003090000}"/>
    <hyperlink ref="A1192" r:id="rId2309" xr:uid="{00000000-0004-0000-0500-000004090000}"/>
    <hyperlink ref="D1192" r:id="rId2310" xr:uid="{00000000-0004-0000-0500-000005090000}"/>
    <hyperlink ref="A1193" r:id="rId2311" xr:uid="{00000000-0004-0000-0500-000006090000}"/>
    <hyperlink ref="D1193" r:id="rId2312" xr:uid="{00000000-0004-0000-0500-000007090000}"/>
    <hyperlink ref="A1194" r:id="rId2313" xr:uid="{00000000-0004-0000-0500-000008090000}"/>
    <hyperlink ref="D1194" r:id="rId2314" xr:uid="{00000000-0004-0000-0500-000009090000}"/>
    <hyperlink ref="A1195" r:id="rId2315" xr:uid="{00000000-0004-0000-0500-00000A090000}"/>
    <hyperlink ref="D1195" r:id="rId2316" xr:uid="{00000000-0004-0000-0500-00000B090000}"/>
    <hyperlink ref="A1196" r:id="rId2317" xr:uid="{00000000-0004-0000-0500-00000C090000}"/>
    <hyperlink ref="D1196" r:id="rId2318" xr:uid="{00000000-0004-0000-0500-00000D090000}"/>
    <hyperlink ref="A1197" r:id="rId2319" xr:uid="{00000000-0004-0000-0500-00000E090000}"/>
    <hyperlink ref="D1197" r:id="rId2320" xr:uid="{00000000-0004-0000-0500-00000F090000}"/>
    <hyperlink ref="A1198" r:id="rId2321" xr:uid="{00000000-0004-0000-0500-000010090000}"/>
    <hyperlink ref="D1198" r:id="rId2322" xr:uid="{00000000-0004-0000-0500-000011090000}"/>
    <hyperlink ref="A1199" r:id="rId2323" xr:uid="{00000000-0004-0000-0500-000012090000}"/>
    <hyperlink ref="D1199" r:id="rId2324" xr:uid="{00000000-0004-0000-0500-000013090000}"/>
    <hyperlink ref="A1200" r:id="rId2325" xr:uid="{00000000-0004-0000-0500-000014090000}"/>
    <hyperlink ref="D1200" r:id="rId2326" xr:uid="{00000000-0004-0000-0500-000015090000}"/>
    <hyperlink ref="A1201" r:id="rId2327" xr:uid="{00000000-0004-0000-0500-000016090000}"/>
    <hyperlink ref="D1201" r:id="rId2328" xr:uid="{00000000-0004-0000-0500-000017090000}"/>
    <hyperlink ref="A1202" r:id="rId2329" xr:uid="{00000000-0004-0000-0500-000018090000}"/>
    <hyperlink ref="D1202" r:id="rId2330" xr:uid="{00000000-0004-0000-0500-000019090000}"/>
    <hyperlink ref="A1203" r:id="rId2331" xr:uid="{00000000-0004-0000-0500-00001A090000}"/>
    <hyperlink ref="D1203" r:id="rId2332" xr:uid="{00000000-0004-0000-0500-00001B090000}"/>
    <hyperlink ref="A1204" r:id="rId2333" xr:uid="{00000000-0004-0000-0500-00001C090000}"/>
    <hyperlink ref="D1204" r:id="rId2334" xr:uid="{00000000-0004-0000-0500-00001D090000}"/>
    <hyperlink ref="A1205" r:id="rId2335" xr:uid="{00000000-0004-0000-0500-00001E090000}"/>
    <hyperlink ref="D1205" r:id="rId2336" xr:uid="{00000000-0004-0000-0500-00001F090000}"/>
    <hyperlink ref="A1206" r:id="rId2337" xr:uid="{00000000-0004-0000-0500-000020090000}"/>
    <hyperlink ref="D1206" r:id="rId2338" xr:uid="{00000000-0004-0000-0500-000021090000}"/>
    <hyperlink ref="A1207" r:id="rId2339" xr:uid="{00000000-0004-0000-0500-000022090000}"/>
    <hyperlink ref="D1207" r:id="rId2340" xr:uid="{00000000-0004-0000-0500-000023090000}"/>
    <hyperlink ref="A1208" r:id="rId2341" xr:uid="{00000000-0004-0000-0500-000024090000}"/>
    <hyperlink ref="D1208" r:id="rId2342" xr:uid="{00000000-0004-0000-0500-000025090000}"/>
    <hyperlink ref="A1209" r:id="rId2343" xr:uid="{00000000-0004-0000-0500-000026090000}"/>
    <hyperlink ref="D1209" r:id="rId2344" xr:uid="{00000000-0004-0000-0500-000027090000}"/>
    <hyperlink ref="A1210" r:id="rId2345" xr:uid="{00000000-0004-0000-0500-000028090000}"/>
    <hyperlink ref="D1210" r:id="rId2346" xr:uid="{00000000-0004-0000-0500-000029090000}"/>
    <hyperlink ref="A1211" r:id="rId2347" xr:uid="{00000000-0004-0000-0500-00002A090000}"/>
    <hyperlink ref="D1211" r:id="rId2348" xr:uid="{00000000-0004-0000-0500-00002B090000}"/>
    <hyperlink ref="A1212" r:id="rId2349" xr:uid="{00000000-0004-0000-0500-00002C090000}"/>
    <hyperlink ref="D1212" r:id="rId2350" xr:uid="{00000000-0004-0000-0500-00002D090000}"/>
    <hyperlink ref="A1213" r:id="rId2351" xr:uid="{00000000-0004-0000-0500-00002E090000}"/>
    <hyperlink ref="D1213" r:id="rId2352" xr:uid="{00000000-0004-0000-0500-00002F090000}"/>
    <hyperlink ref="A1214" r:id="rId2353" xr:uid="{00000000-0004-0000-0500-000030090000}"/>
    <hyperlink ref="D1214" r:id="rId2354" xr:uid="{00000000-0004-0000-0500-000031090000}"/>
    <hyperlink ref="A1215" r:id="rId2355" xr:uid="{00000000-0004-0000-0500-000032090000}"/>
    <hyperlink ref="D1215" r:id="rId2356" xr:uid="{00000000-0004-0000-0500-000033090000}"/>
    <hyperlink ref="A1216" r:id="rId2357" xr:uid="{00000000-0004-0000-0500-000034090000}"/>
    <hyperlink ref="D1216" r:id="rId2358" xr:uid="{00000000-0004-0000-0500-000035090000}"/>
    <hyperlink ref="A1217" r:id="rId2359" xr:uid="{00000000-0004-0000-0500-000036090000}"/>
    <hyperlink ref="D1217" r:id="rId2360" xr:uid="{00000000-0004-0000-0500-000037090000}"/>
    <hyperlink ref="A1218" r:id="rId2361" xr:uid="{00000000-0004-0000-0500-000038090000}"/>
    <hyperlink ref="D1218" r:id="rId2362" xr:uid="{00000000-0004-0000-0500-000039090000}"/>
    <hyperlink ref="A1219" r:id="rId2363" xr:uid="{00000000-0004-0000-0500-00003A090000}"/>
    <hyperlink ref="D1219" r:id="rId2364" xr:uid="{00000000-0004-0000-0500-00003B090000}"/>
    <hyperlink ref="A1220" r:id="rId2365" xr:uid="{00000000-0004-0000-0500-00003C090000}"/>
    <hyperlink ref="D1220" r:id="rId2366" xr:uid="{00000000-0004-0000-0500-00003D090000}"/>
    <hyperlink ref="A1221" r:id="rId2367" xr:uid="{00000000-0004-0000-0500-00003E090000}"/>
    <hyperlink ref="D1221" r:id="rId2368" xr:uid="{00000000-0004-0000-0500-00003F090000}"/>
    <hyperlink ref="A1222" r:id="rId2369" xr:uid="{00000000-0004-0000-0500-000040090000}"/>
    <hyperlink ref="D1222" r:id="rId2370" xr:uid="{00000000-0004-0000-0500-000041090000}"/>
    <hyperlink ref="A1223" r:id="rId2371" xr:uid="{00000000-0004-0000-0500-000042090000}"/>
    <hyperlink ref="D1223" r:id="rId2372" xr:uid="{00000000-0004-0000-0500-000043090000}"/>
    <hyperlink ref="A1224" r:id="rId2373" xr:uid="{00000000-0004-0000-0500-000044090000}"/>
    <hyperlink ref="D1224" r:id="rId2374" xr:uid="{00000000-0004-0000-0500-000045090000}"/>
    <hyperlink ref="A1225" r:id="rId2375" xr:uid="{00000000-0004-0000-0500-000046090000}"/>
    <hyperlink ref="D1225" r:id="rId2376" xr:uid="{00000000-0004-0000-0500-000047090000}"/>
    <hyperlink ref="A1226" r:id="rId2377" xr:uid="{00000000-0004-0000-0500-000048090000}"/>
    <hyperlink ref="D1226" r:id="rId2378" xr:uid="{00000000-0004-0000-0500-000049090000}"/>
    <hyperlink ref="A1227" r:id="rId2379" xr:uid="{00000000-0004-0000-0500-00004A090000}"/>
    <hyperlink ref="D1227" r:id="rId2380" xr:uid="{00000000-0004-0000-0500-00004B090000}"/>
    <hyperlink ref="A1228" r:id="rId2381" xr:uid="{00000000-0004-0000-0500-00004C090000}"/>
    <hyperlink ref="D1228" r:id="rId2382" xr:uid="{00000000-0004-0000-0500-00004D090000}"/>
    <hyperlink ref="A1229" r:id="rId2383" xr:uid="{00000000-0004-0000-0500-00004E090000}"/>
    <hyperlink ref="D1229" r:id="rId2384" xr:uid="{00000000-0004-0000-0500-00004F090000}"/>
    <hyperlink ref="A1230" r:id="rId2385" xr:uid="{00000000-0004-0000-0500-000050090000}"/>
    <hyperlink ref="D1230" r:id="rId2386" xr:uid="{00000000-0004-0000-0500-000051090000}"/>
    <hyperlink ref="A1231" r:id="rId2387" xr:uid="{00000000-0004-0000-0500-000052090000}"/>
    <hyperlink ref="D1231" r:id="rId2388" xr:uid="{00000000-0004-0000-0500-000053090000}"/>
    <hyperlink ref="A1232" r:id="rId2389" xr:uid="{00000000-0004-0000-0500-000054090000}"/>
    <hyperlink ref="D1232" r:id="rId2390" xr:uid="{00000000-0004-0000-0500-000055090000}"/>
    <hyperlink ref="A1233" r:id="rId2391" xr:uid="{00000000-0004-0000-0500-000056090000}"/>
    <hyperlink ref="D1233" r:id="rId2392" xr:uid="{00000000-0004-0000-0500-000057090000}"/>
    <hyperlink ref="A1234" r:id="rId2393" xr:uid="{00000000-0004-0000-0500-000058090000}"/>
    <hyperlink ref="D1234" r:id="rId2394" xr:uid="{00000000-0004-0000-0500-000059090000}"/>
    <hyperlink ref="A1235" r:id="rId2395" xr:uid="{00000000-0004-0000-0500-00005A090000}"/>
    <hyperlink ref="D1235" r:id="rId2396" xr:uid="{00000000-0004-0000-0500-00005B090000}"/>
    <hyperlink ref="A1236" r:id="rId2397" xr:uid="{00000000-0004-0000-0500-00005C090000}"/>
    <hyperlink ref="D1236" r:id="rId2398" xr:uid="{00000000-0004-0000-0500-00005D090000}"/>
    <hyperlink ref="A1237" r:id="rId2399" xr:uid="{00000000-0004-0000-0500-00005E090000}"/>
    <hyperlink ref="D1237" r:id="rId2400" xr:uid="{00000000-0004-0000-0500-00005F090000}"/>
    <hyperlink ref="A1238" r:id="rId2401" xr:uid="{00000000-0004-0000-0500-000060090000}"/>
    <hyperlink ref="D1238" r:id="rId2402" xr:uid="{00000000-0004-0000-0500-000061090000}"/>
    <hyperlink ref="A1239" r:id="rId2403" xr:uid="{00000000-0004-0000-0500-000062090000}"/>
    <hyperlink ref="D1239" r:id="rId2404" xr:uid="{00000000-0004-0000-0500-000063090000}"/>
    <hyperlink ref="A1240" r:id="rId2405" xr:uid="{00000000-0004-0000-0500-000064090000}"/>
    <hyperlink ref="D1240" r:id="rId2406" xr:uid="{00000000-0004-0000-0500-000065090000}"/>
    <hyperlink ref="A1241" r:id="rId2407" xr:uid="{00000000-0004-0000-0500-000066090000}"/>
    <hyperlink ref="D1241" r:id="rId2408" xr:uid="{00000000-0004-0000-0500-000067090000}"/>
    <hyperlink ref="A1242" r:id="rId2409" xr:uid="{00000000-0004-0000-0500-000068090000}"/>
    <hyperlink ref="D1242" r:id="rId2410" xr:uid="{00000000-0004-0000-0500-000069090000}"/>
    <hyperlink ref="A1243" r:id="rId2411" xr:uid="{00000000-0004-0000-0500-00006A090000}"/>
    <hyperlink ref="D1243" r:id="rId2412" xr:uid="{00000000-0004-0000-0500-00006B090000}"/>
    <hyperlink ref="A1244" r:id="rId2413" xr:uid="{00000000-0004-0000-0500-00006C090000}"/>
    <hyperlink ref="D1244" r:id="rId2414" xr:uid="{00000000-0004-0000-0500-00006D090000}"/>
    <hyperlink ref="A1245" r:id="rId2415" xr:uid="{00000000-0004-0000-0500-00006E090000}"/>
    <hyperlink ref="D1245" r:id="rId2416" xr:uid="{00000000-0004-0000-0500-00006F090000}"/>
    <hyperlink ref="A1246" r:id="rId2417" xr:uid="{00000000-0004-0000-0500-000070090000}"/>
    <hyperlink ref="D1246" r:id="rId2418" xr:uid="{00000000-0004-0000-0500-000071090000}"/>
    <hyperlink ref="A1247" r:id="rId2419" xr:uid="{00000000-0004-0000-0500-000072090000}"/>
    <hyperlink ref="D1247" r:id="rId2420" xr:uid="{00000000-0004-0000-0500-000073090000}"/>
    <hyperlink ref="A1248" r:id="rId2421" xr:uid="{00000000-0004-0000-0500-000074090000}"/>
    <hyperlink ref="D1248" r:id="rId2422" xr:uid="{00000000-0004-0000-0500-000075090000}"/>
    <hyperlink ref="A1249" r:id="rId2423" xr:uid="{00000000-0004-0000-0500-000076090000}"/>
    <hyperlink ref="D1249" r:id="rId2424" xr:uid="{00000000-0004-0000-0500-000077090000}"/>
    <hyperlink ref="A1250" r:id="rId2425" xr:uid="{00000000-0004-0000-0500-000078090000}"/>
    <hyperlink ref="D1250" r:id="rId2426" xr:uid="{00000000-0004-0000-0500-000079090000}"/>
    <hyperlink ref="A1251" r:id="rId2427" xr:uid="{00000000-0004-0000-0500-00007A090000}"/>
    <hyperlink ref="D1251" r:id="rId2428" xr:uid="{00000000-0004-0000-0500-00007B090000}"/>
    <hyperlink ref="A1252" r:id="rId2429" xr:uid="{00000000-0004-0000-0500-00007C090000}"/>
    <hyperlink ref="D1252" r:id="rId2430" xr:uid="{00000000-0004-0000-0500-00007D090000}"/>
    <hyperlink ref="A1253" r:id="rId2431" xr:uid="{00000000-0004-0000-0500-00007E090000}"/>
    <hyperlink ref="D1253" r:id="rId2432" xr:uid="{00000000-0004-0000-0500-00007F090000}"/>
    <hyperlink ref="A1254" r:id="rId2433" xr:uid="{00000000-0004-0000-0500-000080090000}"/>
    <hyperlink ref="D1254" r:id="rId2434" xr:uid="{00000000-0004-0000-0500-000081090000}"/>
    <hyperlink ref="A1255" r:id="rId2435" xr:uid="{00000000-0004-0000-0500-000082090000}"/>
    <hyperlink ref="D1255" r:id="rId2436" xr:uid="{00000000-0004-0000-0500-000083090000}"/>
    <hyperlink ref="A1256" r:id="rId2437" xr:uid="{00000000-0004-0000-0500-000084090000}"/>
    <hyperlink ref="D1256" r:id="rId2438" xr:uid="{00000000-0004-0000-0500-000085090000}"/>
    <hyperlink ref="A1257" r:id="rId2439" xr:uid="{00000000-0004-0000-0500-000086090000}"/>
    <hyperlink ref="D1257" r:id="rId2440" xr:uid="{00000000-0004-0000-0500-000087090000}"/>
    <hyperlink ref="A1258" r:id="rId2441" xr:uid="{00000000-0004-0000-0500-000088090000}"/>
    <hyperlink ref="D1258" r:id="rId2442" xr:uid="{00000000-0004-0000-0500-000089090000}"/>
    <hyperlink ref="A1259" r:id="rId2443" xr:uid="{00000000-0004-0000-0500-00008A090000}"/>
    <hyperlink ref="D1259" r:id="rId2444" xr:uid="{00000000-0004-0000-0500-00008B090000}"/>
    <hyperlink ref="A1260" r:id="rId2445" xr:uid="{00000000-0004-0000-0500-00008C090000}"/>
    <hyperlink ref="D1260" r:id="rId2446" xr:uid="{00000000-0004-0000-0500-00008D090000}"/>
    <hyperlink ref="A1261" r:id="rId2447" xr:uid="{00000000-0004-0000-0500-00008E090000}"/>
    <hyperlink ref="D1261" r:id="rId2448" xr:uid="{00000000-0004-0000-0500-00008F090000}"/>
    <hyperlink ref="A1262" r:id="rId2449" xr:uid="{00000000-0004-0000-0500-000090090000}"/>
    <hyperlink ref="D1262" r:id="rId2450" xr:uid="{00000000-0004-0000-0500-000091090000}"/>
    <hyperlink ref="A1263" r:id="rId2451" xr:uid="{00000000-0004-0000-0500-000092090000}"/>
    <hyperlink ref="D1263" r:id="rId2452" xr:uid="{00000000-0004-0000-0500-000093090000}"/>
    <hyperlink ref="A1264" r:id="rId2453" xr:uid="{00000000-0004-0000-0500-000094090000}"/>
    <hyperlink ref="D1264" r:id="rId2454" xr:uid="{00000000-0004-0000-0500-000095090000}"/>
    <hyperlink ref="A1265" r:id="rId2455" xr:uid="{00000000-0004-0000-0500-000096090000}"/>
    <hyperlink ref="D1265" r:id="rId2456" xr:uid="{00000000-0004-0000-0500-000097090000}"/>
    <hyperlink ref="A1266" r:id="rId2457" xr:uid="{00000000-0004-0000-0500-000098090000}"/>
    <hyperlink ref="D1266" r:id="rId2458" xr:uid="{00000000-0004-0000-0500-000099090000}"/>
    <hyperlink ref="A1267" r:id="rId2459" xr:uid="{00000000-0004-0000-0500-00009A090000}"/>
    <hyperlink ref="D1267" r:id="rId2460" xr:uid="{00000000-0004-0000-0500-00009B090000}"/>
    <hyperlink ref="A1268" r:id="rId2461" xr:uid="{00000000-0004-0000-0500-00009C090000}"/>
    <hyperlink ref="D1268" r:id="rId2462" xr:uid="{00000000-0004-0000-0500-00009D090000}"/>
    <hyperlink ref="A1269" r:id="rId2463" xr:uid="{00000000-0004-0000-0500-00009E090000}"/>
    <hyperlink ref="D1269" r:id="rId2464" xr:uid="{00000000-0004-0000-0500-00009F090000}"/>
    <hyperlink ref="A1270" r:id="rId2465" xr:uid="{00000000-0004-0000-0500-0000A0090000}"/>
    <hyperlink ref="D1270" r:id="rId2466" xr:uid="{00000000-0004-0000-0500-0000A1090000}"/>
    <hyperlink ref="A1271" r:id="rId2467" xr:uid="{00000000-0004-0000-0500-0000A2090000}"/>
    <hyperlink ref="D1271" r:id="rId2468" xr:uid="{00000000-0004-0000-0500-0000A3090000}"/>
    <hyperlink ref="A1272" r:id="rId2469" xr:uid="{00000000-0004-0000-0500-0000A4090000}"/>
    <hyperlink ref="D1272" r:id="rId2470" xr:uid="{00000000-0004-0000-0500-0000A5090000}"/>
    <hyperlink ref="A1273" r:id="rId2471" xr:uid="{00000000-0004-0000-0500-0000A6090000}"/>
    <hyperlink ref="D1273" r:id="rId2472" xr:uid="{00000000-0004-0000-0500-0000A7090000}"/>
    <hyperlink ref="A1274" r:id="rId2473" xr:uid="{00000000-0004-0000-0500-0000A8090000}"/>
    <hyperlink ref="D1274" r:id="rId2474" xr:uid="{00000000-0004-0000-0500-0000A9090000}"/>
    <hyperlink ref="A1275" r:id="rId2475" xr:uid="{00000000-0004-0000-0500-0000AA090000}"/>
    <hyperlink ref="D1275" r:id="rId2476" xr:uid="{00000000-0004-0000-0500-0000AB090000}"/>
    <hyperlink ref="A1276" r:id="rId2477" xr:uid="{00000000-0004-0000-0500-0000AC090000}"/>
    <hyperlink ref="D1276" r:id="rId2478" xr:uid="{00000000-0004-0000-0500-0000AD090000}"/>
    <hyperlink ref="A1277" r:id="rId2479" xr:uid="{00000000-0004-0000-0500-0000AE090000}"/>
    <hyperlink ref="D1277" r:id="rId2480" xr:uid="{00000000-0004-0000-0500-0000AF090000}"/>
    <hyperlink ref="A1278" r:id="rId2481" xr:uid="{00000000-0004-0000-0500-0000B0090000}"/>
    <hyperlink ref="D1278" r:id="rId2482" xr:uid="{00000000-0004-0000-0500-0000B1090000}"/>
    <hyperlink ref="A1279" r:id="rId2483" xr:uid="{00000000-0004-0000-0500-0000B2090000}"/>
    <hyperlink ref="D1279" r:id="rId2484" xr:uid="{00000000-0004-0000-0500-0000B3090000}"/>
    <hyperlink ref="A1280" r:id="rId2485" xr:uid="{00000000-0004-0000-0500-0000B4090000}"/>
    <hyperlink ref="D1280" r:id="rId2486" xr:uid="{00000000-0004-0000-0500-0000B5090000}"/>
    <hyperlink ref="A1281" r:id="rId2487" xr:uid="{00000000-0004-0000-0500-0000B6090000}"/>
    <hyperlink ref="D1281" r:id="rId2488" xr:uid="{00000000-0004-0000-0500-0000B7090000}"/>
    <hyperlink ref="A1282" r:id="rId2489" xr:uid="{00000000-0004-0000-0500-0000B8090000}"/>
    <hyperlink ref="D1282" r:id="rId2490" xr:uid="{00000000-0004-0000-0500-0000B9090000}"/>
    <hyperlink ref="A1283" r:id="rId2491" xr:uid="{00000000-0004-0000-0500-0000BA090000}"/>
    <hyperlink ref="D1283" r:id="rId2492" xr:uid="{00000000-0004-0000-0500-0000BB090000}"/>
    <hyperlink ref="A1284" r:id="rId2493" xr:uid="{00000000-0004-0000-0500-0000BC090000}"/>
    <hyperlink ref="D1284" r:id="rId2494" xr:uid="{00000000-0004-0000-0500-0000BD090000}"/>
    <hyperlink ref="A1285" r:id="rId2495" xr:uid="{00000000-0004-0000-0500-0000BE090000}"/>
    <hyperlink ref="D1285" r:id="rId2496" xr:uid="{00000000-0004-0000-0500-0000BF090000}"/>
    <hyperlink ref="A1286" r:id="rId2497" xr:uid="{00000000-0004-0000-0500-0000C0090000}"/>
    <hyperlink ref="D1286" r:id="rId2498" xr:uid="{00000000-0004-0000-0500-0000C1090000}"/>
    <hyperlink ref="A1287" r:id="rId2499" xr:uid="{00000000-0004-0000-0500-0000C2090000}"/>
    <hyperlink ref="D1287" r:id="rId2500" xr:uid="{00000000-0004-0000-0500-0000C3090000}"/>
    <hyperlink ref="A1288" r:id="rId2501" xr:uid="{00000000-0004-0000-0500-0000C4090000}"/>
    <hyperlink ref="D1288" r:id="rId2502" xr:uid="{00000000-0004-0000-0500-0000C5090000}"/>
    <hyperlink ref="A1289" r:id="rId2503" xr:uid="{00000000-0004-0000-0500-0000C6090000}"/>
    <hyperlink ref="D1289" r:id="rId2504" xr:uid="{00000000-0004-0000-0500-0000C7090000}"/>
    <hyperlink ref="A1290" r:id="rId2505" xr:uid="{00000000-0004-0000-0500-0000C8090000}"/>
    <hyperlink ref="D1290" r:id="rId2506" xr:uid="{00000000-0004-0000-0500-0000C9090000}"/>
    <hyperlink ref="A1291" r:id="rId2507" xr:uid="{00000000-0004-0000-0500-0000CA090000}"/>
    <hyperlink ref="D1291" r:id="rId2508" xr:uid="{00000000-0004-0000-0500-0000CB090000}"/>
    <hyperlink ref="A1292" r:id="rId2509" xr:uid="{00000000-0004-0000-0500-0000CC090000}"/>
    <hyperlink ref="D1292" r:id="rId2510" xr:uid="{00000000-0004-0000-0500-0000CD090000}"/>
    <hyperlink ref="A1293" r:id="rId2511" xr:uid="{00000000-0004-0000-0500-0000CE090000}"/>
    <hyperlink ref="D1293" r:id="rId2512" xr:uid="{00000000-0004-0000-0500-0000CF090000}"/>
    <hyperlink ref="A1294" r:id="rId2513" xr:uid="{00000000-0004-0000-0500-0000D0090000}"/>
    <hyperlink ref="D1294" r:id="rId2514" xr:uid="{00000000-0004-0000-0500-0000D1090000}"/>
    <hyperlink ref="A1295" r:id="rId2515" xr:uid="{00000000-0004-0000-0500-0000D2090000}"/>
    <hyperlink ref="D1295" r:id="rId2516" xr:uid="{00000000-0004-0000-0500-0000D3090000}"/>
    <hyperlink ref="A1296" r:id="rId2517" xr:uid="{00000000-0004-0000-0500-0000D4090000}"/>
    <hyperlink ref="D1296" r:id="rId2518" xr:uid="{00000000-0004-0000-0500-0000D5090000}"/>
    <hyperlink ref="A1297" r:id="rId2519" xr:uid="{00000000-0004-0000-0500-0000D6090000}"/>
    <hyperlink ref="D1297" r:id="rId2520" xr:uid="{00000000-0004-0000-0500-0000D7090000}"/>
    <hyperlink ref="A1298" r:id="rId2521" xr:uid="{00000000-0004-0000-0500-0000D8090000}"/>
    <hyperlink ref="D1298" r:id="rId2522" xr:uid="{00000000-0004-0000-0500-0000D9090000}"/>
    <hyperlink ref="A1299" r:id="rId2523" xr:uid="{00000000-0004-0000-0500-0000DA090000}"/>
    <hyperlink ref="D1299" r:id="rId2524" xr:uid="{00000000-0004-0000-0500-0000DB090000}"/>
    <hyperlink ref="A1300" r:id="rId2525" xr:uid="{00000000-0004-0000-0500-0000DC090000}"/>
    <hyperlink ref="D1300" r:id="rId2526" xr:uid="{00000000-0004-0000-0500-0000DD090000}"/>
    <hyperlink ref="A1301" r:id="rId2527" xr:uid="{00000000-0004-0000-0500-0000DE090000}"/>
    <hyperlink ref="D1301" r:id="rId2528" xr:uid="{00000000-0004-0000-0500-0000DF090000}"/>
    <hyperlink ref="A1302" r:id="rId2529" xr:uid="{00000000-0004-0000-0500-0000E0090000}"/>
    <hyperlink ref="D1302" r:id="rId2530" xr:uid="{00000000-0004-0000-0500-0000E1090000}"/>
    <hyperlink ref="A1303" r:id="rId2531" xr:uid="{00000000-0004-0000-0500-0000E2090000}"/>
    <hyperlink ref="D1303" r:id="rId2532" xr:uid="{00000000-0004-0000-0500-0000E3090000}"/>
    <hyperlink ref="A1304" r:id="rId2533" xr:uid="{00000000-0004-0000-0500-0000E4090000}"/>
    <hyperlink ref="D1304" r:id="rId2534" xr:uid="{00000000-0004-0000-0500-0000E5090000}"/>
    <hyperlink ref="A1305" r:id="rId2535" xr:uid="{00000000-0004-0000-0500-0000E6090000}"/>
    <hyperlink ref="D1305" r:id="rId2536" xr:uid="{00000000-0004-0000-0500-0000E7090000}"/>
    <hyperlink ref="A1306" r:id="rId2537" xr:uid="{00000000-0004-0000-0500-0000E8090000}"/>
    <hyperlink ref="D1306" r:id="rId2538" xr:uid="{00000000-0004-0000-0500-0000E9090000}"/>
    <hyperlink ref="A1307" r:id="rId2539" xr:uid="{00000000-0004-0000-0500-0000EA090000}"/>
    <hyperlink ref="D1307" r:id="rId2540" xr:uid="{00000000-0004-0000-0500-0000EB090000}"/>
    <hyperlink ref="A1308" r:id="rId2541" xr:uid="{00000000-0004-0000-0500-0000EC090000}"/>
    <hyperlink ref="D1308" r:id="rId2542" xr:uid="{00000000-0004-0000-0500-0000ED090000}"/>
    <hyperlink ref="A1309" r:id="rId2543" xr:uid="{00000000-0004-0000-0500-0000EE090000}"/>
    <hyperlink ref="D1309" r:id="rId2544" xr:uid="{00000000-0004-0000-0500-0000EF090000}"/>
    <hyperlink ref="A1310" r:id="rId2545" xr:uid="{00000000-0004-0000-0500-0000F0090000}"/>
    <hyperlink ref="D1310" r:id="rId2546" xr:uid="{00000000-0004-0000-0500-0000F1090000}"/>
    <hyperlink ref="A1311" r:id="rId2547" xr:uid="{00000000-0004-0000-0500-0000F2090000}"/>
    <hyperlink ref="D1311" r:id="rId2548" xr:uid="{00000000-0004-0000-0500-0000F3090000}"/>
    <hyperlink ref="A1312" r:id="rId2549" xr:uid="{00000000-0004-0000-0500-0000F4090000}"/>
    <hyperlink ref="D1312" r:id="rId2550" xr:uid="{00000000-0004-0000-0500-0000F5090000}"/>
    <hyperlink ref="A1313" r:id="rId2551" xr:uid="{00000000-0004-0000-0500-0000F6090000}"/>
    <hyperlink ref="D1313" r:id="rId2552" xr:uid="{00000000-0004-0000-0500-0000F7090000}"/>
    <hyperlink ref="A1314" r:id="rId2553" xr:uid="{00000000-0004-0000-0500-0000F8090000}"/>
    <hyperlink ref="D1314" r:id="rId2554" xr:uid="{00000000-0004-0000-0500-0000F9090000}"/>
    <hyperlink ref="A1315" r:id="rId2555" xr:uid="{00000000-0004-0000-0500-0000FA090000}"/>
    <hyperlink ref="D1315" r:id="rId2556" xr:uid="{00000000-0004-0000-0500-0000FB090000}"/>
    <hyperlink ref="A1316" r:id="rId2557" xr:uid="{00000000-0004-0000-0500-0000FC090000}"/>
    <hyperlink ref="D1316" r:id="rId2558" xr:uid="{00000000-0004-0000-0500-0000FD090000}"/>
    <hyperlink ref="A1317" r:id="rId2559" xr:uid="{00000000-0004-0000-0500-0000FE090000}"/>
    <hyperlink ref="D1317" r:id="rId2560" xr:uid="{00000000-0004-0000-0500-0000FF090000}"/>
    <hyperlink ref="A1318" r:id="rId2561" xr:uid="{00000000-0004-0000-0500-0000000A0000}"/>
    <hyperlink ref="D1318" r:id="rId2562" xr:uid="{00000000-0004-0000-0500-0000010A0000}"/>
    <hyperlink ref="A1319" r:id="rId2563" xr:uid="{00000000-0004-0000-0500-0000020A0000}"/>
    <hyperlink ref="D1319" r:id="rId2564" xr:uid="{00000000-0004-0000-0500-0000030A0000}"/>
    <hyperlink ref="A1320" r:id="rId2565" xr:uid="{00000000-0004-0000-0500-0000040A0000}"/>
    <hyperlink ref="D1320" r:id="rId2566" xr:uid="{00000000-0004-0000-0500-0000050A0000}"/>
    <hyperlink ref="A1321" r:id="rId2567" xr:uid="{00000000-0004-0000-0500-0000060A0000}"/>
    <hyperlink ref="D1321" r:id="rId2568" xr:uid="{00000000-0004-0000-0500-0000070A0000}"/>
    <hyperlink ref="A1322" r:id="rId2569" xr:uid="{00000000-0004-0000-0500-0000080A0000}"/>
    <hyperlink ref="D1322" r:id="rId2570" xr:uid="{00000000-0004-0000-0500-0000090A0000}"/>
    <hyperlink ref="A1323" r:id="rId2571" xr:uid="{00000000-0004-0000-0500-00000A0A0000}"/>
    <hyperlink ref="D1323" r:id="rId2572" xr:uid="{00000000-0004-0000-0500-00000B0A0000}"/>
    <hyperlink ref="A1324" r:id="rId2573" xr:uid="{00000000-0004-0000-0500-00000C0A0000}"/>
    <hyperlink ref="D1324" r:id="rId2574" xr:uid="{00000000-0004-0000-0500-00000D0A0000}"/>
    <hyperlink ref="A1325" r:id="rId2575" xr:uid="{00000000-0004-0000-0500-00000E0A0000}"/>
    <hyperlink ref="D1325" r:id="rId2576" xr:uid="{00000000-0004-0000-0500-00000F0A0000}"/>
    <hyperlink ref="A1326" r:id="rId2577" xr:uid="{00000000-0004-0000-0500-0000100A0000}"/>
    <hyperlink ref="D1326" r:id="rId2578" xr:uid="{00000000-0004-0000-0500-0000110A0000}"/>
    <hyperlink ref="A1327" r:id="rId2579" xr:uid="{00000000-0004-0000-0500-0000120A0000}"/>
    <hyperlink ref="D1327" r:id="rId2580" xr:uid="{00000000-0004-0000-0500-0000130A0000}"/>
    <hyperlink ref="A1328" r:id="rId2581" xr:uid="{00000000-0004-0000-0500-0000140A0000}"/>
    <hyperlink ref="D1328" r:id="rId2582" xr:uid="{00000000-0004-0000-0500-0000150A0000}"/>
    <hyperlink ref="A1329" r:id="rId2583" xr:uid="{00000000-0004-0000-0500-0000160A0000}"/>
    <hyperlink ref="D1329" r:id="rId2584" xr:uid="{00000000-0004-0000-0500-0000170A0000}"/>
    <hyperlink ref="A1330" r:id="rId2585" xr:uid="{00000000-0004-0000-0500-0000180A0000}"/>
    <hyperlink ref="D1330" r:id="rId2586" xr:uid="{00000000-0004-0000-0500-0000190A0000}"/>
    <hyperlink ref="A1331" r:id="rId2587" xr:uid="{00000000-0004-0000-0500-00001A0A0000}"/>
    <hyperlink ref="D1331" r:id="rId2588" xr:uid="{00000000-0004-0000-0500-00001B0A0000}"/>
    <hyperlink ref="A1332" r:id="rId2589" xr:uid="{00000000-0004-0000-0500-00001C0A0000}"/>
    <hyperlink ref="D1332" r:id="rId2590" xr:uid="{00000000-0004-0000-0500-00001D0A0000}"/>
    <hyperlink ref="A1333" r:id="rId2591" xr:uid="{00000000-0004-0000-0500-00001E0A0000}"/>
    <hyperlink ref="D1333" r:id="rId2592" xr:uid="{00000000-0004-0000-0500-00001F0A0000}"/>
    <hyperlink ref="A1334" r:id="rId2593" xr:uid="{00000000-0004-0000-0500-0000200A0000}"/>
    <hyperlink ref="D1334" r:id="rId2594" xr:uid="{00000000-0004-0000-0500-0000210A0000}"/>
    <hyperlink ref="A1335" r:id="rId2595" xr:uid="{00000000-0004-0000-0500-0000220A0000}"/>
    <hyperlink ref="D1335" r:id="rId2596" xr:uid="{00000000-0004-0000-0500-0000230A0000}"/>
    <hyperlink ref="A1336" r:id="rId2597" xr:uid="{00000000-0004-0000-0500-0000240A0000}"/>
    <hyperlink ref="D1336" r:id="rId2598" xr:uid="{00000000-0004-0000-0500-0000250A0000}"/>
    <hyperlink ref="A1337" r:id="rId2599" xr:uid="{00000000-0004-0000-0500-0000260A0000}"/>
    <hyperlink ref="D1337" r:id="rId2600" xr:uid="{00000000-0004-0000-0500-0000270A0000}"/>
    <hyperlink ref="A1338" r:id="rId2601" xr:uid="{00000000-0004-0000-0500-0000280A0000}"/>
    <hyperlink ref="D1338" r:id="rId2602" xr:uid="{00000000-0004-0000-0500-0000290A0000}"/>
    <hyperlink ref="A1339" r:id="rId2603" xr:uid="{00000000-0004-0000-0500-00002A0A0000}"/>
    <hyperlink ref="D1339" r:id="rId2604" xr:uid="{00000000-0004-0000-0500-00002B0A0000}"/>
    <hyperlink ref="A1340" r:id="rId2605" xr:uid="{00000000-0004-0000-0500-00002C0A0000}"/>
    <hyperlink ref="D1340" r:id="rId2606" xr:uid="{00000000-0004-0000-0500-00002D0A0000}"/>
    <hyperlink ref="A1341" r:id="rId2607" xr:uid="{00000000-0004-0000-0500-00002E0A0000}"/>
    <hyperlink ref="D1341" r:id="rId2608" xr:uid="{00000000-0004-0000-0500-00002F0A0000}"/>
    <hyperlink ref="A1342" r:id="rId2609" xr:uid="{00000000-0004-0000-0500-0000300A0000}"/>
    <hyperlink ref="D1342" r:id="rId2610" xr:uid="{00000000-0004-0000-0500-0000310A0000}"/>
    <hyperlink ref="A1343" r:id="rId2611" xr:uid="{00000000-0004-0000-0500-0000320A0000}"/>
    <hyperlink ref="D1343" r:id="rId2612" xr:uid="{00000000-0004-0000-0500-0000330A0000}"/>
    <hyperlink ref="A1344" r:id="rId2613" xr:uid="{00000000-0004-0000-0500-0000340A0000}"/>
    <hyperlink ref="D1344" r:id="rId2614" xr:uid="{00000000-0004-0000-0500-0000350A0000}"/>
    <hyperlink ref="A1345" r:id="rId2615" xr:uid="{00000000-0004-0000-0500-0000360A0000}"/>
    <hyperlink ref="D1345" r:id="rId2616" xr:uid="{00000000-0004-0000-0500-0000370A0000}"/>
    <hyperlink ref="A1346" r:id="rId2617" xr:uid="{00000000-0004-0000-0500-0000380A0000}"/>
    <hyperlink ref="D1346" r:id="rId2618" xr:uid="{00000000-0004-0000-0500-0000390A0000}"/>
    <hyperlink ref="A1347" r:id="rId2619" xr:uid="{00000000-0004-0000-0500-00003A0A0000}"/>
    <hyperlink ref="D1347" r:id="rId2620" xr:uid="{00000000-0004-0000-0500-00003B0A0000}"/>
    <hyperlink ref="A1348" r:id="rId2621" xr:uid="{00000000-0004-0000-0500-00003C0A0000}"/>
    <hyperlink ref="D1348" r:id="rId2622" xr:uid="{00000000-0004-0000-0500-00003D0A0000}"/>
    <hyperlink ref="A1349" r:id="rId2623" xr:uid="{00000000-0004-0000-0500-00003E0A0000}"/>
    <hyperlink ref="D1349" r:id="rId2624" xr:uid="{00000000-0004-0000-0500-00003F0A0000}"/>
    <hyperlink ref="A1350" r:id="rId2625" xr:uid="{00000000-0004-0000-0500-0000400A0000}"/>
    <hyperlink ref="D1350" r:id="rId2626" xr:uid="{00000000-0004-0000-0500-0000410A0000}"/>
    <hyperlink ref="A1351" r:id="rId2627" xr:uid="{00000000-0004-0000-0500-0000420A0000}"/>
    <hyperlink ref="D1351" r:id="rId2628" xr:uid="{00000000-0004-0000-0500-0000430A0000}"/>
    <hyperlink ref="A1352" r:id="rId2629" xr:uid="{00000000-0004-0000-0500-0000440A0000}"/>
    <hyperlink ref="D1352" r:id="rId2630" xr:uid="{00000000-0004-0000-0500-0000450A0000}"/>
    <hyperlink ref="A1353" r:id="rId2631" xr:uid="{00000000-0004-0000-0500-0000460A0000}"/>
    <hyperlink ref="D1353" r:id="rId2632" xr:uid="{00000000-0004-0000-0500-0000470A0000}"/>
    <hyperlink ref="A1354" r:id="rId2633" xr:uid="{00000000-0004-0000-0500-0000480A0000}"/>
    <hyperlink ref="D1354" r:id="rId2634" xr:uid="{00000000-0004-0000-0500-0000490A0000}"/>
    <hyperlink ref="A1355" r:id="rId2635" xr:uid="{00000000-0004-0000-0500-00004A0A0000}"/>
    <hyperlink ref="D1355" r:id="rId2636" xr:uid="{00000000-0004-0000-0500-00004B0A0000}"/>
    <hyperlink ref="A1356" r:id="rId2637" xr:uid="{00000000-0004-0000-0500-00004C0A0000}"/>
    <hyperlink ref="D1356" r:id="rId2638" xr:uid="{00000000-0004-0000-0500-00004D0A0000}"/>
    <hyperlink ref="A1357" r:id="rId2639" xr:uid="{00000000-0004-0000-0500-00004E0A0000}"/>
    <hyperlink ref="D1357" r:id="rId2640" xr:uid="{00000000-0004-0000-0500-00004F0A0000}"/>
    <hyperlink ref="A1358" r:id="rId2641" xr:uid="{00000000-0004-0000-0500-0000500A0000}"/>
    <hyperlink ref="D1358" r:id="rId2642" xr:uid="{00000000-0004-0000-0500-0000510A0000}"/>
    <hyperlink ref="A1359" r:id="rId2643" xr:uid="{00000000-0004-0000-0500-0000520A0000}"/>
    <hyperlink ref="D1359" r:id="rId2644" xr:uid="{00000000-0004-0000-0500-0000530A0000}"/>
    <hyperlink ref="A1360" r:id="rId2645" xr:uid="{00000000-0004-0000-0500-0000540A0000}"/>
    <hyperlink ref="D1360" r:id="rId2646" xr:uid="{00000000-0004-0000-0500-0000550A0000}"/>
    <hyperlink ref="A1361" r:id="rId2647" xr:uid="{00000000-0004-0000-0500-0000560A0000}"/>
    <hyperlink ref="D1361" r:id="rId2648" xr:uid="{00000000-0004-0000-0500-0000570A0000}"/>
    <hyperlink ref="A1362" r:id="rId2649" xr:uid="{00000000-0004-0000-0500-0000580A0000}"/>
    <hyperlink ref="D1362" r:id="rId2650" xr:uid="{00000000-0004-0000-0500-0000590A0000}"/>
    <hyperlink ref="A1363" r:id="rId2651" xr:uid="{00000000-0004-0000-0500-00005A0A0000}"/>
    <hyperlink ref="D1363" r:id="rId2652" xr:uid="{00000000-0004-0000-0500-00005B0A0000}"/>
    <hyperlink ref="A1364" r:id="rId2653" xr:uid="{00000000-0004-0000-0500-00005C0A0000}"/>
    <hyperlink ref="D1364" r:id="rId2654" xr:uid="{00000000-0004-0000-0500-00005D0A0000}"/>
    <hyperlink ref="A1365" r:id="rId2655" xr:uid="{00000000-0004-0000-0500-00005E0A0000}"/>
    <hyperlink ref="D1365" r:id="rId2656" xr:uid="{00000000-0004-0000-0500-00005F0A0000}"/>
    <hyperlink ref="A1366" r:id="rId2657" xr:uid="{00000000-0004-0000-0500-0000600A0000}"/>
    <hyperlink ref="D1366" r:id="rId2658" xr:uid="{00000000-0004-0000-0500-0000610A0000}"/>
    <hyperlink ref="A1367" r:id="rId2659" xr:uid="{00000000-0004-0000-0500-0000620A0000}"/>
    <hyperlink ref="D1367" r:id="rId2660" xr:uid="{00000000-0004-0000-0500-0000630A0000}"/>
    <hyperlink ref="A1368" r:id="rId2661" xr:uid="{00000000-0004-0000-0500-0000640A0000}"/>
    <hyperlink ref="D1368" r:id="rId2662" xr:uid="{00000000-0004-0000-0500-0000650A0000}"/>
    <hyperlink ref="A1369" r:id="rId2663" xr:uid="{00000000-0004-0000-0500-0000660A0000}"/>
    <hyperlink ref="D1369" r:id="rId2664" xr:uid="{00000000-0004-0000-0500-0000670A0000}"/>
    <hyperlink ref="A1370" r:id="rId2665" xr:uid="{00000000-0004-0000-0500-0000680A0000}"/>
    <hyperlink ref="D1370" r:id="rId2666" xr:uid="{00000000-0004-0000-0500-0000690A0000}"/>
    <hyperlink ref="A1371" r:id="rId2667" xr:uid="{00000000-0004-0000-0500-00006A0A0000}"/>
    <hyperlink ref="D1371" r:id="rId2668" xr:uid="{00000000-0004-0000-0500-00006B0A0000}"/>
    <hyperlink ref="A1372" r:id="rId2669" xr:uid="{00000000-0004-0000-0500-00006C0A0000}"/>
    <hyperlink ref="D1372" r:id="rId2670" xr:uid="{00000000-0004-0000-0500-00006D0A0000}"/>
    <hyperlink ref="A1373" r:id="rId2671" xr:uid="{00000000-0004-0000-0500-00006E0A0000}"/>
    <hyperlink ref="D1373" r:id="rId2672" xr:uid="{00000000-0004-0000-0500-00006F0A0000}"/>
    <hyperlink ref="A1374" r:id="rId2673" xr:uid="{00000000-0004-0000-0500-0000700A0000}"/>
    <hyperlink ref="D1374" r:id="rId2674" xr:uid="{00000000-0004-0000-0500-0000710A0000}"/>
    <hyperlink ref="A1375" r:id="rId2675" xr:uid="{00000000-0004-0000-0500-0000720A0000}"/>
    <hyperlink ref="D1375" r:id="rId2676" xr:uid="{00000000-0004-0000-0500-0000730A0000}"/>
    <hyperlink ref="A1376" r:id="rId2677" xr:uid="{00000000-0004-0000-0500-0000740A0000}"/>
    <hyperlink ref="D1376" r:id="rId2678" xr:uid="{00000000-0004-0000-0500-0000750A0000}"/>
    <hyperlink ref="A1377" r:id="rId2679" xr:uid="{00000000-0004-0000-0500-0000760A0000}"/>
    <hyperlink ref="D1377" r:id="rId2680" xr:uid="{00000000-0004-0000-0500-0000770A0000}"/>
    <hyperlink ref="A1378" r:id="rId2681" xr:uid="{00000000-0004-0000-0500-0000780A0000}"/>
    <hyperlink ref="D1378" r:id="rId2682" xr:uid="{00000000-0004-0000-0500-0000790A0000}"/>
    <hyperlink ref="A1379" r:id="rId2683" xr:uid="{00000000-0004-0000-0500-00007A0A0000}"/>
    <hyperlink ref="D1379" r:id="rId2684" xr:uid="{00000000-0004-0000-0500-00007B0A0000}"/>
    <hyperlink ref="A1380" r:id="rId2685" xr:uid="{00000000-0004-0000-0500-00007C0A0000}"/>
    <hyperlink ref="D1380" r:id="rId2686" xr:uid="{00000000-0004-0000-0500-00007D0A0000}"/>
    <hyperlink ref="A1381" r:id="rId2687" xr:uid="{00000000-0004-0000-0500-00007E0A0000}"/>
    <hyperlink ref="D1381" r:id="rId2688" xr:uid="{00000000-0004-0000-0500-00007F0A0000}"/>
    <hyperlink ref="A1382" r:id="rId2689" xr:uid="{00000000-0004-0000-0500-0000800A0000}"/>
    <hyperlink ref="D1382" r:id="rId2690" xr:uid="{00000000-0004-0000-0500-0000810A0000}"/>
    <hyperlink ref="A1383" r:id="rId2691" xr:uid="{00000000-0004-0000-0500-0000820A0000}"/>
    <hyperlink ref="D1383" r:id="rId2692" xr:uid="{00000000-0004-0000-0500-0000830A0000}"/>
    <hyperlink ref="A1384" r:id="rId2693" xr:uid="{00000000-0004-0000-0500-0000840A0000}"/>
    <hyperlink ref="D1384" r:id="rId2694" xr:uid="{00000000-0004-0000-0500-0000850A0000}"/>
    <hyperlink ref="A1385" r:id="rId2695" xr:uid="{00000000-0004-0000-0500-0000860A0000}"/>
    <hyperlink ref="D1385" r:id="rId2696" xr:uid="{00000000-0004-0000-0500-0000870A0000}"/>
    <hyperlink ref="A1386" r:id="rId2697" xr:uid="{00000000-0004-0000-0500-0000880A0000}"/>
    <hyperlink ref="D1386" r:id="rId2698" xr:uid="{00000000-0004-0000-0500-0000890A0000}"/>
    <hyperlink ref="A1387" r:id="rId2699" xr:uid="{00000000-0004-0000-0500-00008A0A0000}"/>
    <hyperlink ref="D1387" r:id="rId2700" xr:uid="{00000000-0004-0000-0500-00008B0A0000}"/>
    <hyperlink ref="A1388" r:id="rId2701" xr:uid="{00000000-0004-0000-0500-00008C0A0000}"/>
    <hyperlink ref="D1388" r:id="rId2702" xr:uid="{00000000-0004-0000-0500-00008D0A0000}"/>
    <hyperlink ref="A1389" r:id="rId2703" xr:uid="{00000000-0004-0000-0500-00008E0A0000}"/>
    <hyperlink ref="D1389" r:id="rId2704" xr:uid="{00000000-0004-0000-0500-00008F0A0000}"/>
    <hyperlink ref="A1390" r:id="rId2705" xr:uid="{00000000-0004-0000-0500-0000900A0000}"/>
    <hyperlink ref="D1390" r:id="rId2706" xr:uid="{00000000-0004-0000-0500-0000910A0000}"/>
    <hyperlink ref="A1391" r:id="rId2707" xr:uid="{00000000-0004-0000-0500-0000920A0000}"/>
    <hyperlink ref="D1391" r:id="rId2708" xr:uid="{00000000-0004-0000-0500-0000930A0000}"/>
    <hyperlink ref="A1392" r:id="rId2709" xr:uid="{00000000-0004-0000-0500-0000940A0000}"/>
    <hyperlink ref="D1392" r:id="rId2710" xr:uid="{00000000-0004-0000-0500-0000950A0000}"/>
    <hyperlink ref="A1393" r:id="rId2711" xr:uid="{00000000-0004-0000-0500-0000960A0000}"/>
    <hyperlink ref="D1393" r:id="rId2712" xr:uid="{00000000-0004-0000-0500-0000970A0000}"/>
    <hyperlink ref="A1394" r:id="rId2713" xr:uid="{00000000-0004-0000-0500-0000980A0000}"/>
    <hyperlink ref="D1394" r:id="rId2714" xr:uid="{00000000-0004-0000-0500-0000990A0000}"/>
    <hyperlink ref="A1395" r:id="rId2715" xr:uid="{00000000-0004-0000-0500-00009A0A0000}"/>
    <hyperlink ref="D1395" r:id="rId2716" xr:uid="{00000000-0004-0000-0500-00009B0A0000}"/>
    <hyperlink ref="A1396" r:id="rId2717" xr:uid="{00000000-0004-0000-0500-00009C0A0000}"/>
    <hyperlink ref="D1396" r:id="rId2718" xr:uid="{00000000-0004-0000-0500-00009D0A0000}"/>
    <hyperlink ref="A1397" r:id="rId2719" xr:uid="{00000000-0004-0000-0500-00009E0A0000}"/>
    <hyperlink ref="D1397" r:id="rId2720" xr:uid="{00000000-0004-0000-0500-00009F0A0000}"/>
    <hyperlink ref="A1398" r:id="rId2721" xr:uid="{00000000-0004-0000-0500-0000A00A0000}"/>
    <hyperlink ref="D1398" r:id="rId2722" xr:uid="{00000000-0004-0000-0500-0000A10A0000}"/>
    <hyperlink ref="A1399" r:id="rId2723" xr:uid="{00000000-0004-0000-0500-0000A20A0000}"/>
    <hyperlink ref="D1399" r:id="rId2724" xr:uid="{00000000-0004-0000-0500-0000A30A0000}"/>
    <hyperlink ref="A1400" r:id="rId2725" xr:uid="{00000000-0004-0000-0500-0000A40A0000}"/>
    <hyperlink ref="D1400" r:id="rId2726" xr:uid="{00000000-0004-0000-0500-0000A50A0000}"/>
    <hyperlink ref="A1401" r:id="rId2727" xr:uid="{00000000-0004-0000-0500-0000A60A0000}"/>
    <hyperlink ref="D1401" r:id="rId2728" xr:uid="{00000000-0004-0000-0500-0000A70A0000}"/>
    <hyperlink ref="A1402" r:id="rId2729" xr:uid="{00000000-0004-0000-0500-0000A80A0000}"/>
    <hyperlink ref="D1402" r:id="rId2730" xr:uid="{00000000-0004-0000-0500-0000A90A0000}"/>
    <hyperlink ref="A1403" r:id="rId2731" xr:uid="{00000000-0004-0000-0500-0000AA0A0000}"/>
    <hyperlink ref="D1403" r:id="rId2732" xr:uid="{00000000-0004-0000-0500-0000AB0A0000}"/>
    <hyperlink ref="A1404" r:id="rId2733" xr:uid="{00000000-0004-0000-0500-0000AC0A0000}"/>
    <hyperlink ref="D1404" r:id="rId2734" xr:uid="{00000000-0004-0000-0500-0000AD0A0000}"/>
    <hyperlink ref="A1405" r:id="rId2735" xr:uid="{00000000-0004-0000-0500-0000AE0A0000}"/>
    <hyperlink ref="D1405" r:id="rId2736" xr:uid="{00000000-0004-0000-0500-0000AF0A0000}"/>
    <hyperlink ref="A1406" r:id="rId2737" xr:uid="{00000000-0004-0000-0500-0000B00A0000}"/>
    <hyperlink ref="D1406" r:id="rId2738" xr:uid="{00000000-0004-0000-0500-0000B10A0000}"/>
    <hyperlink ref="A1407" r:id="rId2739" xr:uid="{00000000-0004-0000-0500-0000B20A0000}"/>
    <hyperlink ref="D1407" r:id="rId2740" xr:uid="{00000000-0004-0000-0500-0000B30A0000}"/>
    <hyperlink ref="A1408" r:id="rId2741" xr:uid="{00000000-0004-0000-0500-0000B40A0000}"/>
    <hyperlink ref="D1408" r:id="rId2742" xr:uid="{00000000-0004-0000-0500-0000B50A0000}"/>
    <hyperlink ref="A1409" r:id="rId2743" xr:uid="{00000000-0004-0000-0500-0000B60A0000}"/>
    <hyperlink ref="D1409" r:id="rId2744" xr:uid="{00000000-0004-0000-0500-0000B70A0000}"/>
    <hyperlink ref="A1410" r:id="rId2745" xr:uid="{00000000-0004-0000-0500-0000B80A0000}"/>
    <hyperlink ref="D1410" r:id="rId2746" xr:uid="{00000000-0004-0000-0500-0000B90A0000}"/>
    <hyperlink ref="A1411" r:id="rId2747" xr:uid="{00000000-0004-0000-0500-0000BA0A0000}"/>
    <hyperlink ref="D1411" r:id="rId2748" xr:uid="{00000000-0004-0000-0500-0000BB0A0000}"/>
    <hyperlink ref="A1412" r:id="rId2749" xr:uid="{00000000-0004-0000-0500-0000BC0A0000}"/>
    <hyperlink ref="D1412" r:id="rId2750" xr:uid="{00000000-0004-0000-0500-0000BD0A0000}"/>
    <hyperlink ref="A1413" r:id="rId2751" xr:uid="{00000000-0004-0000-0500-0000BE0A0000}"/>
    <hyperlink ref="D1413" r:id="rId2752" xr:uid="{00000000-0004-0000-0500-0000BF0A0000}"/>
    <hyperlink ref="A1414" r:id="rId2753" xr:uid="{00000000-0004-0000-0500-0000C00A0000}"/>
    <hyperlink ref="D1414" r:id="rId2754" xr:uid="{00000000-0004-0000-0500-0000C10A0000}"/>
    <hyperlink ref="A1415" r:id="rId2755" xr:uid="{00000000-0004-0000-0500-0000C20A0000}"/>
    <hyperlink ref="D1415" r:id="rId2756" xr:uid="{00000000-0004-0000-0500-0000C30A0000}"/>
    <hyperlink ref="A1416" r:id="rId2757" xr:uid="{00000000-0004-0000-0500-0000C40A0000}"/>
    <hyperlink ref="D1416" r:id="rId2758" xr:uid="{00000000-0004-0000-0500-0000C50A0000}"/>
    <hyperlink ref="A1417" r:id="rId2759" xr:uid="{00000000-0004-0000-0500-0000C60A0000}"/>
    <hyperlink ref="D1417" r:id="rId2760" xr:uid="{00000000-0004-0000-0500-0000C70A0000}"/>
    <hyperlink ref="A1418" r:id="rId2761" xr:uid="{00000000-0004-0000-0500-0000C80A0000}"/>
    <hyperlink ref="D1418" r:id="rId2762" xr:uid="{00000000-0004-0000-0500-0000C90A0000}"/>
    <hyperlink ref="A1419" r:id="rId2763" xr:uid="{00000000-0004-0000-0500-0000CA0A0000}"/>
    <hyperlink ref="D1419" r:id="rId2764" xr:uid="{00000000-0004-0000-0500-0000CB0A0000}"/>
    <hyperlink ref="A1420" r:id="rId2765" xr:uid="{00000000-0004-0000-0500-0000CC0A0000}"/>
    <hyperlink ref="D1420" r:id="rId2766" xr:uid="{00000000-0004-0000-0500-0000CD0A0000}"/>
    <hyperlink ref="A1421" r:id="rId2767" xr:uid="{00000000-0004-0000-0500-0000CE0A0000}"/>
    <hyperlink ref="D1421" r:id="rId2768" xr:uid="{00000000-0004-0000-0500-0000CF0A0000}"/>
    <hyperlink ref="A1422" r:id="rId2769" xr:uid="{00000000-0004-0000-0500-0000D00A0000}"/>
    <hyperlink ref="D1422" r:id="rId2770" xr:uid="{00000000-0004-0000-0500-0000D10A0000}"/>
    <hyperlink ref="A1423" r:id="rId2771" xr:uid="{00000000-0004-0000-0500-0000D20A0000}"/>
    <hyperlink ref="D1423" r:id="rId2772" xr:uid="{00000000-0004-0000-0500-0000D30A0000}"/>
    <hyperlink ref="A1424" r:id="rId2773" xr:uid="{00000000-0004-0000-0500-0000D40A0000}"/>
    <hyperlink ref="D1424" r:id="rId2774" xr:uid="{00000000-0004-0000-0500-0000D50A0000}"/>
    <hyperlink ref="A1425" r:id="rId2775" xr:uid="{00000000-0004-0000-0500-0000D60A0000}"/>
    <hyperlink ref="D1425" r:id="rId2776" xr:uid="{00000000-0004-0000-0500-0000D70A0000}"/>
    <hyperlink ref="A1426" r:id="rId2777" xr:uid="{00000000-0004-0000-0500-0000D80A0000}"/>
    <hyperlink ref="D1426" r:id="rId2778" xr:uid="{00000000-0004-0000-0500-0000D90A0000}"/>
    <hyperlink ref="A1427" r:id="rId2779" xr:uid="{00000000-0004-0000-0500-0000DA0A0000}"/>
    <hyperlink ref="D1427" r:id="rId2780" xr:uid="{00000000-0004-0000-0500-0000DB0A0000}"/>
    <hyperlink ref="A1428" r:id="rId2781" xr:uid="{00000000-0004-0000-0500-0000DC0A0000}"/>
    <hyperlink ref="D1428" r:id="rId2782" xr:uid="{00000000-0004-0000-0500-0000DD0A0000}"/>
    <hyperlink ref="A1429" r:id="rId2783" xr:uid="{00000000-0004-0000-0500-0000DE0A0000}"/>
    <hyperlink ref="D1429" r:id="rId2784" xr:uid="{00000000-0004-0000-0500-0000DF0A0000}"/>
    <hyperlink ref="A1430" r:id="rId2785" xr:uid="{00000000-0004-0000-0500-0000E00A0000}"/>
    <hyperlink ref="D1430" r:id="rId2786" xr:uid="{00000000-0004-0000-0500-0000E10A0000}"/>
    <hyperlink ref="A1431" r:id="rId2787" xr:uid="{00000000-0004-0000-0500-0000E20A0000}"/>
    <hyperlink ref="D1431" r:id="rId2788" xr:uid="{00000000-0004-0000-0500-0000E30A0000}"/>
    <hyperlink ref="A1432" r:id="rId2789" xr:uid="{00000000-0004-0000-0500-0000E40A0000}"/>
    <hyperlink ref="D1432" r:id="rId2790" xr:uid="{00000000-0004-0000-0500-0000E50A0000}"/>
    <hyperlink ref="A1433" r:id="rId2791" xr:uid="{00000000-0004-0000-0500-0000E60A0000}"/>
    <hyperlink ref="D1433" r:id="rId2792" xr:uid="{00000000-0004-0000-0500-0000E70A0000}"/>
    <hyperlink ref="A1434" r:id="rId2793" xr:uid="{00000000-0004-0000-0500-0000E80A0000}"/>
    <hyperlink ref="D1434" r:id="rId2794" xr:uid="{00000000-0004-0000-0500-0000E90A0000}"/>
    <hyperlink ref="A1435" r:id="rId2795" xr:uid="{00000000-0004-0000-0500-0000EA0A0000}"/>
    <hyperlink ref="D1435" r:id="rId2796" xr:uid="{00000000-0004-0000-0500-0000EB0A0000}"/>
    <hyperlink ref="A1436" r:id="rId2797" xr:uid="{00000000-0004-0000-0500-0000EC0A0000}"/>
    <hyperlink ref="D1436" r:id="rId2798" xr:uid="{00000000-0004-0000-0500-0000ED0A0000}"/>
    <hyperlink ref="A1437" r:id="rId2799" xr:uid="{00000000-0004-0000-0500-0000EE0A0000}"/>
    <hyperlink ref="D1437" r:id="rId2800" xr:uid="{00000000-0004-0000-0500-0000EF0A0000}"/>
    <hyperlink ref="A1438" r:id="rId2801" xr:uid="{00000000-0004-0000-0500-0000F00A0000}"/>
    <hyperlink ref="D1438" r:id="rId2802" xr:uid="{00000000-0004-0000-0500-0000F10A0000}"/>
    <hyperlink ref="A1439" r:id="rId2803" xr:uid="{00000000-0004-0000-0500-0000F20A0000}"/>
    <hyperlink ref="D1439" r:id="rId2804" xr:uid="{00000000-0004-0000-0500-0000F30A0000}"/>
    <hyperlink ref="A1440" r:id="rId2805" xr:uid="{00000000-0004-0000-0500-0000F40A0000}"/>
    <hyperlink ref="D1440" r:id="rId2806" xr:uid="{00000000-0004-0000-0500-0000F50A0000}"/>
    <hyperlink ref="A1441" r:id="rId2807" xr:uid="{00000000-0004-0000-0500-0000F60A0000}"/>
    <hyperlink ref="D1441" r:id="rId2808" xr:uid="{00000000-0004-0000-0500-0000F70A0000}"/>
    <hyperlink ref="A1442" r:id="rId2809" xr:uid="{00000000-0004-0000-0500-0000F80A0000}"/>
    <hyperlink ref="D1442" r:id="rId2810" xr:uid="{00000000-0004-0000-0500-0000F90A0000}"/>
    <hyperlink ref="A1443" r:id="rId2811" xr:uid="{00000000-0004-0000-0500-0000FA0A0000}"/>
    <hyperlink ref="D1443" r:id="rId2812" xr:uid="{00000000-0004-0000-0500-0000FB0A0000}"/>
    <hyperlink ref="A1444" r:id="rId2813" xr:uid="{00000000-0004-0000-0500-0000FC0A0000}"/>
    <hyperlink ref="D1444" r:id="rId2814" xr:uid="{00000000-0004-0000-0500-0000FD0A0000}"/>
    <hyperlink ref="A1445" r:id="rId2815" xr:uid="{00000000-0004-0000-0500-0000FE0A0000}"/>
    <hyperlink ref="D1445" r:id="rId2816" xr:uid="{00000000-0004-0000-0500-0000FF0A0000}"/>
    <hyperlink ref="A1446" r:id="rId2817" xr:uid="{00000000-0004-0000-0500-0000000B0000}"/>
    <hyperlink ref="D1446" r:id="rId2818" xr:uid="{00000000-0004-0000-0500-0000010B0000}"/>
    <hyperlink ref="A1447" r:id="rId2819" xr:uid="{00000000-0004-0000-0500-0000020B0000}"/>
    <hyperlink ref="D1447" r:id="rId2820" xr:uid="{00000000-0004-0000-0500-0000030B0000}"/>
    <hyperlink ref="A1448" r:id="rId2821" xr:uid="{00000000-0004-0000-0500-0000040B0000}"/>
    <hyperlink ref="D1448" r:id="rId2822" xr:uid="{00000000-0004-0000-0500-0000050B0000}"/>
    <hyperlink ref="A1449" r:id="rId2823" xr:uid="{00000000-0004-0000-0500-0000060B0000}"/>
    <hyperlink ref="D1449" r:id="rId2824" xr:uid="{00000000-0004-0000-0500-0000070B0000}"/>
    <hyperlink ref="A1450" r:id="rId2825" xr:uid="{00000000-0004-0000-0500-0000080B0000}"/>
    <hyperlink ref="D1450" r:id="rId2826" xr:uid="{00000000-0004-0000-0500-0000090B0000}"/>
    <hyperlink ref="A1451" r:id="rId2827" xr:uid="{00000000-0004-0000-0500-00000A0B0000}"/>
    <hyperlink ref="D1451" r:id="rId2828" xr:uid="{00000000-0004-0000-0500-00000B0B0000}"/>
    <hyperlink ref="A1452" r:id="rId2829" xr:uid="{00000000-0004-0000-0500-00000C0B0000}"/>
    <hyperlink ref="D1452" r:id="rId2830" xr:uid="{00000000-0004-0000-0500-00000D0B0000}"/>
    <hyperlink ref="A1453" r:id="rId2831" xr:uid="{00000000-0004-0000-0500-00000E0B0000}"/>
    <hyperlink ref="D1453" r:id="rId2832" xr:uid="{00000000-0004-0000-0500-00000F0B0000}"/>
    <hyperlink ref="A1454" r:id="rId2833" xr:uid="{00000000-0004-0000-0500-0000100B0000}"/>
    <hyperlink ref="D1454" r:id="rId2834" xr:uid="{00000000-0004-0000-0500-0000110B0000}"/>
    <hyperlink ref="A1455" r:id="rId2835" xr:uid="{00000000-0004-0000-0500-0000120B0000}"/>
    <hyperlink ref="D1455" r:id="rId2836" xr:uid="{00000000-0004-0000-0500-0000130B0000}"/>
    <hyperlink ref="A1456" r:id="rId2837" xr:uid="{00000000-0004-0000-0500-0000140B0000}"/>
    <hyperlink ref="D1456" r:id="rId2838" xr:uid="{00000000-0004-0000-0500-0000150B0000}"/>
    <hyperlink ref="A1457" r:id="rId2839" xr:uid="{00000000-0004-0000-0500-0000160B0000}"/>
    <hyperlink ref="D1457" r:id="rId2840" xr:uid="{00000000-0004-0000-0500-0000170B0000}"/>
    <hyperlink ref="A1458" r:id="rId2841" xr:uid="{00000000-0004-0000-0500-0000180B0000}"/>
    <hyperlink ref="D1458" r:id="rId2842" xr:uid="{00000000-0004-0000-0500-0000190B0000}"/>
    <hyperlink ref="A1459" r:id="rId2843" xr:uid="{00000000-0004-0000-0500-00001A0B0000}"/>
    <hyperlink ref="D1459" r:id="rId2844" xr:uid="{00000000-0004-0000-0500-00001B0B0000}"/>
    <hyperlink ref="A1460" r:id="rId2845" xr:uid="{00000000-0004-0000-0500-00001C0B0000}"/>
    <hyperlink ref="D1460" r:id="rId2846" xr:uid="{00000000-0004-0000-0500-00001D0B0000}"/>
    <hyperlink ref="A1461" r:id="rId2847" xr:uid="{00000000-0004-0000-0500-00001E0B0000}"/>
    <hyperlink ref="D1461" r:id="rId2848" xr:uid="{00000000-0004-0000-0500-00001F0B0000}"/>
    <hyperlink ref="A1462" r:id="rId2849" xr:uid="{00000000-0004-0000-0500-0000200B0000}"/>
    <hyperlink ref="D1462" r:id="rId2850" xr:uid="{00000000-0004-0000-0500-0000210B0000}"/>
    <hyperlink ref="A1463" r:id="rId2851" xr:uid="{00000000-0004-0000-0500-0000220B0000}"/>
    <hyperlink ref="D1463" r:id="rId2852" xr:uid="{00000000-0004-0000-0500-0000230B0000}"/>
    <hyperlink ref="A1464" r:id="rId2853" xr:uid="{00000000-0004-0000-0500-0000240B0000}"/>
    <hyperlink ref="D1464" r:id="rId2854" xr:uid="{00000000-0004-0000-0500-0000250B0000}"/>
  </hyperlinks>
  <pageMargins left="0.511811024" right="0.511811024" top="0.78740157499999996" bottom="0.78740157499999996" header="0.31496062000000002" footer="0.31496062000000002"/>
  <tableParts count="1">
    <tablePart r:id="rId285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49"/>
  <sheetViews>
    <sheetView workbookViewId="0"/>
  </sheetViews>
  <sheetFormatPr defaultColWidth="12.5703125" defaultRowHeight="15.75" customHeight="1" x14ac:dyDescent="0.2"/>
  <cols>
    <col min="1" max="1" width="44.85546875" customWidth="1"/>
    <col min="2" max="2" width="24" customWidth="1"/>
    <col min="3" max="3" width="24.7109375" customWidth="1"/>
    <col min="5" max="5" width="22.5703125" hidden="1" customWidth="1"/>
  </cols>
  <sheetData>
    <row r="1" spans="1:5" x14ac:dyDescent="0.2">
      <c r="A1" s="25" t="s">
        <v>17</v>
      </c>
      <c r="B1" s="25" t="s">
        <v>18</v>
      </c>
      <c r="C1" s="30" t="s">
        <v>25</v>
      </c>
    </row>
    <row r="2" spans="1:5" x14ac:dyDescent="0.2">
      <c r="A2" s="26" t="s">
        <v>388</v>
      </c>
      <c r="B2" s="26" t="s">
        <v>3221</v>
      </c>
      <c r="C2" s="27" t="s">
        <v>3220</v>
      </c>
      <c r="E2" s="2"/>
    </row>
    <row r="3" spans="1:5" x14ac:dyDescent="0.2">
      <c r="A3" s="26" t="s">
        <v>1534</v>
      </c>
      <c r="B3" s="26" t="s">
        <v>3221</v>
      </c>
      <c r="C3" s="27" t="s">
        <v>3220</v>
      </c>
      <c r="E3" s="2"/>
    </row>
    <row r="4" spans="1:5" x14ac:dyDescent="0.2">
      <c r="A4" s="28" t="s">
        <v>3220</v>
      </c>
      <c r="B4" s="28" t="s">
        <v>3222</v>
      </c>
      <c r="C4" s="29" t="s">
        <v>3220</v>
      </c>
      <c r="E4" s="2"/>
    </row>
    <row r="5" spans="1:5" x14ac:dyDescent="0.2">
      <c r="E5" s="2"/>
    </row>
    <row r="6" spans="1:5" x14ac:dyDescent="0.2">
      <c r="E6" s="2"/>
    </row>
    <row r="7" spans="1:5" x14ac:dyDescent="0.2">
      <c r="E7" s="2"/>
    </row>
    <row r="8" spans="1:5" x14ac:dyDescent="0.2">
      <c r="E8" s="2"/>
    </row>
    <row r="9" spans="1:5" x14ac:dyDescent="0.2">
      <c r="E9" s="2"/>
    </row>
    <row r="10" spans="1:5" x14ac:dyDescent="0.2">
      <c r="E10" s="2"/>
    </row>
    <row r="11" spans="1:5" x14ac:dyDescent="0.2">
      <c r="E11" s="2"/>
    </row>
    <row r="12" spans="1:5" x14ac:dyDescent="0.2">
      <c r="E12" s="2"/>
    </row>
    <row r="13" spans="1:5" x14ac:dyDescent="0.2">
      <c r="E13" s="2"/>
    </row>
    <row r="14" spans="1:5" x14ac:dyDescent="0.2">
      <c r="E14" s="2"/>
    </row>
    <row r="15" spans="1:5" x14ac:dyDescent="0.2">
      <c r="E15" s="2"/>
    </row>
    <row r="16" spans="1:5" x14ac:dyDescent="0.2">
      <c r="E16" s="2"/>
    </row>
    <row r="17" spans="5:5" x14ac:dyDescent="0.2">
      <c r="E17" s="2"/>
    </row>
    <row r="18" spans="5:5" x14ac:dyDescent="0.2">
      <c r="E18" s="2"/>
    </row>
    <row r="19" spans="5:5" x14ac:dyDescent="0.2">
      <c r="E19" s="2"/>
    </row>
    <row r="20" spans="5:5" x14ac:dyDescent="0.2">
      <c r="E20" s="2"/>
    </row>
    <row r="21" spans="5:5" x14ac:dyDescent="0.2">
      <c r="E21" s="2"/>
    </row>
    <row r="22" spans="5:5" x14ac:dyDescent="0.2">
      <c r="E22" s="2"/>
    </row>
    <row r="23" spans="5:5" x14ac:dyDescent="0.2">
      <c r="E23" s="2"/>
    </row>
    <row r="24" spans="5:5" x14ac:dyDescent="0.2">
      <c r="E24" s="2"/>
    </row>
    <row r="25" spans="5:5" x14ac:dyDescent="0.2">
      <c r="E25" s="2"/>
    </row>
    <row r="26" spans="5:5" x14ac:dyDescent="0.2">
      <c r="E26" s="2"/>
    </row>
    <row r="27" spans="5:5" x14ac:dyDescent="0.2">
      <c r="E27" s="2"/>
    </row>
    <row r="28" spans="5:5" x14ac:dyDescent="0.2">
      <c r="E28" s="2"/>
    </row>
    <row r="29" spans="5:5" x14ac:dyDescent="0.2">
      <c r="E29" s="2"/>
    </row>
    <row r="30" spans="5:5" x14ac:dyDescent="0.2">
      <c r="E30" s="2"/>
    </row>
    <row r="31" spans="5:5" x14ac:dyDescent="0.2">
      <c r="E31" s="2"/>
    </row>
    <row r="32" spans="5:5" x14ac:dyDescent="0.2">
      <c r="E32" s="2"/>
    </row>
    <row r="33" spans="5:5" x14ac:dyDescent="0.2">
      <c r="E33" s="2"/>
    </row>
    <row r="34" spans="5:5" x14ac:dyDescent="0.2">
      <c r="E34" s="2"/>
    </row>
    <row r="35" spans="5:5" x14ac:dyDescent="0.2">
      <c r="E35" s="2"/>
    </row>
    <row r="36" spans="5:5" x14ac:dyDescent="0.2">
      <c r="E36" s="2"/>
    </row>
    <row r="37" spans="5:5" x14ac:dyDescent="0.2">
      <c r="E37" s="2"/>
    </row>
    <row r="38" spans="5:5" x14ac:dyDescent="0.2">
      <c r="E38" s="2"/>
    </row>
    <row r="39" spans="5:5" x14ac:dyDescent="0.2">
      <c r="E39" s="2"/>
    </row>
    <row r="40" spans="5:5" x14ac:dyDescent="0.2">
      <c r="E40" s="2"/>
    </row>
    <row r="41" spans="5:5" x14ac:dyDescent="0.2">
      <c r="E41" s="2"/>
    </row>
    <row r="42" spans="5:5" x14ac:dyDescent="0.2">
      <c r="E42" s="2"/>
    </row>
    <row r="43" spans="5:5" x14ac:dyDescent="0.2">
      <c r="E43" s="2"/>
    </row>
    <row r="44" spans="5:5" x14ac:dyDescent="0.2">
      <c r="E44" s="2"/>
    </row>
    <row r="45" spans="5:5" x14ac:dyDescent="0.2">
      <c r="E45" s="2"/>
    </row>
    <row r="46" spans="5:5" x14ac:dyDescent="0.2">
      <c r="E46" s="2"/>
    </row>
    <row r="47" spans="5:5" x14ac:dyDescent="0.2">
      <c r="E47" s="2"/>
    </row>
    <row r="48" spans="5:5" x14ac:dyDescent="0.2">
      <c r="E48" s="2"/>
    </row>
    <row r="49" spans="5:5" x14ac:dyDescent="0.2">
      <c r="E49" s="2"/>
    </row>
  </sheetData>
  <dataValidations count="1">
    <dataValidation type="list" allowBlank="1" showErrorMessage="1" sqref="E2:E49" xr:uid="{00000000-0002-0000-0600-000000000000}">
      <formula1>"Deliberado,Sem Orçamento"</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dados_solicitacoes</vt:lpstr>
      <vt:lpstr>PROCESSOS CONCLUIDOS</vt:lpstr>
      <vt:lpstr>TODOS OS PROCESSOS ATUALIZADOS </vt:lpstr>
      <vt:lpstr>ENCAMINHADA PARA ORÇAMENTO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Jhonathan lucas</cp:lastModifiedBy>
  <dcterms:modified xsi:type="dcterms:W3CDTF">2025-11-17T12:49:42Z</dcterms:modified>
</cp:coreProperties>
</file>